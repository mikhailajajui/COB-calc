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gments" sheetId="2" state="visible" r:id="rId2"/>
    <sheet name="LumpSums" sheetId="3" state="visible" r:id="rId3"/>
    <sheet name="Overrides" sheetId="4" state="visible" r:id="rId4"/>
    <sheet name="PMI_Costs" sheetId="5" state="visible" r:id="rId5"/>
    <sheet name="Schedule" sheetId="6" state="visible" r:id="rId6"/>
    <sheet name="Summary" sheetId="7" state="visible" r:id="rId7"/>
    <sheet name="YearlySummary" sheetId="8" state="visible" r:id="rId8"/>
    <sheet name="PaymentFrequency" sheetId="9" state="visible" r:id="rId9"/>
    <sheet name="ExtraPayment" sheetId="10" state="visible" r:id="rId10"/>
    <sheet name="Points" sheetId="11" state="visible" r:id="rId11"/>
    <sheet name="Refinance" sheetId="12" state="visible" r:id="rId12"/>
    <sheet name="CompareTerms" sheetId="13" state="visible" r:id="rId13"/>
    <sheet name="LTV_DSCR" sheetId="14" state="visible" r:id="rId14"/>
    <sheet name="ARM_Reset" sheetId="15" state="visible" r:id="rId15"/>
    <sheet name="Fees_APR" sheetId="16" state="visible" r:id="rId16"/>
    <sheet name="DTI_Affordability" sheetId="17" state="visible" r:id="rId17"/>
  </sheets>
  <definedNames/>
  <calcPr calcId="124519" fullCalcOnLoad="1"/>
</workbook>
</file>

<file path=xl/styles.xml><?xml version="1.0" encoding="utf-8"?>
<styleSheet xmlns="http://schemas.openxmlformats.org/spreadsheetml/2006/main">
  <numFmts count="4">
    <numFmt numFmtId="164" formatCode="yyyy-mm-dd"/>
    <numFmt numFmtId="165" formatCode="0.00000000"/>
    <numFmt numFmtId="166" formatCode="$#,##0.00;($#,##0.00);-"/>
    <numFmt numFmtId="167" formatCode="0.000000%"/>
  </numFmts>
  <fonts count="9">
    <font>
      <name val="Calibri"/>
      <family val="2"/>
      <color theme="1"/>
      <sz val="11"/>
      <scheme val="minor"/>
    </font>
    <font>
      <name val="Arial"/>
      <b val="1"/>
      <sz val="14"/>
    </font>
    <font>
      <name val="Arial"/>
      <i val="1"/>
      <color rgb="00808080"/>
      <sz val="9"/>
    </font>
    <font>
      <name val="Arial"/>
    </font>
    <font>
      <name val="Arial"/>
      <b val="1"/>
      <sz val="12"/>
    </font>
    <font>
      <name val="Arial"/>
      <b val="1"/>
      <color rgb="00FFFFFF"/>
    </font>
    <font>
      <name val="Arial"/>
      <color rgb="00000000"/>
    </font>
    <font>
      <name val="Arial"/>
      <color rgb="000000FF"/>
    </font>
    <font>
      <name val="Arial"/>
      <b val="1"/>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0" borderId="0" pivotButton="0" quotePrefix="0" xfId="0"/>
    <xf numFmtId="164" fontId="7" fillId="3" borderId="1" pivotButton="0" quotePrefix="0" xfId="0"/>
    <xf numFmtId="165" fontId="7" fillId="3" borderId="1" pivotButton="0" quotePrefix="0" xfId="0"/>
    <xf numFmtId="166" fontId="7" fillId="3" borderId="1" pivotButton="0" quotePrefix="0" xfId="0"/>
    <xf numFmtId="0" fontId="7" fillId="3" borderId="1" pivotButton="0" quotePrefix="0" xfId="0"/>
    <xf numFmtId="3" fontId="6" fillId="0" borderId="1" pivotButton="0" quotePrefix="0" xfId="0"/>
    <xf numFmtId="166" fontId="6" fillId="0" borderId="1" pivotButton="0" quotePrefix="0" xfId="0"/>
    <xf numFmtId="164" fontId="0" fillId="3" borderId="1" pivotButton="0" quotePrefix="0" xfId="0"/>
    <xf numFmtId="165" fontId="0" fillId="3" borderId="1" pivotButton="0" quotePrefix="0" xfId="0"/>
    <xf numFmtId="166" fontId="0" fillId="3" borderId="1" pivotButton="0" quotePrefix="0" xfId="0"/>
    <xf numFmtId="0" fontId="0" fillId="3" borderId="1" pivotButton="0" quotePrefix="0" xfId="0"/>
    <xf numFmtId="0" fontId="8" fillId="0" borderId="0" pivotButton="0" quotePrefix="0" xfId="0"/>
    <xf numFmtId="3" fontId="6" fillId="0" borderId="0" pivotButton="0" quotePrefix="0" xfId="0"/>
    <xf numFmtId="164" fontId="6" fillId="0" borderId="0" pivotButton="0" quotePrefix="0" xfId="0"/>
    <xf numFmtId="167" fontId="6" fillId="0" borderId="0" pivotButton="0" quotePrefix="0" xfId="0"/>
    <xf numFmtId="166" fontId="6" fillId="0" borderId="0" pivotButton="0" quotePrefix="0" xfId="0"/>
    <xf numFmtId="10" fontId="6" fillId="0" borderId="0" pivotButton="0" quotePrefix="0" xfId="0"/>
    <xf numFmtId="3" fontId="7" fillId="3" borderId="1" pivotButton="0" quotePrefix="0" xfId="0"/>
    <xf numFmtId="2" fontId="7" fillId="3" borderId="1" pivotButton="0" quotePrefix="0" xfId="0"/>
    <xf numFmtId="2" fontId="6" fillId="0" borderId="0" pivotButton="0" quotePrefix="0" xfId="0"/>
    <xf numFmtId="165"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COB Calculator (Excel)</t>
        </is>
      </c>
    </row>
    <row r="2">
      <c r="A2" s="2" t="inlineStr">
        <is>
          <t>A formula-driven Excel port of the COB segmented mortgage / cost-of-borrowing engine.</t>
        </is>
      </c>
    </row>
    <row r="3"/>
    <row r="4">
      <c r="A4" s="3" t="n"/>
    </row>
    <row r="5">
      <c r="A5" s="4" t="inlineStr">
        <is>
          <t>COLOR LEGEND</t>
        </is>
      </c>
    </row>
    <row r="6">
      <c r="A6" s="3" t="inlineStr">
        <is>
          <t>Blue text, yellow-tinted cells = INPUT -- edit these.</t>
        </is>
      </c>
    </row>
    <row r="7">
      <c r="A7" s="3" t="inlineStr">
        <is>
          <t>Black text = COMPUTED formula -- do not edit; it will recalculate automatically.</t>
        </is>
      </c>
    </row>
    <row r="8">
      <c r="A8" s="3" t="n"/>
    </row>
    <row r="9">
      <c r="A9" s="4" t="inlineStr">
        <is>
          <t>SHEETS</t>
        </is>
      </c>
    </row>
    <row r="10">
      <c r="A10" s="3" t="inlineStr">
        <is>
          <t>Segments, LumpSums, Overrides, PMI_Costs -- inputs for the segmented mortgage engine.</t>
        </is>
      </c>
    </row>
    <row r="11">
      <c r="A11" s="3" t="inlineStr">
        <is>
          <t>Schedule, Summary, YearlySummary -- computed output of the segmented engine (do not edit).</t>
        </is>
      </c>
    </row>
    <row r="12">
      <c r="A12" s="3" t="inlineStr">
        <is>
          <t>PaymentFrequency, ExtraPayment -- standalone single-loan calculators (own inputs).</t>
        </is>
      </c>
    </row>
    <row r="13">
      <c r="A13" s="3" t="inlineStr">
        <is>
          <t>Points, Refinance, CompareTerms, LTV_DSCR, ARM_Reset, Fees_APR, DTI_Affordability -- standalone calculators.</t>
        </is>
      </c>
    </row>
    <row r="14">
      <c r="A14" s="3" t="n"/>
    </row>
    <row r="15">
      <c r="A15" s="3" t="inlineStr">
        <is>
          <t>KEY ASSUMPTIONS (see docs/new-req/ in the source repo for full specs)</t>
        </is>
      </c>
    </row>
    <row r="16">
      <c r="A16" s="3" t="inlineStr">
        <is>
          <t>- Segmented Schedule is bounded to 360 rows (30 years monthly). Extend by selecting the</t>
        </is>
      </c>
    </row>
    <row r="17">
      <c r="A17" s="3" t="inlineStr">
        <is>
          <t xml:space="preserve">  last row's formulas and copying down if you need a longer combined schedule.</t>
        </is>
      </c>
    </row>
    <row r="18">
      <c r="A18" s="3" t="inlineStr">
        <is>
          <t>- PaymentFrequency is bounded to 1560 periods (30 years at weekly, the densest cadence).</t>
        </is>
      </c>
    </row>
    <row r="19">
      <c r="A19" s="3" t="inlineStr">
        <is>
          <t>- Lump sums apply only at a segment/renewal boundary (not mid-segment), matching the engine's v1 scope.</t>
        </is>
      </c>
    </row>
    <row r="20">
      <c r="A20" s="3" t="inlineStr">
        <is>
          <t>- Fees_APR computes a simplified actuarial-method APR (via Excel's RATE function) -- not a certified</t>
        </is>
      </c>
    </row>
    <row r="21">
      <c r="A21" s="3" t="inlineStr">
        <is>
          <t xml:space="preserve">  TILA/Reg Z disclosure.</t>
        </is>
      </c>
    </row>
    <row r="22">
      <c r="A22" s="3" t="inlineStr">
        <is>
          <t>- Refinance/CompareTerms use n*payment for total cost (a quick-comparison simplification) rather than</t>
        </is>
      </c>
    </row>
    <row r="23">
      <c r="A23" s="3" t="inlineStr">
        <is>
          <t xml:space="preserve">  a full cent-rounded schedule -- expect a few dollars of difference from the Schedule sheet's own</t>
        </is>
      </c>
    </row>
    <row r="24">
      <c r="A24" s="3" t="inlineStr">
        <is>
          <t xml:space="preserve">  totals on long terms. This is the SAME rounding-drift behavior documented for the Python/TypeScript</t>
        </is>
      </c>
    </row>
    <row r="25">
      <c r="A25" s="3" t="inlineStr">
        <is>
          <t xml:space="preserve">  engines in docs/new-req/004-rounding-drift-accuracy-disclosure.md: intermediate/aggregate figures from</t>
        </is>
      </c>
    </row>
    <row r="26">
      <c r="A26" s="3" t="inlineStr">
        <is>
          <t xml:space="preserve">  an unrounded closed-form calculation can differ from a per-period cent-rounded schedule by a few</t>
        </is>
      </c>
    </row>
    <row r="27">
      <c r="A27" s="3" t="inlineStr">
        <is>
          <t xml:space="preserve">  dollars on a long loan -- not a defect in either calculation.</t>
        </is>
      </c>
    </row>
    <row r="28">
      <c r="A28" s="3" t="n"/>
    </row>
    <row r="29">
      <c r="A29" s="4" t="inlineStr">
        <is>
          <t>VERIFICATION</t>
        </is>
      </c>
    </row>
    <row r="30">
      <c r="A30" s="3" t="inlineStr">
        <is>
          <t>Every formula in this workbook was cross-checked against cob_calculator (the Python reference engine)</t>
        </is>
      </c>
    </row>
    <row r="31">
      <c r="A31" s="3" t="inlineStr">
        <is>
          <t>for representative scenarios covering renewals, lump sums, manual overrides, interest-only, balloon,</t>
        </is>
      </c>
    </row>
    <row r="32">
      <c r="A32" s="3" t="inlineStr">
        <is>
          <t>PMI auto-drop, recurring costs, and every standalone calculator -- see the build/verification session</t>
        </is>
      </c>
    </row>
    <row r="33">
      <c r="A33" s="3" t="inlineStr">
        <is>
          <t>for details. Recalculated with LibreOffice via the xlsx skill's recalc.py: 0 formula errors.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2" customWidth="1" min="3" max="3"/>
    <col width="15" customWidth="1" min="4" max="4"/>
    <col width="16" customWidth="1" min="5" max="5"/>
    <col width="16" customWidth="1" min="6" max="6"/>
    <col width="15" customWidth="1" min="7" max="7"/>
    <col width="9" customWidth="1" min="8" max="8"/>
    <col width="10" customWidth="1" min="9" max="9"/>
    <col width="12" customWidth="1" min="10" max="10"/>
    <col width="12" customWidth="1" min="11" max="11"/>
    <col width="15" customWidth="1" min="12" max="12"/>
    <col width="16" customWidth="1" min="13" max="13"/>
    <col width="16" customWidth="1" min="14" max="14"/>
  </cols>
  <sheetData>
    <row r="1">
      <c r="A1" s="1" t="inlineStr">
        <is>
          <t>Segments (input)</t>
        </is>
      </c>
    </row>
    <row r="2">
      <c r="A2" s="2" t="inlineStr">
        <is>
          <t>Blue cells = edit these. One row per segment, chronological. Segment 1's Starting Balance is required; later segments inherit their starting balance from the prior segment's computed ending balance (do not fill in Starting Balance for row 2+).</t>
        </is>
      </c>
    </row>
    <row r="3"/>
    <row r="4" ht="45" customHeight="1">
      <c r="A4" s="5" t="inlineStr">
        <is>
          <t>Seg #</t>
        </is>
      </c>
      <c r="B4" s="5" t="inlineStr">
        <is>
          <t>Start Date</t>
        </is>
      </c>
      <c r="C4" s="5" t="inlineStr">
        <is>
          <t>Annual Rate %</t>
        </is>
      </c>
      <c r="D4" s="5" t="inlineStr">
        <is>
          <t>Payment Amount
(blank = compute)</t>
        </is>
      </c>
      <c r="E4" s="5" t="inlineStr">
        <is>
          <t>Amortization Months
Remaining (blank if
Payment Amount given)</t>
        </is>
      </c>
      <c r="F4" s="5" t="inlineStr">
        <is>
          <t>Term Months
(blank = final/runs to payoff)</t>
        </is>
      </c>
      <c r="G4" s="5" t="inlineStr">
        <is>
          <t>Starting Balance
(segment 1 only)</t>
        </is>
      </c>
      <c r="H4" s="5" t="inlineStr">
        <is>
          <t>Balloon?
(Y/N)</t>
        </is>
      </c>
      <c r="I4" s="5" t="inlineStr">
        <is>
          <t>Interest Only?
(Y/N)</t>
        </is>
      </c>
      <c r="J4" s="5" t="inlineStr">
        <is>
          <t>Start Payment #</t>
        </is>
      </c>
      <c r="K4" s="5" t="inlineStr">
        <is>
          <t>End Payment #</t>
        </is>
      </c>
      <c r="L4" s="5" t="inlineStr">
        <is>
          <t>Monthly Payment
(computed)</t>
        </is>
      </c>
      <c r="M4" s="5" t="inlineStr">
        <is>
          <t>Segment Starting
Balance (computed)</t>
        </is>
      </c>
      <c r="N4" s="5" t="inlineStr">
        <is>
          <t>Segment Ending
Balance (computed)</t>
        </is>
      </c>
    </row>
    <row r="5">
      <c r="A5" s="6" t="n">
        <v>1</v>
      </c>
      <c r="B5" s="7" t="inlineStr">
        <is>
          <t>2024-01-01</t>
        </is>
      </c>
      <c r="C5" s="8" t="n">
        <v>5</v>
      </c>
      <c r="D5" s="9" t="n"/>
      <c r="E5" s="10" t="n">
        <v>300</v>
      </c>
      <c r="F5" s="10" t="n">
        <v>60</v>
      </c>
      <c r="G5" s="9" t="n">
        <v>200000</v>
      </c>
      <c r="H5" s="10" t="inlineStr">
        <is>
          <t>N</t>
        </is>
      </c>
      <c r="I5" s="10" t="inlineStr">
        <is>
          <t>N</t>
        </is>
      </c>
      <c r="J5" s="11">
        <f>1</f>
        <v/>
      </c>
      <c r="K5" s="11">
        <f>IF(OR($F5="",$J5=""),"",J5+F5-1)</f>
        <v/>
      </c>
      <c r="L5" s="12">
        <f>IF($B5="","",IF(I5="Y",ROUND(M5*(C5/100/12),2),IF(D5&lt;&gt;"",ROUND(D5,2),ROUND(-PMT(C5/100/12,E5,M5),2))))</f>
        <v/>
      </c>
      <c r="M5" s="12">
        <f>G5</f>
        <v/>
      </c>
      <c r="N5" s="12">
        <f>IF($B5="","",IF(K5&lt;&gt;"",IFERROR(INDEX(Schedule!$AA:$AA,MATCH(K5,Schedule!$A:$A,0)),""),IFERROR(INDEX(Schedule!$AA:$AA,MATCH(SUMPRODUCT(MAX((Schedule!$B$5:$B$364=$A5)*Schedule!$A$5:$A$364)),Schedule!$A:$A,0)),"")))</f>
        <v/>
      </c>
    </row>
    <row r="6">
      <c r="A6" s="6" t="n">
        <v>2</v>
      </c>
      <c r="B6" s="7" t="inlineStr">
        <is>
          <t>2029-01-01</t>
        </is>
      </c>
      <c r="C6" s="8" t="n">
        <v>6</v>
      </c>
      <c r="D6" s="9" t="n"/>
      <c r="E6" s="10" t="n">
        <v>240</v>
      </c>
      <c r="F6" s="10" t="n"/>
      <c r="G6" s="9" t="n"/>
      <c r="H6" s="10" t="inlineStr">
        <is>
          <t>N</t>
        </is>
      </c>
      <c r="I6" s="10" t="inlineStr">
        <is>
          <t>N</t>
        </is>
      </c>
      <c r="J6" s="11">
        <f>IF($F5="","",K5+1)</f>
        <v/>
      </c>
      <c r="K6" s="11">
        <f>IF(OR($F6="",$J6=""),"",J6+F6-1)</f>
        <v/>
      </c>
      <c r="L6" s="12">
        <f>IF($B6="","",IF(I6="Y",ROUND(M6*(C6/100/12),2),IF(D6&lt;&gt;"",ROUND(D6,2),ROUND(-PMT(C6/100/12,E6,M6),2))))</f>
        <v/>
      </c>
      <c r="M6" s="12">
        <f>IF($B6="","",IFERROR(INDEX(Schedule!$AA:$AA,MATCH(K5,Schedule!$A:$A,0)),""))</f>
        <v/>
      </c>
      <c r="N6" s="12">
        <f>IF($B6="","",IF(K6&lt;&gt;"",IFERROR(INDEX(Schedule!$AA:$AA,MATCH(K6,Schedule!$A:$A,0)),""),IFERROR(INDEX(Schedule!$AA:$AA,MATCH(SUMPRODUCT(MAX((Schedule!$B$5:$B$364=$A6)*Schedule!$A$5:$A$364)),Schedule!$A:$A,0)),"")))</f>
        <v/>
      </c>
    </row>
    <row r="7">
      <c r="A7" s="6" t="n">
        <v>3</v>
      </c>
      <c r="B7" s="13" t="n"/>
      <c r="C7" s="14" t="n"/>
      <c r="D7" s="15" t="n"/>
      <c r="E7" s="16" t="n"/>
      <c r="F7" s="16" t="n"/>
      <c r="G7" s="15" t="n"/>
      <c r="H7" s="16" t="n"/>
      <c r="I7" s="16" t="n"/>
      <c r="J7" s="11">
        <f>IF($F6="","",K6+1)</f>
        <v/>
      </c>
      <c r="K7" s="11">
        <f>IF(OR($F7="",$J7=""),"",J7+F7-1)</f>
        <v/>
      </c>
      <c r="L7" s="12">
        <f>IF($B7="","",IF(I7="Y",ROUND(M7*(C7/100/12),2),IF(D7&lt;&gt;"",ROUND(D7,2),ROUND(-PMT(C7/100/12,E7,M7),2))))</f>
        <v/>
      </c>
      <c r="M7" s="12">
        <f>IF($B7="","",IFERROR(INDEX(Schedule!$AA:$AA,MATCH(K6,Schedule!$A:$A,0)),""))</f>
        <v/>
      </c>
      <c r="N7" s="12">
        <f>IF($B7="","",IF(K7&lt;&gt;"",IFERROR(INDEX(Schedule!$AA:$AA,MATCH(K7,Schedule!$A:$A,0)),""),IFERROR(INDEX(Schedule!$AA:$AA,MATCH(SUMPRODUCT(MAX((Schedule!$B$5:$B$364=$A7)*Schedule!$A$5:$A$364)),Schedule!$A:$A,0)),"")))</f>
        <v/>
      </c>
    </row>
    <row r="8">
      <c r="A8" s="6" t="n">
        <v>4</v>
      </c>
      <c r="B8" s="13" t="n"/>
      <c r="C8" s="14" t="n"/>
      <c r="D8" s="15" t="n"/>
      <c r="E8" s="16" t="n"/>
      <c r="F8" s="16" t="n"/>
      <c r="G8" s="15" t="n"/>
      <c r="H8" s="16" t="n"/>
      <c r="I8" s="16" t="n"/>
      <c r="J8" s="11">
        <f>IF($F7="","",K7+1)</f>
        <v/>
      </c>
      <c r="K8" s="11">
        <f>IF(OR($F8="",$J8=""),"",J8+F8-1)</f>
        <v/>
      </c>
      <c r="L8" s="12">
        <f>IF($B8="","",IF(I8="Y",ROUND(M8*(C8/100/12),2),IF(D8&lt;&gt;"",ROUND(D8,2),ROUND(-PMT(C8/100/12,E8,M8),2))))</f>
        <v/>
      </c>
      <c r="M8" s="12">
        <f>IF($B8="","",IFERROR(INDEX(Schedule!$AA:$AA,MATCH(K7,Schedule!$A:$A,0)),""))</f>
        <v/>
      </c>
      <c r="N8" s="12">
        <f>IF($B8="","",IF(K8&lt;&gt;"",IFERROR(INDEX(Schedule!$AA:$AA,MATCH(K8,Schedule!$A:$A,0)),""),IFERROR(INDEX(Schedule!$AA:$AA,MATCH(SUMPRODUCT(MAX((Schedule!$B$5:$B$364=$A8)*Schedule!$A$5:$A$364)),Schedule!$A:$A,0)),"")))</f>
        <v/>
      </c>
    </row>
    <row r="9">
      <c r="A9" s="6" t="n">
        <v>5</v>
      </c>
      <c r="B9" s="13" t="n"/>
      <c r="C9" s="14" t="n"/>
      <c r="D9" s="15" t="n"/>
      <c r="E9" s="16" t="n"/>
      <c r="F9" s="16" t="n"/>
      <c r="G9" s="15" t="n"/>
      <c r="H9" s="16" t="n"/>
      <c r="I9" s="16" t="n"/>
      <c r="J9" s="11">
        <f>IF($F8="","",K8+1)</f>
        <v/>
      </c>
      <c r="K9" s="11">
        <f>IF(OR($F9="",$J9=""),"",J9+F9-1)</f>
        <v/>
      </c>
      <c r="L9" s="12">
        <f>IF($B9="","",IF(I9="Y",ROUND(M9*(C9/100/12),2),IF(D9&lt;&gt;"",ROUND(D9,2),ROUND(-PMT(C9/100/12,E9,M9),2))))</f>
        <v/>
      </c>
      <c r="M9" s="12">
        <f>IF($B9="","",IFERROR(INDEX(Schedule!$AA:$AA,MATCH(K8,Schedule!$A:$A,0)),""))</f>
        <v/>
      </c>
      <c r="N9" s="12">
        <f>IF($B9="","",IF(K9&lt;&gt;"",IFERROR(INDEX(Schedule!$AA:$AA,MATCH(K9,Schedule!$A:$A,0)),""),IFERROR(INDEX(Schedule!$AA:$AA,MATCH(SUMPRODUCT(MAX((Schedule!$B$5:$B$364=$A9)*Schedule!$A$5:$A$364)),Schedule!$A:$A,0)),"")))</f>
        <v/>
      </c>
    </row>
    <row r="10">
      <c r="A10" s="6" t="n">
        <v>6</v>
      </c>
      <c r="B10" s="13" t="n"/>
      <c r="C10" s="14" t="n"/>
      <c r="D10" s="15" t="n"/>
      <c r="E10" s="16" t="n"/>
      <c r="F10" s="16" t="n"/>
      <c r="G10" s="15" t="n"/>
      <c r="H10" s="16" t="n"/>
      <c r="I10" s="16" t="n"/>
      <c r="J10" s="11">
        <f>IF($F9="","",K9+1)</f>
        <v/>
      </c>
      <c r="K10" s="11">
        <f>IF(OR($F10="",$J10=""),"",J10+F10-1)</f>
        <v/>
      </c>
      <c r="L10" s="12">
        <f>IF($B10="","",IF(I10="Y",ROUND(M10*(C10/100/12),2),IF(D10&lt;&gt;"",ROUND(D10,2),ROUND(-PMT(C10/100/12,E10,M10),2))))</f>
        <v/>
      </c>
      <c r="M10" s="12">
        <f>IF($B10="","",IFERROR(INDEX(Schedule!$AA:$AA,MATCH(K9,Schedule!$A:$A,0)),""))</f>
        <v/>
      </c>
      <c r="N10" s="12">
        <f>IF($B10="","",IF(K10&lt;&gt;"",IFERROR(INDEX(Schedule!$AA:$AA,MATCH(K10,Schedule!$A:$A,0)),""),IFERROR(INDEX(Schedule!$AA:$AA,MATCH(SUMPRODUCT(MAX((Schedule!$B$5:$B$364=$A10)*Schedule!$A$5:$A$364)),Schedule!$A:$A,0)),"")))</f>
        <v/>
      </c>
    </row>
    <row r="11">
      <c r="A11" s="6" t="n">
        <v>7</v>
      </c>
      <c r="B11" s="13" t="n"/>
      <c r="C11" s="14" t="n"/>
      <c r="D11" s="15" t="n"/>
      <c r="E11" s="16" t="n"/>
      <c r="F11" s="16" t="n"/>
      <c r="G11" s="15" t="n"/>
      <c r="H11" s="16" t="n"/>
      <c r="I11" s="16" t="n"/>
      <c r="J11" s="11">
        <f>IF($F10="","",K10+1)</f>
        <v/>
      </c>
      <c r="K11" s="11">
        <f>IF(OR($F11="",$J11=""),"",J11+F11-1)</f>
        <v/>
      </c>
      <c r="L11" s="12">
        <f>IF($B11="","",IF(I11="Y",ROUND(M11*(C11/100/12),2),IF(D11&lt;&gt;"",ROUND(D11,2),ROUND(-PMT(C11/100/12,E11,M11),2))))</f>
        <v/>
      </c>
      <c r="M11" s="12">
        <f>IF($B11="","",IFERROR(INDEX(Schedule!$AA:$AA,MATCH(K10,Schedule!$A:$A,0)),""))</f>
        <v/>
      </c>
      <c r="N11" s="12">
        <f>IF($B11="","",IF(K11&lt;&gt;"",IFERROR(INDEX(Schedule!$AA:$AA,MATCH(K11,Schedule!$A:$A,0)),""),IFERROR(INDEX(Schedule!$AA:$AA,MATCH(SUMPRODUCT(MAX((Schedule!$B$5:$B$364=$A11)*Schedule!$A$5:$A$364)),Schedule!$A:$A,0)),"")))</f>
        <v/>
      </c>
    </row>
    <row r="12">
      <c r="A12" s="6" t="n">
        <v>8</v>
      </c>
      <c r="B12" s="13" t="n"/>
      <c r="C12" s="14" t="n"/>
      <c r="D12" s="15" t="n"/>
      <c r="E12" s="16" t="n"/>
      <c r="F12" s="16" t="n"/>
      <c r="G12" s="15" t="n"/>
      <c r="H12" s="16" t="n"/>
      <c r="I12" s="16" t="n"/>
      <c r="J12" s="11">
        <f>IF($F11="","",K11+1)</f>
        <v/>
      </c>
      <c r="K12" s="11">
        <f>IF(OR($F12="",$J12=""),"",J12+F12-1)</f>
        <v/>
      </c>
      <c r="L12" s="12">
        <f>IF($B12="","",IF(I12="Y",ROUND(M12*(C12/100/12),2),IF(D12&lt;&gt;"",ROUND(D12,2),ROUND(-PMT(C12/100/12,E12,M12),2))))</f>
        <v/>
      </c>
      <c r="M12" s="12">
        <f>IF($B12="","",IFERROR(INDEX(Schedule!$AA:$AA,MATCH(K11,Schedule!$A:$A,0)),""))</f>
        <v/>
      </c>
      <c r="N12" s="12">
        <f>IF($B12="","",IF(K12&lt;&gt;"",IFERROR(INDEX(Schedule!$AA:$AA,MATCH(K12,Schedule!$A:$A,0)),""),IFERROR(INDEX(Schedule!$AA:$AA,MATCH(SUMPRODUCT(MAX((Schedule!$B$5:$B$364=$A12)*Schedule!$A$5:$A$364)),Schedule!$A:$A,0)),"")))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14" customWidth="1" min="2" max="2"/>
  </cols>
  <sheetData>
    <row r="1">
      <c r="A1" s="1" t="inlineStr">
        <is>
          <t>Lump Sum Payments (input)</t>
        </is>
      </c>
    </row>
    <row r="2">
      <c r="A2" s="2" t="inlineStr">
        <is>
          <t>Applied at a segment/renewal boundary only -- After Payment # must equal one of Segments!K (End Payment #) for a non-final segment. Leave rows blank if unused.</t>
        </is>
      </c>
    </row>
    <row r="3"/>
    <row r="4">
      <c r="A4" s="5" t="inlineStr">
        <is>
          <t>After Payment #</t>
        </is>
      </c>
      <c r="B4" s="5" t="inlineStr">
        <is>
          <t>Amount</t>
        </is>
      </c>
    </row>
    <row r="5">
      <c r="A5" s="10" t="n">
        <v>60</v>
      </c>
      <c r="B5" s="9" t="n">
        <v>20000</v>
      </c>
    </row>
    <row r="6">
      <c r="A6" s="10" t="n"/>
      <c r="B6" s="9" t="n"/>
    </row>
    <row r="7">
      <c r="A7" s="10" t="n"/>
      <c r="B7" s="9" t="n"/>
    </row>
    <row r="8">
      <c r="A8" s="10" t="n"/>
      <c r="B8" s="9" t="n"/>
    </row>
    <row r="9">
      <c r="A9" s="10" t="n"/>
      <c r="B9" s="9" t="n"/>
    </row>
    <row r="10">
      <c r="A10" s="10" t="n"/>
      <c r="B10" s="9" t="n"/>
    </row>
    <row r="11">
      <c r="A11" s="10" t="n"/>
      <c r="B11" s="9" t="n"/>
    </row>
    <row r="12">
      <c r="A12" s="10" t="n"/>
      <c r="B12" s="9" t="n"/>
    </row>
    <row r="13">
      <c r="A13" s="10" t="n"/>
      <c r="B13" s="9" t="n"/>
    </row>
    <row r="14">
      <c r="A14" s="10" t="n"/>
      <c r="B14"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2" customWidth="1" min="1" max="1"/>
    <col width="15" customWidth="1" min="2" max="2"/>
    <col width="15" customWidth="1" min="3" max="3"/>
    <col width="15" customWidth="1" min="4" max="4"/>
    <col width="16" customWidth="1" min="5" max="5"/>
    <col width="28" customWidth="1" min="6" max="6"/>
  </cols>
  <sheetData>
    <row r="1">
      <c r="A1" s="1" t="inlineStr">
        <is>
          <t>Manual Payment Overrides (input)</t>
        </is>
      </c>
    </row>
    <row r="2">
      <c r="A2" s="2" t="inlineStr">
        <is>
          <t>Bank-statement reconciliation rows. Leave a field blank to use the computed value; Payment # is required, all other fields optional per row.</t>
        </is>
      </c>
    </row>
    <row r="3"/>
    <row r="4">
      <c r="A4" s="5" t="inlineStr">
        <is>
          <t>Payment #</t>
        </is>
      </c>
      <c r="B4" s="5" t="inlineStr">
        <is>
          <t>Payment Amount</t>
        </is>
      </c>
      <c r="C4" s="5" t="inlineStr">
        <is>
          <t>Interest Portion</t>
        </is>
      </c>
      <c r="D4" s="5" t="inlineStr">
        <is>
          <t>Principal Portion</t>
        </is>
      </c>
      <c r="E4" s="5" t="inlineStr">
        <is>
          <t>Remaining Balance</t>
        </is>
      </c>
      <c r="F4" s="5" t="inlineStr">
        <is>
          <t>Reason</t>
        </is>
      </c>
    </row>
    <row r="5">
      <c r="A5" s="10" t="n">
        <v>10</v>
      </c>
      <c r="B5" s="9" t="n"/>
      <c r="C5" s="9" t="n">
        <v>700</v>
      </c>
      <c r="D5" s="9" t="n"/>
      <c r="E5" s="9" t="n"/>
      <c r="F5" s="10" t="inlineStr">
        <is>
          <t>example: bank fee adjustment</t>
        </is>
      </c>
    </row>
    <row r="6">
      <c r="A6" s="10" t="n"/>
      <c r="B6" s="9" t="n"/>
      <c r="C6" s="9" t="n"/>
      <c r="D6" s="9" t="n"/>
      <c r="E6" s="9" t="n"/>
      <c r="F6" s="10" t="n"/>
    </row>
    <row r="7">
      <c r="A7" s="10" t="n"/>
      <c r="B7" s="9" t="n"/>
      <c r="C7" s="9" t="n"/>
      <c r="D7" s="9" t="n"/>
      <c r="E7" s="9" t="n"/>
      <c r="F7" s="10" t="n"/>
    </row>
    <row r="8">
      <c r="A8" s="10" t="n"/>
      <c r="B8" s="9" t="n"/>
      <c r="C8" s="9" t="n"/>
      <c r="D8" s="9" t="n"/>
      <c r="E8" s="9" t="n"/>
      <c r="F8" s="10" t="n"/>
    </row>
    <row r="9">
      <c r="A9" s="10" t="n"/>
      <c r="B9" s="9" t="n"/>
      <c r="C9" s="9" t="n"/>
      <c r="D9" s="9" t="n"/>
      <c r="E9" s="9" t="n"/>
      <c r="F9" s="10" t="n"/>
    </row>
    <row r="10">
      <c r="A10" s="10" t="n"/>
      <c r="B10" s="9" t="n"/>
      <c r="C10" s="9" t="n"/>
      <c r="D10" s="9" t="n"/>
      <c r="E10" s="9" t="n"/>
      <c r="F10" s="10" t="n"/>
    </row>
    <row r="11">
      <c r="A11" s="10" t="n"/>
      <c r="B11" s="9" t="n"/>
      <c r="C11" s="9" t="n"/>
      <c r="D11" s="9" t="n"/>
      <c r="E11" s="9" t="n"/>
      <c r="F11" s="10" t="n"/>
    </row>
    <row r="12">
      <c r="A12" s="10" t="n"/>
      <c r="B12" s="9" t="n"/>
      <c r="C12" s="9" t="n"/>
      <c r="D12" s="9" t="n"/>
      <c r="E12" s="9" t="n"/>
      <c r="F12" s="10" t="n"/>
    </row>
    <row r="13">
      <c r="A13" s="10" t="n"/>
      <c r="B13" s="9" t="n"/>
      <c r="C13" s="9" t="n"/>
      <c r="D13" s="9" t="n"/>
      <c r="E13" s="9" t="n"/>
      <c r="F13" s="10" t="n"/>
    </row>
    <row r="14">
      <c r="A14" s="10" t="n"/>
      <c r="B14" s="9" t="n"/>
      <c r="C14" s="9" t="n"/>
      <c r="D14" s="9" t="n"/>
      <c r="E14" s="9" t="n"/>
      <c r="F14" s="10" t="n"/>
    </row>
    <row r="15">
      <c r="A15" s="10" t="n"/>
      <c r="B15" s="9" t="n"/>
      <c r="C15" s="9" t="n"/>
      <c r="D15" s="9" t="n"/>
      <c r="E15" s="9" t="n"/>
      <c r="F15" s="10" t="n"/>
    </row>
    <row r="16">
      <c r="A16" s="10" t="n"/>
      <c r="B16" s="9" t="n"/>
      <c r="C16" s="9" t="n"/>
      <c r="D16" s="9" t="n"/>
      <c r="E16" s="9" t="n"/>
      <c r="F16" s="10" t="n"/>
    </row>
    <row r="17">
      <c r="A17" s="10" t="n"/>
      <c r="B17" s="9" t="n"/>
      <c r="C17" s="9" t="n"/>
      <c r="D17" s="9" t="n"/>
      <c r="E17" s="9" t="n"/>
      <c r="F17" s="10" t="n"/>
    </row>
    <row r="18">
      <c r="A18" s="10" t="n"/>
      <c r="B18" s="9" t="n"/>
      <c r="C18" s="9" t="n"/>
      <c r="D18" s="9" t="n"/>
      <c r="E18" s="9" t="n"/>
      <c r="F18" s="10" t="n"/>
    </row>
    <row r="19">
      <c r="A19" s="10" t="n"/>
      <c r="B19" s="9" t="n"/>
      <c r="C19" s="9" t="n"/>
      <c r="D19" s="9" t="n"/>
      <c r="E19" s="9" t="n"/>
      <c r="F19"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6" customWidth="1" min="2" max="2"/>
  </cols>
  <sheetData>
    <row r="1">
      <c r="A1" s="1" t="inlineStr">
        <is>
          <t>PMI &amp; Recurring Costs (input)</t>
        </is>
      </c>
    </row>
    <row r="2">
      <c r="A2" s="2" t="inlineStr">
        <is>
          <t>Leave PMI/cost annual amounts blank (0) to disable that cost.</t>
        </is>
      </c>
    </row>
    <row r="3"/>
    <row r="4">
      <c r="A4" s="17" t="inlineStr">
        <is>
          <t>PMI annual rate (%)</t>
        </is>
      </c>
      <c r="B4" s="10" t="n">
        <v>0.6</v>
      </c>
    </row>
    <row r="5">
      <c r="A5" s="17" t="inlineStr">
        <is>
          <t>Property value ($)</t>
        </is>
      </c>
      <c r="B5" s="9" t="n">
        <v>220000</v>
      </c>
    </row>
    <row r="6">
      <c r="A6" s="17" t="inlineStr">
        <is>
          <t>PMI drop-at LTV (%)</t>
        </is>
      </c>
      <c r="B6" s="10" t="n">
        <v>80</v>
      </c>
    </row>
    <row r="7"/>
    <row r="8">
      <c r="A8" s="17" t="inlineStr">
        <is>
          <t>Property tax annual amount ($)</t>
        </is>
      </c>
      <c r="B8" s="9" t="n">
        <v>4800</v>
      </c>
    </row>
    <row r="9">
      <c r="A9" s="17" t="inlineStr">
        <is>
          <t>Property tax annual increase (%)</t>
        </is>
      </c>
      <c r="B9" s="10" t="n">
        <v>0</v>
      </c>
    </row>
    <row r="10">
      <c r="A10" s="17" t="inlineStr">
        <is>
          <t>Home insurance annual amount ($)</t>
        </is>
      </c>
      <c r="B10" s="9" t="n">
        <v>1200</v>
      </c>
    </row>
    <row r="11">
      <c r="A11" s="17" t="inlineStr">
        <is>
          <t>Home insurance annual increase (%)</t>
        </is>
      </c>
      <c r="B11" s="10" t="n">
        <v>0</v>
      </c>
    </row>
    <row r="12">
      <c r="A12" s="17" t="inlineStr">
        <is>
          <t>HOA annual amount ($)</t>
        </is>
      </c>
      <c r="B12" s="9" t="n">
        <v>0</v>
      </c>
    </row>
    <row r="13">
      <c r="A13" s="17" t="inlineStr">
        <is>
          <t>HOA annual increase (%)</t>
        </is>
      </c>
      <c r="B13" s="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64"/>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22"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s>
  <sheetData>
    <row r="1">
      <c r="A1" s="1" t="inlineStr">
        <is>
          <t>Schedule (computed) -- do not edit</t>
        </is>
      </c>
    </row>
    <row r="2">
      <c r="A2" s="2" t="inlineStr">
        <is>
          <t>One row per global payment number, 1..360 (30 years). Rows past the loan's actual payoff show as blank. Extend by selecting the last row and copying its formulas down if you need a longer schedule.</t>
        </is>
      </c>
    </row>
    <row r="3"/>
    <row r="4" ht="30" customHeight="1">
      <c r="A4" s="5" t="inlineStr">
        <is>
          <t>Payment #</t>
        </is>
      </c>
      <c r="B4" s="5" t="inlineStr">
        <is>
          <t>Seg Idx</t>
        </is>
      </c>
      <c r="C4" s="5" t="inlineStr">
        <is>
          <t>Seg Start Date</t>
        </is>
      </c>
      <c r="D4" s="5" t="inlineStr">
        <is>
          <t>Seg Start Pay#</t>
        </is>
      </c>
      <c r="E4" s="5" t="inlineStr">
        <is>
          <t>Payment Date</t>
        </is>
      </c>
      <c r="F4" s="5" t="inlineStr">
        <is>
          <t>Monthly Rate</t>
        </is>
      </c>
      <c r="G4" s="5" t="inlineStr">
        <is>
          <t>Seg Monthly Pmt</t>
        </is>
      </c>
      <c r="H4" s="5" t="inlineStr">
        <is>
          <t>Seg IO?</t>
        </is>
      </c>
      <c r="I4" s="5" t="inlineStr">
        <is>
          <t>Seg Final?</t>
        </is>
      </c>
      <c r="J4" s="5" t="inlineStr">
        <is>
          <t>Seg End Pay#</t>
        </is>
      </c>
      <c r="K4" s="5" t="inlineStr">
        <is>
          <t>Seg Known Len</t>
        </is>
      </c>
      <c r="L4" s="5" t="inlineStr">
        <is>
          <t>Beginning Balance</t>
        </is>
      </c>
      <c r="M4" s="5" t="inlineStr">
        <is>
          <t>Ovr: Interest</t>
        </is>
      </c>
      <c r="N4" s="5" t="inlineStr">
        <is>
          <t>Ovr: Rem Bal</t>
        </is>
      </c>
      <c r="O4" s="5" t="inlineStr">
        <is>
          <t>Ovr: Principal</t>
        </is>
      </c>
      <c r="P4" s="5" t="inlineStr">
        <is>
          <t>Ovr: Payment</t>
        </is>
      </c>
      <c r="Q4" s="5" t="inlineStr">
        <is>
          <t>Ovr: Reason</t>
        </is>
      </c>
      <c r="R4" s="5" t="inlineStr">
        <is>
          <t>Has Override?</t>
        </is>
      </c>
      <c r="S4" s="5" t="inlineStr">
        <is>
          <t>Payoff Row?</t>
        </is>
      </c>
      <c r="T4" s="5" t="inlineStr">
        <is>
          <t>Interest</t>
        </is>
      </c>
      <c r="U4" s="5" t="inlineStr">
        <is>
          <t>Principal (pre-lump)</t>
        </is>
      </c>
      <c r="V4" s="5" t="inlineStr">
        <is>
          <t>Payment (pre-lump)</t>
        </is>
      </c>
      <c r="W4" s="5" t="inlineStr">
        <is>
          <t>Ending Bal (pre-lump)</t>
        </is>
      </c>
      <c r="X4" s="5" t="inlineStr">
        <is>
          <t>Lump Sum Applied</t>
        </is>
      </c>
      <c r="Y4" s="5" t="inlineStr">
        <is>
          <t>Principal</t>
        </is>
      </c>
      <c r="Z4" s="5" t="inlineStr">
        <is>
          <t>Payment</t>
        </is>
      </c>
      <c r="AA4" s="5" t="inlineStr">
        <is>
          <t>Ending Balance</t>
        </is>
      </c>
      <c r="AB4" s="5" t="inlineStr">
        <is>
          <t>Active Row?</t>
        </is>
      </c>
      <c r="AC4" s="5" t="inlineStr">
        <is>
          <t>Tax</t>
        </is>
      </c>
      <c r="AD4" s="5" t="inlineStr">
        <is>
          <t>Insurance</t>
        </is>
      </c>
      <c r="AE4" s="5" t="inlineStr">
        <is>
          <t>HOA</t>
        </is>
      </c>
      <c r="AF4" s="5" t="inlineStr">
        <is>
          <t>Current LTV</t>
        </is>
      </c>
      <c r="AG4" s="5" t="inlineStr">
        <is>
          <t>PMI Active?</t>
        </is>
      </c>
      <c r="AH4" s="5" t="inlineStr">
        <is>
          <t>PMI</t>
        </is>
      </c>
      <c r="AI4" s="5" t="inlineStr">
        <is>
          <t>PMI Just Dropped?</t>
        </is>
      </c>
    </row>
    <row r="5">
      <c r="A5" s="18" t="n">
        <v>1</v>
      </c>
      <c r="B5" s="18">
        <f>SUMPRODUCT((Segments!$J$5:$J$12&lt;&gt;"")*(Segments!$J$5:$J$12&lt;=A5))</f>
        <v/>
      </c>
      <c r="C5" s="19">
        <f>INDEX(Segments!$B$5:$B$12,B5)</f>
        <v/>
      </c>
      <c r="D5" s="18">
        <f>INDEX(Segments!$J$5:$J$12,B5)</f>
        <v/>
      </c>
      <c r="E5" s="19">
        <f>DATE(YEAR(C5)+INT((MONTH(C5)-1+(A5-D5))/12),MOD(MONTH(C5)-1+(A5-D5),12)+1,1)+(DAY(C5)-1)</f>
        <v/>
      </c>
      <c r="F5" s="20">
        <f>INDEX(Segments!$C$5:$C$12,B5)/100/12</f>
        <v/>
      </c>
      <c r="G5" s="21">
        <f>INDEX(Segments!$L$5:$L$12,B5)</f>
        <v/>
      </c>
      <c r="H5" s="6">
        <f>INDEX(Segments!$I$5:$I$12,B5)="Y"</f>
        <v/>
      </c>
      <c r="I5" s="6">
        <f>INDEX(Segments!$F$5:$F$12,B5)=""</f>
        <v/>
      </c>
      <c r="J5" s="18">
        <f>INDEX(Segments!$K$5:$K$12,B5)</f>
        <v/>
      </c>
      <c r="K5" s="18">
        <f>IF(INDEX(Segments!$F$5:$F$12,B5)&lt;&gt;"",INDEX(Segments!$F$5:$F$12,B5),IF(INDEX(Segments!$E$5:$E$12,B5)&lt;&gt;"",INDEX(Segments!$E$5:$E$12,B5),""))</f>
        <v/>
      </c>
      <c r="L5" s="21">
        <f>Segments!$G$5</f>
        <v/>
      </c>
      <c r="M5" s="21">
        <f>IFERROR(INDEX(Overrides!$C:$C,MATCH(A5,Overrides!$A:$A,0)),"")</f>
        <v/>
      </c>
      <c r="N5" s="21">
        <f>IFERROR(INDEX(Overrides!$E:$E,MATCH(A5,Overrides!$A:$A,0)),"")</f>
        <v/>
      </c>
      <c r="O5" s="21">
        <f>IFERROR(INDEX(Overrides!$D:$D,MATCH(A5,Overrides!$A:$A,0)),"")</f>
        <v/>
      </c>
      <c r="P5" s="21">
        <f>IFERROR(INDEX(Overrides!$B:$B,MATCH(A5,Overrides!$A:$A,0)),"")</f>
        <v/>
      </c>
      <c r="Q5" s="6">
        <f>IFERROR(INDEX(Overrides!$F:$F,MATCH(A5,Overrides!$A:$A,0)),"")</f>
        <v/>
      </c>
      <c r="R5" s="6">
        <f>ISNUMBER(MATCH(A5,Overrides!$A:$A,0))</f>
        <v/>
      </c>
      <c r="S5" s="6">
        <f>OR(ROUND(L5-ROUND(G5-T5,2),2)&lt;=0,AND(I5,K5&lt;&gt;"",(A5-D5+1)=K5))</f>
        <v/>
      </c>
      <c r="T5" s="21">
        <f>IF(M5&lt;&gt;"",M5,ROUND(L5*F5,2))</f>
        <v/>
      </c>
      <c r="U5" s="21">
        <f>IF(R5,IF(O5&lt;&gt;"",O5,IF(N5&lt;&gt;"",ROUND(L5-N5,2),ROUND((IF(P5&lt;&gt;"",P5,G5))-T5,2))),IF(H5,0,IF(S5,L5,ROUND(G5-T5,2))))</f>
        <v/>
      </c>
      <c r="V5" s="21">
        <f>IF(R5,IF(P5&lt;&gt;"",P5,ROUND(T5+U5,2)),IF(H5,T5,IF(S5,ROUND(T5+U5,2),G5)))</f>
        <v/>
      </c>
      <c r="W5" s="21">
        <f>IF(R5,IF(N5&lt;&gt;"",N5,ROUND(L5-U5,2)),IF(H5,L5,IF(S5,0,ROUND(L5-U5,2))))</f>
        <v/>
      </c>
      <c r="X5" s="21">
        <f>IFERROR(MIN(INDEX(LumpSums!$B:$B,MATCH(A5,LumpSums!$A:$A,0)),W5),0)</f>
        <v/>
      </c>
      <c r="Y5" s="21">
        <f>ROUND(U5+X5,2)</f>
        <v/>
      </c>
      <c r="Z5" s="21">
        <f>ROUND(V5+X5,2)</f>
        <v/>
      </c>
      <c r="AA5" s="21">
        <f>ROUND(W5-X5,2)</f>
        <v/>
      </c>
      <c r="AB5" s="6">
        <f>TRUE</f>
        <v/>
      </c>
      <c r="AC5" s="21">
        <f>IF(PMI_Costs!$B$8=0,0,ROUND(PMI_Costs!$B$8*(1+PMI_Costs!$B$9/100)^INT((A5-1)/12)/12,2))</f>
        <v/>
      </c>
      <c r="AD5" s="21">
        <f>IF(PMI_Costs!$B$10=0,0,ROUND(PMI_Costs!$B$10*(1+PMI_Costs!$B$11/100)^INT((A5-1)/12)/12,2))</f>
        <v/>
      </c>
      <c r="AE5" s="21">
        <f>IF(PMI_Costs!$B$12=0,0,ROUND(PMI_Costs!$B$12*(1+PMI_Costs!$B$13/100)^INT((A5-1)/12)/12,2))</f>
        <v/>
      </c>
      <c r="AF5" s="22">
        <f>IF(PMI_Costs!$B$5=0,0,AA5/PMI_Costs!$B$5)</f>
        <v/>
      </c>
      <c r="AG5" s="6">
        <f>AND(PMI_Costs!$B$4&gt;0,AF5&gt;PMI_Costs!$B$6/100)</f>
        <v/>
      </c>
      <c r="AH5" s="21">
        <f>IF(AG5,ROUND(Segments!$G$5*PMI_Costs!$B$4/100/12,2),0)</f>
        <v/>
      </c>
      <c r="AI5" s="6">
        <f>FALSE</f>
        <v/>
      </c>
    </row>
    <row r="6">
      <c r="A6" s="18" t="n">
        <v>2</v>
      </c>
      <c r="B6" s="18">
        <f>SUMPRODUCT((Segments!$J$5:$J$12&lt;&gt;"")*(Segments!$J$5:$J$12&lt;=A6))</f>
        <v/>
      </c>
      <c r="C6" s="19">
        <f>INDEX(Segments!$B$5:$B$12,B6)</f>
        <v/>
      </c>
      <c r="D6" s="18">
        <f>INDEX(Segments!$J$5:$J$12,B6)</f>
        <v/>
      </c>
      <c r="E6" s="19">
        <f>DATE(YEAR(C6)+INT((MONTH(C6)-1+(A6-D6))/12),MOD(MONTH(C6)-1+(A6-D6),12)+1,1)+(DAY(C6)-1)</f>
        <v/>
      </c>
      <c r="F6" s="20">
        <f>INDEX(Segments!$C$5:$C$12,B6)/100/12</f>
        <v/>
      </c>
      <c r="G6" s="21">
        <f>INDEX(Segments!$L$5:$L$12,B6)</f>
        <v/>
      </c>
      <c r="H6" s="6">
        <f>INDEX(Segments!$I$5:$I$12,B6)="Y"</f>
        <v/>
      </c>
      <c r="I6" s="6">
        <f>INDEX(Segments!$F$5:$F$12,B6)=""</f>
        <v/>
      </c>
      <c r="J6" s="18">
        <f>INDEX(Segments!$K$5:$K$12,B6)</f>
        <v/>
      </c>
      <c r="K6" s="18">
        <f>IF(INDEX(Segments!$F$5:$F$12,B6)&lt;&gt;"",INDEX(Segments!$F$5:$F$12,B6),IF(INDEX(Segments!$E$5:$E$12,B6)&lt;&gt;"",INDEX(Segments!$E$5:$E$12,B6),""))</f>
        <v/>
      </c>
      <c r="L6" s="21">
        <f>AA5</f>
        <v/>
      </c>
      <c r="M6" s="21">
        <f>IFERROR(INDEX(Overrides!$C:$C,MATCH(A6,Overrides!$A:$A,0)),"")</f>
        <v/>
      </c>
      <c r="N6" s="21">
        <f>IFERROR(INDEX(Overrides!$E:$E,MATCH(A6,Overrides!$A:$A,0)),"")</f>
        <v/>
      </c>
      <c r="O6" s="21">
        <f>IFERROR(INDEX(Overrides!$D:$D,MATCH(A6,Overrides!$A:$A,0)),"")</f>
        <v/>
      </c>
      <c r="P6" s="21">
        <f>IFERROR(INDEX(Overrides!$B:$B,MATCH(A6,Overrides!$A:$A,0)),"")</f>
        <v/>
      </c>
      <c r="Q6" s="6">
        <f>IFERROR(INDEX(Overrides!$F:$F,MATCH(A6,Overrides!$A:$A,0)),"")</f>
        <v/>
      </c>
      <c r="R6" s="6">
        <f>ISNUMBER(MATCH(A6,Overrides!$A:$A,0))</f>
        <v/>
      </c>
      <c r="S6" s="6">
        <f>OR(ROUND(L6-ROUND(G6-T6,2),2)&lt;=0,AND(I6,K6&lt;&gt;"",(A6-D6+1)=K6))</f>
        <v/>
      </c>
      <c r="T6" s="21">
        <f>IF(M6&lt;&gt;"",M6,ROUND(L6*F6,2))</f>
        <v/>
      </c>
      <c r="U6" s="21">
        <f>IF(R6,IF(O6&lt;&gt;"",O6,IF(N6&lt;&gt;"",ROUND(L6-N6,2),ROUND((IF(P6&lt;&gt;"",P6,G6))-T6,2))),IF(H6,0,IF(S6,L6,ROUND(G6-T6,2))))</f>
        <v/>
      </c>
      <c r="V6" s="21">
        <f>IF(R6,IF(P6&lt;&gt;"",P6,ROUND(T6+U6,2)),IF(H6,T6,IF(S6,ROUND(T6+U6,2),G6)))</f>
        <v/>
      </c>
      <c r="W6" s="21">
        <f>IF(R6,IF(N6&lt;&gt;"",N6,ROUND(L6-U6,2)),IF(H6,L6,IF(S6,0,ROUND(L6-U6,2))))</f>
        <v/>
      </c>
      <c r="X6" s="21">
        <f>IFERROR(MIN(INDEX(LumpSums!$B:$B,MATCH(A6,LumpSums!$A:$A,0)),W6),0)</f>
        <v/>
      </c>
      <c r="Y6" s="21">
        <f>ROUND(U6+X6,2)</f>
        <v/>
      </c>
      <c r="Z6" s="21">
        <f>ROUND(V6+X6,2)</f>
        <v/>
      </c>
      <c r="AA6" s="21">
        <f>ROUND(W6-X6,2)</f>
        <v/>
      </c>
      <c r="AB6" s="6">
        <f>AND(AB5,L6&gt;0)</f>
        <v/>
      </c>
      <c r="AC6" s="21">
        <f>IF(PMI_Costs!$B$8=0,0,ROUND(PMI_Costs!$B$8*(1+PMI_Costs!$B$9/100)^INT((A6-1)/12)/12,2))</f>
        <v/>
      </c>
      <c r="AD6" s="21">
        <f>IF(PMI_Costs!$B$10=0,0,ROUND(PMI_Costs!$B$10*(1+PMI_Costs!$B$11/100)^INT((A6-1)/12)/12,2))</f>
        <v/>
      </c>
      <c r="AE6" s="21">
        <f>IF(PMI_Costs!$B$12=0,0,ROUND(PMI_Costs!$B$12*(1+PMI_Costs!$B$13/100)^INT((A6-1)/12)/12,2))</f>
        <v/>
      </c>
      <c r="AF6" s="22">
        <f>IF(PMI_Costs!$B$5=0,0,AA6/PMI_Costs!$B$5)</f>
        <v/>
      </c>
      <c r="AG6" s="6">
        <f>AND(PMI_Costs!$B$4&gt;0,AF6&gt;PMI_Costs!$B$6/100)</f>
        <v/>
      </c>
      <c r="AH6" s="21">
        <f>IF(AG6,ROUND(Segments!$G$5*PMI_Costs!$B$4/100/12,2),0)</f>
        <v/>
      </c>
      <c r="AI6" s="6">
        <f>AND(NOT(AG6),AG5)</f>
        <v/>
      </c>
    </row>
    <row r="7">
      <c r="A7" s="18" t="n">
        <v>3</v>
      </c>
      <c r="B7" s="18">
        <f>SUMPRODUCT((Segments!$J$5:$J$12&lt;&gt;"")*(Segments!$J$5:$J$12&lt;=A7))</f>
        <v/>
      </c>
      <c r="C7" s="19">
        <f>INDEX(Segments!$B$5:$B$12,B7)</f>
        <v/>
      </c>
      <c r="D7" s="18">
        <f>INDEX(Segments!$J$5:$J$12,B7)</f>
        <v/>
      </c>
      <c r="E7" s="19">
        <f>DATE(YEAR(C7)+INT((MONTH(C7)-1+(A7-D7))/12),MOD(MONTH(C7)-1+(A7-D7),12)+1,1)+(DAY(C7)-1)</f>
        <v/>
      </c>
      <c r="F7" s="20">
        <f>INDEX(Segments!$C$5:$C$12,B7)/100/12</f>
        <v/>
      </c>
      <c r="G7" s="21">
        <f>INDEX(Segments!$L$5:$L$12,B7)</f>
        <v/>
      </c>
      <c r="H7" s="6">
        <f>INDEX(Segments!$I$5:$I$12,B7)="Y"</f>
        <v/>
      </c>
      <c r="I7" s="6">
        <f>INDEX(Segments!$F$5:$F$12,B7)=""</f>
        <v/>
      </c>
      <c r="J7" s="18">
        <f>INDEX(Segments!$K$5:$K$12,B7)</f>
        <v/>
      </c>
      <c r="K7" s="18">
        <f>IF(INDEX(Segments!$F$5:$F$12,B7)&lt;&gt;"",INDEX(Segments!$F$5:$F$12,B7),IF(INDEX(Segments!$E$5:$E$12,B7)&lt;&gt;"",INDEX(Segments!$E$5:$E$12,B7),""))</f>
        <v/>
      </c>
      <c r="L7" s="21">
        <f>AA6</f>
        <v/>
      </c>
      <c r="M7" s="21">
        <f>IFERROR(INDEX(Overrides!$C:$C,MATCH(A7,Overrides!$A:$A,0)),"")</f>
        <v/>
      </c>
      <c r="N7" s="21">
        <f>IFERROR(INDEX(Overrides!$E:$E,MATCH(A7,Overrides!$A:$A,0)),"")</f>
        <v/>
      </c>
      <c r="O7" s="21">
        <f>IFERROR(INDEX(Overrides!$D:$D,MATCH(A7,Overrides!$A:$A,0)),"")</f>
        <v/>
      </c>
      <c r="P7" s="21">
        <f>IFERROR(INDEX(Overrides!$B:$B,MATCH(A7,Overrides!$A:$A,0)),"")</f>
        <v/>
      </c>
      <c r="Q7" s="6">
        <f>IFERROR(INDEX(Overrides!$F:$F,MATCH(A7,Overrides!$A:$A,0)),"")</f>
        <v/>
      </c>
      <c r="R7" s="6">
        <f>ISNUMBER(MATCH(A7,Overrides!$A:$A,0))</f>
        <v/>
      </c>
      <c r="S7" s="6">
        <f>OR(ROUND(L7-ROUND(G7-T7,2),2)&lt;=0,AND(I7,K7&lt;&gt;"",(A7-D7+1)=K7))</f>
        <v/>
      </c>
      <c r="T7" s="21">
        <f>IF(M7&lt;&gt;"",M7,ROUND(L7*F7,2))</f>
        <v/>
      </c>
      <c r="U7" s="21">
        <f>IF(R7,IF(O7&lt;&gt;"",O7,IF(N7&lt;&gt;"",ROUND(L7-N7,2),ROUND((IF(P7&lt;&gt;"",P7,G7))-T7,2))),IF(H7,0,IF(S7,L7,ROUND(G7-T7,2))))</f>
        <v/>
      </c>
      <c r="V7" s="21">
        <f>IF(R7,IF(P7&lt;&gt;"",P7,ROUND(T7+U7,2)),IF(H7,T7,IF(S7,ROUND(T7+U7,2),G7)))</f>
        <v/>
      </c>
      <c r="W7" s="21">
        <f>IF(R7,IF(N7&lt;&gt;"",N7,ROUND(L7-U7,2)),IF(H7,L7,IF(S7,0,ROUND(L7-U7,2))))</f>
        <v/>
      </c>
      <c r="X7" s="21">
        <f>IFERROR(MIN(INDEX(LumpSums!$B:$B,MATCH(A7,LumpSums!$A:$A,0)),W7),0)</f>
        <v/>
      </c>
      <c r="Y7" s="21">
        <f>ROUND(U7+X7,2)</f>
        <v/>
      </c>
      <c r="Z7" s="21">
        <f>ROUND(V7+X7,2)</f>
        <v/>
      </c>
      <c r="AA7" s="21">
        <f>ROUND(W7-X7,2)</f>
        <v/>
      </c>
      <c r="AB7" s="6">
        <f>AND(AB6,L7&gt;0)</f>
        <v/>
      </c>
      <c r="AC7" s="21">
        <f>IF(PMI_Costs!$B$8=0,0,ROUND(PMI_Costs!$B$8*(1+PMI_Costs!$B$9/100)^INT((A7-1)/12)/12,2))</f>
        <v/>
      </c>
      <c r="AD7" s="21">
        <f>IF(PMI_Costs!$B$10=0,0,ROUND(PMI_Costs!$B$10*(1+PMI_Costs!$B$11/100)^INT((A7-1)/12)/12,2))</f>
        <v/>
      </c>
      <c r="AE7" s="21">
        <f>IF(PMI_Costs!$B$12=0,0,ROUND(PMI_Costs!$B$12*(1+PMI_Costs!$B$13/100)^INT((A7-1)/12)/12,2))</f>
        <v/>
      </c>
      <c r="AF7" s="22">
        <f>IF(PMI_Costs!$B$5=0,0,AA7/PMI_Costs!$B$5)</f>
        <v/>
      </c>
      <c r="AG7" s="6">
        <f>AND(PMI_Costs!$B$4&gt;0,AF7&gt;PMI_Costs!$B$6/100)</f>
        <v/>
      </c>
      <c r="AH7" s="21">
        <f>IF(AG7,ROUND(Segments!$G$5*PMI_Costs!$B$4/100/12,2),0)</f>
        <v/>
      </c>
      <c r="AI7" s="6">
        <f>AND(NOT(AG7),AG6)</f>
        <v/>
      </c>
    </row>
    <row r="8">
      <c r="A8" s="18" t="n">
        <v>4</v>
      </c>
      <c r="B8" s="18">
        <f>SUMPRODUCT((Segments!$J$5:$J$12&lt;&gt;"")*(Segments!$J$5:$J$12&lt;=A8))</f>
        <v/>
      </c>
      <c r="C8" s="19">
        <f>INDEX(Segments!$B$5:$B$12,B8)</f>
        <v/>
      </c>
      <c r="D8" s="18">
        <f>INDEX(Segments!$J$5:$J$12,B8)</f>
        <v/>
      </c>
      <c r="E8" s="19">
        <f>DATE(YEAR(C8)+INT((MONTH(C8)-1+(A8-D8))/12),MOD(MONTH(C8)-1+(A8-D8),12)+1,1)+(DAY(C8)-1)</f>
        <v/>
      </c>
      <c r="F8" s="20">
        <f>INDEX(Segments!$C$5:$C$12,B8)/100/12</f>
        <v/>
      </c>
      <c r="G8" s="21">
        <f>INDEX(Segments!$L$5:$L$12,B8)</f>
        <v/>
      </c>
      <c r="H8" s="6">
        <f>INDEX(Segments!$I$5:$I$12,B8)="Y"</f>
        <v/>
      </c>
      <c r="I8" s="6">
        <f>INDEX(Segments!$F$5:$F$12,B8)=""</f>
        <v/>
      </c>
      <c r="J8" s="18">
        <f>INDEX(Segments!$K$5:$K$12,B8)</f>
        <v/>
      </c>
      <c r="K8" s="18">
        <f>IF(INDEX(Segments!$F$5:$F$12,B8)&lt;&gt;"",INDEX(Segments!$F$5:$F$12,B8),IF(INDEX(Segments!$E$5:$E$12,B8)&lt;&gt;"",INDEX(Segments!$E$5:$E$12,B8),""))</f>
        <v/>
      </c>
      <c r="L8" s="21">
        <f>AA7</f>
        <v/>
      </c>
      <c r="M8" s="21">
        <f>IFERROR(INDEX(Overrides!$C:$C,MATCH(A8,Overrides!$A:$A,0)),"")</f>
        <v/>
      </c>
      <c r="N8" s="21">
        <f>IFERROR(INDEX(Overrides!$E:$E,MATCH(A8,Overrides!$A:$A,0)),"")</f>
        <v/>
      </c>
      <c r="O8" s="21">
        <f>IFERROR(INDEX(Overrides!$D:$D,MATCH(A8,Overrides!$A:$A,0)),"")</f>
        <v/>
      </c>
      <c r="P8" s="21">
        <f>IFERROR(INDEX(Overrides!$B:$B,MATCH(A8,Overrides!$A:$A,0)),"")</f>
        <v/>
      </c>
      <c r="Q8" s="6">
        <f>IFERROR(INDEX(Overrides!$F:$F,MATCH(A8,Overrides!$A:$A,0)),"")</f>
        <v/>
      </c>
      <c r="R8" s="6">
        <f>ISNUMBER(MATCH(A8,Overrides!$A:$A,0))</f>
        <v/>
      </c>
      <c r="S8" s="6">
        <f>OR(ROUND(L8-ROUND(G8-T8,2),2)&lt;=0,AND(I8,K8&lt;&gt;"",(A8-D8+1)=K8))</f>
        <v/>
      </c>
      <c r="T8" s="21">
        <f>IF(M8&lt;&gt;"",M8,ROUND(L8*F8,2))</f>
        <v/>
      </c>
      <c r="U8" s="21">
        <f>IF(R8,IF(O8&lt;&gt;"",O8,IF(N8&lt;&gt;"",ROUND(L8-N8,2),ROUND((IF(P8&lt;&gt;"",P8,G8))-T8,2))),IF(H8,0,IF(S8,L8,ROUND(G8-T8,2))))</f>
        <v/>
      </c>
      <c r="V8" s="21">
        <f>IF(R8,IF(P8&lt;&gt;"",P8,ROUND(T8+U8,2)),IF(H8,T8,IF(S8,ROUND(T8+U8,2),G8)))</f>
        <v/>
      </c>
      <c r="W8" s="21">
        <f>IF(R8,IF(N8&lt;&gt;"",N8,ROUND(L8-U8,2)),IF(H8,L8,IF(S8,0,ROUND(L8-U8,2))))</f>
        <v/>
      </c>
      <c r="X8" s="21">
        <f>IFERROR(MIN(INDEX(LumpSums!$B:$B,MATCH(A8,LumpSums!$A:$A,0)),W8),0)</f>
        <v/>
      </c>
      <c r="Y8" s="21">
        <f>ROUND(U8+X8,2)</f>
        <v/>
      </c>
      <c r="Z8" s="21">
        <f>ROUND(V8+X8,2)</f>
        <v/>
      </c>
      <c r="AA8" s="21">
        <f>ROUND(W8-X8,2)</f>
        <v/>
      </c>
      <c r="AB8" s="6">
        <f>AND(AB7,L8&gt;0)</f>
        <v/>
      </c>
      <c r="AC8" s="21">
        <f>IF(PMI_Costs!$B$8=0,0,ROUND(PMI_Costs!$B$8*(1+PMI_Costs!$B$9/100)^INT((A8-1)/12)/12,2))</f>
        <v/>
      </c>
      <c r="AD8" s="21">
        <f>IF(PMI_Costs!$B$10=0,0,ROUND(PMI_Costs!$B$10*(1+PMI_Costs!$B$11/100)^INT((A8-1)/12)/12,2))</f>
        <v/>
      </c>
      <c r="AE8" s="21">
        <f>IF(PMI_Costs!$B$12=0,0,ROUND(PMI_Costs!$B$12*(1+PMI_Costs!$B$13/100)^INT((A8-1)/12)/12,2))</f>
        <v/>
      </c>
      <c r="AF8" s="22">
        <f>IF(PMI_Costs!$B$5=0,0,AA8/PMI_Costs!$B$5)</f>
        <v/>
      </c>
      <c r="AG8" s="6">
        <f>AND(PMI_Costs!$B$4&gt;0,AF8&gt;PMI_Costs!$B$6/100)</f>
        <v/>
      </c>
      <c r="AH8" s="21">
        <f>IF(AG8,ROUND(Segments!$G$5*PMI_Costs!$B$4/100/12,2),0)</f>
        <v/>
      </c>
      <c r="AI8" s="6">
        <f>AND(NOT(AG8),AG7)</f>
        <v/>
      </c>
    </row>
    <row r="9">
      <c r="A9" s="18" t="n">
        <v>5</v>
      </c>
      <c r="B9" s="18">
        <f>SUMPRODUCT((Segments!$J$5:$J$12&lt;&gt;"")*(Segments!$J$5:$J$12&lt;=A9))</f>
        <v/>
      </c>
      <c r="C9" s="19">
        <f>INDEX(Segments!$B$5:$B$12,B9)</f>
        <v/>
      </c>
      <c r="D9" s="18">
        <f>INDEX(Segments!$J$5:$J$12,B9)</f>
        <v/>
      </c>
      <c r="E9" s="19">
        <f>DATE(YEAR(C9)+INT((MONTH(C9)-1+(A9-D9))/12),MOD(MONTH(C9)-1+(A9-D9),12)+1,1)+(DAY(C9)-1)</f>
        <v/>
      </c>
      <c r="F9" s="20">
        <f>INDEX(Segments!$C$5:$C$12,B9)/100/12</f>
        <v/>
      </c>
      <c r="G9" s="21">
        <f>INDEX(Segments!$L$5:$L$12,B9)</f>
        <v/>
      </c>
      <c r="H9" s="6">
        <f>INDEX(Segments!$I$5:$I$12,B9)="Y"</f>
        <v/>
      </c>
      <c r="I9" s="6">
        <f>INDEX(Segments!$F$5:$F$12,B9)=""</f>
        <v/>
      </c>
      <c r="J9" s="18">
        <f>INDEX(Segments!$K$5:$K$12,B9)</f>
        <v/>
      </c>
      <c r="K9" s="18">
        <f>IF(INDEX(Segments!$F$5:$F$12,B9)&lt;&gt;"",INDEX(Segments!$F$5:$F$12,B9),IF(INDEX(Segments!$E$5:$E$12,B9)&lt;&gt;"",INDEX(Segments!$E$5:$E$12,B9),""))</f>
        <v/>
      </c>
      <c r="L9" s="21">
        <f>AA8</f>
        <v/>
      </c>
      <c r="M9" s="21">
        <f>IFERROR(INDEX(Overrides!$C:$C,MATCH(A9,Overrides!$A:$A,0)),"")</f>
        <v/>
      </c>
      <c r="N9" s="21">
        <f>IFERROR(INDEX(Overrides!$E:$E,MATCH(A9,Overrides!$A:$A,0)),"")</f>
        <v/>
      </c>
      <c r="O9" s="21">
        <f>IFERROR(INDEX(Overrides!$D:$D,MATCH(A9,Overrides!$A:$A,0)),"")</f>
        <v/>
      </c>
      <c r="P9" s="21">
        <f>IFERROR(INDEX(Overrides!$B:$B,MATCH(A9,Overrides!$A:$A,0)),"")</f>
        <v/>
      </c>
      <c r="Q9" s="6">
        <f>IFERROR(INDEX(Overrides!$F:$F,MATCH(A9,Overrides!$A:$A,0)),"")</f>
        <v/>
      </c>
      <c r="R9" s="6">
        <f>ISNUMBER(MATCH(A9,Overrides!$A:$A,0))</f>
        <v/>
      </c>
      <c r="S9" s="6">
        <f>OR(ROUND(L9-ROUND(G9-T9,2),2)&lt;=0,AND(I9,K9&lt;&gt;"",(A9-D9+1)=K9))</f>
        <v/>
      </c>
      <c r="T9" s="21">
        <f>IF(M9&lt;&gt;"",M9,ROUND(L9*F9,2))</f>
        <v/>
      </c>
      <c r="U9" s="21">
        <f>IF(R9,IF(O9&lt;&gt;"",O9,IF(N9&lt;&gt;"",ROUND(L9-N9,2),ROUND((IF(P9&lt;&gt;"",P9,G9))-T9,2))),IF(H9,0,IF(S9,L9,ROUND(G9-T9,2))))</f>
        <v/>
      </c>
      <c r="V9" s="21">
        <f>IF(R9,IF(P9&lt;&gt;"",P9,ROUND(T9+U9,2)),IF(H9,T9,IF(S9,ROUND(T9+U9,2),G9)))</f>
        <v/>
      </c>
      <c r="W9" s="21">
        <f>IF(R9,IF(N9&lt;&gt;"",N9,ROUND(L9-U9,2)),IF(H9,L9,IF(S9,0,ROUND(L9-U9,2))))</f>
        <v/>
      </c>
      <c r="X9" s="21">
        <f>IFERROR(MIN(INDEX(LumpSums!$B:$B,MATCH(A9,LumpSums!$A:$A,0)),W9),0)</f>
        <v/>
      </c>
      <c r="Y9" s="21">
        <f>ROUND(U9+X9,2)</f>
        <v/>
      </c>
      <c r="Z9" s="21">
        <f>ROUND(V9+X9,2)</f>
        <v/>
      </c>
      <c r="AA9" s="21">
        <f>ROUND(W9-X9,2)</f>
        <v/>
      </c>
      <c r="AB9" s="6">
        <f>AND(AB8,L9&gt;0)</f>
        <v/>
      </c>
      <c r="AC9" s="21">
        <f>IF(PMI_Costs!$B$8=0,0,ROUND(PMI_Costs!$B$8*(1+PMI_Costs!$B$9/100)^INT((A9-1)/12)/12,2))</f>
        <v/>
      </c>
      <c r="AD9" s="21">
        <f>IF(PMI_Costs!$B$10=0,0,ROUND(PMI_Costs!$B$10*(1+PMI_Costs!$B$11/100)^INT((A9-1)/12)/12,2))</f>
        <v/>
      </c>
      <c r="AE9" s="21">
        <f>IF(PMI_Costs!$B$12=0,0,ROUND(PMI_Costs!$B$12*(1+PMI_Costs!$B$13/100)^INT((A9-1)/12)/12,2))</f>
        <v/>
      </c>
      <c r="AF9" s="22">
        <f>IF(PMI_Costs!$B$5=0,0,AA9/PMI_Costs!$B$5)</f>
        <v/>
      </c>
      <c r="AG9" s="6">
        <f>AND(PMI_Costs!$B$4&gt;0,AF9&gt;PMI_Costs!$B$6/100)</f>
        <v/>
      </c>
      <c r="AH9" s="21">
        <f>IF(AG9,ROUND(Segments!$G$5*PMI_Costs!$B$4/100/12,2),0)</f>
        <v/>
      </c>
      <c r="AI9" s="6">
        <f>AND(NOT(AG9),AG8)</f>
        <v/>
      </c>
    </row>
    <row r="10">
      <c r="A10" s="18" t="n">
        <v>6</v>
      </c>
      <c r="B10" s="18">
        <f>SUMPRODUCT((Segments!$J$5:$J$12&lt;&gt;"")*(Segments!$J$5:$J$12&lt;=A10))</f>
        <v/>
      </c>
      <c r="C10" s="19">
        <f>INDEX(Segments!$B$5:$B$12,B10)</f>
        <v/>
      </c>
      <c r="D10" s="18">
        <f>INDEX(Segments!$J$5:$J$12,B10)</f>
        <v/>
      </c>
      <c r="E10" s="19">
        <f>DATE(YEAR(C10)+INT((MONTH(C10)-1+(A10-D10))/12),MOD(MONTH(C10)-1+(A10-D10),12)+1,1)+(DAY(C10)-1)</f>
        <v/>
      </c>
      <c r="F10" s="20">
        <f>INDEX(Segments!$C$5:$C$12,B10)/100/12</f>
        <v/>
      </c>
      <c r="G10" s="21">
        <f>INDEX(Segments!$L$5:$L$12,B10)</f>
        <v/>
      </c>
      <c r="H10" s="6">
        <f>INDEX(Segments!$I$5:$I$12,B10)="Y"</f>
        <v/>
      </c>
      <c r="I10" s="6">
        <f>INDEX(Segments!$F$5:$F$12,B10)=""</f>
        <v/>
      </c>
      <c r="J10" s="18">
        <f>INDEX(Segments!$K$5:$K$12,B10)</f>
        <v/>
      </c>
      <c r="K10" s="18">
        <f>IF(INDEX(Segments!$F$5:$F$12,B10)&lt;&gt;"",INDEX(Segments!$F$5:$F$12,B10),IF(INDEX(Segments!$E$5:$E$12,B10)&lt;&gt;"",INDEX(Segments!$E$5:$E$12,B10),""))</f>
        <v/>
      </c>
      <c r="L10" s="21">
        <f>AA9</f>
        <v/>
      </c>
      <c r="M10" s="21">
        <f>IFERROR(INDEX(Overrides!$C:$C,MATCH(A10,Overrides!$A:$A,0)),"")</f>
        <v/>
      </c>
      <c r="N10" s="21">
        <f>IFERROR(INDEX(Overrides!$E:$E,MATCH(A10,Overrides!$A:$A,0)),"")</f>
        <v/>
      </c>
      <c r="O10" s="21">
        <f>IFERROR(INDEX(Overrides!$D:$D,MATCH(A10,Overrides!$A:$A,0)),"")</f>
        <v/>
      </c>
      <c r="P10" s="21">
        <f>IFERROR(INDEX(Overrides!$B:$B,MATCH(A10,Overrides!$A:$A,0)),"")</f>
        <v/>
      </c>
      <c r="Q10" s="6">
        <f>IFERROR(INDEX(Overrides!$F:$F,MATCH(A10,Overrides!$A:$A,0)),"")</f>
        <v/>
      </c>
      <c r="R10" s="6">
        <f>ISNUMBER(MATCH(A10,Overrides!$A:$A,0))</f>
        <v/>
      </c>
      <c r="S10" s="6">
        <f>OR(ROUND(L10-ROUND(G10-T10,2),2)&lt;=0,AND(I10,K10&lt;&gt;"",(A10-D10+1)=K10))</f>
        <v/>
      </c>
      <c r="T10" s="21">
        <f>IF(M10&lt;&gt;"",M10,ROUND(L10*F10,2))</f>
        <v/>
      </c>
      <c r="U10" s="21">
        <f>IF(R10,IF(O10&lt;&gt;"",O10,IF(N10&lt;&gt;"",ROUND(L10-N10,2),ROUND((IF(P10&lt;&gt;"",P10,G10))-T10,2))),IF(H10,0,IF(S10,L10,ROUND(G10-T10,2))))</f>
        <v/>
      </c>
      <c r="V10" s="21">
        <f>IF(R10,IF(P10&lt;&gt;"",P10,ROUND(T10+U10,2)),IF(H10,T10,IF(S10,ROUND(T10+U10,2),G10)))</f>
        <v/>
      </c>
      <c r="W10" s="21">
        <f>IF(R10,IF(N10&lt;&gt;"",N10,ROUND(L10-U10,2)),IF(H10,L10,IF(S10,0,ROUND(L10-U10,2))))</f>
        <v/>
      </c>
      <c r="X10" s="21">
        <f>IFERROR(MIN(INDEX(LumpSums!$B:$B,MATCH(A10,LumpSums!$A:$A,0)),W10),0)</f>
        <v/>
      </c>
      <c r="Y10" s="21">
        <f>ROUND(U10+X10,2)</f>
        <v/>
      </c>
      <c r="Z10" s="21">
        <f>ROUND(V10+X10,2)</f>
        <v/>
      </c>
      <c r="AA10" s="21">
        <f>ROUND(W10-X10,2)</f>
        <v/>
      </c>
      <c r="AB10" s="6">
        <f>AND(AB9,L10&gt;0)</f>
        <v/>
      </c>
      <c r="AC10" s="21">
        <f>IF(PMI_Costs!$B$8=0,0,ROUND(PMI_Costs!$B$8*(1+PMI_Costs!$B$9/100)^INT((A10-1)/12)/12,2))</f>
        <v/>
      </c>
      <c r="AD10" s="21">
        <f>IF(PMI_Costs!$B$10=0,0,ROUND(PMI_Costs!$B$10*(1+PMI_Costs!$B$11/100)^INT((A10-1)/12)/12,2))</f>
        <v/>
      </c>
      <c r="AE10" s="21">
        <f>IF(PMI_Costs!$B$12=0,0,ROUND(PMI_Costs!$B$12*(1+PMI_Costs!$B$13/100)^INT((A10-1)/12)/12,2))</f>
        <v/>
      </c>
      <c r="AF10" s="22">
        <f>IF(PMI_Costs!$B$5=0,0,AA10/PMI_Costs!$B$5)</f>
        <v/>
      </c>
      <c r="AG10" s="6">
        <f>AND(PMI_Costs!$B$4&gt;0,AF10&gt;PMI_Costs!$B$6/100)</f>
        <v/>
      </c>
      <c r="AH10" s="21">
        <f>IF(AG10,ROUND(Segments!$G$5*PMI_Costs!$B$4/100/12,2),0)</f>
        <v/>
      </c>
      <c r="AI10" s="6">
        <f>AND(NOT(AG10),AG9)</f>
        <v/>
      </c>
    </row>
    <row r="11">
      <c r="A11" s="18" t="n">
        <v>7</v>
      </c>
      <c r="B11" s="18">
        <f>SUMPRODUCT((Segments!$J$5:$J$12&lt;&gt;"")*(Segments!$J$5:$J$12&lt;=A11))</f>
        <v/>
      </c>
      <c r="C11" s="19">
        <f>INDEX(Segments!$B$5:$B$12,B11)</f>
        <v/>
      </c>
      <c r="D11" s="18">
        <f>INDEX(Segments!$J$5:$J$12,B11)</f>
        <v/>
      </c>
      <c r="E11" s="19">
        <f>DATE(YEAR(C11)+INT((MONTH(C11)-1+(A11-D11))/12),MOD(MONTH(C11)-1+(A11-D11),12)+1,1)+(DAY(C11)-1)</f>
        <v/>
      </c>
      <c r="F11" s="20">
        <f>INDEX(Segments!$C$5:$C$12,B11)/100/12</f>
        <v/>
      </c>
      <c r="G11" s="21">
        <f>INDEX(Segments!$L$5:$L$12,B11)</f>
        <v/>
      </c>
      <c r="H11" s="6">
        <f>INDEX(Segments!$I$5:$I$12,B11)="Y"</f>
        <v/>
      </c>
      <c r="I11" s="6">
        <f>INDEX(Segments!$F$5:$F$12,B11)=""</f>
        <v/>
      </c>
      <c r="J11" s="18">
        <f>INDEX(Segments!$K$5:$K$12,B11)</f>
        <v/>
      </c>
      <c r="K11" s="18">
        <f>IF(INDEX(Segments!$F$5:$F$12,B11)&lt;&gt;"",INDEX(Segments!$F$5:$F$12,B11),IF(INDEX(Segments!$E$5:$E$12,B11)&lt;&gt;"",INDEX(Segments!$E$5:$E$12,B11),""))</f>
        <v/>
      </c>
      <c r="L11" s="21">
        <f>AA10</f>
        <v/>
      </c>
      <c r="M11" s="21">
        <f>IFERROR(INDEX(Overrides!$C:$C,MATCH(A11,Overrides!$A:$A,0)),"")</f>
        <v/>
      </c>
      <c r="N11" s="21">
        <f>IFERROR(INDEX(Overrides!$E:$E,MATCH(A11,Overrides!$A:$A,0)),"")</f>
        <v/>
      </c>
      <c r="O11" s="21">
        <f>IFERROR(INDEX(Overrides!$D:$D,MATCH(A11,Overrides!$A:$A,0)),"")</f>
        <v/>
      </c>
      <c r="P11" s="21">
        <f>IFERROR(INDEX(Overrides!$B:$B,MATCH(A11,Overrides!$A:$A,0)),"")</f>
        <v/>
      </c>
      <c r="Q11" s="6">
        <f>IFERROR(INDEX(Overrides!$F:$F,MATCH(A11,Overrides!$A:$A,0)),"")</f>
        <v/>
      </c>
      <c r="R11" s="6">
        <f>ISNUMBER(MATCH(A11,Overrides!$A:$A,0))</f>
        <v/>
      </c>
      <c r="S11" s="6">
        <f>OR(ROUND(L11-ROUND(G11-T11,2),2)&lt;=0,AND(I11,K11&lt;&gt;"",(A11-D11+1)=K11))</f>
        <v/>
      </c>
      <c r="T11" s="21">
        <f>IF(M11&lt;&gt;"",M11,ROUND(L11*F11,2))</f>
        <v/>
      </c>
      <c r="U11" s="21">
        <f>IF(R11,IF(O11&lt;&gt;"",O11,IF(N11&lt;&gt;"",ROUND(L11-N11,2),ROUND((IF(P11&lt;&gt;"",P11,G11))-T11,2))),IF(H11,0,IF(S11,L11,ROUND(G11-T11,2))))</f>
        <v/>
      </c>
      <c r="V11" s="21">
        <f>IF(R11,IF(P11&lt;&gt;"",P11,ROUND(T11+U11,2)),IF(H11,T11,IF(S11,ROUND(T11+U11,2),G11)))</f>
        <v/>
      </c>
      <c r="W11" s="21">
        <f>IF(R11,IF(N11&lt;&gt;"",N11,ROUND(L11-U11,2)),IF(H11,L11,IF(S11,0,ROUND(L11-U11,2))))</f>
        <v/>
      </c>
      <c r="X11" s="21">
        <f>IFERROR(MIN(INDEX(LumpSums!$B:$B,MATCH(A11,LumpSums!$A:$A,0)),W11),0)</f>
        <v/>
      </c>
      <c r="Y11" s="21">
        <f>ROUND(U11+X11,2)</f>
        <v/>
      </c>
      <c r="Z11" s="21">
        <f>ROUND(V11+X11,2)</f>
        <v/>
      </c>
      <c r="AA11" s="21">
        <f>ROUND(W11-X11,2)</f>
        <v/>
      </c>
      <c r="AB11" s="6">
        <f>AND(AB10,L11&gt;0)</f>
        <v/>
      </c>
      <c r="AC11" s="21">
        <f>IF(PMI_Costs!$B$8=0,0,ROUND(PMI_Costs!$B$8*(1+PMI_Costs!$B$9/100)^INT((A11-1)/12)/12,2))</f>
        <v/>
      </c>
      <c r="AD11" s="21">
        <f>IF(PMI_Costs!$B$10=0,0,ROUND(PMI_Costs!$B$10*(1+PMI_Costs!$B$11/100)^INT((A11-1)/12)/12,2))</f>
        <v/>
      </c>
      <c r="AE11" s="21">
        <f>IF(PMI_Costs!$B$12=0,0,ROUND(PMI_Costs!$B$12*(1+PMI_Costs!$B$13/100)^INT((A11-1)/12)/12,2))</f>
        <v/>
      </c>
      <c r="AF11" s="22">
        <f>IF(PMI_Costs!$B$5=0,0,AA11/PMI_Costs!$B$5)</f>
        <v/>
      </c>
      <c r="AG11" s="6">
        <f>AND(PMI_Costs!$B$4&gt;0,AF11&gt;PMI_Costs!$B$6/100)</f>
        <v/>
      </c>
      <c r="AH11" s="21">
        <f>IF(AG11,ROUND(Segments!$G$5*PMI_Costs!$B$4/100/12,2),0)</f>
        <v/>
      </c>
      <c r="AI11" s="6">
        <f>AND(NOT(AG11),AG10)</f>
        <v/>
      </c>
    </row>
    <row r="12">
      <c r="A12" s="18" t="n">
        <v>8</v>
      </c>
      <c r="B12" s="18">
        <f>SUMPRODUCT((Segments!$J$5:$J$12&lt;&gt;"")*(Segments!$J$5:$J$12&lt;=A12))</f>
        <v/>
      </c>
      <c r="C12" s="19">
        <f>INDEX(Segments!$B$5:$B$12,B12)</f>
        <v/>
      </c>
      <c r="D12" s="18">
        <f>INDEX(Segments!$J$5:$J$12,B12)</f>
        <v/>
      </c>
      <c r="E12" s="19">
        <f>DATE(YEAR(C12)+INT((MONTH(C12)-1+(A12-D12))/12),MOD(MONTH(C12)-1+(A12-D12),12)+1,1)+(DAY(C12)-1)</f>
        <v/>
      </c>
      <c r="F12" s="20">
        <f>INDEX(Segments!$C$5:$C$12,B12)/100/12</f>
        <v/>
      </c>
      <c r="G12" s="21">
        <f>INDEX(Segments!$L$5:$L$12,B12)</f>
        <v/>
      </c>
      <c r="H12" s="6">
        <f>INDEX(Segments!$I$5:$I$12,B12)="Y"</f>
        <v/>
      </c>
      <c r="I12" s="6">
        <f>INDEX(Segments!$F$5:$F$12,B12)=""</f>
        <v/>
      </c>
      <c r="J12" s="18">
        <f>INDEX(Segments!$K$5:$K$12,B12)</f>
        <v/>
      </c>
      <c r="K12" s="18">
        <f>IF(INDEX(Segments!$F$5:$F$12,B12)&lt;&gt;"",INDEX(Segments!$F$5:$F$12,B12),IF(INDEX(Segments!$E$5:$E$12,B12)&lt;&gt;"",INDEX(Segments!$E$5:$E$12,B12),""))</f>
        <v/>
      </c>
      <c r="L12" s="21">
        <f>AA11</f>
        <v/>
      </c>
      <c r="M12" s="21">
        <f>IFERROR(INDEX(Overrides!$C:$C,MATCH(A12,Overrides!$A:$A,0)),"")</f>
        <v/>
      </c>
      <c r="N12" s="21">
        <f>IFERROR(INDEX(Overrides!$E:$E,MATCH(A12,Overrides!$A:$A,0)),"")</f>
        <v/>
      </c>
      <c r="O12" s="21">
        <f>IFERROR(INDEX(Overrides!$D:$D,MATCH(A12,Overrides!$A:$A,0)),"")</f>
        <v/>
      </c>
      <c r="P12" s="21">
        <f>IFERROR(INDEX(Overrides!$B:$B,MATCH(A12,Overrides!$A:$A,0)),"")</f>
        <v/>
      </c>
      <c r="Q12" s="6">
        <f>IFERROR(INDEX(Overrides!$F:$F,MATCH(A12,Overrides!$A:$A,0)),"")</f>
        <v/>
      </c>
      <c r="R12" s="6">
        <f>ISNUMBER(MATCH(A12,Overrides!$A:$A,0))</f>
        <v/>
      </c>
      <c r="S12" s="6">
        <f>OR(ROUND(L12-ROUND(G12-T12,2),2)&lt;=0,AND(I12,K12&lt;&gt;"",(A12-D12+1)=K12))</f>
        <v/>
      </c>
      <c r="T12" s="21">
        <f>IF(M12&lt;&gt;"",M12,ROUND(L12*F12,2))</f>
        <v/>
      </c>
      <c r="U12" s="21">
        <f>IF(R12,IF(O12&lt;&gt;"",O12,IF(N12&lt;&gt;"",ROUND(L12-N12,2),ROUND((IF(P12&lt;&gt;"",P12,G12))-T12,2))),IF(H12,0,IF(S12,L12,ROUND(G12-T12,2))))</f>
        <v/>
      </c>
      <c r="V12" s="21">
        <f>IF(R12,IF(P12&lt;&gt;"",P12,ROUND(T12+U12,2)),IF(H12,T12,IF(S12,ROUND(T12+U12,2),G12)))</f>
        <v/>
      </c>
      <c r="W12" s="21">
        <f>IF(R12,IF(N12&lt;&gt;"",N12,ROUND(L12-U12,2)),IF(H12,L12,IF(S12,0,ROUND(L12-U12,2))))</f>
        <v/>
      </c>
      <c r="X12" s="21">
        <f>IFERROR(MIN(INDEX(LumpSums!$B:$B,MATCH(A12,LumpSums!$A:$A,0)),W12),0)</f>
        <v/>
      </c>
      <c r="Y12" s="21">
        <f>ROUND(U12+X12,2)</f>
        <v/>
      </c>
      <c r="Z12" s="21">
        <f>ROUND(V12+X12,2)</f>
        <v/>
      </c>
      <c r="AA12" s="21">
        <f>ROUND(W12-X12,2)</f>
        <v/>
      </c>
      <c r="AB12" s="6">
        <f>AND(AB11,L12&gt;0)</f>
        <v/>
      </c>
      <c r="AC12" s="21">
        <f>IF(PMI_Costs!$B$8=0,0,ROUND(PMI_Costs!$B$8*(1+PMI_Costs!$B$9/100)^INT((A12-1)/12)/12,2))</f>
        <v/>
      </c>
      <c r="AD12" s="21">
        <f>IF(PMI_Costs!$B$10=0,0,ROUND(PMI_Costs!$B$10*(1+PMI_Costs!$B$11/100)^INT((A12-1)/12)/12,2))</f>
        <v/>
      </c>
      <c r="AE12" s="21">
        <f>IF(PMI_Costs!$B$12=0,0,ROUND(PMI_Costs!$B$12*(1+PMI_Costs!$B$13/100)^INT((A12-1)/12)/12,2))</f>
        <v/>
      </c>
      <c r="AF12" s="22">
        <f>IF(PMI_Costs!$B$5=0,0,AA12/PMI_Costs!$B$5)</f>
        <v/>
      </c>
      <c r="AG12" s="6">
        <f>AND(PMI_Costs!$B$4&gt;0,AF12&gt;PMI_Costs!$B$6/100)</f>
        <v/>
      </c>
      <c r="AH12" s="21">
        <f>IF(AG12,ROUND(Segments!$G$5*PMI_Costs!$B$4/100/12,2),0)</f>
        <v/>
      </c>
      <c r="AI12" s="6">
        <f>AND(NOT(AG12),AG11)</f>
        <v/>
      </c>
    </row>
    <row r="13">
      <c r="A13" s="18" t="n">
        <v>9</v>
      </c>
      <c r="B13" s="18">
        <f>SUMPRODUCT((Segments!$J$5:$J$12&lt;&gt;"")*(Segments!$J$5:$J$12&lt;=A13))</f>
        <v/>
      </c>
      <c r="C13" s="19">
        <f>INDEX(Segments!$B$5:$B$12,B13)</f>
        <v/>
      </c>
      <c r="D13" s="18">
        <f>INDEX(Segments!$J$5:$J$12,B13)</f>
        <v/>
      </c>
      <c r="E13" s="19">
        <f>DATE(YEAR(C13)+INT((MONTH(C13)-1+(A13-D13))/12),MOD(MONTH(C13)-1+(A13-D13),12)+1,1)+(DAY(C13)-1)</f>
        <v/>
      </c>
      <c r="F13" s="20">
        <f>INDEX(Segments!$C$5:$C$12,B13)/100/12</f>
        <v/>
      </c>
      <c r="G13" s="21">
        <f>INDEX(Segments!$L$5:$L$12,B13)</f>
        <v/>
      </c>
      <c r="H13" s="6">
        <f>INDEX(Segments!$I$5:$I$12,B13)="Y"</f>
        <v/>
      </c>
      <c r="I13" s="6">
        <f>INDEX(Segments!$F$5:$F$12,B13)=""</f>
        <v/>
      </c>
      <c r="J13" s="18">
        <f>INDEX(Segments!$K$5:$K$12,B13)</f>
        <v/>
      </c>
      <c r="K13" s="18">
        <f>IF(INDEX(Segments!$F$5:$F$12,B13)&lt;&gt;"",INDEX(Segments!$F$5:$F$12,B13),IF(INDEX(Segments!$E$5:$E$12,B13)&lt;&gt;"",INDEX(Segments!$E$5:$E$12,B13),""))</f>
        <v/>
      </c>
      <c r="L13" s="21">
        <f>AA12</f>
        <v/>
      </c>
      <c r="M13" s="21">
        <f>IFERROR(INDEX(Overrides!$C:$C,MATCH(A13,Overrides!$A:$A,0)),"")</f>
        <v/>
      </c>
      <c r="N13" s="21">
        <f>IFERROR(INDEX(Overrides!$E:$E,MATCH(A13,Overrides!$A:$A,0)),"")</f>
        <v/>
      </c>
      <c r="O13" s="21">
        <f>IFERROR(INDEX(Overrides!$D:$D,MATCH(A13,Overrides!$A:$A,0)),"")</f>
        <v/>
      </c>
      <c r="P13" s="21">
        <f>IFERROR(INDEX(Overrides!$B:$B,MATCH(A13,Overrides!$A:$A,0)),"")</f>
        <v/>
      </c>
      <c r="Q13" s="6">
        <f>IFERROR(INDEX(Overrides!$F:$F,MATCH(A13,Overrides!$A:$A,0)),"")</f>
        <v/>
      </c>
      <c r="R13" s="6">
        <f>ISNUMBER(MATCH(A13,Overrides!$A:$A,0))</f>
        <v/>
      </c>
      <c r="S13" s="6">
        <f>OR(ROUND(L13-ROUND(G13-T13,2),2)&lt;=0,AND(I13,K13&lt;&gt;"",(A13-D13+1)=K13))</f>
        <v/>
      </c>
      <c r="T13" s="21">
        <f>IF(M13&lt;&gt;"",M13,ROUND(L13*F13,2))</f>
        <v/>
      </c>
      <c r="U13" s="21">
        <f>IF(R13,IF(O13&lt;&gt;"",O13,IF(N13&lt;&gt;"",ROUND(L13-N13,2),ROUND((IF(P13&lt;&gt;"",P13,G13))-T13,2))),IF(H13,0,IF(S13,L13,ROUND(G13-T13,2))))</f>
        <v/>
      </c>
      <c r="V13" s="21">
        <f>IF(R13,IF(P13&lt;&gt;"",P13,ROUND(T13+U13,2)),IF(H13,T13,IF(S13,ROUND(T13+U13,2),G13)))</f>
        <v/>
      </c>
      <c r="W13" s="21">
        <f>IF(R13,IF(N13&lt;&gt;"",N13,ROUND(L13-U13,2)),IF(H13,L13,IF(S13,0,ROUND(L13-U13,2))))</f>
        <v/>
      </c>
      <c r="X13" s="21">
        <f>IFERROR(MIN(INDEX(LumpSums!$B:$B,MATCH(A13,LumpSums!$A:$A,0)),W13),0)</f>
        <v/>
      </c>
      <c r="Y13" s="21">
        <f>ROUND(U13+X13,2)</f>
        <v/>
      </c>
      <c r="Z13" s="21">
        <f>ROUND(V13+X13,2)</f>
        <v/>
      </c>
      <c r="AA13" s="21">
        <f>ROUND(W13-X13,2)</f>
        <v/>
      </c>
      <c r="AB13" s="6">
        <f>AND(AB12,L13&gt;0)</f>
        <v/>
      </c>
      <c r="AC13" s="21">
        <f>IF(PMI_Costs!$B$8=0,0,ROUND(PMI_Costs!$B$8*(1+PMI_Costs!$B$9/100)^INT((A13-1)/12)/12,2))</f>
        <v/>
      </c>
      <c r="AD13" s="21">
        <f>IF(PMI_Costs!$B$10=0,0,ROUND(PMI_Costs!$B$10*(1+PMI_Costs!$B$11/100)^INT((A13-1)/12)/12,2))</f>
        <v/>
      </c>
      <c r="AE13" s="21">
        <f>IF(PMI_Costs!$B$12=0,0,ROUND(PMI_Costs!$B$12*(1+PMI_Costs!$B$13/100)^INT((A13-1)/12)/12,2))</f>
        <v/>
      </c>
      <c r="AF13" s="22">
        <f>IF(PMI_Costs!$B$5=0,0,AA13/PMI_Costs!$B$5)</f>
        <v/>
      </c>
      <c r="AG13" s="6">
        <f>AND(PMI_Costs!$B$4&gt;0,AF13&gt;PMI_Costs!$B$6/100)</f>
        <v/>
      </c>
      <c r="AH13" s="21">
        <f>IF(AG13,ROUND(Segments!$G$5*PMI_Costs!$B$4/100/12,2),0)</f>
        <v/>
      </c>
      <c r="AI13" s="6">
        <f>AND(NOT(AG13),AG12)</f>
        <v/>
      </c>
    </row>
    <row r="14">
      <c r="A14" s="18" t="n">
        <v>10</v>
      </c>
      <c r="B14" s="18">
        <f>SUMPRODUCT((Segments!$J$5:$J$12&lt;&gt;"")*(Segments!$J$5:$J$12&lt;=A14))</f>
        <v/>
      </c>
      <c r="C14" s="19">
        <f>INDEX(Segments!$B$5:$B$12,B14)</f>
        <v/>
      </c>
      <c r="D14" s="18">
        <f>INDEX(Segments!$J$5:$J$12,B14)</f>
        <v/>
      </c>
      <c r="E14" s="19">
        <f>DATE(YEAR(C14)+INT((MONTH(C14)-1+(A14-D14))/12),MOD(MONTH(C14)-1+(A14-D14),12)+1,1)+(DAY(C14)-1)</f>
        <v/>
      </c>
      <c r="F14" s="20">
        <f>INDEX(Segments!$C$5:$C$12,B14)/100/12</f>
        <v/>
      </c>
      <c r="G14" s="21">
        <f>INDEX(Segments!$L$5:$L$12,B14)</f>
        <v/>
      </c>
      <c r="H14" s="6">
        <f>INDEX(Segments!$I$5:$I$12,B14)="Y"</f>
        <v/>
      </c>
      <c r="I14" s="6">
        <f>INDEX(Segments!$F$5:$F$12,B14)=""</f>
        <v/>
      </c>
      <c r="J14" s="18">
        <f>INDEX(Segments!$K$5:$K$12,B14)</f>
        <v/>
      </c>
      <c r="K14" s="18">
        <f>IF(INDEX(Segments!$F$5:$F$12,B14)&lt;&gt;"",INDEX(Segments!$F$5:$F$12,B14),IF(INDEX(Segments!$E$5:$E$12,B14)&lt;&gt;"",INDEX(Segments!$E$5:$E$12,B14),""))</f>
        <v/>
      </c>
      <c r="L14" s="21">
        <f>AA13</f>
        <v/>
      </c>
      <c r="M14" s="21">
        <f>IFERROR(INDEX(Overrides!$C:$C,MATCH(A14,Overrides!$A:$A,0)),"")</f>
        <v/>
      </c>
      <c r="N14" s="21">
        <f>IFERROR(INDEX(Overrides!$E:$E,MATCH(A14,Overrides!$A:$A,0)),"")</f>
        <v/>
      </c>
      <c r="O14" s="21">
        <f>IFERROR(INDEX(Overrides!$D:$D,MATCH(A14,Overrides!$A:$A,0)),"")</f>
        <v/>
      </c>
      <c r="P14" s="21">
        <f>IFERROR(INDEX(Overrides!$B:$B,MATCH(A14,Overrides!$A:$A,0)),"")</f>
        <v/>
      </c>
      <c r="Q14" s="6">
        <f>IFERROR(INDEX(Overrides!$F:$F,MATCH(A14,Overrides!$A:$A,0)),"")</f>
        <v/>
      </c>
      <c r="R14" s="6">
        <f>ISNUMBER(MATCH(A14,Overrides!$A:$A,0))</f>
        <v/>
      </c>
      <c r="S14" s="6">
        <f>OR(ROUND(L14-ROUND(G14-T14,2),2)&lt;=0,AND(I14,K14&lt;&gt;"",(A14-D14+1)=K14))</f>
        <v/>
      </c>
      <c r="T14" s="21">
        <f>IF(M14&lt;&gt;"",M14,ROUND(L14*F14,2))</f>
        <v/>
      </c>
      <c r="U14" s="21">
        <f>IF(R14,IF(O14&lt;&gt;"",O14,IF(N14&lt;&gt;"",ROUND(L14-N14,2),ROUND((IF(P14&lt;&gt;"",P14,G14))-T14,2))),IF(H14,0,IF(S14,L14,ROUND(G14-T14,2))))</f>
        <v/>
      </c>
      <c r="V14" s="21">
        <f>IF(R14,IF(P14&lt;&gt;"",P14,ROUND(T14+U14,2)),IF(H14,T14,IF(S14,ROUND(T14+U14,2),G14)))</f>
        <v/>
      </c>
      <c r="W14" s="21">
        <f>IF(R14,IF(N14&lt;&gt;"",N14,ROUND(L14-U14,2)),IF(H14,L14,IF(S14,0,ROUND(L14-U14,2))))</f>
        <v/>
      </c>
      <c r="X14" s="21">
        <f>IFERROR(MIN(INDEX(LumpSums!$B:$B,MATCH(A14,LumpSums!$A:$A,0)),W14),0)</f>
        <v/>
      </c>
      <c r="Y14" s="21">
        <f>ROUND(U14+X14,2)</f>
        <v/>
      </c>
      <c r="Z14" s="21">
        <f>ROUND(V14+X14,2)</f>
        <v/>
      </c>
      <c r="AA14" s="21">
        <f>ROUND(W14-X14,2)</f>
        <v/>
      </c>
      <c r="AB14" s="6">
        <f>AND(AB13,L14&gt;0)</f>
        <v/>
      </c>
      <c r="AC14" s="21">
        <f>IF(PMI_Costs!$B$8=0,0,ROUND(PMI_Costs!$B$8*(1+PMI_Costs!$B$9/100)^INT((A14-1)/12)/12,2))</f>
        <v/>
      </c>
      <c r="AD14" s="21">
        <f>IF(PMI_Costs!$B$10=0,0,ROUND(PMI_Costs!$B$10*(1+PMI_Costs!$B$11/100)^INT((A14-1)/12)/12,2))</f>
        <v/>
      </c>
      <c r="AE14" s="21">
        <f>IF(PMI_Costs!$B$12=0,0,ROUND(PMI_Costs!$B$12*(1+PMI_Costs!$B$13/100)^INT((A14-1)/12)/12,2))</f>
        <v/>
      </c>
      <c r="AF14" s="22">
        <f>IF(PMI_Costs!$B$5=0,0,AA14/PMI_Costs!$B$5)</f>
        <v/>
      </c>
      <c r="AG14" s="6">
        <f>AND(PMI_Costs!$B$4&gt;0,AF14&gt;PMI_Costs!$B$6/100)</f>
        <v/>
      </c>
      <c r="AH14" s="21">
        <f>IF(AG14,ROUND(Segments!$G$5*PMI_Costs!$B$4/100/12,2),0)</f>
        <v/>
      </c>
      <c r="AI14" s="6">
        <f>AND(NOT(AG14),AG13)</f>
        <v/>
      </c>
    </row>
    <row r="15">
      <c r="A15" s="18" t="n">
        <v>11</v>
      </c>
      <c r="B15" s="18">
        <f>SUMPRODUCT((Segments!$J$5:$J$12&lt;&gt;"")*(Segments!$J$5:$J$12&lt;=A15))</f>
        <v/>
      </c>
      <c r="C15" s="19">
        <f>INDEX(Segments!$B$5:$B$12,B15)</f>
        <v/>
      </c>
      <c r="D15" s="18">
        <f>INDEX(Segments!$J$5:$J$12,B15)</f>
        <v/>
      </c>
      <c r="E15" s="19">
        <f>DATE(YEAR(C15)+INT((MONTH(C15)-1+(A15-D15))/12),MOD(MONTH(C15)-1+(A15-D15),12)+1,1)+(DAY(C15)-1)</f>
        <v/>
      </c>
      <c r="F15" s="20">
        <f>INDEX(Segments!$C$5:$C$12,B15)/100/12</f>
        <v/>
      </c>
      <c r="G15" s="21">
        <f>INDEX(Segments!$L$5:$L$12,B15)</f>
        <v/>
      </c>
      <c r="H15" s="6">
        <f>INDEX(Segments!$I$5:$I$12,B15)="Y"</f>
        <v/>
      </c>
      <c r="I15" s="6">
        <f>INDEX(Segments!$F$5:$F$12,B15)=""</f>
        <v/>
      </c>
      <c r="J15" s="18">
        <f>INDEX(Segments!$K$5:$K$12,B15)</f>
        <v/>
      </c>
      <c r="K15" s="18">
        <f>IF(INDEX(Segments!$F$5:$F$12,B15)&lt;&gt;"",INDEX(Segments!$F$5:$F$12,B15),IF(INDEX(Segments!$E$5:$E$12,B15)&lt;&gt;"",INDEX(Segments!$E$5:$E$12,B15),""))</f>
        <v/>
      </c>
      <c r="L15" s="21">
        <f>AA14</f>
        <v/>
      </c>
      <c r="M15" s="21">
        <f>IFERROR(INDEX(Overrides!$C:$C,MATCH(A15,Overrides!$A:$A,0)),"")</f>
        <v/>
      </c>
      <c r="N15" s="21">
        <f>IFERROR(INDEX(Overrides!$E:$E,MATCH(A15,Overrides!$A:$A,0)),"")</f>
        <v/>
      </c>
      <c r="O15" s="21">
        <f>IFERROR(INDEX(Overrides!$D:$D,MATCH(A15,Overrides!$A:$A,0)),"")</f>
        <v/>
      </c>
      <c r="P15" s="21">
        <f>IFERROR(INDEX(Overrides!$B:$B,MATCH(A15,Overrides!$A:$A,0)),"")</f>
        <v/>
      </c>
      <c r="Q15" s="6">
        <f>IFERROR(INDEX(Overrides!$F:$F,MATCH(A15,Overrides!$A:$A,0)),"")</f>
        <v/>
      </c>
      <c r="R15" s="6">
        <f>ISNUMBER(MATCH(A15,Overrides!$A:$A,0))</f>
        <v/>
      </c>
      <c r="S15" s="6">
        <f>OR(ROUND(L15-ROUND(G15-T15,2),2)&lt;=0,AND(I15,K15&lt;&gt;"",(A15-D15+1)=K15))</f>
        <v/>
      </c>
      <c r="T15" s="21">
        <f>IF(M15&lt;&gt;"",M15,ROUND(L15*F15,2))</f>
        <v/>
      </c>
      <c r="U15" s="21">
        <f>IF(R15,IF(O15&lt;&gt;"",O15,IF(N15&lt;&gt;"",ROUND(L15-N15,2),ROUND((IF(P15&lt;&gt;"",P15,G15))-T15,2))),IF(H15,0,IF(S15,L15,ROUND(G15-T15,2))))</f>
        <v/>
      </c>
      <c r="V15" s="21">
        <f>IF(R15,IF(P15&lt;&gt;"",P15,ROUND(T15+U15,2)),IF(H15,T15,IF(S15,ROUND(T15+U15,2),G15)))</f>
        <v/>
      </c>
      <c r="W15" s="21">
        <f>IF(R15,IF(N15&lt;&gt;"",N15,ROUND(L15-U15,2)),IF(H15,L15,IF(S15,0,ROUND(L15-U15,2))))</f>
        <v/>
      </c>
      <c r="X15" s="21">
        <f>IFERROR(MIN(INDEX(LumpSums!$B:$B,MATCH(A15,LumpSums!$A:$A,0)),W15),0)</f>
        <v/>
      </c>
      <c r="Y15" s="21">
        <f>ROUND(U15+X15,2)</f>
        <v/>
      </c>
      <c r="Z15" s="21">
        <f>ROUND(V15+X15,2)</f>
        <v/>
      </c>
      <c r="AA15" s="21">
        <f>ROUND(W15-X15,2)</f>
        <v/>
      </c>
      <c r="AB15" s="6">
        <f>AND(AB14,L15&gt;0)</f>
        <v/>
      </c>
      <c r="AC15" s="21">
        <f>IF(PMI_Costs!$B$8=0,0,ROUND(PMI_Costs!$B$8*(1+PMI_Costs!$B$9/100)^INT((A15-1)/12)/12,2))</f>
        <v/>
      </c>
      <c r="AD15" s="21">
        <f>IF(PMI_Costs!$B$10=0,0,ROUND(PMI_Costs!$B$10*(1+PMI_Costs!$B$11/100)^INT((A15-1)/12)/12,2))</f>
        <v/>
      </c>
      <c r="AE15" s="21">
        <f>IF(PMI_Costs!$B$12=0,0,ROUND(PMI_Costs!$B$12*(1+PMI_Costs!$B$13/100)^INT((A15-1)/12)/12,2))</f>
        <v/>
      </c>
      <c r="AF15" s="22">
        <f>IF(PMI_Costs!$B$5=0,0,AA15/PMI_Costs!$B$5)</f>
        <v/>
      </c>
      <c r="AG15" s="6">
        <f>AND(PMI_Costs!$B$4&gt;0,AF15&gt;PMI_Costs!$B$6/100)</f>
        <v/>
      </c>
      <c r="AH15" s="21">
        <f>IF(AG15,ROUND(Segments!$G$5*PMI_Costs!$B$4/100/12,2),0)</f>
        <v/>
      </c>
      <c r="AI15" s="6">
        <f>AND(NOT(AG15),AG14)</f>
        <v/>
      </c>
    </row>
    <row r="16">
      <c r="A16" s="18" t="n">
        <v>12</v>
      </c>
      <c r="B16" s="18">
        <f>SUMPRODUCT((Segments!$J$5:$J$12&lt;&gt;"")*(Segments!$J$5:$J$12&lt;=A16))</f>
        <v/>
      </c>
      <c r="C16" s="19">
        <f>INDEX(Segments!$B$5:$B$12,B16)</f>
        <v/>
      </c>
      <c r="D16" s="18">
        <f>INDEX(Segments!$J$5:$J$12,B16)</f>
        <v/>
      </c>
      <c r="E16" s="19">
        <f>DATE(YEAR(C16)+INT((MONTH(C16)-1+(A16-D16))/12),MOD(MONTH(C16)-1+(A16-D16),12)+1,1)+(DAY(C16)-1)</f>
        <v/>
      </c>
      <c r="F16" s="20">
        <f>INDEX(Segments!$C$5:$C$12,B16)/100/12</f>
        <v/>
      </c>
      <c r="G16" s="21">
        <f>INDEX(Segments!$L$5:$L$12,B16)</f>
        <v/>
      </c>
      <c r="H16" s="6">
        <f>INDEX(Segments!$I$5:$I$12,B16)="Y"</f>
        <v/>
      </c>
      <c r="I16" s="6">
        <f>INDEX(Segments!$F$5:$F$12,B16)=""</f>
        <v/>
      </c>
      <c r="J16" s="18">
        <f>INDEX(Segments!$K$5:$K$12,B16)</f>
        <v/>
      </c>
      <c r="K16" s="18">
        <f>IF(INDEX(Segments!$F$5:$F$12,B16)&lt;&gt;"",INDEX(Segments!$F$5:$F$12,B16),IF(INDEX(Segments!$E$5:$E$12,B16)&lt;&gt;"",INDEX(Segments!$E$5:$E$12,B16),""))</f>
        <v/>
      </c>
      <c r="L16" s="21">
        <f>AA15</f>
        <v/>
      </c>
      <c r="M16" s="21">
        <f>IFERROR(INDEX(Overrides!$C:$C,MATCH(A16,Overrides!$A:$A,0)),"")</f>
        <v/>
      </c>
      <c r="N16" s="21">
        <f>IFERROR(INDEX(Overrides!$E:$E,MATCH(A16,Overrides!$A:$A,0)),"")</f>
        <v/>
      </c>
      <c r="O16" s="21">
        <f>IFERROR(INDEX(Overrides!$D:$D,MATCH(A16,Overrides!$A:$A,0)),"")</f>
        <v/>
      </c>
      <c r="P16" s="21">
        <f>IFERROR(INDEX(Overrides!$B:$B,MATCH(A16,Overrides!$A:$A,0)),"")</f>
        <v/>
      </c>
      <c r="Q16" s="6">
        <f>IFERROR(INDEX(Overrides!$F:$F,MATCH(A16,Overrides!$A:$A,0)),"")</f>
        <v/>
      </c>
      <c r="R16" s="6">
        <f>ISNUMBER(MATCH(A16,Overrides!$A:$A,0))</f>
        <v/>
      </c>
      <c r="S16" s="6">
        <f>OR(ROUND(L16-ROUND(G16-T16,2),2)&lt;=0,AND(I16,K16&lt;&gt;"",(A16-D16+1)=K16))</f>
        <v/>
      </c>
      <c r="T16" s="21">
        <f>IF(M16&lt;&gt;"",M16,ROUND(L16*F16,2))</f>
        <v/>
      </c>
      <c r="U16" s="21">
        <f>IF(R16,IF(O16&lt;&gt;"",O16,IF(N16&lt;&gt;"",ROUND(L16-N16,2),ROUND((IF(P16&lt;&gt;"",P16,G16))-T16,2))),IF(H16,0,IF(S16,L16,ROUND(G16-T16,2))))</f>
        <v/>
      </c>
      <c r="V16" s="21">
        <f>IF(R16,IF(P16&lt;&gt;"",P16,ROUND(T16+U16,2)),IF(H16,T16,IF(S16,ROUND(T16+U16,2),G16)))</f>
        <v/>
      </c>
      <c r="W16" s="21">
        <f>IF(R16,IF(N16&lt;&gt;"",N16,ROUND(L16-U16,2)),IF(H16,L16,IF(S16,0,ROUND(L16-U16,2))))</f>
        <v/>
      </c>
      <c r="X16" s="21">
        <f>IFERROR(MIN(INDEX(LumpSums!$B:$B,MATCH(A16,LumpSums!$A:$A,0)),W16),0)</f>
        <v/>
      </c>
      <c r="Y16" s="21">
        <f>ROUND(U16+X16,2)</f>
        <v/>
      </c>
      <c r="Z16" s="21">
        <f>ROUND(V16+X16,2)</f>
        <v/>
      </c>
      <c r="AA16" s="21">
        <f>ROUND(W16-X16,2)</f>
        <v/>
      </c>
      <c r="AB16" s="6">
        <f>AND(AB15,L16&gt;0)</f>
        <v/>
      </c>
      <c r="AC16" s="21">
        <f>IF(PMI_Costs!$B$8=0,0,ROUND(PMI_Costs!$B$8*(1+PMI_Costs!$B$9/100)^INT((A16-1)/12)/12,2))</f>
        <v/>
      </c>
      <c r="AD16" s="21">
        <f>IF(PMI_Costs!$B$10=0,0,ROUND(PMI_Costs!$B$10*(1+PMI_Costs!$B$11/100)^INT((A16-1)/12)/12,2))</f>
        <v/>
      </c>
      <c r="AE16" s="21">
        <f>IF(PMI_Costs!$B$12=0,0,ROUND(PMI_Costs!$B$12*(1+PMI_Costs!$B$13/100)^INT((A16-1)/12)/12,2))</f>
        <v/>
      </c>
      <c r="AF16" s="22">
        <f>IF(PMI_Costs!$B$5=0,0,AA16/PMI_Costs!$B$5)</f>
        <v/>
      </c>
      <c r="AG16" s="6">
        <f>AND(PMI_Costs!$B$4&gt;0,AF16&gt;PMI_Costs!$B$6/100)</f>
        <v/>
      </c>
      <c r="AH16" s="21">
        <f>IF(AG16,ROUND(Segments!$G$5*PMI_Costs!$B$4/100/12,2),0)</f>
        <v/>
      </c>
      <c r="AI16" s="6">
        <f>AND(NOT(AG16),AG15)</f>
        <v/>
      </c>
    </row>
    <row r="17">
      <c r="A17" s="18" t="n">
        <v>13</v>
      </c>
      <c r="B17" s="18">
        <f>SUMPRODUCT((Segments!$J$5:$J$12&lt;&gt;"")*(Segments!$J$5:$J$12&lt;=A17))</f>
        <v/>
      </c>
      <c r="C17" s="19">
        <f>INDEX(Segments!$B$5:$B$12,B17)</f>
        <v/>
      </c>
      <c r="D17" s="18">
        <f>INDEX(Segments!$J$5:$J$12,B17)</f>
        <v/>
      </c>
      <c r="E17" s="19">
        <f>DATE(YEAR(C17)+INT((MONTH(C17)-1+(A17-D17))/12),MOD(MONTH(C17)-1+(A17-D17),12)+1,1)+(DAY(C17)-1)</f>
        <v/>
      </c>
      <c r="F17" s="20">
        <f>INDEX(Segments!$C$5:$C$12,B17)/100/12</f>
        <v/>
      </c>
      <c r="G17" s="21">
        <f>INDEX(Segments!$L$5:$L$12,B17)</f>
        <v/>
      </c>
      <c r="H17" s="6">
        <f>INDEX(Segments!$I$5:$I$12,B17)="Y"</f>
        <v/>
      </c>
      <c r="I17" s="6">
        <f>INDEX(Segments!$F$5:$F$12,B17)=""</f>
        <v/>
      </c>
      <c r="J17" s="18">
        <f>INDEX(Segments!$K$5:$K$12,B17)</f>
        <v/>
      </c>
      <c r="K17" s="18">
        <f>IF(INDEX(Segments!$F$5:$F$12,B17)&lt;&gt;"",INDEX(Segments!$F$5:$F$12,B17),IF(INDEX(Segments!$E$5:$E$12,B17)&lt;&gt;"",INDEX(Segments!$E$5:$E$12,B17),""))</f>
        <v/>
      </c>
      <c r="L17" s="21">
        <f>AA16</f>
        <v/>
      </c>
      <c r="M17" s="21">
        <f>IFERROR(INDEX(Overrides!$C:$C,MATCH(A17,Overrides!$A:$A,0)),"")</f>
        <v/>
      </c>
      <c r="N17" s="21">
        <f>IFERROR(INDEX(Overrides!$E:$E,MATCH(A17,Overrides!$A:$A,0)),"")</f>
        <v/>
      </c>
      <c r="O17" s="21">
        <f>IFERROR(INDEX(Overrides!$D:$D,MATCH(A17,Overrides!$A:$A,0)),"")</f>
        <v/>
      </c>
      <c r="P17" s="21">
        <f>IFERROR(INDEX(Overrides!$B:$B,MATCH(A17,Overrides!$A:$A,0)),"")</f>
        <v/>
      </c>
      <c r="Q17" s="6">
        <f>IFERROR(INDEX(Overrides!$F:$F,MATCH(A17,Overrides!$A:$A,0)),"")</f>
        <v/>
      </c>
      <c r="R17" s="6">
        <f>ISNUMBER(MATCH(A17,Overrides!$A:$A,0))</f>
        <v/>
      </c>
      <c r="S17" s="6">
        <f>OR(ROUND(L17-ROUND(G17-T17,2),2)&lt;=0,AND(I17,K17&lt;&gt;"",(A17-D17+1)=K17))</f>
        <v/>
      </c>
      <c r="T17" s="21">
        <f>IF(M17&lt;&gt;"",M17,ROUND(L17*F17,2))</f>
        <v/>
      </c>
      <c r="U17" s="21">
        <f>IF(R17,IF(O17&lt;&gt;"",O17,IF(N17&lt;&gt;"",ROUND(L17-N17,2),ROUND((IF(P17&lt;&gt;"",P17,G17))-T17,2))),IF(H17,0,IF(S17,L17,ROUND(G17-T17,2))))</f>
        <v/>
      </c>
      <c r="V17" s="21">
        <f>IF(R17,IF(P17&lt;&gt;"",P17,ROUND(T17+U17,2)),IF(H17,T17,IF(S17,ROUND(T17+U17,2),G17)))</f>
        <v/>
      </c>
      <c r="W17" s="21">
        <f>IF(R17,IF(N17&lt;&gt;"",N17,ROUND(L17-U17,2)),IF(H17,L17,IF(S17,0,ROUND(L17-U17,2))))</f>
        <v/>
      </c>
      <c r="X17" s="21">
        <f>IFERROR(MIN(INDEX(LumpSums!$B:$B,MATCH(A17,LumpSums!$A:$A,0)),W17),0)</f>
        <v/>
      </c>
      <c r="Y17" s="21">
        <f>ROUND(U17+X17,2)</f>
        <v/>
      </c>
      <c r="Z17" s="21">
        <f>ROUND(V17+X17,2)</f>
        <v/>
      </c>
      <c r="AA17" s="21">
        <f>ROUND(W17-X17,2)</f>
        <v/>
      </c>
      <c r="AB17" s="6">
        <f>AND(AB16,L17&gt;0)</f>
        <v/>
      </c>
      <c r="AC17" s="21">
        <f>IF(PMI_Costs!$B$8=0,0,ROUND(PMI_Costs!$B$8*(1+PMI_Costs!$B$9/100)^INT((A17-1)/12)/12,2))</f>
        <v/>
      </c>
      <c r="AD17" s="21">
        <f>IF(PMI_Costs!$B$10=0,0,ROUND(PMI_Costs!$B$10*(1+PMI_Costs!$B$11/100)^INT((A17-1)/12)/12,2))</f>
        <v/>
      </c>
      <c r="AE17" s="21">
        <f>IF(PMI_Costs!$B$12=0,0,ROUND(PMI_Costs!$B$12*(1+PMI_Costs!$B$13/100)^INT((A17-1)/12)/12,2))</f>
        <v/>
      </c>
      <c r="AF17" s="22">
        <f>IF(PMI_Costs!$B$5=0,0,AA17/PMI_Costs!$B$5)</f>
        <v/>
      </c>
      <c r="AG17" s="6">
        <f>AND(PMI_Costs!$B$4&gt;0,AF17&gt;PMI_Costs!$B$6/100)</f>
        <v/>
      </c>
      <c r="AH17" s="21">
        <f>IF(AG17,ROUND(Segments!$G$5*PMI_Costs!$B$4/100/12,2),0)</f>
        <v/>
      </c>
      <c r="AI17" s="6">
        <f>AND(NOT(AG17),AG16)</f>
        <v/>
      </c>
    </row>
    <row r="18">
      <c r="A18" s="18" t="n">
        <v>14</v>
      </c>
      <c r="B18" s="18">
        <f>SUMPRODUCT((Segments!$J$5:$J$12&lt;&gt;"")*(Segments!$J$5:$J$12&lt;=A18))</f>
        <v/>
      </c>
      <c r="C18" s="19">
        <f>INDEX(Segments!$B$5:$B$12,B18)</f>
        <v/>
      </c>
      <c r="D18" s="18">
        <f>INDEX(Segments!$J$5:$J$12,B18)</f>
        <v/>
      </c>
      <c r="E18" s="19">
        <f>DATE(YEAR(C18)+INT((MONTH(C18)-1+(A18-D18))/12),MOD(MONTH(C18)-1+(A18-D18),12)+1,1)+(DAY(C18)-1)</f>
        <v/>
      </c>
      <c r="F18" s="20">
        <f>INDEX(Segments!$C$5:$C$12,B18)/100/12</f>
        <v/>
      </c>
      <c r="G18" s="21">
        <f>INDEX(Segments!$L$5:$L$12,B18)</f>
        <v/>
      </c>
      <c r="H18" s="6">
        <f>INDEX(Segments!$I$5:$I$12,B18)="Y"</f>
        <v/>
      </c>
      <c r="I18" s="6">
        <f>INDEX(Segments!$F$5:$F$12,B18)=""</f>
        <v/>
      </c>
      <c r="J18" s="18">
        <f>INDEX(Segments!$K$5:$K$12,B18)</f>
        <v/>
      </c>
      <c r="K18" s="18">
        <f>IF(INDEX(Segments!$F$5:$F$12,B18)&lt;&gt;"",INDEX(Segments!$F$5:$F$12,B18),IF(INDEX(Segments!$E$5:$E$12,B18)&lt;&gt;"",INDEX(Segments!$E$5:$E$12,B18),""))</f>
        <v/>
      </c>
      <c r="L18" s="21">
        <f>AA17</f>
        <v/>
      </c>
      <c r="M18" s="21">
        <f>IFERROR(INDEX(Overrides!$C:$C,MATCH(A18,Overrides!$A:$A,0)),"")</f>
        <v/>
      </c>
      <c r="N18" s="21">
        <f>IFERROR(INDEX(Overrides!$E:$E,MATCH(A18,Overrides!$A:$A,0)),"")</f>
        <v/>
      </c>
      <c r="O18" s="21">
        <f>IFERROR(INDEX(Overrides!$D:$D,MATCH(A18,Overrides!$A:$A,0)),"")</f>
        <v/>
      </c>
      <c r="P18" s="21">
        <f>IFERROR(INDEX(Overrides!$B:$B,MATCH(A18,Overrides!$A:$A,0)),"")</f>
        <v/>
      </c>
      <c r="Q18" s="6">
        <f>IFERROR(INDEX(Overrides!$F:$F,MATCH(A18,Overrides!$A:$A,0)),"")</f>
        <v/>
      </c>
      <c r="R18" s="6">
        <f>ISNUMBER(MATCH(A18,Overrides!$A:$A,0))</f>
        <v/>
      </c>
      <c r="S18" s="6">
        <f>OR(ROUND(L18-ROUND(G18-T18,2),2)&lt;=0,AND(I18,K18&lt;&gt;"",(A18-D18+1)=K18))</f>
        <v/>
      </c>
      <c r="T18" s="21">
        <f>IF(M18&lt;&gt;"",M18,ROUND(L18*F18,2))</f>
        <v/>
      </c>
      <c r="U18" s="21">
        <f>IF(R18,IF(O18&lt;&gt;"",O18,IF(N18&lt;&gt;"",ROUND(L18-N18,2),ROUND((IF(P18&lt;&gt;"",P18,G18))-T18,2))),IF(H18,0,IF(S18,L18,ROUND(G18-T18,2))))</f>
        <v/>
      </c>
      <c r="V18" s="21">
        <f>IF(R18,IF(P18&lt;&gt;"",P18,ROUND(T18+U18,2)),IF(H18,T18,IF(S18,ROUND(T18+U18,2),G18)))</f>
        <v/>
      </c>
      <c r="W18" s="21">
        <f>IF(R18,IF(N18&lt;&gt;"",N18,ROUND(L18-U18,2)),IF(H18,L18,IF(S18,0,ROUND(L18-U18,2))))</f>
        <v/>
      </c>
      <c r="X18" s="21">
        <f>IFERROR(MIN(INDEX(LumpSums!$B:$B,MATCH(A18,LumpSums!$A:$A,0)),W18),0)</f>
        <v/>
      </c>
      <c r="Y18" s="21">
        <f>ROUND(U18+X18,2)</f>
        <v/>
      </c>
      <c r="Z18" s="21">
        <f>ROUND(V18+X18,2)</f>
        <v/>
      </c>
      <c r="AA18" s="21">
        <f>ROUND(W18-X18,2)</f>
        <v/>
      </c>
      <c r="AB18" s="6">
        <f>AND(AB17,L18&gt;0)</f>
        <v/>
      </c>
      <c r="AC18" s="21">
        <f>IF(PMI_Costs!$B$8=0,0,ROUND(PMI_Costs!$B$8*(1+PMI_Costs!$B$9/100)^INT((A18-1)/12)/12,2))</f>
        <v/>
      </c>
      <c r="AD18" s="21">
        <f>IF(PMI_Costs!$B$10=0,0,ROUND(PMI_Costs!$B$10*(1+PMI_Costs!$B$11/100)^INT((A18-1)/12)/12,2))</f>
        <v/>
      </c>
      <c r="AE18" s="21">
        <f>IF(PMI_Costs!$B$12=0,0,ROUND(PMI_Costs!$B$12*(1+PMI_Costs!$B$13/100)^INT((A18-1)/12)/12,2))</f>
        <v/>
      </c>
      <c r="AF18" s="22">
        <f>IF(PMI_Costs!$B$5=0,0,AA18/PMI_Costs!$B$5)</f>
        <v/>
      </c>
      <c r="AG18" s="6">
        <f>AND(PMI_Costs!$B$4&gt;0,AF18&gt;PMI_Costs!$B$6/100)</f>
        <v/>
      </c>
      <c r="AH18" s="21">
        <f>IF(AG18,ROUND(Segments!$G$5*PMI_Costs!$B$4/100/12,2),0)</f>
        <v/>
      </c>
      <c r="AI18" s="6">
        <f>AND(NOT(AG18),AG17)</f>
        <v/>
      </c>
    </row>
    <row r="19">
      <c r="A19" s="18" t="n">
        <v>15</v>
      </c>
      <c r="B19" s="18">
        <f>SUMPRODUCT((Segments!$J$5:$J$12&lt;&gt;"")*(Segments!$J$5:$J$12&lt;=A19))</f>
        <v/>
      </c>
      <c r="C19" s="19">
        <f>INDEX(Segments!$B$5:$B$12,B19)</f>
        <v/>
      </c>
      <c r="D19" s="18">
        <f>INDEX(Segments!$J$5:$J$12,B19)</f>
        <v/>
      </c>
      <c r="E19" s="19">
        <f>DATE(YEAR(C19)+INT((MONTH(C19)-1+(A19-D19))/12),MOD(MONTH(C19)-1+(A19-D19),12)+1,1)+(DAY(C19)-1)</f>
        <v/>
      </c>
      <c r="F19" s="20">
        <f>INDEX(Segments!$C$5:$C$12,B19)/100/12</f>
        <v/>
      </c>
      <c r="G19" s="21">
        <f>INDEX(Segments!$L$5:$L$12,B19)</f>
        <v/>
      </c>
      <c r="H19" s="6">
        <f>INDEX(Segments!$I$5:$I$12,B19)="Y"</f>
        <v/>
      </c>
      <c r="I19" s="6">
        <f>INDEX(Segments!$F$5:$F$12,B19)=""</f>
        <v/>
      </c>
      <c r="J19" s="18">
        <f>INDEX(Segments!$K$5:$K$12,B19)</f>
        <v/>
      </c>
      <c r="K19" s="18">
        <f>IF(INDEX(Segments!$F$5:$F$12,B19)&lt;&gt;"",INDEX(Segments!$F$5:$F$12,B19),IF(INDEX(Segments!$E$5:$E$12,B19)&lt;&gt;"",INDEX(Segments!$E$5:$E$12,B19),""))</f>
        <v/>
      </c>
      <c r="L19" s="21">
        <f>AA18</f>
        <v/>
      </c>
      <c r="M19" s="21">
        <f>IFERROR(INDEX(Overrides!$C:$C,MATCH(A19,Overrides!$A:$A,0)),"")</f>
        <v/>
      </c>
      <c r="N19" s="21">
        <f>IFERROR(INDEX(Overrides!$E:$E,MATCH(A19,Overrides!$A:$A,0)),"")</f>
        <v/>
      </c>
      <c r="O19" s="21">
        <f>IFERROR(INDEX(Overrides!$D:$D,MATCH(A19,Overrides!$A:$A,0)),"")</f>
        <v/>
      </c>
      <c r="P19" s="21">
        <f>IFERROR(INDEX(Overrides!$B:$B,MATCH(A19,Overrides!$A:$A,0)),"")</f>
        <v/>
      </c>
      <c r="Q19" s="6">
        <f>IFERROR(INDEX(Overrides!$F:$F,MATCH(A19,Overrides!$A:$A,0)),"")</f>
        <v/>
      </c>
      <c r="R19" s="6">
        <f>ISNUMBER(MATCH(A19,Overrides!$A:$A,0))</f>
        <v/>
      </c>
      <c r="S19" s="6">
        <f>OR(ROUND(L19-ROUND(G19-T19,2),2)&lt;=0,AND(I19,K19&lt;&gt;"",(A19-D19+1)=K19))</f>
        <v/>
      </c>
      <c r="T19" s="21">
        <f>IF(M19&lt;&gt;"",M19,ROUND(L19*F19,2))</f>
        <v/>
      </c>
      <c r="U19" s="21">
        <f>IF(R19,IF(O19&lt;&gt;"",O19,IF(N19&lt;&gt;"",ROUND(L19-N19,2),ROUND((IF(P19&lt;&gt;"",P19,G19))-T19,2))),IF(H19,0,IF(S19,L19,ROUND(G19-T19,2))))</f>
        <v/>
      </c>
      <c r="V19" s="21">
        <f>IF(R19,IF(P19&lt;&gt;"",P19,ROUND(T19+U19,2)),IF(H19,T19,IF(S19,ROUND(T19+U19,2),G19)))</f>
        <v/>
      </c>
      <c r="W19" s="21">
        <f>IF(R19,IF(N19&lt;&gt;"",N19,ROUND(L19-U19,2)),IF(H19,L19,IF(S19,0,ROUND(L19-U19,2))))</f>
        <v/>
      </c>
      <c r="X19" s="21">
        <f>IFERROR(MIN(INDEX(LumpSums!$B:$B,MATCH(A19,LumpSums!$A:$A,0)),W19),0)</f>
        <v/>
      </c>
      <c r="Y19" s="21">
        <f>ROUND(U19+X19,2)</f>
        <v/>
      </c>
      <c r="Z19" s="21">
        <f>ROUND(V19+X19,2)</f>
        <v/>
      </c>
      <c r="AA19" s="21">
        <f>ROUND(W19-X19,2)</f>
        <v/>
      </c>
      <c r="AB19" s="6">
        <f>AND(AB18,L19&gt;0)</f>
        <v/>
      </c>
      <c r="AC19" s="21">
        <f>IF(PMI_Costs!$B$8=0,0,ROUND(PMI_Costs!$B$8*(1+PMI_Costs!$B$9/100)^INT((A19-1)/12)/12,2))</f>
        <v/>
      </c>
      <c r="AD19" s="21">
        <f>IF(PMI_Costs!$B$10=0,0,ROUND(PMI_Costs!$B$10*(1+PMI_Costs!$B$11/100)^INT((A19-1)/12)/12,2))</f>
        <v/>
      </c>
      <c r="AE19" s="21">
        <f>IF(PMI_Costs!$B$12=0,0,ROUND(PMI_Costs!$B$12*(1+PMI_Costs!$B$13/100)^INT((A19-1)/12)/12,2))</f>
        <v/>
      </c>
      <c r="AF19" s="22">
        <f>IF(PMI_Costs!$B$5=0,0,AA19/PMI_Costs!$B$5)</f>
        <v/>
      </c>
      <c r="AG19" s="6">
        <f>AND(PMI_Costs!$B$4&gt;0,AF19&gt;PMI_Costs!$B$6/100)</f>
        <v/>
      </c>
      <c r="AH19" s="21">
        <f>IF(AG19,ROUND(Segments!$G$5*PMI_Costs!$B$4/100/12,2),0)</f>
        <v/>
      </c>
      <c r="AI19" s="6">
        <f>AND(NOT(AG19),AG18)</f>
        <v/>
      </c>
    </row>
    <row r="20">
      <c r="A20" s="18" t="n">
        <v>16</v>
      </c>
      <c r="B20" s="18">
        <f>SUMPRODUCT((Segments!$J$5:$J$12&lt;&gt;"")*(Segments!$J$5:$J$12&lt;=A20))</f>
        <v/>
      </c>
      <c r="C20" s="19">
        <f>INDEX(Segments!$B$5:$B$12,B20)</f>
        <v/>
      </c>
      <c r="D20" s="18">
        <f>INDEX(Segments!$J$5:$J$12,B20)</f>
        <v/>
      </c>
      <c r="E20" s="19">
        <f>DATE(YEAR(C20)+INT((MONTH(C20)-1+(A20-D20))/12),MOD(MONTH(C20)-1+(A20-D20),12)+1,1)+(DAY(C20)-1)</f>
        <v/>
      </c>
      <c r="F20" s="20">
        <f>INDEX(Segments!$C$5:$C$12,B20)/100/12</f>
        <v/>
      </c>
      <c r="G20" s="21">
        <f>INDEX(Segments!$L$5:$L$12,B20)</f>
        <v/>
      </c>
      <c r="H20" s="6">
        <f>INDEX(Segments!$I$5:$I$12,B20)="Y"</f>
        <v/>
      </c>
      <c r="I20" s="6">
        <f>INDEX(Segments!$F$5:$F$12,B20)=""</f>
        <v/>
      </c>
      <c r="J20" s="18">
        <f>INDEX(Segments!$K$5:$K$12,B20)</f>
        <v/>
      </c>
      <c r="K20" s="18">
        <f>IF(INDEX(Segments!$F$5:$F$12,B20)&lt;&gt;"",INDEX(Segments!$F$5:$F$12,B20),IF(INDEX(Segments!$E$5:$E$12,B20)&lt;&gt;"",INDEX(Segments!$E$5:$E$12,B20),""))</f>
        <v/>
      </c>
      <c r="L20" s="21">
        <f>AA19</f>
        <v/>
      </c>
      <c r="M20" s="21">
        <f>IFERROR(INDEX(Overrides!$C:$C,MATCH(A20,Overrides!$A:$A,0)),"")</f>
        <v/>
      </c>
      <c r="N20" s="21">
        <f>IFERROR(INDEX(Overrides!$E:$E,MATCH(A20,Overrides!$A:$A,0)),"")</f>
        <v/>
      </c>
      <c r="O20" s="21">
        <f>IFERROR(INDEX(Overrides!$D:$D,MATCH(A20,Overrides!$A:$A,0)),"")</f>
        <v/>
      </c>
      <c r="P20" s="21">
        <f>IFERROR(INDEX(Overrides!$B:$B,MATCH(A20,Overrides!$A:$A,0)),"")</f>
        <v/>
      </c>
      <c r="Q20" s="6">
        <f>IFERROR(INDEX(Overrides!$F:$F,MATCH(A20,Overrides!$A:$A,0)),"")</f>
        <v/>
      </c>
      <c r="R20" s="6">
        <f>ISNUMBER(MATCH(A20,Overrides!$A:$A,0))</f>
        <v/>
      </c>
      <c r="S20" s="6">
        <f>OR(ROUND(L20-ROUND(G20-T20,2),2)&lt;=0,AND(I20,K20&lt;&gt;"",(A20-D20+1)=K20))</f>
        <v/>
      </c>
      <c r="T20" s="21">
        <f>IF(M20&lt;&gt;"",M20,ROUND(L20*F20,2))</f>
        <v/>
      </c>
      <c r="U20" s="21">
        <f>IF(R20,IF(O20&lt;&gt;"",O20,IF(N20&lt;&gt;"",ROUND(L20-N20,2),ROUND((IF(P20&lt;&gt;"",P20,G20))-T20,2))),IF(H20,0,IF(S20,L20,ROUND(G20-T20,2))))</f>
        <v/>
      </c>
      <c r="V20" s="21">
        <f>IF(R20,IF(P20&lt;&gt;"",P20,ROUND(T20+U20,2)),IF(H20,T20,IF(S20,ROUND(T20+U20,2),G20)))</f>
        <v/>
      </c>
      <c r="W20" s="21">
        <f>IF(R20,IF(N20&lt;&gt;"",N20,ROUND(L20-U20,2)),IF(H20,L20,IF(S20,0,ROUND(L20-U20,2))))</f>
        <v/>
      </c>
      <c r="X20" s="21">
        <f>IFERROR(MIN(INDEX(LumpSums!$B:$B,MATCH(A20,LumpSums!$A:$A,0)),W20),0)</f>
        <v/>
      </c>
      <c r="Y20" s="21">
        <f>ROUND(U20+X20,2)</f>
        <v/>
      </c>
      <c r="Z20" s="21">
        <f>ROUND(V20+X20,2)</f>
        <v/>
      </c>
      <c r="AA20" s="21">
        <f>ROUND(W20-X20,2)</f>
        <v/>
      </c>
      <c r="AB20" s="6">
        <f>AND(AB19,L20&gt;0)</f>
        <v/>
      </c>
      <c r="AC20" s="21">
        <f>IF(PMI_Costs!$B$8=0,0,ROUND(PMI_Costs!$B$8*(1+PMI_Costs!$B$9/100)^INT((A20-1)/12)/12,2))</f>
        <v/>
      </c>
      <c r="AD20" s="21">
        <f>IF(PMI_Costs!$B$10=0,0,ROUND(PMI_Costs!$B$10*(1+PMI_Costs!$B$11/100)^INT((A20-1)/12)/12,2))</f>
        <v/>
      </c>
      <c r="AE20" s="21">
        <f>IF(PMI_Costs!$B$12=0,0,ROUND(PMI_Costs!$B$12*(1+PMI_Costs!$B$13/100)^INT((A20-1)/12)/12,2))</f>
        <v/>
      </c>
      <c r="AF20" s="22">
        <f>IF(PMI_Costs!$B$5=0,0,AA20/PMI_Costs!$B$5)</f>
        <v/>
      </c>
      <c r="AG20" s="6">
        <f>AND(PMI_Costs!$B$4&gt;0,AF20&gt;PMI_Costs!$B$6/100)</f>
        <v/>
      </c>
      <c r="AH20" s="21">
        <f>IF(AG20,ROUND(Segments!$G$5*PMI_Costs!$B$4/100/12,2),0)</f>
        <v/>
      </c>
      <c r="AI20" s="6">
        <f>AND(NOT(AG20),AG19)</f>
        <v/>
      </c>
    </row>
    <row r="21">
      <c r="A21" s="18" t="n">
        <v>17</v>
      </c>
      <c r="B21" s="18">
        <f>SUMPRODUCT((Segments!$J$5:$J$12&lt;&gt;"")*(Segments!$J$5:$J$12&lt;=A21))</f>
        <v/>
      </c>
      <c r="C21" s="19">
        <f>INDEX(Segments!$B$5:$B$12,B21)</f>
        <v/>
      </c>
      <c r="D21" s="18">
        <f>INDEX(Segments!$J$5:$J$12,B21)</f>
        <v/>
      </c>
      <c r="E21" s="19">
        <f>DATE(YEAR(C21)+INT((MONTH(C21)-1+(A21-D21))/12),MOD(MONTH(C21)-1+(A21-D21),12)+1,1)+(DAY(C21)-1)</f>
        <v/>
      </c>
      <c r="F21" s="20">
        <f>INDEX(Segments!$C$5:$C$12,B21)/100/12</f>
        <v/>
      </c>
      <c r="G21" s="21">
        <f>INDEX(Segments!$L$5:$L$12,B21)</f>
        <v/>
      </c>
      <c r="H21" s="6">
        <f>INDEX(Segments!$I$5:$I$12,B21)="Y"</f>
        <v/>
      </c>
      <c r="I21" s="6">
        <f>INDEX(Segments!$F$5:$F$12,B21)=""</f>
        <v/>
      </c>
      <c r="J21" s="18">
        <f>INDEX(Segments!$K$5:$K$12,B21)</f>
        <v/>
      </c>
      <c r="K21" s="18">
        <f>IF(INDEX(Segments!$F$5:$F$12,B21)&lt;&gt;"",INDEX(Segments!$F$5:$F$12,B21),IF(INDEX(Segments!$E$5:$E$12,B21)&lt;&gt;"",INDEX(Segments!$E$5:$E$12,B21),""))</f>
        <v/>
      </c>
      <c r="L21" s="21">
        <f>AA20</f>
        <v/>
      </c>
      <c r="M21" s="21">
        <f>IFERROR(INDEX(Overrides!$C:$C,MATCH(A21,Overrides!$A:$A,0)),"")</f>
        <v/>
      </c>
      <c r="N21" s="21">
        <f>IFERROR(INDEX(Overrides!$E:$E,MATCH(A21,Overrides!$A:$A,0)),"")</f>
        <v/>
      </c>
      <c r="O21" s="21">
        <f>IFERROR(INDEX(Overrides!$D:$D,MATCH(A21,Overrides!$A:$A,0)),"")</f>
        <v/>
      </c>
      <c r="P21" s="21">
        <f>IFERROR(INDEX(Overrides!$B:$B,MATCH(A21,Overrides!$A:$A,0)),"")</f>
        <v/>
      </c>
      <c r="Q21" s="6">
        <f>IFERROR(INDEX(Overrides!$F:$F,MATCH(A21,Overrides!$A:$A,0)),"")</f>
        <v/>
      </c>
      <c r="R21" s="6">
        <f>ISNUMBER(MATCH(A21,Overrides!$A:$A,0))</f>
        <v/>
      </c>
      <c r="S21" s="6">
        <f>OR(ROUND(L21-ROUND(G21-T21,2),2)&lt;=0,AND(I21,K21&lt;&gt;"",(A21-D21+1)=K21))</f>
        <v/>
      </c>
      <c r="T21" s="21">
        <f>IF(M21&lt;&gt;"",M21,ROUND(L21*F21,2))</f>
        <v/>
      </c>
      <c r="U21" s="21">
        <f>IF(R21,IF(O21&lt;&gt;"",O21,IF(N21&lt;&gt;"",ROUND(L21-N21,2),ROUND((IF(P21&lt;&gt;"",P21,G21))-T21,2))),IF(H21,0,IF(S21,L21,ROUND(G21-T21,2))))</f>
        <v/>
      </c>
      <c r="V21" s="21">
        <f>IF(R21,IF(P21&lt;&gt;"",P21,ROUND(T21+U21,2)),IF(H21,T21,IF(S21,ROUND(T21+U21,2),G21)))</f>
        <v/>
      </c>
      <c r="W21" s="21">
        <f>IF(R21,IF(N21&lt;&gt;"",N21,ROUND(L21-U21,2)),IF(H21,L21,IF(S21,0,ROUND(L21-U21,2))))</f>
        <v/>
      </c>
      <c r="X21" s="21">
        <f>IFERROR(MIN(INDEX(LumpSums!$B:$B,MATCH(A21,LumpSums!$A:$A,0)),W21),0)</f>
        <v/>
      </c>
      <c r="Y21" s="21">
        <f>ROUND(U21+X21,2)</f>
        <v/>
      </c>
      <c r="Z21" s="21">
        <f>ROUND(V21+X21,2)</f>
        <v/>
      </c>
      <c r="AA21" s="21">
        <f>ROUND(W21-X21,2)</f>
        <v/>
      </c>
      <c r="AB21" s="6">
        <f>AND(AB20,L21&gt;0)</f>
        <v/>
      </c>
      <c r="AC21" s="21">
        <f>IF(PMI_Costs!$B$8=0,0,ROUND(PMI_Costs!$B$8*(1+PMI_Costs!$B$9/100)^INT((A21-1)/12)/12,2))</f>
        <v/>
      </c>
      <c r="AD21" s="21">
        <f>IF(PMI_Costs!$B$10=0,0,ROUND(PMI_Costs!$B$10*(1+PMI_Costs!$B$11/100)^INT((A21-1)/12)/12,2))</f>
        <v/>
      </c>
      <c r="AE21" s="21">
        <f>IF(PMI_Costs!$B$12=0,0,ROUND(PMI_Costs!$B$12*(1+PMI_Costs!$B$13/100)^INT((A21-1)/12)/12,2))</f>
        <v/>
      </c>
      <c r="AF21" s="22">
        <f>IF(PMI_Costs!$B$5=0,0,AA21/PMI_Costs!$B$5)</f>
        <v/>
      </c>
      <c r="AG21" s="6">
        <f>AND(PMI_Costs!$B$4&gt;0,AF21&gt;PMI_Costs!$B$6/100)</f>
        <v/>
      </c>
      <c r="AH21" s="21">
        <f>IF(AG21,ROUND(Segments!$G$5*PMI_Costs!$B$4/100/12,2),0)</f>
        <v/>
      </c>
      <c r="AI21" s="6">
        <f>AND(NOT(AG21),AG20)</f>
        <v/>
      </c>
    </row>
    <row r="22">
      <c r="A22" s="18" t="n">
        <v>18</v>
      </c>
      <c r="B22" s="18">
        <f>SUMPRODUCT((Segments!$J$5:$J$12&lt;&gt;"")*(Segments!$J$5:$J$12&lt;=A22))</f>
        <v/>
      </c>
      <c r="C22" s="19">
        <f>INDEX(Segments!$B$5:$B$12,B22)</f>
        <v/>
      </c>
      <c r="D22" s="18">
        <f>INDEX(Segments!$J$5:$J$12,B22)</f>
        <v/>
      </c>
      <c r="E22" s="19">
        <f>DATE(YEAR(C22)+INT((MONTH(C22)-1+(A22-D22))/12),MOD(MONTH(C22)-1+(A22-D22),12)+1,1)+(DAY(C22)-1)</f>
        <v/>
      </c>
      <c r="F22" s="20">
        <f>INDEX(Segments!$C$5:$C$12,B22)/100/12</f>
        <v/>
      </c>
      <c r="G22" s="21">
        <f>INDEX(Segments!$L$5:$L$12,B22)</f>
        <v/>
      </c>
      <c r="H22" s="6">
        <f>INDEX(Segments!$I$5:$I$12,B22)="Y"</f>
        <v/>
      </c>
      <c r="I22" s="6">
        <f>INDEX(Segments!$F$5:$F$12,B22)=""</f>
        <v/>
      </c>
      <c r="J22" s="18">
        <f>INDEX(Segments!$K$5:$K$12,B22)</f>
        <v/>
      </c>
      <c r="K22" s="18">
        <f>IF(INDEX(Segments!$F$5:$F$12,B22)&lt;&gt;"",INDEX(Segments!$F$5:$F$12,B22),IF(INDEX(Segments!$E$5:$E$12,B22)&lt;&gt;"",INDEX(Segments!$E$5:$E$12,B22),""))</f>
        <v/>
      </c>
      <c r="L22" s="21">
        <f>AA21</f>
        <v/>
      </c>
      <c r="M22" s="21">
        <f>IFERROR(INDEX(Overrides!$C:$C,MATCH(A22,Overrides!$A:$A,0)),"")</f>
        <v/>
      </c>
      <c r="N22" s="21">
        <f>IFERROR(INDEX(Overrides!$E:$E,MATCH(A22,Overrides!$A:$A,0)),"")</f>
        <v/>
      </c>
      <c r="O22" s="21">
        <f>IFERROR(INDEX(Overrides!$D:$D,MATCH(A22,Overrides!$A:$A,0)),"")</f>
        <v/>
      </c>
      <c r="P22" s="21">
        <f>IFERROR(INDEX(Overrides!$B:$B,MATCH(A22,Overrides!$A:$A,0)),"")</f>
        <v/>
      </c>
      <c r="Q22" s="6">
        <f>IFERROR(INDEX(Overrides!$F:$F,MATCH(A22,Overrides!$A:$A,0)),"")</f>
        <v/>
      </c>
      <c r="R22" s="6">
        <f>ISNUMBER(MATCH(A22,Overrides!$A:$A,0))</f>
        <v/>
      </c>
      <c r="S22" s="6">
        <f>OR(ROUND(L22-ROUND(G22-T22,2),2)&lt;=0,AND(I22,K22&lt;&gt;"",(A22-D22+1)=K22))</f>
        <v/>
      </c>
      <c r="T22" s="21">
        <f>IF(M22&lt;&gt;"",M22,ROUND(L22*F22,2))</f>
        <v/>
      </c>
      <c r="U22" s="21">
        <f>IF(R22,IF(O22&lt;&gt;"",O22,IF(N22&lt;&gt;"",ROUND(L22-N22,2),ROUND((IF(P22&lt;&gt;"",P22,G22))-T22,2))),IF(H22,0,IF(S22,L22,ROUND(G22-T22,2))))</f>
        <v/>
      </c>
      <c r="V22" s="21">
        <f>IF(R22,IF(P22&lt;&gt;"",P22,ROUND(T22+U22,2)),IF(H22,T22,IF(S22,ROUND(T22+U22,2),G22)))</f>
        <v/>
      </c>
      <c r="W22" s="21">
        <f>IF(R22,IF(N22&lt;&gt;"",N22,ROUND(L22-U22,2)),IF(H22,L22,IF(S22,0,ROUND(L22-U22,2))))</f>
        <v/>
      </c>
      <c r="X22" s="21">
        <f>IFERROR(MIN(INDEX(LumpSums!$B:$B,MATCH(A22,LumpSums!$A:$A,0)),W22),0)</f>
        <v/>
      </c>
      <c r="Y22" s="21">
        <f>ROUND(U22+X22,2)</f>
        <v/>
      </c>
      <c r="Z22" s="21">
        <f>ROUND(V22+X22,2)</f>
        <v/>
      </c>
      <c r="AA22" s="21">
        <f>ROUND(W22-X22,2)</f>
        <v/>
      </c>
      <c r="AB22" s="6">
        <f>AND(AB21,L22&gt;0)</f>
        <v/>
      </c>
      <c r="AC22" s="21">
        <f>IF(PMI_Costs!$B$8=0,0,ROUND(PMI_Costs!$B$8*(1+PMI_Costs!$B$9/100)^INT((A22-1)/12)/12,2))</f>
        <v/>
      </c>
      <c r="AD22" s="21">
        <f>IF(PMI_Costs!$B$10=0,0,ROUND(PMI_Costs!$B$10*(1+PMI_Costs!$B$11/100)^INT((A22-1)/12)/12,2))</f>
        <v/>
      </c>
      <c r="AE22" s="21">
        <f>IF(PMI_Costs!$B$12=0,0,ROUND(PMI_Costs!$B$12*(1+PMI_Costs!$B$13/100)^INT((A22-1)/12)/12,2))</f>
        <v/>
      </c>
      <c r="AF22" s="22">
        <f>IF(PMI_Costs!$B$5=0,0,AA22/PMI_Costs!$B$5)</f>
        <v/>
      </c>
      <c r="AG22" s="6">
        <f>AND(PMI_Costs!$B$4&gt;0,AF22&gt;PMI_Costs!$B$6/100)</f>
        <v/>
      </c>
      <c r="AH22" s="21">
        <f>IF(AG22,ROUND(Segments!$G$5*PMI_Costs!$B$4/100/12,2),0)</f>
        <v/>
      </c>
      <c r="AI22" s="6">
        <f>AND(NOT(AG22),AG21)</f>
        <v/>
      </c>
    </row>
    <row r="23">
      <c r="A23" s="18" t="n">
        <v>19</v>
      </c>
      <c r="B23" s="18">
        <f>SUMPRODUCT((Segments!$J$5:$J$12&lt;&gt;"")*(Segments!$J$5:$J$12&lt;=A23))</f>
        <v/>
      </c>
      <c r="C23" s="19">
        <f>INDEX(Segments!$B$5:$B$12,B23)</f>
        <v/>
      </c>
      <c r="D23" s="18">
        <f>INDEX(Segments!$J$5:$J$12,B23)</f>
        <v/>
      </c>
      <c r="E23" s="19">
        <f>DATE(YEAR(C23)+INT((MONTH(C23)-1+(A23-D23))/12),MOD(MONTH(C23)-1+(A23-D23),12)+1,1)+(DAY(C23)-1)</f>
        <v/>
      </c>
      <c r="F23" s="20">
        <f>INDEX(Segments!$C$5:$C$12,B23)/100/12</f>
        <v/>
      </c>
      <c r="G23" s="21">
        <f>INDEX(Segments!$L$5:$L$12,B23)</f>
        <v/>
      </c>
      <c r="H23" s="6">
        <f>INDEX(Segments!$I$5:$I$12,B23)="Y"</f>
        <v/>
      </c>
      <c r="I23" s="6">
        <f>INDEX(Segments!$F$5:$F$12,B23)=""</f>
        <v/>
      </c>
      <c r="J23" s="18">
        <f>INDEX(Segments!$K$5:$K$12,B23)</f>
        <v/>
      </c>
      <c r="K23" s="18">
        <f>IF(INDEX(Segments!$F$5:$F$12,B23)&lt;&gt;"",INDEX(Segments!$F$5:$F$12,B23),IF(INDEX(Segments!$E$5:$E$12,B23)&lt;&gt;"",INDEX(Segments!$E$5:$E$12,B23),""))</f>
        <v/>
      </c>
      <c r="L23" s="21">
        <f>AA22</f>
        <v/>
      </c>
      <c r="M23" s="21">
        <f>IFERROR(INDEX(Overrides!$C:$C,MATCH(A23,Overrides!$A:$A,0)),"")</f>
        <v/>
      </c>
      <c r="N23" s="21">
        <f>IFERROR(INDEX(Overrides!$E:$E,MATCH(A23,Overrides!$A:$A,0)),"")</f>
        <v/>
      </c>
      <c r="O23" s="21">
        <f>IFERROR(INDEX(Overrides!$D:$D,MATCH(A23,Overrides!$A:$A,0)),"")</f>
        <v/>
      </c>
      <c r="P23" s="21">
        <f>IFERROR(INDEX(Overrides!$B:$B,MATCH(A23,Overrides!$A:$A,0)),"")</f>
        <v/>
      </c>
      <c r="Q23" s="6">
        <f>IFERROR(INDEX(Overrides!$F:$F,MATCH(A23,Overrides!$A:$A,0)),"")</f>
        <v/>
      </c>
      <c r="R23" s="6">
        <f>ISNUMBER(MATCH(A23,Overrides!$A:$A,0))</f>
        <v/>
      </c>
      <c r="S23" s="6">
        <f>OR(ROUND(L23-ROUND(G23-T23,2),2)&lt;=0,AND(I23,K23&lt;&gt;"",(A23-D23+1)=K23))</f>
        <v/>
      </c>
      <c r="T23" s="21">
        <f>IF(M23&lt;&gt;"",M23,ROUND(L23*F23,2))</f>
        <v/>
      </c>
      <c r="U23" s="21">
        <f>IF(R23,IF(O23&lt;&gt;"",O23,IF(N23&lt;&gt;"",ROUND(L23-N23,2),ROUND((IF(P23&lt;&gt;"",P23,G23))-T23,2))),IF(H23,0,IF(S23,L23,ROUND(G23-T23,2))))</f>
        <v/>
      </c>
      <c r="V23" s="21">
        <f>IF(R23,IF(P23&lt;&gt;"",P23,ROUND(T23+U23,2)),IF(H23,T23,IF(S23,ROUND(T23+U23,2),G23)))</f>
        <v/>
      </c>
      <c r="W23" s="21">
        <f>IF(R23,IF(N23&lt;&gt;"",N23,ROUND(L23-U23,2)),IF(H23,L23,IF(S23,0,ROUND(L23-U23,2))))</f>
        <v/>
      </c>
      <c r="X23" s="21">
        <f>IFERROR(MIN(INDEX(LumpSums!$B:$B,MATCH(A23,LumpSums!$A:$A,0)),W23),0)</f>
        <v/>
      </c>
      <c r="Y23" s="21">
        <f>ROUND(U23+X23,2)</f>
        <v/>
      </c>
      <c r="Z23" s="21">
        <f>ROUND(V23+X23,2)</f>
        <v/>
      </c>
      <c r="AA23" s="21">
        <f>ROUND(W23-X23,2)</f>
        <v/>
      </c>
      <c r="AB23" s="6">
        <f>AND(AB22,L23&gt;0)</f>
        <v/>
      </c>
      <c r="AC23" s="21">
        <f>IF(PMI_Costs!$B$8=0,0,ROUND(PMI_Costs!$B$8*(1+PMI_Costs!$B$9/100)^INT((A23-1)/12)/12,2))</f>
        <v/>
      </c>
      <c r="AD23" s="21">
        <f>IF(PMI_Costs!$B$10=0,0,ROUND(PMI_Costs!$B$10*(1+PMI_Costs!$B$11/100)^INT((A23-1)/12)/12,2))</f>
        <v/>
      </c>
      <c r="AE23" s="21">
        <f>IF(PMI_Costs!$B$12=0,0,ROUND(PMI_Costs!$B$12*(1+PMI_Costs!$B$13/100)^INT((A23-1)/12)/12,2))</f>
        <v/>
      </c>
      <c r="AF23" s="22">
        <f>IF(PMI_Costs!$B$5=0,0,AA23/PMI_Costs!$B$5)</f>
        <v/>
      </c>
      <c r="AG23" s="6">
        <f>AND(PMI_Costs!$B$4&gt;0,AF23&gt;PMI_Costs!$B$6/100)</f>
        <v/>
      </c>
      <c r="AH23" s="21">
        <f>IF(AG23,ROUND(Segments!$G$5*PMI_Costs!$B$4/100/12,2),0)</f>
        <v/>
      </c>
      <c r="AI23" s="6">
        <f>AND(NOT(AG23),AG22)</f>
        <v/>
      </c>
    </row>
    <row r="24">
      <c r="A24" s="18" t="n">
        <v>20</v>
      </c>
      <c r="B24" s="18">
        <f>SUMPRODUCT((Segments!$J$5:$J$12&lt;&gt;"")*(Segments!$J$5:$J$12&lt;=A24))</f>
        <v/>
      </c>
      <c r="C24" s="19">
        <f>INDEX(Segments!$B$5:$B$12,B24)</f>
        <v/>
      </c>
      <c r="D24" s="18">
        <f>INDEX(Segments!$J$5:$J$12,B24)</f>
        <v/>
      </c>
      <c r="E24" s="19">
        <f>DATE(YEAR(C24)+INT((MONTH(C24)-1+(A24-D24))/12),MOD(MONTH(C24)-1+(A24-D24),12)+1,1)+(DAY(C24)-1)</f>
        <v/>
      </c>
      <c r="F24" s="20">
        <f>INDEX(Segments!$C$5:$C$12,B24)/100/12</f>
        <v/>
      </c>
      <c r="G24" s="21">
        <f>INDEX(Segments!$L$5:$L$12,B24)</f>
        <v/>
      </c>
      <c r="H24" s="6">
        <f>INDEX(Segments!$I$5:$I$12,B24)="Y"</f>
        <v/>
      </c>
      <c r="I24" s="6">
        <f>INDEX(Segments!$F$5:$F$12,B24)=""</f>
        <v/>
      </c>
      <c r="J24" s="18">
        <f>INDEX(Segments!$K$5:$K$12,B24)</f>
        <v/>
      </c>
      <c r="K24" s="18">
        <f>IF(INDEX(Segments!$F$5:$F$12,B24)&lt;&gt;"",INDEX(Segments!$F$5:$F$12,B24),IF(INDEX(Segments!$E$5:$E$12,B24)&lt;&gt;"",INDEX(Segments!$E$5:$E$12,B24),""))</f>
        <v/>
      </c>
      <c r="L24" s="21">
        <f>AA23</f>
        <v/>
      </c>
      <c r="M24" s="21">
        <f>IFERROR(INDEX(Overrides!$C:$C,MATCH(A24,Overrides!$A:$A,0)),"")</f>
        <v/>
      </c>
      <c r="N24" s="21">
        <f>IFERROR(INDEX(Overrides!$E:$E,MATCH(A24,Overrides!$A:$A,0)),"")</f>
        <v/>
      </c>
      <c r="O24" s="21">
        <f>IFERROR(INDEX(Overrides!$D:$D,MATCH(A24,Overrides!$A:$A,0)),"")</f>
        <v/>
      </c>
      <c r="P24" s="21">
        <f>IFERROR(INDEX(Overrides!$B:$B,MATCH(A24,Overrides!$A:$A,0)),"")</f>
        <v/>
      </c>
      <c r="Q24" s="6">
        <f>IFERROR(INDEX(Overrides!$F:$F,MATCH(A24,Overrides!$A:$A,0)),"")</f>
        <v/>
      </c>
      <c r="R24" s="6">
        <f>ISNUMBER(MATCH(A24,Overrides!$A:$A,0))</f>
        <v/>
      </c>
      <c r="S24" s="6">
        <f>OR(ROUND(L24-ROUND(G24-T24,2),2)&lt;=0,AND(I24,K24&lt;&gt;"",(A24-D24+1)=K24))</f>
        <v/>
      </c>
      <c r="T24" s="21">
        <f>IF(M24&lt;&gt;"",M24,ROUND(L24*F24,2))</f>
        <v/>
      </c>
      <c r="U24" s="21">
        <f>IF(R24,IF(O24&lt;&gt;"",O24,IF(N24&lt;&gt;"",ROUND(L24-N24,2),ROUND((IF(P24&lt;&gt;"",P24,G24))-T24,2))),IF(H24,0,IF(S24,L24,ROUND(G24-T24,2))))</f>
        <v/>
      </c>
      <c r="V24" s="21">
        <f>IF(R24,IF(P24&lt;&gt;"",P24,ROUND(T24+U24,2)),IF(H24,T24,IF(S24,ROUND(T24+U24,2),G24)))</f>
        <v/>
      </c>
      <c r="W24" s="21">
        <f>IF(R24,IF(N24&lt;&gt;"",N24,ROUND(L24-U24,2)),IF(H24,L24,IF(S24,0,ROUND(L24-U24,2))))</f>
        <v/>
      </c>
      <c r="X24" s="21">
        <f>IFERROR(MIN(INDEX(LumpSums!$B:$B,MATCH(A24,LumpSums!$A:$A,0)),W24),0)</f>
        <v/>
      </c>
      <c r="Y24" s="21">
        <f>ROUND(U24+X24,2)</f>
        <v/>
      </c>
      <c r="Z24" s="21">
        <f>ROUND(V24+X24,2)</f>
        <v/>
      </c>
      <c r="AA24" s="21">
        <f>ROUND(W24-X24,2)</f>
        <v/>
      </c>
      <c r="AB24" s="6">
        <f>AND(AB23,L24&gt;0)</f>
        <v/>
      </c>
      <c r="AC24" s="21">
        <f>IF(PMI_Costs!$B$8=0,0,ROUND(PMI_Costs!$B$8*(1+PMI_Costs!$B$9/100)^INT((A24-1)/12)/12,2))</f>
        <v/>
      </c>
      <c r="AD24" s="21">
        <f>IF(PMI_Costs!$B$10=0,0,ROUND(PMI_Costs!$B$10*(1+PMI_Costs!$B$11/100)^INT((A24-1)/12)/12,2))</f>
        <v/>
      </c>
      <c r="AE24" s="21">
        <f>IF(PMI_Costs!$B$12=0,0,ROUND(PMI_Costs!$B$12*(1+PMI_Costs!$B$13/100)^INT((A24-1)/12)/12,2))</f>
        <v/>
      </c>
      <c r="AF24" s="22">
        <f>IF(PMI_Costs!$B$5=0,0,AA24/PMI_Costs!$B$5)</f>
        <v/>
      </c>
      <c r="AG24" s="6">
        <f>AND(PMI_Costs!$B$4&gt;0,AF24&gt;PMI_Costs!$B$6/100)</f>
        <v/>
      </c>
      <c r="AH24" s="21">
        <f>IF(AG24,ROUND(Segments!$G$5*PMI_Costs!$B$4/100/12,2),0)</f>
        <v/>
      </c>
      <c r="AI24" s="6">
        <f>AND(NOT(AG24),AG23)</f>
        <v/>
      </c>
    </row>
    <row r="25">
      <c r="A25" s="18" t="n">
        <v>21</v>
      </c>
      <c r="B25" s="18">
        <f>SUMPRODUCT((Segments!$J$5:$J$12&lt;&gt;"")*(Segments!$J$5:$J$12&lt;=A25))</f>
        <v/>
      </c>
      <c r="C25" s="19">
        <f>INDEX(Segments!$B$5:$B$12,B25)</f>
        <v/>
      </c>
      <c r="D25" s="18">
        <f>INDEX(Segments!$J$5:$J$12,B25)</f>
        <v/>
      </c>
      <c r="E25" s="19">
        <f>DATE(YEAR(C25)+INT((MONTH(C25)-1+(A25-D25))/12),MOD(MONTH(C25)-1+(A25-D25),12)+1,1)+(DAY(C25)-1)</f>
        <v/>
      </c>
      <c r="F25" s="20">
        <f>INDEX(Segments!$C$5:$C$12,B25)/100/12</f>
        <v/>
      </c>
      <c r="G25" s="21">
        <f>INDEX(Segments!$L$5:$L$12,B25)</f>
        <v/>
      </c>
      <c r="H25" s="6">
        <f>INDEX(Segments!$I$5:$I$12,B25)="Y"</f>
        <v/>
      </c>
      <c r="I25" s="6">
        <f>INDEX(Segments!$F$5:$F$12,B25)=""</f>
        <v/>
      </c>
      <c r="J25" s="18">
        <f>INDEX(Segments!$K$5:$K$12,B25)</f>
        <v/>
      </c>
      <c r="K25" s="18">
        <f>IF(INDEX(Segments!$F$5:$F$12,B25)&lt;&gt;"",INDEX(Segments!$F$5:$F$12,B25),IF(INDEX(Segments!$E$5:$E$12,B25)&lt;&gt;"",INDEX(Segments!$E$5:$E$12,B25),""))</f>
        <v/>
      </c>
      <c r="L25" s="21">
        <f>AA24</f>
        <v/>
      </c>
      <c r="M25" s="21">
        <f>IFERROR(INDEX(Overrides!$C:$C,MATCH(A25,Overrides!$A:$A,0)),"")</f>
        <v/>
      </c>
      <c r="N25" s="21">
        <f>IFERROR(INDEX(Overrides!$E:$E,MATCH(A25,Overrides!$A:$A,0)),"")</f>
        <v/>
      </c>
      <c r="O25" s="21">
        <f>IFERROR(INDEX(Overrides!$D:$D,MATCH(A25,Overrides!$A:$A,0)),"")</f>
        <v/>
      </c>
      <c r="P25" s="21">
        <f>IFERROR(INDEX(Overrides!$B:$B,MATCH(A25,Overrides!$A:$A,0)),"")</f>
        <v/>
      </c>
      <c r="Q25" s="6">
        <f>IFERROR(INDEX(Overrides!$F:$F,MATCH(A25,Overrides!$A:$A,0)),"")</f>
        <v/>
      </c>
      <c r="R25" s="6">
        <f>ISNUMBER(MATCH(A25,Overrides!$A:$A,0))</f>
        <v/>
      </c>
      <c r="S25" s="6">
        <f>OR(ROUND(L25-ROUND(G25-T25,2),2)&lt;=0,AND(I25,K25&lt;&gt;"",(A25-D25+1)=K25))</f>
        <v/>
      </c>
      <c r="T25" s="21">
        <f>IF(M25&lt;&gt;"",M25,ROUND(L25*F25,2))</f>
        <v/>
      </c>
      <c r="U25" s="21">
        <f>IF(R25,IF(O25&lt;&gt;"",O25,IF(N25&lt;&gt;"",ROUND(L25-N25,2),ROUND((IF(P25&lt;&gt;"",P25,G25))-T25,2))),IF(H25,0,IF(S25,L25,ROUND(G25-T25,2))))</f>
        <v/>
      </c>
      <c r="V25" s="21">
        <f>IF(R25,IF(P25&lt;&gt;"",P25,ROUND(T25+U25,2)),IF(H25,T25,IF(S25,ROUND(T25+U25,2),G25)))</f>
        <v/>
      </c>
      <c r="W25" s="21">
        <f>IF(R25,IF(N25&lt;&gt;"",N25,ROUND(L25-U25,2)),IF(H25,L25,IF(S25,0,ROUND(L25-U25,2))))</f>
        <v/>
      </c>
      <c r="X25" s="21">
        <f>IFERROR(MIN(INDEX(LumpSums!$B:$B,MATCH(A25,LumpSums!$A:$A,0)),W25),0)</f>
        <v/>
      </c>
      <c r="Y25" s="21">
        <f>ROUND(U25+X25,2)</f>
        <v/>
      </c>
      <c r="Z25" s="21">
        <f>ROUND(V25+X25,2)</f>
        <v/>
      </c>
      <c r="AA25" s="21">
        <f>ROUND(W25-X25,2)</f>
        <v/>
      </c>
      <c r="AB25" s="6">
        <f>AND(AB24,L25&gt;0)</f>
        <v/>
      </c>
      <c r="AC25" s="21">
        <f>IF(PMI_Costs!$B$8=0,0,ROUND(PMI_Costs!$B$8*(1+PMI_Costs!$B$9/100)^INT((A25-1)/12)/12,2))</f>
        <v/>
      </c>
      <c r="AD25" s="21">
        <f>IF(PMI_Costs!$B$10=0,0,ROUND(PMI_Costs!$B$10*(1+PMI_Costs!$B$11/100)^INT((A25-1)/12)/12,2))</f>
        <v/>
      </c>
      <c r="AE25" s="21">
        <f>IF(PMI_Costs!$B$12=0,0,ROUND(PMI_Costs!$B$12*(1+PMI_Costs!$B$13/100)^INT((A25-1)/12)/12,2))</f>
        <v/>
      </c>
      <c r="AF25" s="22">
        <f>IF(PMI_Costs!$B$5=0,0,AA25/PMI_Costs!$B$5)</f>
        <v/>
      </c>
      <c r="AG25" s="6">
        <f>AND(PMI_Costs!$B$4&gt;0,AF25&gt;PMI_Costs!$B$6/100)</f>
        <v/>
      </c>
      <c r="AH25" s="21">
        <f>IF(AG25,ROUND(Segments!$G$5*PMI_Costs!$B$4/100/12,2),0)</f>
        <v/>
      </c>
      <c r="AI25" s="6">
        <f>AND(NOT(AG25),AG24)</f>
        <v/>
      </c>
    </row>
    <row r="26">
      <c r="A26" s="18" t="n">
        <v>22</v>
      </c>
      <c r="B26" s="18">
        <f>SUMPRODUCT((Segments!$J$5:$J$12&lt;&gt;"")*(Segments!$J$5:$J$12&lt;=A26))</f>
        <v/>
      </c>
      <c r="C26" s="19">
        <f>INDEX(Segments!$B$5:$B$12,B26)</f>
        <v/>
      </c>
      <c r="D26" s="18">
        <f>INDEX(Segments!$J$5:$J$12,B26)</f>
        <v/>
      </c>
      <c r="E26" s="19">
        <f>DATE(YEAR(C26)+INT((MONTH(C26)-1+(A26-D26))/12),MOD(MONTH(C26)-1+(A26-D26),12)+1,1)+(DAY(C26)-1)</f>
        <v/>
      </c>
      <c r="F26" s="20">
        <f>INDEX(Segments!$C$5:$C$12,B26)/100/12</f>
        <v/>
      </c>
      <c r="G26" s="21">
        <f>INDEX(Segments!$L$5:$L$12,B26)</f>
        <v/>
      </c>
      <c r="H26" s="6">
        <f>INDEX(Segments!$I$5:$I$12,B26)="Y"</f>
        <v/>
      </c>
      <c r="I26" s="6">
        <f>INDEX(Segments!$F$5:$F$12,B26)=""</f>
        <v/>
      </c>
      <c r="J26" s="18">
        <f>INDEX(Segments!$K$5:$K$12,B26)</f>
        <v/>
      </c>
      <c r="K26" s="18">
        <f>IF(INDEX(Segments!$F$5:$F$12,B26)&lt;&gt;"",INDEX(Segments!$F$5:$F$12,B26),IF(INDEX(Segments!$E$5:$E$12,B26)&lt;&gt;"",INDEX(Segments!$E$5:$E$12,B26),""))</f>
        <v/>
      </c>
      <c r="L26" s="21">
        <f>AA25</f>
        <v/>
      </c>
      <c r="M26" s="21">
        <f>IFERROR(INDEX(Overrides!$C:$C,MATCH(A26,Overrides!$A:$A,0)),"")</f>
        <v/>
      </c>
      <c r="N26" s="21">
        <f>IFERROR(INDEX(Overrides!$E:$E,MATCH(A26,Overrides!$A:$A,0)),"")</f>
        <v/>
      </c>
      <c r="O26" s="21">
        <f>IFERROR(INDEX(Overrides!$D:$D,MATCH(A26,Overrides!$A:$A,0)),"")</f>
        <v/>
      </c>
      <c r="P26" s="21">
        <f>IFERROR(INDEX(Overrides!$B:$B,MATCH(A26,Overrides!$A:$A,0)),"")</f>
        <v/>
      </c>
      <c r="Q26" s="6">
        <f>IFERROR(INDEX(Overrides!$F:$F,MATCH(A26,Overrides!$A:$A,0)),"")</f>
        <v/>
      </c>
      <c r="R26" s="6">
        <f>ISNUMBER(MATCH(A26,Overrides!$A:$A,0))</f>
        <v/>
      </c>
      <c r="S26" s="6">
        <f>OR(ROUND(L26-ROUND(G26-T26,2),2)&lt;=0,AND(I26,K26&lt;&gt;"",(A26-D26+1)=K26))</f>
        <v/>
      </c>
      <c r="T26" s="21">
        <f>IF(M26&lt;&gt;"",M26,ROUND(L26*F26,2))</f>
        <v/>
      </c>
      <c r="U26" s="21">
        <f>IF(R26,IF(O26&lt;&gt;"",O26,IF(N26&lt;&gt;"",ROUND(L26-N26,2),ROUND((IF(P26&lt;&gt;"",P26,G26))-T26,2))),IF(H26,0,IF(S26,L26,ROUND(G26-T26,2))))</f>
        <v/>
      </c>
      <c r="V26" s="21">
        <f>IF(R26,IF(P26&lt;&gt;"",P26,ROUND(T26+U26,2)),IF(H26,T26,IF(S26,ROUND(T26+U26,2),G26)))</f>
        <v/>
      </c>
      <c r="W26" s="21">
        <f>IF(R26,IF(N26&lt;&gt;"",N26,ROUND(L26-U26,2)),IF(H26,L26,IF(S26,0,ROUND(L26-U26,2))))</f>
        <v/>
      </c>
      <c r="X26" s="21">
        <f>IFERROR(MIN(INDEX(LumpSums!$B:$B,MATCH(A26,LumpSums!$A:$A,0)),W26),0)</f>
        <v/>
      </c>
      <c r="Y26" s="21">
        <f>ROUND(U26+X26,2)</f>
        <v/>
      </c>
      <c r="Z26" s="21">
        <f>ROUND(V26+X26,2)</f>
        <v/>
      </c>
      <c r="AA26" s="21">
        <f>ROUND(W26-X26,2)</f>
        <v/>
      </c>
      <c r="AB26" s="6">
        <f>AND(AB25,L26&gt;0)</f>
        <v/>
      </c>
      <c r="AC26" s="21">
        <f>IF(PMI_Costs!$B$8=0,0,ROUND(PMI_Costs!$B$8*(1+PMI_Costs!$B$9/100)^INT((A26-1)/12)/12,2))</f>
        <v/>
      </c>
      <c r="AD26" s="21">
        <f>IF(PMI_Costs!$B$10=0,0,ROUND(PMI_Costs!$B$10*(1+PMI_Costs!$B$11/100)^INT((A26-1)/12)/12,2))</f>
        <v/>
      </c>
      <c r="AE26" s="21">
        <f>IF(PMI_Costs!$B$12=0,0,ROUND(PMI_Costs!$B$12*(1+PMI_Costs!$B$13/100)^INT((A26-1)/12)/12,2))</f>
        <v/>
      </c>
      <c r="AF26" s="22">
        <f>IF(PMI_Costs!$B$5=0,0,AA26/PMI_Costs!$B$5)</f>
        <v/>
      </c>
      <c r="AG26" s="6">
        <f>AND(PMI_Costs!$B$4&gt;0,AF26&gt;PMI_Costs!$B$6/100)</f>
        <v/>
      </c>
      <c r="AH26" s="21">
        <f>IF(AG26,ROUND(Segments!$G$5*PMI_Costs!$B$4/100/12,2),0)</f>
        <v/>
      </c>
      <c r="AI26" s="6">
        <f>AND(NOT(AG26),AG25)</f>
        <v/>
      </c>
    </row>
    <row r="27">
      <c r="A27" s="18" t="n">
        <v>23</v>
      </c>
      <c r="B27" s="18">
        <f>SUMPRODUCT((Segments!$J$5:$J$12&lt;&gt;"")*(Segments!$J$5:$J$12&lt;=A27))</f>
        <v/>
      </c>
      <c r="C27" s="19">
        <f>INDEX(Segments!$B$5:$B$12,B27)</f>
        <v/>
      </c>
      <c r="D27" s="18">
        <f>INDEX(Segments!$J$5:$J$12,B27)</f>
        <v/>
      </c>
      <c r="E27" s="19">
        <f>DATE(YEAR(C27)+INT((MONTH(C27)-1+(A27-D27))/12),MOD(MONTH(C27)-1+(A27-D27),12)+1,1)+(DAY(C27)-1)</f>
        <v/>
      </c>
      <c r="F27" s="20">
        <f>INDEX(Segments!$C$5:$C$12,B27)/100/12</f>
        <v/>
      </c>
      <c r="G27" s="21">
        <f>INDEX(Segments!$L$5:$L$12,B27)</f>
        <v/>
      </c>
      <c r="H27" s="6">
        <f>INDEX(Segments!$I$5:$I$12,B27)="Y"</f>
        <v/>
      </c>
      <c r="I27" s="6">
        <f>INDEX(Segments!$F$5:$F$12,B27)=""</f>
        <v/>
      </c>
      <c r="J27" s="18">
        <f>INDEX(Segments!$K$5:$K$12,B27)</f>
        <v/>
      </c>
      <c r="K27" s="18">
        <f>IF(INDEX(Segments!$F$5:$F$12,B27)&lt;&gt;"",INDEX(Segments!$F$5:$F$12,B27),IF(INDEX(Segments!$E$5:$E$12,B27)&lt;&gt;"",INDEX(Segments!$E$5:$E$12,B27),""))</f>
        <v/>
      </c>
      <c r="L27" s="21">
        <f>AA26</f>
        <v/>
      </c>
      <c r="M27" s="21">
        <f>IFERROR(INDEX(Overrides!$C:$C,MATCH(A27,Overrides!$A:$A,0)),"")</f>
        <v/>
      </c>
      <c r="N27" s="21">
        <f>IFERROR(INDEX(Overrides!$E:$E,MATCH(A27,Overrides!$A:$A,0)),"")</f>
        <v/>
      </c>
      <c r="O27" s="21">
        <f>IFERROR(INDEX(Overrides!$D:$D,MATCH(A27,Overrides!$A:$A,0)),"")</f>
        <v/>
      </c>
      <c r="P27" s="21">
        <f>IFERROR(INDEX(Overrides!$B:$B,MATCH(A27,Overrides!$A:$A,0)),"")</f>
        <v/>
      </c>
      <c r="Q27" s="6">
        <f>IFERROR(INDEX(Overrides!$F:$F,MATCH(A27,Overrides!$A:$A,0)),"")</f>
        <v/>
      </c>
      <c r="R27" s="6">
        <f>ISNUMBER(MATCH(A27,Overrides!$A:$A,0))</f>
        <v/>
      </c>
      <c r="S27" s="6">
        <f>OR(ROUND(L27-ROUND(G27-T27,2),2)&lt;=0,AND(I27,K27&lt;&gt;"",(A27-D27+1)=K27))</f>
        <v/>
      </c>
      <c r="T27" s="21">
        <f>IF(M27&lt;&gt;"",M27,ROUND(L27*F27,2))</f>
        <v/>
      </c>
      <c r="U27" s="21">
        <f>IF(R27,IF(O27&lt;&gt;"",O27,IF(N27&lt;&gt;"",ROUND(L27-N27,2),ROUND((IF(P27&lt;&gt;"",P27,G27))-T27,2))),IF(H27,0,IF(S27,L27,ROUND(G27-T27,2))))</f>
        <v/>
      </c>
      <c r="V27" s="21">
        <f>IF(R27,IF(P27&lt;&gt;"",P27,ROUND(T27+U27,2)),IF(H27,T27,IF(S27,ROUND(T27+U27,2),G27)))</f>
        <v/>
      </c>
      <c r="W27" s="21">
        <f>IF(R27,IF(N27&lt;&gt;"",N27,ROUND(L27-U27,2)),IF(H27,L27,IF(S27,0,ROUND(L27-U27,2))))</f>
        <v/>
      </c>
      <c r="X27" s="21">
        <f>IFERROR(MIN(INDEX(LumpSums!$B:$B,MATCH(A27,LumpSums!$A:$A,0)),W27),0)</f>
        <v/>
      </c>
      <c r="Y27" s="21">
        <f>ROUND(U27+X27,2)</f>
        <v/>
      </c>
      <c r="Z27" s="21">
        <f>ROUND(V27+X27,2)</f>
        <v/>
      </c>
      <c r="AA27" s="21">
        <f>ROUND(W27-X27,2)</f>
        <v/>
      </c>
      <c r="AB27" s="6">
        <f>AND(AB26,L27&gt;0)</f>
        <v/>
      </c>
      <c r="AC27" s="21">
        <f>IF(PMI_Costs!$B$8=0,0,ROUND(PMI_Costs!$B$8*(1+PMI_Costs!$B$9/100)^INT((A27-1)/12)/12,2))</f>
        <v/>
      </c>
      <c r="AD27" s="21">
        <f>IF(PMI_Costs!$B$10=0,0,ROUND(PMI_Costs!$B$10*(1+PMI_Costs!$B$11/100)^INT((A27-1)/12)/12,2))</f>
        <v/>
      </c>
      <c r="AE27" s="21">
        <f>IF(PMI_Costs!$B$12=0,0,ROUND(PMI_Costs!$B$12*(1+PMI_Costs!$B$13/100)^INT((A27-1)/12)/12,2))</f>
        <v/>
      </c>
      <c r="AF27" s="22">
        <f>IF(PMI_Costs!$B$5=0,0,AA27/PMI_Costs!$B$5)</f>
        <v/>
      </c>
      <c r="AG27" s="6">
        <f>AND(PMI_Costs!$B$4&gt;0,AF27&gt;PMI_Costs!$B$6/100)</f>
        <v/>
      </c>
      <c r="AH27" s="21">
        <f>IF(AG27,ROUND(Segments!$G$5*PMI_Costs!$B$4/100/12,2),0)</f>
        <v/>
      </c>
      <c r="AI27" s="6">
        <f>AND(NOT(AG27),AG26)</f>
        <v/>
      </c>
    </row>
    <row r="28">
      <c r="A28" s="18" t="n">
        <v>24</v>
      </c>
      <c r="B28" s="18">
        <f>SUMPRODUCT((Segments!$J$5:$J$12&lt;&gt;"")*(Segments!$J$5:$J$12&lt;=A28))</f>
        <v/>
      </c>
      <c r="C28" s="19">
        <f>INDEX(Segments!$B$5:$B$12,B28)</f>
        <v/>
      </c>
      <c r="D28" s="18">
        <f>INDEX(Segments!$J$5:$J$12,B28)</f>
        <v/>
      </c>
      <c r="E28" s="19">
        <f>DATE(YEAR(C28)+INT((MONTH(C28)-1+(A28-D28))/12),MOD(MONTH(C28)-1+(A28-D28),12)+1,1)+(DAY(C28)-1)</f>
        <v/>
      </c>
      <c r="F28" s="20">
        <f>INDEX(Segments!$C$5:$C$12,B28)/100/12</f>
        <v/>
      </c>
      <c r="G28" s="21">
        <f>INDEX(Segments!$L$5:$L$12,B28)</f>
        <v/>
      </c>
      <c r="H28" s="6">
        <f>INDEX(Segments!$I$5:$I$12,B28)="Y"</f>
        <v/>
      </c>
      <c r="I28" s="6">
        <f>INDEX(Segments!$F$5:$F$12,B28)=""</f>
        <v/>
      </c>
      <c r="J28" s="18">
        <f>INDEX(Segments!$K$5:$K$12,B28)</f>
        <v/>
      </c>
      <c r="K28" s="18">
        <f>IF(INDEX(Segments!$F$5:$F$12,B28)&lt;&gt;"",INDEX(Segments!$F$5:$F$12,B28),IF(INDEX(Segments!$E$5:$E$12,B28)&lt;&gt;"",INDEX(Segments!$E$5:$E$12,B28),""))</f>
        <v/>
      </c>
      <c r="L28" s="21">
        <f>AA27</f>
        <v/>
      </c>
      <c r="M28" s="21">
        <f>IFERROR(INDEX(Overrides!$C:$C,MATCH(A28,Overrides!$A:$A,0)),"")</f>
        <v/>
      </c>
      <c r="N28" s="21">
        <f>IFERROR(INDEX(Overrides!$E:$E,MATCH(A28,Overrides!$A:$A,0)),"")</f>
        <v/>
      </c>
      <c r="O28" s="21">
        <f>IFERROR(INDEX(Overrides!$D:$D,MATCH(A28,Overrides!$A:$A,0)),"")</f>
        <v/>
      </c>
      <c r="P28" s="21">
        <f>IFERROR(INDEX(Overrides!$B:$B,MATCH(A28,Overrides!$A:$A,0)),"")</f>
        <v/>
      </c>
      <c r="Q28" s="6">
        <f>IFERROR(INDEX(Overrides!$F:$F,MATCH(A28,Overrides!$A:$A,0)),"")</f>
        <v/>
      </c>
      <c r="R28" s="6">
        <f>ISNUMBER(MATCH(A28,Overrides!$A:$A,0))</f>
        <v/>
      </c>
      <c r="S28" s="6">
        <f>OR(ROUND(L28-ROUND(G28-T28,2),2)&lt;=0,AND(I28,K28&lt;&gt;"",(A28-D28+1)=K28))</f>
        <v/>
      </c>
      <c r="T28" s="21">
        <f>IF(M28&lt;&gt;"",M28,ROUND(L28*F28,2))</f>
        <v/>
      </c>
      <c r="U28" s="21">
        <f>IF(R28,IF(O28&lt;&gt;"",O28,IF(N28&lt;&gt;"",ROUND(L28-N28,2),ROUND((IF(P28&lt;&gt;"",P28,G28))-T28,2))),IF(H28,0,IF(S28,L28,ROUND(G28-T28,2))))</f>
        <v/>
      </c>
      <c r="V28" s="21">
        <f>IF(R28,IF(P28&lt;&gt;"",P28,ROUND(T28+U28,2)),IF(H28,T28,IF(S28,ROUND(T28+U28,2),G28)))</f>
        <v/>
      </c>
      <c r="W28" s="21">
        <f>IF(R28,IF(N28&lt;&gt;"",N28,ROUND(L28-U28,2)),IF(H28,L28,IF(S28,0,ROUND(L28-U28,2))))</f>
        <v/>
      </c>
      <c r="X28" s="21">
        <f>IFERROR(MIN(INDEX(LumpSums!$B:$B,MATCH(A28,LumpSums!$A:$A,0)),W28),0)</f>
        <v/>
      </c>
      <c r="Y28" s="21">
        <f>ROUND(U28+X28,2)</f>
        <v/>
      </c>
      <c r="Z28" s="21">
        <f>ROUND(V28+X28,2)</f>
        <v/>
      </c>
      <c r="AA28" s="21">
        <f>ROUND(W28-X28,2)</f>
        <v/>
      </c>
      <c r="AB28" s="6">
        <f>AND(AB27,L28&gt;0)</f>
        <v/>
      </c>
      <c r="AC28" s="21">
        <f>IF(PMI_Costs!$B$8=0,0,ROUND(PMI_Costs!$B$8*(1+PMI_Costs!$B$9/100)^INT((A28-1)/12)/12,2))</f>
        <v/>
      </c>
      <c r="AD28" s="21">
        <f>IF(PMI_Costs!$B$10=0,0,ROUND(PMI_Costs!$B$10*(1+PMI_Costs!$B$11/100)^INT((A28-1)/12)/12,2))</f>
        <v/>
      </c>
      <c r="AE28" s="21">
        <f>IF(PMI_Costs!$B$12=0,0,ROUND(PMI_Costs!$B$12*(1+PMI_Costs!$B$13/100)^INT((A28-1)/12)/12,2))</f>
        <v/>
      </c>
      <c r="AF28" s="22">
        <f>IF(PMI_Costs!$B$5=0,0,AA28/PMI_Costs!$B$5)</f>
        <v/>
      </c>
      <c r="AG28" s="6">
        <f>AND(PMI_Costs!$B$4&gt;0,AF28&gt;PMI_Costs!$B$6/100)</f>
        <v/>
      </c>
      <c r="AH28" s="21">
        <f>IF(AG28,ROUND(Segments!$G$5*PMI_Costs!$B$4/100/12,2),0)</f>
        <v/>
      </c>
      <c r="AI28" s="6">
        <f>AND(NOT(AG28),AG27)</f>
        <v/>
      </c>
    </row>
    <row r="29">
      <c r="A29" s="18" t="n">
        <v>25</v>
      </c>
      <c r="B29" s="18">
        <f>SUMPRODUCT((Segments!$J$5:$J$12&lt;&gt;"")*(Segments!$J$5:$J$12&lt;=A29))</f>
        <v/>
      </c>
      <c r="C29" s="19">
        <f>INDEX(Segments!$B$5:$B$12,B29)</f>
        <v/>
      </c>
      <c r="D29" s="18">
        <f>INDEX(Segments!$J$5:$J$12,B29)</f>
        <v/>
      </c>
      <c r="E29" s="19">
        <f>DATE(YEAR(C29)+INT((MONTH(C29)-1+(A29-D29))/12),MOD(MONTH(C29)-1+(A29-D29),12)+1,1)+(DAY(C29)-1)</f>
        <v/>
      </c>
      <c r="F29" s="20">
        <f>INDEX(Segments!$C$5:$C$12,B29)/100/12</f>
        <v/>
      </c>
      <c r="G29" s="21">
        <f>INDEX(Segments!$L$5:$L$12,B29)</f>
        <v/>
      </c>
      <c r="H29" s="6">
        <f>INDEX(Segments!$I$5:$I$12,B29)="Y"</f>
        <v/>
      </c>
      <c r="I29" s="6">
        <f>INDEX(Segments!$F$5:$F$12,B29)=""</f>
        <v/>
      </c>
      <c r="J29" s="18">
        <f>INDEX(Segments!$K$5:$K$12,B29)</f>
        <v/>
      </c>
      <c r="K29" s="18">
        <f>IF(INDEX(Segments!$F$5:$F$12,B29)&lt;&gt;"",INDEX(Segments!$F$5:$F$12,B29),IF(INDEX(Segments!$E$5:$E$12,B29)&lt;&gt;"",INDEX(Segments!$E$5:$E$12,B29),""))</f>
        <v/>
      </c>
      <c r="L29" s="21">
        <f>AA28</f>
        <v/>
      </c>
      <c r="M29" s="21">
        <f>IFERROR(INDEX(Overrides!$C:$C,MATCH(A29,Overrides!$A:$A,0)),"")</f>
        <v/>
      </c>
      <c r="N29" s="21">
        <f>IFERROR(INDEX(Overrides!$E:$E,MATCH(A29,Overrides!$A:$A,0)),"")</f>
        <v/>
      </c>
      <c r="O29" s="21">
        <f>IFERROR(INDEX(Overrides!$D:$D,MATCH(A29,Overrides!$A:$A,0)),"")</f>
        <v/>
      </c>
      <c r="P29" s="21">
        <f>IFERROR(INDEX(Overrides!$B:$B,MATCH(A29,Overrides!$A:$A,0)),"")</f>
        <v/>
      </c>
      <c r="Q29" s="6">
        <f>IFERROR(INDEX(Overrides!$F:$F,MATCH(A29,Overrides!$A:$A,0)),"")</f>
        <v/>
      </c>
      <c r="R29" s="6">
        <f>ISNUMBER(MATCH(A29,Overrides!$A:$A,0))</f>
        <v/>
      </c>
      <c r="S29" s="6">
        <f>OR(ROUND(L29-ROUND(G29-T29,2),2)&lt;=0,AND(I29,K29&lt;&gt;"",(A29-D29+1)=K29))</f>
        <v/>
      </c>
      <c r="T29" s="21">
        <f>IF(M29&lt;&gt;"",M29,ROUND(L29*F29,2))</f>
        <v/>
      </c>
      <c r="U29" s="21">
        <f>IF(R29,IF(O29&lt;&gt;"",O29,IF(N29&lt;&gt;"",ROUND(L29-N29,2),ROUND((IF(P29&lt;&gt;"",P29,G29))-T29,2))),IF(H29,0,IF(S29,L29,ROUND(G29-T29,2))))</f>
        <v/>
      </c>
      <c r="V29" s="21">
        <f>IF(R29,IF(P29&lt;&gt;"",P29,ROUND(T29+U29,2)),IF(H29,T29,IF(S29,ROUND(T29+U29,2),G29)))</f>
        <v/>
      </c>
      <c r="W29" s="21">
        <f>IF(R29,IF(N29&lt;&gt;"",N29,ROUND(L29-U29,2)),IF(H29,L29,IF(S29,0,ROUND(L29-U29,2))))</f>
        <v/>
      </c>
      <c r="X29" s="21">
        <f>IFERROR(MIN(INDEX(LumpSums!$B:$B,MATCH(A29,LumpSums!$A:$A,0)),W29),0)</f>
        <v/>
      </c>
      <c r="Y29" s="21">
        <f>ROUND(U29+X29,2)</f>
        <v/>
      </c>
      <c r="Z29" s="21">
        <f>ROUND(V29+X29,2)</f>
        <v/>
      </c>
      <c r="AA29" s="21">
        <f>ROUND(W29-X29,2)</f>
        <v/>
      </c>
      <c r="AB29" s="6">
        <f>AND(AB28,L29&gt;0)</f>
        <v/>
      </c>
      <c r="AC29" s="21">
        <f>IF(PMI_Costs!$B$8=0,0,ROUND(PMI_Costs!$B$8*(1+PMI_Costs!$B$9/100)^INT((A29-1)/12)/12,2))</f>
        <v/>
      </c>
      <c r="AD29" s="21">
        <f>IF(PMI_Costs!$B$10=0,0,ROUND(PMI_Costs!$B$10*(1+PMI_Costs!$B$11/100)^INT((A29-1)/12)/12,2))</f>
        <v/>
      </c>
      <c r="AE29" s="21">
        <f>IF(PMI_Costs!$B$12=0,0,ROUND(PMI_Costs!$B$12*(1+PMI_Costs!$B$13/100)^INT((A29-1)/12)/12,2))</f>
        <v/>
      </c>
      <c r="AF29" s="22">
        <f>IF(PMI_Costs!$B$5=0,0,AA29/PMI_Costs!$B$5)</f>
        <v/>
      </c>
      <c r="AG29" s="6">
        <f>AND(PMI_Costs!$B$4&gt;0,AF29&gt;PMI_Costs!$B$6/100)</f>
        <v/>
      </c>
      <c r="AH29" s="21">
        <f>IF(AG29,ROUND(Segments!$G$5*PMI_Costs!$B$4/100/12,2),0)</f>
        <v/>
      </c>
      <c r="AI29" s="6">
        <f>AND(NOT(AG29),AG28)</f>
        <v/>
      </c>
    </row>
    <row r="30">
      <c r="A30" s="18" t="n">
        <v>26</v>
      </c>
      <c r="B30" s="18">
        <f>SUMPRODUCT((Segments!$J$5:$J$12&lt;&gt;"")*(Segments!$J$5:$J$12&lt;=A30))</f>
        <v/>
      </c>
      <c r="C30" s="19">
        <f>INDEX(Segments!$B$5:$B$12,B30)</f>
        <v/>
      </c>
      <c r="D30" s="18">
        <f>INDEX(Segments!$J$5:$J$12,B30)</f>
        <v/>
      </c>
      <c r="E30" s="19">
        <f>DATE(YEAR(C30)+INT((MONTH(C30)-1+(A30-D30))/12),MOD(MONTH(C30)-1+(A30-D30),12)+1,1)+(DAY(C30)-1)</f>
        <v/>
      </c>
      <c r="F30" s="20">
        <f>INDEX(Segments!$C$5:$C$12,B30)/100/12</f>
        <v/>
      </c>
      <c r="G30" s="21">
        <f>INDEX(Segments!$L$5:$L$12,B30)</f>
        <v/>
      </c>
      <c r="H30" s="6">
        <f>INDEX(Segments!$I$5:$I$12,B30)="Y"</f>
        <v/>
      </c>
      <c r="I30" s="6">
        <f>INDEX(Segments!$F$5:$F$12,B30)=""</f>
        <v/>
      </c>
      <c r="J30" s="18">
        <f>INDEX(Segments!$K$5:$K$12,B30)</f>
        <v/>
      </c>
      <c r="K30" s="18">
        <f>IF(INDEX(Segments!$F$5:$F$12,B30)&lt;&gt;"",INDEX(Segments!$F$5:$F$12,B30),IF(INDEX(Segments!$E$5:$E$12,B30)&lt;&gt;"",INDEX(Segments!$E$5:$E$12,B30),""))</f>
        <v/>
      </c>
      <c r="L30" s="21">
        <f>AA29</f>
        <v/>
      </c>
      <c r="M30" s="21">
        <f>IFERROR(INDEX(Overrides!$C:$C,MATCH(A30,Overrides!$A:$A,0)),"")</f>
        <v/>
      </c>
      <c r="N30" s="21">
        <f>IFERROR(INDEX(Overrides!$E:$E,MATCH(A30,Overrides!$A:$A,0)),"")</f>
        <v/>
      </c>
      <c r="O30" s="21">
        <f>IFERROR(INDEX(Overrides!$D:$D,MATCH(A30,Overrides!$A:$A,0)),"")</f>
        <v/>
      </c>
      <c r="P30" s="21">
        <f>IFERROR(INDEX(Overrides!$B:$B,MATCH(A30,Overrides!$A:$A,0)),"")</f>
        <v/>
      </c>
      <c r="Q30" s="6">
        <f>IFERROR(INDEX(Overrides!$F:$F,MATCH(A30,Overrides!$A:$A,0)),"")</f>
        <v/>
      </c>
      <c r="R30" s="6">
        <f>ISNUMBER(MATCH(A30,Overrides!$A:$A,0))</f>
        <v/>
      </c>
      <c r="S30" s="6">
        <f>OR(ROUND(L30-ROUND(G30-T30,2),2)&lt;=0,AND(I30,K30&lt;&gt;"",(A30-D30+1)=K30))</f>
        <v/>
      </c>
      <c r="T30" s="21">
        <f>IF(M30&lt;&gt;"",M30,ROUND(L30*F30,2))</f>
        <v/>
      </c>
      <c r="U30" s="21">
        <f>IF(R30,IF(O30&lt;&gt;"",O30,IF(N30&lt;&gt;"",ROUND(L30-N30,2),ROUND((IF(P30&lt;&gt;"",P30,G30))-T30,2))),IF(H30,0,IF(S30,L30,ROUND(G30-T30,2))))</f>
        <v/>
      </c>
      <c r="V30" s="21">
        <f>IF(R30,IF(P30&lt;&gt;"",P30,ROUND(T30+U30,2)),IF(H30,T30,IF(S30,ROUND(T30+U30,2),G30)))</f>
        <v/>
      </c>
      <c r="W30" s="21">
        <f>IF(R30,IF(N30&lt;&gt;"",N30,ROUND(L30-U30,2)),IF(H30,L30,IF(S30,0,ROUND(L30-U30,2))))</f>
        <v/>
      </c>
      <c r="X30" s="21">
        <f>IFERROR(MIN(INDEX(LumpSums!$B:$B,MATCH(A30,LumpSums!$A:$A,0)),W30),0)</f>
        <v/>
      </c>
      <c r="Y30" s="21">
        <f>ROUND(U30+X30,2)</f>
        <v/>
      </c>
      <c r="Z30" s="21">
        <f>ROUND(V30+X30,2)</f>
        <v/>
      </c>
      <c r="AA30" s="21">
        <f>ROUND(W30-X30,2)</f>
        <v/>
      </c>
      <c r="AB30" s="6">
        <f>AND(AB29,L30&gt;0)</f>
        <v/>
      </c>
      <c r="AC30" s="21">
        <f>IF(PMI_Costs!$B$8=0,0,ROUND(PMI_Costs!$B$8*(1+PMI_Costs!$B$9/100)^INT((A30-1)/12)/12,2))</f>
        <v/>
      </c>
      <c r="AD30" s="21">
        <f>IF(PMI_Costs!$B$10=0,0,ROUND(PMI_Costs!$B$10*(1+PMI_Costs!$B$11/100)^INT((A30-1)/12)/12,2))</f>
        <v/>
      </c>
      <c r="AE30" s="21">
        <f>IF(PMI_Costs!$B$12=0,0,ROUND(PMI_Costs!$B$12*(1+PMI_Costs!$B$13/100)^INT((A30-1)/12)/12,2))</f>
        <v/>
      </c>
      <c r="AF30" s="22">
        <f>IF(PMI_Costs!$B$5=0,0,AA30/PMI_Costs!$B$5)</f>
        <v/>
      </c>
      <c r="AG30" s="6">
        <f>AND(PMI_Costs!$B$4&gt;0,AF30&gt;PMI_Costs!$B$6/100)</f>
        <v/>
      </c>
      <c r="AH30" s="21">
        <f>IF(AG30,ROUND(Segments!$G$5*PMI_Costs!$B$4/100/12,2),0)</f>
        <v/>
      </c>
      <c r="AI30" s="6">
        <f>AND(NOT(AG30),AG29)</f>
        <v/>
      </c>
    </row>
    <row r="31">
      <c r="A31" s="18" t="n">
        <v>27</v>
      </c>
      <c r="B31" s="18">
        <f>SUMPRODUCT((Segments!$J$5:$J$12&lt;&gt;"")*(Segments!$J$5:$J$12&lt;=A31))</f>
        <v/>
      </c>
      <c r="C31" s="19">
        <f>INDEX(Segments!$B$5:$B$12,B31)</f>
        <v/>
      </c>
      <c r="D31" s="18">
        <f>INDEX(Segments!$J$5:$J$12,B31)</f>
        <v/>
      </c>
      <c r="E31" s="19">
        <f>DATE(YEAR(C31)+INT((MONTH(C31)-1+(A31-D31))/12),MOD(MONTH(C31)-1+(A31-D31),12)+1,1)+(DAY(C31)-1)</f>
        <v/>
      </c>
      <c r="F31" s="20">
        <f>INDEX(Segments!$C$5:$C$12,B31)/100/12</f>
        <v/>
      </c>
      <c r="G31" s="21">
        <f>INDEX(Segments!$L$5:$L$12,B31)</f>
        <v/>
      </c>
      <c r="H31" s="6">
        <f>INDEX(Segments!$I$5:$I$12,B31)="Y"</f>
        <v/>
      </c>
      <c r="I31" s="6">
        <f>INDEX(Segments!$F$5:$F$12,B31)=""</f>
        <v/>
      </c>
      <c r="J31" s="18">
        <f>INDEX(Segments!$K$5:$K$12,B31)</f>
        <v/>
      </c>
      <c r="K31" s="18">
        <f>IF(INDEX(Segments!$F$5:$F$12,B31)&lt;&gt;"",INDEX(Segments!$F$5:$F$12,B31),IF(INDEX(Segments!$E$5:$E$12,B31)&lt;&gt;"",INDEX(Segments!$E$5:$E$12,B31),""))</f>
        <v/>
      </c>
      <c r="L31" s="21">
        <f>AA30</f>
        <v/>
      </c>
      <c r="M31" s="21">
        <f>IFERROR(INDEX(Overrides!$C:$C,MATCH(A31,Overrides!$A:$A,0)),"")</f>
        <v/>
      </c>
      <c r="N31" s="21">
        <f>IFERROR(INDEX(Overrides!$E:$E,MATCH(A31,Overrides!$A:$A,0)),"")</f>
        <v/>
      </c>
      <c r="O31" s="21">
        <f>IFERROR(INDEX(Overrides!$D:$D,MATCH(A31,Overrides!$A:$A,0)),"")</f>
        <v/>
      </c>
      <c r="P31" s="21">
        <f>IFERROR(INDEX(Overrides!$B:$B,MATCH(A31,Overrides!$A:$A,0)),"")</f>
        <v/>
      </c>
      <c r="Q31" s="6">
        <f>IFERROR(INDEX(Overrides!$F:$F,MATCH(A31,Overrides!$A:$A,0)),"")</f>
        <v/>
      </c>
      <c r="R31" s="6">
        <f>ISNUMBER(MATCH(A31,Overrides!$A:$A,0))</f>
        <v/>
      </c>
      <c r="S31" s="6">
        <f>OR(ROUND(L31-ROUND(G31-T31,2),2)&lt;=0,AND(I31,K31&lt;&gt;"",(A31-D31+1)=K31))</f>
        <v/>
      </c>
      <c r="T31" s="21">
        <f>IF(M31&lt;&gt;"",M31,ROUND(L31*F31,2))</f>
        <v/>
      </c>
      <c r="U31" s="21">
        <f>IF(R31,IF(O31&lt;&gt;"",O31,IF(N31&lt;&gt;"",ROUND(L31-N31,2),ROUND((IF(P31&lt;&gt;"",P31,G31))-T31,2))),IF(H31,0,IF(S31,L31,ROUND(G31-T31,2))))</f>
        <v/>
      </c>
      <c r="V31" s="21">
        <f>IF(R31,IF(P31&lt;&gt;"",P31,ROUND(T31+U31,2)),IF(H31,T31,IF(S31,ROUND(T31+U31,2),G31)))</f>
        <v/>
      </c>
      <c r="W31" s="21">
        <f>IF(R31,IF(N31&lt;&gt;"",N31,ROUND(L31-U31,2)),IF(H31,L31,IF(S31,0,ROUND(L31-U31,2))))</f>
        <v/>
      </c>
      <c r="X31" s="21">
        <f>IFERROR(MIN(INDEX(LumpSums!$B:$B,MATCH(A31,LumpSums!$A:$A,0)),W31),0)</f>
        <v/>
      </c>
      <c r="Y31" s="21">
        <f>ROUND(U31+X31,2)</f>
        <v/>
      </c>
      <c r="Z31" s="21">
        <f>ROUND(V31+X31,2)</f>
        <v/>
      </c>
      <c r="AA31" s="21">
        <f>ROUND(W31-X31,2)</f>
        <v/>
      </c>
      <c r="AB31" s="6">
        <f>AND(AB30,L31&gt;0)</f>
        <v/>
      </c>
      <c r="AC31" s="21">
        <f>IF(PMI_Costs!$B$8=0,0,ROUND(PMI_Costs!$B$8*(1+PMI_Costs!$B$9/100)^INT((A31-1)/12)/12,2))</f>
        <v/>
      </c>
      <c r="AD31" s="21">
        <f>IF(PMI_Costs!$B$10=0,0,ROUND(PMI_Costs!$B$10*(1+PMI_Costs!$B$11/100)^INT((A31-1)/12)/12,2))</f>
        <v/>
      </c>
      <c r="AE31" s="21">
        <f>IF(PMI_Costs!$B$12=0,0,ROUND(PMI_Costs!$B$12*(1+PMI_Costs!$B$13/100)^INT((A31-1)/12)/12,2))</f>
        <v/>
      </c>
      <c r="AF31" s="22">
        <f>IF(PMI_Costs!$B$5=0,0,AA31/PMI_Costs!$B$5)</f>
        <v/>
      </c>
      <c r="AG31" s="6">
        <f>AND(PMI_Costs!$B$4&gt;0,AF31&gt;PMI_Costs!$B$6/100)</f>
        <v/>
      </c>
      <c r="AH31" s="21">
        <f>IF(AG31,ROUND(Segments!$G$5*PMI_Costs!$B$4/100/12,2),0)</f>
        <v/>
      </c>
      <c r="AI31" s="6">
        <f>AND(NOT(AG31),AG30)</f>
        <v/>
      </c>
    </row>
    <row r="32">
      <c r="A32" s="18" t="n">
        <v>28</v>
      </c>
      <c r="B32" s="18">
        <f>SUMPRODUCT((Segments!$J$5:$J$12&lt;&gt;"")*(Segments!$J$5:$J$12&lt;=A32))</f>
        <v/>
      </c>
      <c r="C32" s="19">
        <f>INDEX(Segments!$B$5:$B$12,B32)</f>
        <v/>
      </c>
      <c r="D32" s="18">
        <f>INDEX(Segments!$J$5:$J$12,B32)</f>
        <v/>
      </c>
      <c r="E32" s="19">
        <f>DATE(YEAR(C32)+INT((MONTH(C32)-1+(A32-D32))/12),MOD(MONTH(C32)-1+(A32-D32),12)+1,1)+(DAY(C32)-1)</f>
        <v/>
      </c>
      <c r="F32" s="20">
        <f>INDEX(Segments!$C$5:$C$12,B32)/100/12</f>
        <v/>
      </c>
      <c r="G32" s="21">
        <f>INDEX(Segments!$L$5:$L$12,B32)</f>
        <v/>
      </c>
      <c r="H32" s="6">
        <f>INDEX(Segments!$I$5:$I$12,B32)="Y"</f>
        <v/>
      </c>
      <c r="I32" s="6">
        <f>INDEX(Segments!$F$5:$F$12,B32)=""</f>
        <v/>
      </c>
      <c r="J32" s="18">
        <f>INDEX(Segments!$K$5:$K$12,B32)</f>
        <v/>
      </c>
      <c r="K32" s="18">
        <f>IF(INDEX(Segments!$F$5:$F$12,B32)&lt;&gt;"",INDEX(Segments!$F$5:$F$12,B32),IF(INDEX(Segments!$E$5:$E$12,B32)&lt;&gt;"",INDEX(Segments!$E$5:$E$12,B32),""))</f>
        <v/>
      </c>
      <c r="L32" s="21">
        <f>AA31</f>
        <v/>
      </c>
      <c r="M32" s="21">
        <f>IFERROR(INDEX(Overrides!$C:$C,MATCH(A32,Overrides!$A:$A,0)),"")</f>
        <v/>
      </c>
      <c r="N32" s="21">
        <f>IFERROR(INDEX(Overrides!$E:$E,MATCH(A32,Overrides!$A:$A,0)),"")</f>
        <v/>
      </c>
      <c r="O32" s="21">
        <f>IFERROR(INDEX(Overrides!$D:$D,MATCH(A32,Overrides!$A:$A,0)),"")</f>
        <v/>
      </c>
      <c r="P32" s="21">
        <f>IFERROR(INDEX(Overrides!$B:$B,MATCH(A32,Overrides!$A:$A,0)),"")</f>
        <v/>
      </c>
      <c r="Q32" s="6">
        <f>IFERROR(INDEX(Overrides!$F:$F,MATCH(A32,Overrides!$A:$A,0)),"")</f>
        <v/>
      </c>
      <c r="R32" s="6">
        <f>ISNUMBER(MATCH(A32,Overrides!$A:$A,0))</f>
        <v/>
      </c>
      <c r="S32" s="6">
        <f>OR(ROUND(L32-ROUND(G32-T32,2),2)&lt;=0,AND(I32,K32&lt;&gt;"",(A32-D32+1)=K32))</f>
        <v/>
      </c>
      <c r="T32" s="21">
        <f>IF(M32&lt;&gt;"",M32,ROUND(L32*F32,2))</f>
        <v/>
      </c>
      <c r="U32" s="21">
        <f>IF(R32,IF(O32&lt;&gt;"",O32,IF(N32&lt;&gt;"",ROUND(L32-N32,2),ROUND((IF(P32&lt;&gt;"",P32,G32))-T32,2))),IF(H32,0,IF(S32,L32,ROUND(G32-T32,2))))</f>
        <v/>
      </c>
      <c r="V32" s="21">
        <f>IF(R32,IF(P32&lt;&gt;"",P32,ROUND(T32+U32,2)),IF(H32,T32,IF(S32,ROUND(T32+U32,2),G32)))</f>
        <v/>
      </c>
      <c r="W32" s="21">
        <f>IF(R32,IF(N32&lt;&gt;"",N32,ROUND(L32-U32,2)),IF(H32,L32,IF(S32,0,ROUND(L32-U32,2))))</f>
        <v/>
      </c>
      <c r="X32" s="21">
        <f>IFERROR(MIN(INDEX(LumpSums!$B:$B,MATCH(A32,LumpSums!$A:$A,0)),W32),0)</f>
        <v/>
      </c>
      <c r="Y32" s="21">
        <f>ROUND(U32+X32,2)</f>
        <v/>
      </c>
      <c r="Z32" s="21">
        <f>ROUND(V32+X32,2)</f>
        <v/>
      </c>
      <c r="AA32" s="21">
        <f>ROUND(W32-X32,2)</f>
        <v/>
      </c>
      <c r="AB32" s="6">
        <f>AND(AB31,L32&gt;0)</f>
        <v/>
      </c>
      <c r="AC32" s="21">
        <f>IF(PMI_Costs!$B$8=0,0,ROUND(PMI_Costs!$B$8*(1+PMI_Costs!$B$9/100)^INT((A32-1)/12)/12,2))</f>
        <v/>
      </c>
      <c r="AD32" s="21">
        <f>IF(PMI_Costs!$B$10=0,0,ROUND(PMI_Costs!$B$10*(1+PMI_Costs!$B$11/100)^INT((A32-1)/12)/12,2))</f>
        <v/>
      </c>
      <c r="AE32" s="21">
        <f>IF(PMI_Costs!$B$12=0,0,ROUND(PMI_Costs!$B$12*(1+PMI_Costs!$B$13/100)^INT((A32-1)/12)/12,2))</f>
        <v/>
      </c>
      <c r="AF32" s="22">
        <f>IF(PMI_Costs!$B$5=0,0,AA32/PMI_Costs!$B$5)</f>
        <v/>
      </c>
      <c r="AG32" s="6">
        <f>AND(PMI_Costs!$B$4&gt;0,AF32&gt;PMI_Costs!$B$6/100)</f>
        <v/>
      </c>
      <c r="AH32" s="21">
        <f>IF(AG32,ROUND(Segments!$G$5*PMI_Costs!$B$4/100/12,2),0)</f>
        <v/>
      </c>
      <c r="AI32" s="6">
        <f>AND(NOT(AG32),AG31)</f>
        <v/>
      </c>
    </row>
    <row r="33">
      <c r="A33" s="18" t="n">
        <v>29</v>
      </c>
      <c r="B33" s="18">
        <f>SUMPRODUCT((Segments!$J$5:$J$12&lt;&gt;"")*(Segments!$J$5:$J$12&lt;=A33))</f>
        <v/>
      </c>
      <c r="C33" s="19">
        <f>INDEX(Segments!$B$5:$B$12,B33)</f>
        <v/>
      </c>
      <c r="D33" s="18">
        <f>INDEX(Segments!$J$5:$J$12,B33)</f>
        <v/>
      </c>
      <c r="E33" s="19">
        <f>DATE(YEAR(C33)+INT((MONTH(C33)-1+(A33-D33))/12),MOD(MONTH(C33)-1+(A33-D33),12)+1,1)+(DAY(C33)-1)</f>
        <v/>
      </c>
      <c r="F33" s="20">
        <f>INDEX(Segments!$C$5:$C$12,B33)/100/12</f>
        <v/>
      </c>
      <c r="G33" s="21">
        <f>INDEX(Segments!$L$5:$L$12,B33)</f>
        <v/>
      </c>
      <c r="H33" s="6">
        <f>INDEX(Segments!$I$5:$I$12,B33)="Y"</f>
        <v/>
      </c>
      <c r="I33" s="6">
        <f>INDEX(Segments!$F$5:$F$12,B33)=""</f>
        <v/>
      </c>
      <c r="J33" s="18">
        <f>INDEX(Segments!$K$5:$K$12,B33)</f>
        <v/>
      </c>
      <c r="K33" s="18">
        <f>IF(INDEX(Segments!$F$5:$F$12,B33)&lt;&gt;"",INDEX(Segments!$F$5:$F$12,B33),IF(INDEX(Segments!$E$5:$E$12,B33)&lt;&gt;"",INDEX(Segments!$E$5:$E$12,B33),""))</f>
        <v/>
      </c>
      <c r="L33" s="21">
        <f>AA32</f>
        <v/>
      </c>
      <c r="M33" s="21">
        <f>IFERROR(INDEX(Overrides!$C:$C,MATCH(A33,Overrides!$A:$A,0)),"")</f>
        <v/>
      </c>
      <c r="N33" s="21">
        <f>IFERROR(INDEX(Overrides!$E:$E,MATCH(A33,Overrides!$A:$A,0)),"")</f>
        <v/>
      </c>
      <c r="O33" s="21">
        <f>IFERROR(INDEX(Overrides!$D:$D,MATCH(A33,Overrides!$A:$A,0)),"")</f>
        <v/>
      </c>
      <c r="P33" s="21">
        <f>IFERROR(INDEX(Overrides!$B:$B,MATCH(A33,Overrides!$A:$A,0)),"")</f>
        <v/>
      </c>
      <c r="Q33" s="6">
        <f>IFERROR(INDEX(Overrides!$F:$F,MATCH(A33,Overrides!$A:$A,0)),"")</f>
        <v/>
      </c>
      <c r="R33" s="6">
        <f>ISNUMBER(MATCH(A33,Overrides!$A:$A,0))</f>
        <v/>
      </c>
      <c r="S33" s="6">
        <f>OR(ROUND(L33-ROUND(G33-T33,2),2)&lt;=0,AND(I33,K33&lt;&gt;"",(A33-D33+1)=K33))</f>
        <v/>
      </c>
      <c r="T33" s="21">
        <f>IF(M33&lt;&gt;"",M33,ROUND(L33*F33,2))</f>
        <v/>
      </c>
      <c r="U33" s="21">
        <f>IF(R33,IF(O33&lt;&gt;"",O33,IF(N33&lt;&gt;"",ROUND(L33-N33,2),ROUND((IF(P33&lt;&gt;"",P33,G33))-T33,2))),IF(H33,0,IF(S33,L33,ROUND(G33-T33,2))))</f>
        <v/>
      </c>
      <c r="V33" s="21">
        <f>IF(R33,IF(P33&lt;&gt;"",P33,ROUND(T33+U33,2)),IF(H33,T33,IF(S33,ROUND(T33+U33,2),G33)))</f>
        <v/>
      </c>
      <c r="W33" s="21">
        <f>IF(R33,IF(N33&lt;&gt;"",N33,ROUND(L33-U33,2)),IF(H33,L33,IF(S33,0,ROUND(L33-U33,2))))</f>
        <v/>
      </c>
      <c r="X33" s="21">
        <f>IFERROR(MIN(INDEX(LumpSums!$B:$B,MATCH(A33,LumpSums!$A:$A,0)),W33),0)</f>
        <v/>
      </c>
      <c r="Y33" s="21">
        <f>ROUND(U33+X33,2)</f>
        <v/>
      </c>
      <c r="Z33" s="21">
        <f>ROUND(V33+X33,2)</f>
        <v/>
      </c>
      <c r="AA33" s="21">
        <f>ROUND(W33-X33,2)</f>
        <v/>
      </c>
      <c r="AB33" s="6">
        <f>AND(AB32,L33&gt;0)</f>
        <v/>
      </c>
      <c r="AC33" s="21">
        <f>IF(PMI_Costs!$B$8=0,0,ROUND(PMI_Costs!$B$8*(1+PMI_Costs!$B$9/100)^INT((A33-1)/12)/12,2))</f>
        <v/>
      </c>
      <c r="AD33" s="21">
        <f>IF(PMI_Costs!$B$10=0,0,ROUND(PMI_Costs!$B$10*(1+PMI_Costs!$B$11/100)^INT((A33-1)/12)/12,2))</f>
        <v/>
      </c>
      <c r="AE33" s="21">
        <f>IF(PMI_Costs!$B$12=0,0,ROUND(PMI_Costs!$B$12*(1+PMI_Costs!$B$13/100)^INT((A33-1)/12)/12,2))</f>
        <v/>
      </c>
      <c r="AF33" s="22">
        <f>IF(PMI_Costs!$B$5=0,0,AA33/PMI_Costs!$B$5)</f>
        <v/>
      </c>
      <c r="AG33" s="6">
        <f>AND(PMI_Costs!$B$4&gt;0,AF33&gt;PMI_Costs!$B$6/100)</f>
        <v/>
      </c>
      <c r="AH33" s="21">
        <f>IF(AG33,ROUND(Segments!$G$5*PMI_Costs!$B$4/100/12,2),0)</f>
        <v/>
      </c>
      <c r="AI33" s="6">
        <f>AND(NOT(AG33),AG32)</f>
        <v/>
      </c>
    </row>
    <row r="34">
      <c r="A34" s="18" t="n">
        <v>30</v>
      </c>
      <c r="B34" s="18">
        <f>SUMPRODUCT((Segments!$J$5:$J$12&lt;&gt;"")*(Segments!$J$5:$J$12&lt;=A34))</f>
        <v/>
      </c>
      <c r="C34" s="19">
        <f>INDEX(Segments!$B$5:$B$12,B34)</f>
        <v/>
      </c>
      <c r="D34" s="18">
        <f>INDEX(Segments!$J$5:$J$12,B34)</f>
        <v/>
      </c>
      <c r="E34" s="19">
        <f>DATE(YEAR(C34)+INT((MONTH(C34)-1+(A34-D34))/12),MOD(MONTH(C34)-1+(A34-D34),12)+1,1)+(DAY(C34)-1)</f>
        <v/>
      </c>
      <c r="F34" s="20">
        <f>INDEX(Segments!$C$5:$C$12,B34)/100/12</f>
        <v/>
      </c>
      <c r="G34" s="21">
        <f>INDEX(Segments!$L$5:$L$12,B34)</f>
        <v/>
      </c>
      <c r="H34" s="6">
        <f>INDEX(Segments!$I$5:$I$12,B34)="Y"</f>
        <v/>
      </c>
      <c r="I34" s="6">
        <f>INDEX(Segments!$F$5:$F$12,B34)=""</f>
        <v/>
      </c>
      <c r="J34" s="18">
        <f>INDEX(Segments!$K$5:$K$12,B34)</f>
        <v/>
      </c>
      <c r="K34" s="18">
        <f>IF(INDEX(Segments!$F$5:$F$12,B34)&lt;&gt;"",INDEX(Segments!$F$5:$F$12,B34),IF(INDEX(Segments!$E$5:$E$12,B34)&lt;&gt;"",INDEX(Segments!$E$5:$E$12,B34),""))</f>
        <v/>
      </c>
      <c r="L34" s="21">
        <f>AA33</f>
        <v/>
      </c>
      <c r="M34" s="21">
        <f>IFERROR(INDEX(Overrides!$C:$C,MATCH(A34,Overrides!$A:$A,0)),"")</f>
        <v/>
      </c>
      <c r="N34" s="21">
        <f>IFERROR(INDEX(Overrides!$E:$E,MATCH(A34,Overrides!$A:$A,0)),"")</f>
        <v/>
      </c>
      <c r="O34" s="21">
        <f>IFERROR(INDEX(Overrides!$D:$D,MATCH(A34,Overrides!$A:$A,0)),"")</f>
        <v/>
      </c>
      <c r="P34" s="21">
        <f>IFERROR(INDEX(Overrides!$B:$B,MATCH(A34,Overrides!$A:$A,0)),"")</f>
        <v/>
      </c>
      <c r="Q34" s="6">
        <f>IFERROR(INDEX(Overrides!$F:$F,MATCH(A34,Overrides!$A:$A,0)),"")</f>
        <v/>
      </c>
      <c r="R34" s="6">
        <f>ISNUMBER(MATCH(A34,Overrides!$A:$A,0))</f>
        <v/>
      </c>
      <c r="S34" s="6">
        <f>OR(ROUND(L34-ROUND(G34-T34,2),2)&lt;=0,AND(I34,K34&lt;&gt;"",(A34-D34+1)=K34))</f>
        <v/>
      </c>
      <c r="T34" s="21">
        <f>IF(M34&lt;&gt;"",M34,ROUND(L34*F34,2))</f>
        <v/>
      </c>
      <c r="U34" s="21">
        <f>IF(R34,IF(O34&lt;&gt;"",O34,IF(N34&lt;&gt;"",ROUND(L34-N34,2),ROUND((IF(P34&lt;&gt;"",P34,G34))-T34,2))),IF(H34,0,IF(S34,L34,ROUND(G34-T34,2))))</f>
        <v/>
      </c>
      <c r="V34" s="21">
        <f>IF(R34,IF(P34&lt;&gt;"",P34,ROUND(T34+U34,2)),IF(H34,T34,IF(S34,ROUND(T34+U34,2),G34)))</f>
        <v/>
      </c>
      <c r="W34" s="21">
        <f>IF(R34,IF(N34&lt;&gt;"",N34,ROUND(L34-U34,2)),IF(H34,L34,IF(S34,0,ROUND(L34-U34,2))))</f>
        <v/>
      </c>
      <c r="X34" s="21">
        <f>IFERROR(MIN(INDEX(LumpSums!$B:$B,MATCH(A34,LumpSums!$A:$A,0)),W34),0)</f>
        <v/>
      </c>
      <c r="Y34" s="21">
        <f>ROUND(U34+X34,2)</f>
        <v/>
      </c>
      <c r="Z34" s="21">
        <f>ROUND(V34+X34,2)</f>
        <v/>
      </c>
      <c r="AA34" s="21">
        <f>ROUND(W34-X34,2)</f>
        <v/>
      </c>
      <c r="AB34" s="6">
        <f>AND(AB33,L34&gt;0)</f>
        <v/>
      </c>
      <c r="AC34" s="21">
        <f>IF(PMI_Costs!$B$8=0,0,ROUND(PMI_Costs!$B$8*(1+PMI_Costs!$B$9/100)^INT((A34-1)/12)/12,2))</f>
        <v/>
      </c>
      <c r="AD34" s="21">
        <f>IF(PMI_Costs!$B$10=0,0,ROUND(PMI_Costs!$B$10*(1+PMI_Costs!$B$11/100)^INT((A34-1)/12)/12,2))</f>
        <v/>
      </c>
      <c r="AE34" s="21">
        <f>IF(PMI_Costs!$B$12=0,0,ROUND(PMI_Costs!$B$12*(1+PMI_Costs!$B$13/100)^INT((A34-1)/12)/12,2))</f>
        <v/>
      </c>
      <c r="AF34" s="22">
        <f>IF(PMI_Costs!$B$5=0,0,AA34/PMI_Costs!$B$5)</f>
        <v/>
      </c>
      <c r="AG34" s="6">
        <f>AND(PMI_Costs!$B$4&gt;0,AF34&gt;PMI_Costs!$B$6/100)</f>
        <v/>
      </c>
      <c r="AH34" s="21">
        <f>IF(AG34,ROUND(Segments!$G$5*PMI_Costs!$B$4/100/12,2),0)</f>
        <v/>
      </c>
      <c r="AI34" s="6">
        <f>AND(NOT(AG34),AG33)</f>
        <v/>
      </c>
    </row>
    <row r="35">
      <c r="A35" s="18" t="n">
        <v>31</v>
      </c>
      <c r="B35" s="18">
        <f>SUMPRODUCT((Segments!$J$5:$J$12&lt;&gt;"")*(Segments!$J$5:$J$12&lt;=A35))</f>
        <v/>
      </c>
      <c r="C35" s="19">
        <f>INDEX(Segments!$B$5:$B$12,B35)</f>
        <v/>
      </c>
      <c r="D35" s="18">
        <f>INDEX(Segments!$J$5:$J$12,B35)</f>
        <v/>
      </c>
      <c r="E35" s="19">
        <f>DATE(YEAR(C35)+INT((MONTH(C35)-1+(A35-D35))/12),MOD(MONTH(C35)-1+(A35-D35),12)+1,1)+(DAY(C35)-1)</f>
        <v/>
      </c>
      <c r="F35" s="20">
        <f>INDEX(Segments!$C$5:$C$12,B35)/100/12</f>
        <v/>
      </c>
      <c r="G35" s="21">
        <f>INDEX(Segments!$L$5:$L$12,B35)</f>
        <v/>
      </c>
      <c r="H35" s="6">
        <f>INDEX(Segments!$I$5:$I$12,B35)="Y"</f>
        <v/>
      </c>
      <c r="I35" s="6">
        <f>INDEX(Segments!$F$5:$F$12,B35)=""</f>
        <v/>
      </c>
      <c r="J35" s="18">
        <f>INDEX(Segments!$K$5:$K$12,B35)</f>
        <v/>
      </c>
      <c r="K35" s="18">
        <f>IF(INDEX(Segments!$F$5:$F$12,B35)&lt;&gt;"",INDEX(Segments!$F$5:$F$12,B35),IF(INDEX(Segments!$E$5:$E$12,B35)&lt;&gt;"",INDEX(Segments!$E$5:$E$12,B35),""))</f>
        <v/>
      </c>
      <c r="L35" s="21">
        <f>AA34</f>
        <v/>
      </c>
      <c r="M35" s="21">
        <f>IFERROR(INDEX(Overrides!$C:$C,MATCH(A35,Overrides!$A:$A,0)),"")</f>
        <v/>
      </c>
      <c r="N35" s="21">
        <f>IFERROR(INDEX(Overrides!$E:$E,MATCH(A35,Overrides!$A:$A,0)),"")</f>
        <v/>
      </c>
      <c r="O35" s="21">
        <f>IFERROR(INDEX(Overrides!$D:$D,MATCH(A35,Overrides!$A:$A,0)),"")</f>
        <v/>
      </c>
      <c r="P35" s="21">
        <f>IFERROR(INDEX(Overrides!$B:$B,MATCH(A35,Overrides!$A:$A,0)),"")</f>
        <v/>
      </c>
      <c r="Q35" s="6">
        <f>IFERROR(INDEX(Overrides!$F:$F,MATCH(A35,Overrides!$A:$A,0)),"")</f>
        <v/>
      </c>
      <c r="R35" s="6">
        <f>ISNUMBER(MATCH(A35,Overrides!$A:$A,0))</f>
        <v/>
      </c>
      <c r="S35" s="6">
        <f>OR(ROUND(L35-ROUND(G35-T35,2),2)&lt;=0,AND(I35,K35&lt;&gt;"",(A35-D35+1)=K35))</f>
        <v/>
      </c>
      <c r="T35" s="21">
        <f>IF(M35&lt;&gt;"",M35,ROUND(L35*F35,2))</f>
        <v/>
      </c>
      <c r="U35" s="21">
        <f>IF(R35,IF(O35&lt;&gt;"",O35,IF(N35&lt;&gt;"",ROUND(L35-N35,2),ROUND((IF(P35&lt;&gt;"",P35,G35))-T35,2))),IF(H35,0,IF(S35,L35,ROUND(G35-T35,2))))</f>
        <v/>
      </c>
      <c r="V35" s="21">
        <f>IF(R35,IF(P35&lt;&gt;"",P35,ROUND(T35+U35,2)),IF(H35,T35,IF(S35,ROUND(T35+U35,2),G35)))</f>
        <v/>
      </c>
      <c r="W35" s="21">
        <f>IF(R35,IF(N35&lt;&gt;"",N35,ROUND(L35-U35,2)),IF(H35,L35,IF(S35,0,ROUND(L35-U35,2))))</f>
        <v/>
      </c>
      <c r="X35" s="21">
        <f>IFERROR(MIN(INDEX(LumpSums!$B:$B,MATCH(A35,LumpSums!$A:$A,0)),W35),0)</f>
        <v/>
      </c>
      <c r="Y35" s="21">
        <f>ROUND(U35+X35,2)</f>
        <v/>
      </c>
      <c r="Z35" s="21">
        <f>ROUND(V35+X35,2)</f>
        <v/>
      </c>
      <c r="AA35" s="21">
        <f>ROUND(W35-X35,2)</f>
        <v/>
      </c>
      <c r="AB35" s="6">
        <f>AND(AB34,L35&gt;0)</f>
        <v/>
      </c>
      <c r="AC35" s="21">
        <f>IF(PMI_Costs!$B$8=0,0,ROUND(PMI_Costs!$B$8*(1+PMI_Costs!$B$9/100)^INT((A35-1)/12)/12,2))</f>
        <v/>
      </c>
      <c r="AD35" s="21">
        <f>IF(PMI_Costs!$B$10=0,0,ROUND(PMI_Costs!$B$10*(1+PMI_Costs!$B$11/100)^INT((A35-1)/12)/12,2))</f>
        <v/>
      </c>
      <c r="AE35" s="21">
        <f>IF(PMI_Costs!$B$12=0,0,ROUND(PMI_Costs!$B$12*(1+PMI_Costs!$B$13/100)^INT((A35-1)/12)/12,2))</f>
        <v/>
      </c>
      <c r="AF35" s="22">
        <f>IF(PMI_Costs!$B$5=0,0,AA35/PMI_Costs!$B$5)</f>
        <v/>
      </c>
      <c r="AG35" s="6">
        <f>AND(PMI_Costs!$B$4&gt;0,AF35&gt;PMI_Costs!$B$6/100)</f>
        <v/>
      </c>
      <c r="AH35" s="21">
        <f>IF(AG35,ROUND(Segments!$G$5*PMI_Costs!$B$4/100/12,2),0)</f>
        <v/>
      </c>
      <c r="AI35" s="6">
        <f>AND(NOT(AG35),AG34)</f>
        <v/>
      </c>
    </row>
    <row r="36">
      <c r="A36" s="18" t="n">
        <v>32</v>
      </c>
      <c r="B36" s="18">
        <f>SUMPRODUCT((Segments!$J$5:$J$12&lt;&gt;"")*(Segments!$J$5:$J$12&lt;=A36))</f>
        <v/>
      </c>
      <c r="C36" s="19">
        <f>INDEX(Segments!$B$5:$B$12,B36)</f>
        <v/>
      </c>
      <c r="D36" s="18">
        <f>INDEX(Segments!$J$5:$J$12,B36)</f>
        <v/>
      </c>
      <c r="E36" s="19">
        <f>DATE(YEAR(C36)+INT((MONTH(C36)-1+(A36-D36))/12),MOD(MONTH(C36)-1+(A36-D36),12)+1,1)+(DAY(C36)-1)</f>
        <v/>
      </c>
      <c r="F36" s="20">
        <f>INDEX(Segments!$C$5:$C$12,B36)/100/12</f>
        <v/>
      </c>
      <c r="G36" s="21">
        <f>INDEX(Segments!$L$5:$L$12,B36)</f>
        <v/>
      </c>
      <c r="H36" s="6">
        <f>INDEX(Segments!$I$5:$I$12,B36)="Y"</f>
        <v/>
      </c>
      <c r="I36" s="6">
        <f>INDEX(Segments!$F$5:$F$12,B36)=""</f>
        <v/>
      </c>
      <c r="J36" s="18">
        <f>INDEX(Segments!$K$5:$K$12,B36)</f>
        <v/>
      </c>
      <c r="K36" s="18">
        <f>IF(INDEX(Segments!$F$5:$F$12,B36)&lt;&gt;"",INDEX(Segments!$F$5:$F$12,B36),IF(INDEX(Segments!$E$5:$E$12,B36)&lt;&gt;"",INDEX(Segments!$E$5:$E$12,B36),""))</f>
        <v/>
      </c>
      <c r="L36" s="21">
        <f>AA35</f>
        <v/>
      </c>
      <c r="M36" s="21">
        <f>IFERROR(INDEX(Overrides!$C:$C,MATCH(A36,Overrides!$A:$A,0)),"")</f>
        <v/>
      </c>
      <c r="N36" s="21">
        <f>IFERROR(INDEX(Overrides!$E:$E,MATCH(A36,Overrides!$A:$A,0)),"")</f>
        <v/>
      </c>
      <c r="O36" s="21">
        <f>IFERROR(INDEX(Overrides!$D:$D,MATCH(A36,Overrides!$A:$A,0)),"")</f>
        <v/>
      </c>
      <c r="P36" s="21">
        <f>IFERROR(INDEX(Overrides!$B:$B,MATCH(A36,Overrides!$A:$A,0)),"")</f>
        <v/>
      </c>
      <c r="Q36" s="6">
        <f>IFERROR(INDEX(Overrides!$F:$F,MATCH(A36,Overrides!$A:$A,0)),"")</f>
        <v/>
      </c>
      <c r="R36" s="6">
        <f>ISNUMBER(MATCH(A36,Overrides!$A:$A,0))</f>
        <v/>
      </c>
      <c r="S36" s="6">
        <f>OR(ROUND(L36-ROUND(G36-T36,2),2)&lt;=0,AND(I36,K36&lt;&gt;"",(A36-D36+1)=K36))</f>
        <v/>
      </c>
      <c r="T36" s="21">
        <f>IF(M36&lt;&gt;"",M36,ROUND(L36*F36,2))</f>
        <v/>
      </c>
      <c r="U36" s="21">
        <f>IF(R36,IF(O36&lt;&gt;"",O36,IF(N36&lt;&gt;"",ROUND(L36-N36,2),ROUND((IF(P36&lt;&gt;"",P36,G36))-T36,2))),IF(H36,0,IF(S36,L36,ROUND(G36-T36,2))))</f>
        <v/>
      </c>
      <c r="V36" s="21">
        <f>IF(R36,IF(P36&lt;&gt;"",P36,ROUND(T36+U36,2)),IF(H36,T36,IF(S36,ROUND(T36+U36,2),G36)))</f>
        <v/>
      </c>
      <c r="W36" s="21">
        <f>IF(R36,IF(N36&lt;&gt;"",N36,ROUND(L36-U36,2)),IF(H36,L36,IF(S36,0,ROUND(L36-U36,2))))</f>
        <v/>
      </c>
      <c r="X36" s="21">
        <f>IFERROR(MIN(INDEX(LumpSums!$B:$B,MATCH(A36,LumpSums!$A:$A,0)),W36),0)</f>
        <v/>
      </c>
      <c r="Y36" s="21">
        <f>ROUND(U36+X36,2)</f>
        <v/>
      </c>
      <c r="Z36" s="21">
        <f>ROUND(V36+X36,2)</f>
        <v/>
      </c>
      <c r="AA36" s="21">
        <f>ROUND(W36-X36,2)</f>
        <v/>
      </c>
      <c r="AB36" s="6">
        <f>AND(AB35,L36&gt;0)</f>
        <v/>
      </c>
      <c r="AC36" s="21">
        <f>IF(PMI_Costs!$B$8=0,0,ROUND(PMI_Costs!$B$8*(1+PMI_Costs!$B$9/100)^INT((A36-1)/12)/12,2))</f>
        <v/>
      </c>
      <c r="AD36" s="21">
        <f>IF(PMI_Costs!$B$10=0,0,ROUND(PMI_Costs!$B$10*(1+PMI_Costs!$B$11/100)^INT((A36-1)/12)/12,2))</f>
        <v/>
      </c>
      <c r="AE36" s="21">
        <f>IF(PMI_Costs!$B$12=0,0,ROUND(PMI_Costs!$B$12*(1+PMI_Costs!$B$13/100)^INT((A36-1)/12)/12,2))</f>
        <v/>
      </c>
      <c r="AF36" s="22">
        <f>IF(PMI_Costs!$B$5=0,0,AA36/PMI_Costs!$B$5)</f>
        <v/>
      </c>
      <c r="AG36" s="6">
        <f>AND(PMI_Costs!$B$4&gt;0,AF36&gt;PMI_Costs!$B$6/100)</f>
        <v/>
      </c>
      <c r="AH36" s="21">
        <f>IF(AG36,ROUND(Segments!$G$5*PMI_Costs!$B$4/100/12,2),0)</f>
        <v/>
      </c>
      <c r="AI36" s="6">
        <f>AND(NOT(AG36),AG35)</f>
        <v/>
      </c>
    </row>
    <row r="37">
      <c r="A37" s="18" t="n">
        <v>33</v>
      </c>
      <c r="B37" s="18">
        <f>SUMPRODUCT((Segments!$J$5:$J$12&lt;&gt;"")*(Segments!$J$5:$J$12&lt;=A37))</f>
        <v/>
      </c>
      <c r="C37" s="19">
        <f>INDEX(Segments!$B$5:$B$12,B37)</f>
        <v/>
      </c>
      <c r="D37" s="18">
        <f>INDEX(Segments!$J$5:$J$12,B37)</f>
        <v/>
      </c>
      <c r="E37" s="19">
        <f>DATE(YEAR(C37)+INT((MONTH(C37)-1+(A37-D37))/12),MOD(MONTH(C37)-1+(A37-D37),12)+1,1)+(DAY(C37)-1)</f>
        <v/>
      </c>
      <c r="F37" s="20">
        <f>INDEX(Segments!$C$5:$C$12,B37)/100/12</f>
        <v/>
      </c>
      <c r="G37" s="21">
        <f>INDEX(Segments!$L$5:$L$12,B37)</f>
        <v/>
      </c>
      <c r="H37" s="6">
        <f>INDEX(Segments!$I$5:$I$12,B37)="Y"</f>
        <v/>
      </c>
      <c r="I37" s="6">
        <f>INDEX(Segments!$F$5:$F$12,B37)=""</f>
        <v/>
      </c>
      <c r="J37" s="18">
        <f>INDEX(Segments!$K$5:$K$12,B37)</f>
        <v/>
      </c>
      <c r="K37" s="18">
        <f>IF(INDEX(Segments!$F$5:$F$12,B37)&lt;&gt;"",INDEX(Segments!$F$5:$F$12,B37),IF(INDEX(Segments!$E$5:$E$12,B37)&lt;&gt;"",INDEX(Segments!$E$5:$E$12,B37),""))</f>
        <v/>
      </c>
      <c r="L37" s="21">
        <f>AA36</f>
        <v/>
      </c>
      <c r="M37" s="21">
        <f>IFERROR(INDEX(Overrides!$C:$C,MATCH(A37,Overrides!$A:$A,0)),"")</f>
        <v/>
      </c>
      <c r="N37" s="21">
        <f>IFERROR(INDEX(Overrides!$E:$E,MATCH(A37,Overrides!$A:$A,0)),"")</f>
        <v/>
      </c>
      <c r="O37" s="21">
        <f>IFERROR(INDEX(Overrides!$D:$D,MATCH(A37,Overrides!$A:$A,0)),"")</f>
        <v/>
      </c>
      <c r="P37" s="21">
        <f>IFERROR(INDEX(Overrides!$B:$B,MATCH(A37,Overrides!$A:$A,0)),"")</f>
        <v/>
      </c>
      <c r="Q37" s="6">
        <f>IFERROR(INDEX(Overrides!$F:$F,MATCH(A37,Overrides!$A:$A,0)),"")</f>
        <v/>
      </c>
      <c r="R37" s="6">
        <f>ISNUMBER(MATCH(A37,Overrides!$A:$A,0))</f>
        <v/>
      </c>
      <c r="S37" s="6">
        <f>OR(ROUND(L37-ROUND(G37-T37,2),2)&lt;=0,AND(I37,K37&lt;&gt;"",(A37-D37+1)=K37))</f>
        <v/>
      </c>
      <c r="T37" s="21">
        <f>IF(M37&lt;&gt;"",M37,ROUND(L37*F37,2))</f>
        <v/>
      </c>
      <c r="U37" s="21">
        <f>IF(R37,IF(O37&lt;&gt;"",O37,IF(N37&lt;&gt;"",ROUND(L37-N37,2),ROUND((IF(P37&lt;&gt;"",P37,G37))-T37,2))),IF(H37,0,IF(S37,L37,ROUND(G37-T37,2))))</f>
        <v/>
      </c>
      <c r="V37" s="21">
        <f>IF(R37,IF(P37&lt;&gt;"",P37,ROUND(T37+U37,2)),IF(H37,T37,IF(S37,ROUND(T37+U37,2),G37)))</f>
        <v/>
      </c>
      <c r="W37" s="21">
        <f>IF(R37,IF(N37&lt;&gt;"",N37,ROUND(L37-U37,2)),IF(H37,L37,IF(S37,0,ROUND(L37-U37,2))))</f>
        <v/>
      </c>
      <c r="X37" s="21">
        <f>IFERROR(MIN(INDEX(LumpSums!$B:$B,MATCH(A37,LumpSums!$A:$A,0)),W37),0)</f>
        <v/>
      </c>
      <c r="Y37" s="21">
        <f>ROUND(U37+X37,2)</f>
        <v/>
      </c>
      <c r="Z37" s="21">
        <f>ROUND(V37+X37,2)</f>
        <v/>
      </c>
      <c r="AA37" s="21">
        <f>ROUND(W37-X37,2)</f>
        <v/>
      </c>
      <c r="AB37" s="6">
        <f>AND(AB36,L37&gt;0)</f>
        <v/>
      </c>
      <c r="AC37" s="21">
        <f>IF(PMI_Costs!$B$8=0,0,ROUND(PMI_Costs!$B$8*(1+PMI_Costs!$B$9/100)^INT((A37-1)/12)/12,2))</f>
        <v/>
      </c>
      <c r="AD37" s="21">
        <f>IF(PMI_Costs!$B$10=0,0,ROUND(PMI_Costs!$B$10*(1+PMI_Costs!$B$11/100)^INT((A37-1)/12)/12,2))</f>
        <v/>
      </c>
      <c r="AE37" s="21">
        <f>IF(PMI_Costs!$B$12=0,0,ROUND(PMI_Costs!$B$12*(1+PMI_Costs!$B$13/100)^INT((A37-1)/12)/12,2))</f>
        <v/>
      </c>
      <c r="AF37" s="22">
        <f>IF(PMI_Costs!$B$5=0,0,AA37/PMI_Costs!$B$5)</f>
        <v/>
      </c>
      <c r="AG37" s="6">
        <f>AND(PMI_Costs!$B$4&gt;0,AF37&gt;PMI_Costs!$B$6/100)</f>
        <v/>
      </c>
      <c r="AH37" s="21">
        <f>IF(AG37,ROUND(Segments!$G$5*PMI_Costs!$B$4/100/12,2),0)</f>
        <v/>
      </c>
      <c r="AI37" s="6">
        <f>AND(NOT(AG37),AG36)</f>
        <v/>
      </c>
    </row>
    <row r="38">
      <c r="A38" s="18" t="n">
        <v>34</v>
      </c>
      <c r="B38" s="18">
        <f>SUMPRODUCT((Segments!$J$5:$J$12&lt;&gt;"")*(Segments!$J$5:$J$12&lt;=A38))</f>
        <v/>
      </c>
      <c r="C38" s="19">
        <f>INDEX(Segments!$B$5:$B$12,B38)</f>
        <v/>
      </c>
      <c r="D38" s="18">
        <f>INDEX(Segments!$J$5:$J$12,B38)</f>
        <v/>
      </c>
      <c r="E38" s="19">
        <f>DATE(YEAR(C38)+INT((MONTH(C38)-1+(A38-D38))/12),MOD(MONTH(C38)-1+(A38-D38),12)+1,1)+(DAY(C38)-1)</f>
        <v/>
      </c>
      <c r="F38" s="20">
        <f>INDEX(Segments!$C$5:$C$12,B38)/100/12</f>
        <v/>
      </c>
      <c r="G38" s="21">
        <f>INDEX(Segments!$L$5:$L$12,B38)</f>
        <v/>
      </c>
      <c r="H38" s="6">
        <f>INDEX(Segments!$I$5:$I$12,B38)="Y"</f>
        <v/>
      </c>
      <c r="I38" s="6">
        <f>INDEX(Segments!$F$5:$F$12,B38)=""</f>
        <v/>
      </c>
      <c r="J38" s="18">
        <f>INDEX(Segments!$K$5:$K$12,B38)</f>
        <v/>
      </c>
      <c r="K38" s="18">
        <f>IF(INDEX(Segments!$F$5:$F$12,B38)&lt;&gt;"",INDEX(Segments!$F$5:$F$12,B38),IF(INDEX(Segments!$E$5:$E$12,B38)&lt;&gt;"",INDEX(Segments!$E$5:$E$12,B38),""))</f>
        <v/>
      </c>
      <c r="L38" s="21">
        <f>AA37</f>
        <v/>
      </c>
      <c r="M38" s="21">
        <f>IFERROR(INDEX(Overrides!$C:$C,MATCH(A38,Overrides!$A:$A,0)),"")</f>
        <v/>
      </c>
      <c r="N38" s="21">
        <f>IFERROR(INDEX(Overrides!$E:$E,MATCH(A38,Overrides!$A:$A,0)),"")</f>
        <v/>
      </c>
      <c r="O38" s="21">
        <f>IFERROR(INDEX(Overrides!$D:$D,MATCH(A38,Overrides!$A:$A,0)),"")</f>
        <v/>
      </c>
      <c r="P38" s="21">
        <f>IFERROR(INDEX(Overrides!$B:$B,MATCH(A38,Overrides!$A:$A,0)),"")</f>
        <v/>
      </c>
      <c r="Q38" s="6">
        <f>IFERROR(INDEX(Overrides!$F:$F,MATCH(A38,Overrides!$A:$A,0)),"")</f>
        <v/>
      </c>
      <c r="R38" s="6">
        <f>ISNUMBER(MATCH(A38,Overrides!$A:$A,0))</f>
        <v/>
      </c>
      <c r="S38" s="6">
        <f>OR(ROUND(L38-ROUND(G38-T38,2),2)&lt;=0,AND(I38,K38&lt;&gt;"",(A38-D38+1)=K38))</f>
        <v/>
      </c>
      <c r="T38" s="21">
        <f>IF(M38&lt;&gt;"",M38,ROUND(L38*F38,2))</f>
        <v/>
      </c>
      <c r="U38" s="21">
        <f>IF(R38,IF(O38&lt;&gt;"",O38,IF(N38&lt;&gt;"",ROUND(L38-N38,2),ROUND((IF(P38&lt;&gt;"",P38,G38))-T38,2))),IF(H38,0,IF(S38,L38,ROUND(G38-T38,2))))</f>
        <v/>
      </c>
      <c r="V38" s="21">
        <f>IF(R38,IF(P38&lt;&gt;"",P38,ROUND(T38+U38,2)),IF(H38,T38,IF(S38,ROUND(T38+U38,2),G38)))</f>
        <v/>
      </c>
      <c r="W38" s="21">
        <f>IF(R38,IF(N38&lt;&gt;"",N38,ROUND(L38-U38,2)),IF(H38,L38,IF(S38,0,ROUND(L38-U38,2))))</f>
        <v/>
      </c>
      <c r="X38" s="21">
        <f>IFERROR(MIN(INDEX(LumpSums!$B:$B,MATCH(A38,LumpSums!$A:$A,0)),W38),0)</f>
        <v/>
      </c>
      <c r="Y38" s="21">
        <f>ROUND(U38+X38,2)</f>
        <v/>
      </c>
      <c r="Z38" s="21">
        <f>ROUND(V38+X38,2)</f>
        <v/>
      </c>
      <c r="AA38" s="21">
        <f>ROUND(W38-X38,2)</f>
        <v/>
      </c>
      <c r="AB38" s="6">
        <f>AND(AB37,L38&gt;0)</f>
        <v/>
      </c>
      <c r="AC38" s="21">
        <f>IF(PMI_Costs!$B$8=0,0,ROUND(PMI_Costs!$B$8*(1+PMI_Costs!$B$9/100)^INT((A38-1)/12)/12,2))</f>
        <v/>
      </c>
      <c r="AD38" s="21">
        <f>IF(PMI_Costs!$B$10=0,0,ROUND(PMI_Costs!$B$10*(1+PMI_Costs!$B$11/100)^INT((A38-1)/12)/12,2))</f>
        <v/>
      </c>
      <c r="AE38" s="21">
        <f>IF(PMI_Costs!$B$12=0,0,ROUND(PMI_Costs!$B$12*(1+PMI_Costs!$B$13/100)^INT((A38-1)/12)/12,2))</f>
        <v/>
      </c>
      <c r="AF38" s="22">
        <f>IF(PMI_Costs!$B$5=0,0,AA38/PMI_Costs!$B$5)</f>
        <v/>
      </c>
      <c r="AG38" s="6">
        <f>AND(PMI_Costs!$B$4&gt;0,AF38&gt;PMI_Costs!$B$6/100)</f>
        <v/>
      </c>
      <c r="AH38" s="21">
        <f>IF(AG38,ROUND(Segments!$G$5*PMI_Costs!$B$4/100/12,2),0)</f>
        <v/>
      </c>
      <c r="AI38" s="6">
        <f>AND(NOT(AG38),AG37)</f>
        <v/>
      </c>
    </row>
    <row r="39">
      <c r="A39" s="18" t="n">
        <v>35</v>
      </c>
      <c r="B39" s="18">
        <f>SUMPRODUCT((Segments!$J$5:$J$12&lt;&gt;"")*(Segments!$J$5:$J$12&lt;=A39))</f>
        <v/>
      </c>
      <c r="C39" s="19">
        <f>INDEX(Segments!$B$5:$B$12,B39)</f>
        <v/>
      </c>
      <c r="D39" s="18">
        <f>INDEX(Segments!$J$5:$J$12,B39)</f>
        <v/>
      </c>
      <c r="E39" s="19">
        <f>DATE(YEAR(C39)+INT((MONTH(C39)-1+(A39-D39))/12),MOD(MONTH(C39)-1+(A39-D39),12)+1,1)+(DAY(C39)-1)</f>
        <v/>
      </c>
      <c r="F39" s="20">
        <f>INDEX(Segments!$C$5:$C$12,B39)/100/12</f>
        <v/>
      </c>
      <c r="G39" s="21">
        <f>INDEX(Segments!$L$5:$L$12,B39)</f>
        <v/>
      </c>
      <c r="H39" s="6">
        <f>INDEX(Segments!$I$5:$I$12,B39)="Y"</f>
        <v/>
      </c>
      <c r="I39" s="6">
        <f>INDEX(Segments!$F$5:$F$12,B39)=""</f>
        <v/>
      </c>
      <c r="J39" s="18">
        <f>INDEX(Segments!$K$5:$K$12,B39)</f>
        <v/>
      </c>
      <c r="K39" s="18">
        <f>IF(INDEX(Segments!$F$5:$F$12,B39)&lt;&gt;"",INDEX(Segments!$F$5:$F$12,B39),IF(INDEX(Segments!$E$5:$E$12,B39)&lt;&gt;"",INDEX(Segments!$E$5:$E$12,B39),""))</f>
        <v/>
      </c>
      <c r="L39" s="21">
        <f>AA38</f>
        <v/>
      </c>
      <c r="M39" s="21">
        <f>IFERROR(INDEX(Overrides!$C:$C,MATCH(A39,Overrides!$A:$A,0)),"")</f>
        <v/>
      </c>
      <c r="N39" s="21">
        <f>IFERROR(INDEX(Overrides!$E:$E,MATCH(A39,Overrides!$A:$A,0)),"")</f>
        <v/>
      </c>
      <c r="O39" s="21">
        <f>IFERROR(INDEX(Overrides!$D:$D,MATCH(A39,Overrides!$A:$A,0)),"")</f>
        <v/>
      </c>
      <c r="P39" s="21">
        <f>IFERROR(INDEX(Overrides!$B:$B,MATCH(A39,Overrides!$A:$A,0)),"")</f>
        <v/>
      </c>
      <c r="Q39" s="6">
        <f>IFERROR(INDEX(Overrides!$F:$F,MATCH(A39,Overrides!$A:$A,0)),"")</f>
        <v/>
      </c>
      <c r="R39" s="6">
        <f>ISNUMBER(MATCH(A39,Overrides!$A:$A,0))</f>
        <v/>
      </c>
      <c r="S39" s="6">
        <f>OR(ROUND(L39-ROUND(G39-T39,2),2)&lt;=0,AND(I39,K39&lt;&gt;"",(A39-D39+1)=K39))</f>
        <v/>
      </c>
      <c r="T39" s="21">
        <f>IF(M39&lt;&gt;"",M39,ROUND(L39*F39,2))</f>
        <v/>
      </c>
      <c r="U39" s="21">
        <f>IF(R39,IF(O39&lt;&gt;"",O39,IF(N39&lt;&gt;"",ROUND(L39-N39,2),ROUND((IF(P39&lt;&gt;"",P39,G39))-T39,2))),IF(H39,0,IF(S39,L39,ROUND(G39-T39,2))))</f>
        <v/>
      </c>
      <c r="V39" s="21">
        <f>IF(R39,IF(P39&lt;&gt;"",P39,ROUND(T39+U39,2)),IF(H39,T39,IF(S39,ROUND(T39+U39,2),G39)))</f>
        <v/>
      </c>
      <c r="W39" s="21">
        <f>IF(R39,IF(N39&lt;&gt;"",N39,ROUND(L39-U39,2)),IF(H39,L39,IF(S39,0,ROUND(L39-U39,2))))</f>
        <v/>
      </c>
      <c r="X39" s="21">
        <f>IFERROR(MIN(INDEX(LumpSums!$B:$B,MATCH(A39,LumpSums!$A:$A,0)),W39),0)</f>
        <v/>
      </c>
      <c r="Y39" s="21">
        <f>ROUND(U39+X39,2)</f>
        <v/>
      </c>
      <c r="Z39" s="21">
        <f>ROUND(V39+X39,2)</f>
        <v/>
      </c>
      <c r="AA39" s="21">
        <f>ROUND(W39-X39,2)</f>
        <v/>
      </c>
      <c r="AB39" s="6">
        <f>AND(AB38,L39&gt;0)</f>
        <v/>
      </c>
      <c r="AC39" s="21">
        <f>IF(PMI_Costs!$B$8=0,0,ROUND(PMI_Costs!$B$8*(1+PMI_Costs!$B$9/100)^INT((A39-1)/12)/12,2))</f>
        <v/>
      </c>
      <c r="AD39" s="21">
        <f>IF(PMI_Costs!$B$10=0,0,ROUND(PMI_Costs!$B$10*(1+PMI_Costs!$B$11/100)^INT((A39-1)/12)/12,2))</f>
        <v/>
      </c>
      <c r="AE39" s="21">
        <f>IF(PMI_Costs!$B$12=0,0,ROUND(PMI_Costs!$B$12*(1+PMI_Costs!$B$13/100)^INT((A39-1)/12)/12,2))</f>
        <v/>
      </c>
      <c r="AF39" s="22">
        <f>IF(PMI_Costs!$B$5=0,0,AA39/PMI_Costs!$B$5)</f>
        <v/>
      </c>
      <c r="AG39" s="6">
        <f>AND(PMI_Costs!$B$4&gt;0,AF39&gt;PMI_Costs!$B$6/100)</f>
        <v/>
      </c>
      <c r="AH39" s="21">
        <f>IF(AG39,ROUND(Segments!$G$5*PMI_Costs!$B$4/100/12,2),0)</f>
        <v/>
      </c>
      <c r="AI39" s="6">
        <f>AND(NOT(AG39),AG38)</f>
        <v/>
      </c>
    </row>
    <row r="40">
      <c r="A40" s="18" t="n">
        <v>36</v>
      </c>
      <c r="B40" s="18">
        <f>SUMPRODUCT((Segments!$J$5:$J$12&lt;&gt;"")*(Segments!$J$5:$J$12&lt;=A40))</f>
        <v/>
      </c>
      <c r="C40" s="19">
        <f>INDEX(Segments!$B$5:$B$12,B40)</f>
        <v/>
      </c>
      <c r="D40" s="18">
        <f>INDEX(Segments!$J$5:$J$12,B40)</f>
        <v/>
      </c>
      <c r="E40" s="19">
        <f>DATE(YEAR(C40)+INT((MONTH(C40)-1+(A40-D40))/12),MOD(MONTH(C40)-1+(A40-D40),12)+1,1)+(DAY(C40)-1)</f>
        <v/>
      </c>
      <c r="F40" s="20">
        <f>INDEX(Segments!$C$5:$C$12,B40)/100/12</f>
        <v/>
      </c>
      <c r="G40" s="21">
        <f>INDEX(Segments!$L$5:$L$12,B40)</f>
        <v/>
      </c>
      <c r="H40" s="6">
        <f>INDEX(Segments!$I$5:$I$12,B40)="Y"</f>
        <v/>
      </c>
      <c r="I40" s="6">
        <f>INDEX(Segments!$F$5:$F$12,B40)=""</f>
        <v/>
      </c>
      <c r="J40" s="18">
        <f>INDEX(Segments!$K$5:$K$12,B40)</f>
        <v/>
      </c>
      <c r="K40" s="18">
        <f>IF(INDEX(Segments!$F$5:$F$12,B40)&lt;&gt;"",INDEX(Segments!$F$5:$F$12,B40),IF(INDEX(Segments!$E$5:$E$12,B40)&lt;&gt;"",INDEX(Segments!$E$5:$E$12,B40),""))</f>
        <v/>
      </c>
      <c r="L40" s="21">
        <f>AA39</f>
        <v/>
      </c>
      <c r="M40" s="21">
        <f>IFERROR(INDEX(Overrides!$C:$C,MATCH(A40,Overrides!$A:$A,0)),"")</f>
        <v/>
      </c>
      <c r="N40" s="21">
        <f>IFERROR(INDEX(Overrides!$E:$E,MATCH(A40,Overrides!$A:$A,0)),"")</f>
        <v/>
      </c>
      <c r="O40" s="21">
        <f>IFERROR(INDEX(Overrides!$D:$D,MATCH(A40,Overrides!$A:$A,0)),"")</f>
        <v/>
      </c>
      <c r="P40" s="21">
        <f>IFERROR(INDEX(Overrides!$B:$B,MATCH(A40,Overrides!$A:$A,0)),"")</f>
        <v/>
      </c>
      <c r="Q40" s="6">
        <f>IFERROR(INDEX(Overrides!$F:$F,MATCH(A40,Overrides!$A:$A,0)),"")</f>
        <v/>
      </c>
      <c r="R40" s="6">
        <f>ISNUMBER(MATCH(A40,Overrides!$A:$A,0))</f>
        <v/>
      </c>
      <c r="S40" s="6">
        <f>OR(ROUND(L40-ROUND(G40-T40,2),2)&lt;=0,AND(I40,K40&lt;&gt;"",(A40-D40+1)=K40))</f>
        <v/>
      </c>
      <c r="T40" s="21">
        <f>IF(M40&lt;&gt;"",M40,ROUND(L40*F40,2))</f>
        <v/>
      </c>
      <c r="U40" s="21">
        <f>IF(R40,IF(O40&lt;&gt;"",O40,IF(N40&lt;&gt;"",ROUND(L40-N40,2),ROUND((IF(P40&lt;&gt;"",P40,G40))-T40,2))),IF(H40,0,IF(S40,L40,ROUND(G40-T40,2))))</f>
        <v/>
      </c>
      <c r="V40" s="21">
        <f>IF(R40,IF(P40&lt;&gt;"",P40,ROUND(T40+U40,2)),IF(H40,T40,IF(S40,ROUND(T40+U40,2),G40)))</f>
        <v/>
      </c>
      <c r="W40" s="21">
        <f>IF(R40,IF(N40&lt;&gt;"",N40,ROUND(L40-U40,2)),IF(H40,L40,IF(S40,0,ROUND(L40-U40,2))))</f>
        <v/>
      </c>
      <c r="X40" s="21">
        <f>IFERROR(MIN(INDEX(LumpSums!$B:$B,MATCH(A40,LumpSums!$A:$A,0)),W40),0)</f>
        <v/>
      </c>
      <c r="Y40" s="21">
        <f>ROUND(U40+X40,2)</f>
        <v/>
      </c>
      <c r="Z40" s="21">
        <f>ROUND(V40+X40,2)</f>
        <v/>
      </c>
      <c r="AA40" s="21">
        <f>ROUND(W40-X40,2)</f>
        <v/>
      </c>
      <c r="AB40" s="6">
        <f>AND(AB39,L40&gt;0)</f>
        <v/>
      </c>
      <c r="AC40" s="21">
        <f>IF(PMI_Costs!$B$8=0,0,ROUND(PMI_Costs!$B$8*(1+PMI_Costs!$B$9/100)^INT((A40-1)/12)/12,2))</f>
        <v/>
      </c>
      <c r="AD40" s="21">
        <f>IF(PMI_Costs!$B$10=0,0,ROUND(PMI_Costs!$B$10*(1+PMI_Costs!$B$11/100)^INT((A40-1)/12)/12,2))</f>
        <v/>
      </c>
      <c r="AE40" s="21">
        <f>IF(PMI_Costs!$B$12=0,0,ROUND(PMI_Costs!$B$12*(1+PMI_Costs!$B$13/100)^INT((A40-1)/12)/12,2))</f>
        <v/>
      </c>
      <c r="AF40" s="22">
        <f>IF(PMI_Costs!$B$5=0,0,AA40/PMI_Costs!$B$5)</f>
        <v/>
      </c>
      <c r="AG40" s="6">
        <f>AND(PMI_Costs!$B$4&gt;0,AF40&gt;PMI_Costs!$B$6/100)</f>
        <v/>
      </c>
      <c r="AH40" s="21">
        <f>IF(AG40,ROUND(Segments!$G$5*PMI_Costs!$B$4/100/12,2),0)</f>
        <v/>
      </c>
      <c r="AI40" s="6">
        <f>AND(NOT(AG40),AG39)</f>
        <v/>
      </c>
    </row>
    <row r="41">
      <c r="A41" s="18" t="n">
        <v>37</v>
      </c>
      <c r="B41" s="18">
        <f>SUMPRODUCT((Segments!$J$5:$J$12&lt;&gt;"")*(Segments!$J$5:$J$12&lt;=A41))</f>
        <v/>
      </c>
      <c r="C41" s="19">
        <f>INDEX(Segments!$B$5:$B$12,B41)</f>
        <v/>
      </c>
      <c r="D41" s="18">
        <f>INDEX(Segments!$J$5:$J$12,B41)</f>
        <v/>
      </c>
      <c r="E41" s="19">
        <f>DATE(YEAR(C41)+INT((MONTH(C41)-1+(A41-D41))/12),MOD(MONTH(C41)-1+(A41-D41),12)+1,1)+(DAY(C41)-1)</f>
        <v/>
      </c>
      <c r="F41" s="20">
        <f>INDEX(Segments!$C$5:$C$12,B41)/100/12</f>
        <v/>
      </c>
      <c r="G41" s="21">
        <f>INDEX(Segments!$L$5:$L$12,B41)</f>
        <v/>
      </c>
      <c r="H41" s="6">
        <f>INDEX(Segments!$I$5:$I$12,B41)="Y"</f>
        <v/>
      </c>
      <c r="I41" s="6">
        <f>INDEX(Segments!$F$5:$F$12,B41)=""</f>
        <v/>
      </c>
      <c r="J41" s="18">
        <f>INDEX(Segments!$K$5:$K$12,B41)</f>
        <v/>
      </c>
      <c r="K41" s="18">
        <f>IF(INDEX(Segments!$F$5:$F$12,B41)&lt;&gt;"",INDEX(Segments!$F$5:$F$12,B41),IF(INDEX(Segments!$E$5:$E$12,B41)&lt;&gt;"",INDEX(Segments!$E$5:$E$12,B41),""))</f>
        <v/>
      </c>
      <c r="L41" s="21">
        <f>AA40</f>
        <v/>
      </c>
      <c r="M41" s="21">
        <f>IFERROR(INDEX(Overrides!$C:$C,MATCH(A41,Overrides!$A:$A,0)),"")</f>
        <v/>
      </c>
      <c r="N41" s="21">
        <f>IFERROR(INDEX(Overrides!$E:$E,MATCH(A41,Overrides!$A:$A,0)),"")</f>
        <v/>
      </c>
      <c r="O41" s="21">
        <f>IFERROR(INDEX(Overrides!$D:$D,MATCH(A41,Overrides!$A:$A,0)),"")</f>
        <v/>
      </c>
      <c r="P41" s="21">
        <f>IFERROR(INDEX(Overrides!$B:$B,MATCH(A41,Overrides!$A:$A,0)),"")</f>
        <v/>
      </c>
      <c r="Q41" s="6">
        <f>IFERROR(INDEX(Overrides!$F:$F,MATCH(A41,Overrides!$A:$A,0)),"")</f>
        <v/>
      </c>
      <c r="R41" s="6">
        <f>ISNUMBER(MATCH(A41,Overrides!$A:$A,0))</f>
        <v/>
      </c>
      <c r="S41" s="6">
        <f>OR(ROUND(L41-ROUND(G41-T41,2),2)&lt;=0,AND(I41,K41&lt;&gt;"",(A41-D41+1)=K41))</f>
        <v/>
      </c>
      <c r="T41" s="21">
        <f>IF(M41&lt;&gt;"",M41,ROUND(L41*F41,2))</f>
        <v/>
      </c>
      <c r="U41" s="21">
        <f>IF(R41,IF(O41&lt;&gt;"",O41,IF(N41&lt;&gt;"",ROUND(L41-N41,2),ROUND((IF(P41&lt;&gt;"",P41,G41))-T41,2))),IF(H41,0,IF(S41,L41,ROUND(G41-T41,2))))</f>
        <v/>
      </c>
      <c r="V41" s="21">
        <f>IF(R41,IF(P41&lt;&gt;"",P41,ROUND(T41+U41,2)),IF(H41,T41,IF(S41,ROUND(T41+U41,2),G41)))</f>
        <v/>
      </c>
      <c r="W41" s="21">
        <f>IF(R41,IF(N41&lt;&gt;"",N41,ROUND(L41-U41,2)),IF(H41,L41,IF(S41,0,ROUND(L41-U41,2))))</f>
        <v/>
      </c>
      <c r="X41" s="21">
        <f>IFERROR(MIN(INDEX(LumpSums!$B:$B,MATCH(A41,LumpSums!$A:$A,0)),W41),0)</f>
        <v/>
      </c>
      <c r="Y41" s="21">
        <f>ROUND(U41+X41,2)</f>
        <v/>
      </c>
      <c r="Z41" s="21">
        <f>ROUND(V41+X41,2)</f>
        <v/>
      </c>
      <c r="AA41" s="21">
        <f>ROUND(W41-X41,2)</f>
        <v/>
      </c>
      <c r="AB41" s="6">
        <f>AND(AB40,L41&gt;0)</f>
        <v/>
      </c>
      <c r="AC41" s="21">
        <f>IF(PMI_Costs!$B$8=0,0,ROUND(PMI_Costs!$B$8*(1+PMI_Costs!$B$9/100)^INT((A41-1)/12)/12,2))</f>
        <v/>
      </c>
      <c r="AD41" s="21">
        <f>IF(PMI_Costs!$B$10=0,0,ROUND(PMI_Costs!$B$10*(1+PMI_Costs!$B$11/100)^INT((A41-1)/12)/12,2))</f>
        <v/>
      </c>
      <c r="AE41" s="21">
        <f>IF(PMI_Costs!$B$12=0,0,ROUND(PMI_Costs!$B$12*(1+PMI_Costs!$B$13/100)^INT((A41-1)/12)/12,2))</f>
        <v/>
      </c>
      <c r="AF41" s="22">
        <f>IF(PMI_Costs!$B$5=0,0,AA41/PMI_Costs!$B$5)</f>
        <v/>
      </c>
      <c r="AG41" s="6">
        <f>AND(PMI_Costs!$B$4&gt;0,AF41&gt;PMI_Costs!$B$6/100)</f>
        <v/>
      </c>
      <c r="AH41" s="21">
        <f>IF(AG41,ROUND(Segments!$G$5*PMI_Costs!$B$4/100/12,2),0)</f>
        <v/>
      </c>
      <c r="AI41" s="6">
        <f>AND(NOT(AG41),AG40)</f>
        <v/>
      </c>
    </row>
    <row r="42">
      <c r="A42" s="18" t="n">
        <v>38</v>
      </c>
      <c r="B42" s="18">
        <f>SUMPRODUCT((Segments!$J$5:$J$12&lt;&gt;"")*(Segments!$J$5:$J$12&lt;=A42))</f>
        <v/>
      </c>
      <c r="C42" s="19">
        <f>INDEX(Segments!$B$5:$B$12,B42)</f>
        <v/>
      </c>
      <c r="D42" s="18">
        <f>INDEX(Segments!$J$5:$J$12,B42)</f>
        <v/>
      </c>
      <c r="E42" s="19">
        <f>DATE(YEAR(C42)+INT((MONTH(C42)-1+(A42-D42))/12),MOD(MONTH(C42)-1+(A42-D42),12)+1,1)+(DAY(C42)-1)</f>
        <v/>
      </c>
      <c r="F42" s="20">
        <f>INDEX(Segments!$C$5:$C$12,B42)/100/12</f>
        <v/>
      </c>
      <c r="G42" s="21">
        <f>INDEX(Segments!$L$5:$L$12,B42)</f>
        <v/>
      </c>
      <c r="H42" s="6">
        <f>INDEX(Segments!$I$5:$I$12,B42)="Y"</f>
        <v/>
      </c>
      <c r="I42" s="6">
        <f>INDEX(Segments!$F$5:$F$12,B42)=""</f>
        <v/>
      </c>
      <c r="J42" s="18">
        <f>INDEX(Segments!$K$5:$K$12,B42)</f>
        <v/>
      </c>
      <c r="K42" s="18">
        <f>IF(INDEX(Segments!$F$5:$F$12,B42)&lt;&gt;"",INDEX(Segments!$F$5:$F$12,B42),IF(INDEX(Segments!$E$5:$E$12,B42)&lt;&gt;"",INDEX(Segments!$E$5:$E$12,B42),""))</f>
        <v/>
      </c>
      <c r="L42" s="21">
        <f>AA41</f>
        <v/>
      </c>
      <c r="M42" s="21">
        <f>IFERROR(INDEX(Overrides!$C:$C,MATCH(A42,Overrides!$A:$A,0)),"")</f>
        <v/>
      </c>
      <c r="N42" s="21">
        <f>IFERROR(INDEX(Overrides!$E:$E,MATCH(A42,Overrides!$A:$A,0)),"")</f>
        <v/>
      </c>
      <c r="O42" s="21">
        <f>IFERROR(INDEX(Overrides!$D:$D,MATCH(A42,Overrides!$A:$A,0)),"")</f>
        <v/>
      </c>
      <c r="P42" s="21">
        <f>IFERROR(INDEX(Overrides!$B:$B,MATCH(A42,Overrides!$A:$A,0)),"")</f>
        <v/>
      </c>
      <c r="Q42" s="6">
        <f>IFERROR(INDEX(Overrides!$F:$F,MATCH(A42,Overrides!$A:$A,0)),"")</f>
        <v/>
      </c>
      <c r="R42" s="6">
        <f>ISNUMBER(MATCH(A42,Overrides!$A:$A,0))</f>
        <v/>
      </c>
      <c r="S42" s="6">
        <f>OR(ROUND(L42-ROUND(G42-T42,2),2)&lt;=0,AND(I42,K42&lt;&gt;"",(A42-D42+1)=K42))</f>
        <v/>
      </c>
      <c r="T42" s="21">
        <f>IF(M42&lt;&gt;"",M42,ROUND(L42*F42,2))</f>
        <v/>
      </c>
      <c r="U42" s="21">
        <f>IF(R42,IF(O42&lt;&gt;"",O42,IF(N42&lt;&gt;"",ROUND(L42-N42,2),ROUND((IF(P42&lt;&gt;"",P42,G42))-T42,2))),IF(H42,0,IF(S42,L42,ROUND(G42-T42,2))))</f>
        <v/>
      </c>
      <c r="V42" s="21">
        <f>IF(R42,IF(P42&lt;&gt;"",P42,ROUND(T42+U42,2)),IF(H42,T42,IF(S42,ROUND(T42+U42,2),G42)))</f>
        <v/>
      </c>
      <c r="W42" s="21">
        <f>IF(R42,IF(N42&lt;&gt;"",N42,ROUND(L42-U42,2)),IF(H42,L42,IF(S42,0,ROUND(L42-U42,2))))</f>
        <v/>
      </c>
      <c r="X42" s="21">
        <f>IFERROR(MIN(INDEX(LumpSums!$B:$B,MATCH(A42,LumpSums!$A:$A,0)),W42),0)</f>
        <v/>
      </c>
      <c r="Y42" s="21">
        <f>ROUND(U42+X42,2)</f>
        <v/>
      </c>
      <c r="Z42" s="21">
        <f>ROUND(V42+X42,2)</f>
        <v/>
      </c>
      <c r="AA42" s="21">
        <f>ROUND(W42-X42,2)</f>
        <v/>
      </c>
      <c r="AB42" s="6">
        <f>AND(AB41,L42&gt;0)</f>
        <v/>
      </c>
      <c r="AC42" s="21">
        <f>IF(PMI_Costs!$B$8=0,0,ROUND(PMI_Costs!$B$8*(1+PMI_Costs!$B$9/100)^INT((A42-1)/12)/12,2))</f>
        <v/>
      </c>
      <c r="AD42" s="21">
        <f>IF(PMI_Costs!$B$10=0,0,ROUND(PMI_Costs!$B$10*(1+PMI_Costs!$B$11/100)^INT((A42-1)/12)/12,2))</f>
        <v/>
      </c>
      <c r="AE42" s="21">
        <f>IF(PMI_Costs!$B$12=0,0,ROUND(PMI_Costs!$B$12*(1+PMI_Costs!$B$13/100)^INT((A42-1)/12)/12,2))</f>
        <v/>
      </c>
      <c r="AF42" s="22">
        <f>IF(PMI_Costs!$B$5=0,0,AA42/PMI_Costs!$B$5)</f>
        <v/>
      </c>
      <c r="AG42" s="6">
        <f>AND(PMI_Costs!$B$4&gt;0,AF42&gt;PMI_Costs!$B$6/100)</f>
        <v/>
      </c>
      <c r="AH42" s="21">
        <f>IF(AG42,ROUND(Segments!$G$5*PMI_Costs!$B$4/100/12,2),0)</f>
        <v/>
      </c>
      <c r="AI42" s="6">
        <f>AND(NOT(AG42),AG41)</f>
        <v/>
      </c>
    </row>
    <row r="43">
      <c r="A43" s="18" t="n">
        <v>39</v>
      </c>
      <c r="B43" s="18">
        <f>SUMPRODUCT((Segments!$J$5:$J$12&lt;&gt;"")*(Segments!$J$5:$J$12&lt;=A43))</f>
        <v/>
      </c>
      <c r="C43" s="19">
        <f>INDEX(Segments!$B$5:$B$12,B43)</f>
        <v/>
      </c>
      <c r="D43" s="18">
        <f>INDEX(Segments!$J$5:$J$12,B43)</f>
        <v/>
      </c>
      <c r="E43" s="19">
        <f>DATE(YEAR(C43)+INT((MONTH(C43)-1+(A43-D43))/12),MOD(MONTH(C43)-1+(A43-D43),12)+1,1)+(DAY(C43)-1)</f>
        <v/>
      </c>
      <c r="F43" s="20">
        <f>INDEX(Segments!$C$5:$C$12,B43)/100/12</f>
        <v/>
      </c>
      <c r="G43" s="21">
        <f>INDEX(Segments!$L$5:$L$12,B43)</f>
        <v/>
      </c>
      <c r="H43" s="6">
        <f>INDEX(Segments!$I$5:$I$12,B43)="Y"</f>
        <v/>
      </c>
      <c r="I43" s="6">
        <f>INDEX(Segments!$F$5:$F$12,B43)=""</f>
        <v/>
      </c>
      <c r="J43" s="18">
        <f>INDEX(Segments!$K$5:$K$12,B43)</f>
        <v/>
      </c>
      <c r="K43" s="18">
        <f>IF(INDEX(Segments!$F$5:$F$12,B43)&lt;&gt;"",INDEX(Segments!$F$5:$F$12,B43),IF(INDEX(Segments!$E$5:$E$12,B43)&lt;&gt;"",INDEX(Segments!$E$5:$E$12,B43),""))</f>
        <v/>
      </c>
      <c r="L43" s="21">
        <f>AA42</f>
        <v/>
      </c>
      <c r="M43" s="21">
        <f>IFERROR(INDEX(Overrides!$C:$C,MATCH(A43,Overrides!$A:$A,0)),"")</f>
        <v/>
      </c>
      <c r="N43" s="21">
        <f>IFERROR(INDEX(Overrides!$E:$E,MATCH(A43,Overrides!$A:$A,0)),"")</f>
        <v/>
      </c>
      <c r="O43" s="21">
        <f>IFERROR(INDEX(Overrides!$D:$D,MATCH(A43,Overrides!$A:$A,0)),"")</f>
        <v/>
      </c>
      <c r="P43" s="21">
        <f>IFERROR(INDEX(Overrides!$B:$B,MATCH(A43,Overrides!$A:$A,0)),"")</f>
        <v/>
      </c>
      <c r="Q43" s="6">
        <f>IFERROR(INDEX(Overrides!$F:$F,MATCH(A43,Overrides!$A:$A,0)),"")</f>
        <v/>
      </c>
      <c r="R43" s="6">
        <f>ISNUMBER(MATCH(A43,Overrides!$A:$A,0))</f>
        <v/>
      </c>
      <c r="S43" s="6">
        <f>OR(ROUND(L43-ROUND(G43-T43,2),2)&lt;=0,AND(I43,K43&lt;&gt;"",(A43-D43+1)=K43))</f>
        <v/>
      </c>
      <c r="T43" s="21">
        <f>IF(M43&lt;&gt;"",M43,ROUND(L43*F43,2))</f>
        <v/>
      </c>
      <c r="U43" s="21">
        <f>IF(R43,IF(O43&lt;&gt;"",O43,IF(N43&lt;&gt;"",ROUND(L43-N43,2),ROUND((IF(P43&lt;&gt;"",P43,G43))-T43,2))),IF(H43,0,IF(S43,L43,ROUND(G43-T43,2))))</f>
        <v/>
      </c>
      <c r="V43" s="21">
        <f>IF(R43,IF(P43&lt;&gt;"",P43,ROUND(T43+U43,2)),IF(H43,T43,IF(S43,ROUND(T43+U43,2),G43)))</f>
        <v/>
      </c>
      <c r="W43" s="21">
        <f>IF(R43,IF(N43&lt;&gt;"",N43,ROUND(L43-U43,2)),IF(H43,L43,IF(S43,0,ROUND(L43-U43,2))))</f>
        <v/>
      </c>
      <c r="X43" s="21">
        <f>IFERROR(MIN(INDEX(LumpSums!$B:$B,MATCH(A43,LumpSums!$A:$A,0)),W43),0)</f>
        <v/>
      </c>
      <c r="Y43" s="21">
        <f>ROUND(U43+X43,2)</f>
        <v/>
      </c>
      <c r="Z43" s="21">
        <f>ROUND(V43+X43,2)</f>
        <v/>
      </c>
      <c r="AA43" s="21">
        <f>ROUND(W43-X43,2)</f>
        <v/>
      </c>
      <c r="AB43" s="6">
        <f>AND(AB42,L43&gt;0)</f>
        <v/>
      </c>
      <c r="AC43" s="21">
        <f>IF(PMI_Costs!$B$8=0,0,ROUND(PMI_Costs!$B$8*(1+PMI_Costs!$B$9/100)^INT((A43-1)/12)/12,2))</f>
        <v/>
      </c>
      <c r="AD43" s="21">
        <f>IF(PMI_Costs!$B$10=0,0,ROUND(PMI_Costs!$B$10*(1+PMI_Costs!$B$11/100)^INT((A43-1)/12)/12,2))</f>
        <v/>
      </c>
      <c r="AE43" s="21">
        <f>IF(PMI_Costs!$B$12=0,0,ROUND(PMI_Costs!$B$12*(1+PMI_Costs!$B$13/100)^INT((A43-1)/12)/12,2))</f>
        <v/>
      </c>
      <c r="AF43" s="22">
        <f>IF(PMI_Costs!$B$5=0,0,AA43/PMI_Costs!$B$5)</f>
        <v/>
      </c>
      <c r="AG43" s="6">
        <f>AND(PMI_Costs!$B$4&gt;0,AF43&gt;PMI_Costs!$B$6/100)</f>
        <v/>
      </c>
      <c r="AH43" s="21">
        <f>IF(AG43,ROUND(Segments!$G$5*PMI_Costs!$B$4/100/12,2),0)</f>
        <v/>
      </c>
      <c r="AI43" s="6">
        <f>AND(NOT(AG43),AG42)</f>
        <v/>
      </c>
    </row>
    <row r="44">
      <c r="A44" s="18" t="n">
        <v>40</v>
      </c>
      <c r="B44" s="18">
        <f>SUMPRODUCT((Segments!$J$5:$J$12&lt;&gt;"")*(Segments!$J$5:$J$12&lt;=A44))</f>
        <v/>
      </c>
      <c r="C44" s="19">
        <f>INDEX(Segments!$B$5:$B$12,B44)</f>
        <v/>
      </c>
      <c r="D44" s="18">
        <f>INDEX(Segments!$J$5:$J$12,B44)</f>
        <v/>
      </c>
      <c r="E44" s="19">
        <f>DATE(YEAR(C44)+INT((MONTH(C44)-1+(A44-D44))/12),MOD(MONTH(C44)-1+(A44-D44),12)+1,1)+(DAY(C44)-1)</f>
        <v/>
      </c>
      <c r="F44" s="20">
        <f>INDEX(Segments!$C$5:$C$12,B44)/100/12</f>
        <v/>
      </c>
      <c r="G44" s="21">
        <f>INDEX(Segments!$L$5:$L$12,B44)</f>
        <v/>
      </c>
      <c r="H44" s="6">
        <f>INDEX(Segments!$I$5:$I$12,B44)="Y"</f>
        <v/>
      </c>
      <c r="I44" s="6">
        <f>INDEX(Segments!$F$5:$F$12,B44)=""</f>
        <v/>
      </c>
      <c r="J44" s="18">
        <f>INDEX(Segments!$K$5:$K$12,B44)</f>
        <v/>
      </c>
      <c r="K44" s="18">
        <f>IF(INDEX(Segments!$F$5:$F$12,B44)&lt;&gt;"",INDEX(Segments!$F$5:$F$12,B44),IF(INDEX(Segments!$E$5:$E$12,B44)&lt;&gt;"",INDEX(Segments!$E$5:$E$12,B44),""))</f>
        <v/>
      </c>
      <c r="L44" s="21">
        <f>AA43</f>
        <v/>
      </c>
      <c r="M44" s="21">
        <f>IFERROR(INDEX(Overrides!$C:$C,MATCH(A44,Overrides!$A:$A,0)),"")</f>
        <v/>
      </c>
      <c r="N44" s="21">
        <f>IFERROR(INDEX(Overrides!$E:$E,MATCH(A44,Overrides!$A:$A,0)),"")</f>
        <v/>
      </c>
      <c r="O44" s="21">
        <f>IFERROR(INDEX(Overrides!$D:$D,MATCH(A44,Overrides!$A:$A,0)),"")</f>
        <v/>
      </c>
      <c r="P44" s="21">
        <f>IFERROR(INDEX(Overrides!$B:$B,MATCH(A44,Overrides!$A:$A,0)),"")</f>
        <v/>
      </c>
      <c r="Q44" s="6">
        <f>IFERROR(INDEX(Overrides!$F:$F,MATCH(A44,Overrides!$A:$A,0)),"")</f>
        <v/>
      </c>
      <c r="R44" s="6">
        <f>ISNUMBER(MATCH(A44,Overrides!$A:$A,0))</f>
        <v/>
      </c>
      <c r="S44" s="6">
        <f>OR(ROUND(L44-ROUND(G44-T44,2),2)&lt;=0,AND(I44,K44&lt;&gt;"",(A44-D44+1)=K44))</f>
        <v/>
      </c>
      <c r="T44" s="21">
        <f>IF(M44&lt;&gt;"",M44,ROUND(L44*F44,2))</f>
        <v/>
      </c>
      <c r="U44" s="21">
        <f>IF(R44,IF(O44&lt;&gt;"",O44,IF(N44&lt;&gt;"",ROUND(L44-N44,2),ROUND((IF(P44&lt;&gt;"",P44,G44))-T44,2))),IF(H44,0,IF(S44,L44,ROUND(G44-T44,2))))</f>
        <v/>
      </c>
      <c r="V44" s="21">
        <f>IF(R44,IF(P44&lt;&gt;"",P44,ROUND(T44+U44,2)),IF(H44,T44,IF(S44,ROUND(T44+U44,2),G44)))</f>
        <v/>
      </c>
      <c r="W44" s="21">
        <f>IF(R44,IF(N44&lt;&gt;"",N44,ROUND(L44-U44,2)),IF(H44,L44,IF(S44,0,ROUND(L44-U44,2))))</f>
        <v/>
      </c>
      <c r="X44" s="21">
        <f>IFERROR(MIN(INDEX(LumpSums!$B:$B,MATCH(A44,LumpSums!$A:$A,0)),W44),0)</f>
        <v/>
      </c>
      <c r="Y44" s="21">
        <f>ROUND(U44+X44,2)</f>
        <v/>
      </c>
      <c r="Z44" s="21">
        <f>ROUND(V44+X44,2)</f>
        <v/>
      </c>
      <c r="AA44" s="21">
        <f>ROUND(W44-X44,2)</f>
        <v/>
      </c>
      <c r="AB44" s="6">
        <f>AND(AB43,L44&gt;0)</f>
        <v/>
      </c>
      <c r="AC44" s="21">
        <f>IF(PMI_Costs!$B$8=0,0,ROUND(PMI_Costs!$B$8*(1+PMI_Costs!$B$9/100)^INT((A44-1)/12)/12,2))</f>
        <v/>
      </c>
      <c r="AD44" s="21">
        <f>IF(PMI_Costs!$B$10=0,0,ROUND(PMI_Costs!$B$10*(1+PMI_Costs!$B$11/100)^INT((A44-1)/12)/12,2))</f>
        <v/>
      </c>
      <c r="AE44" s="21">
        <f>IF(PMI_Costs!$B$12=0,0,ROUND(PMI_Costs!$B$12*(1+PMI_Costs!$B$13/100)^INT((A44-1)/12)/12,2))</f>
        <v/>
      </c>
      <c r="AF44" s="22">
        <f>IF(PMI_Costs!$B$5=0,0,AA44/PMI_Costs!$B$5)</f>
        <v/>
      </c>
      <c r="AG44" s="6">
        <f>AND(PMI_Costs!$B$4&gt;0,AF44&gt;PMI_Costs!$B$6/100)</f>
        <v/>
      </c>
      <c r="AH44" s="21">
        <f>IF(AG44,ROUND(Segments!$G$5*PMI_Costs!$B$4/100/12,2),0)</f>
        <v/>
      </c>
      <c r="AI44" s="6">
        <f>AND(NOT(AG44),AG43)</f>
        <v/>
      </c>
    </row>
    <row r="45">
      <c r="A45" s="18" t="n">
        <v>41</v>
      </c>
      <c r="B45" s="18">
        <f>SUMPRODUCT((Segments!$J$5:$J$12&lt;&gt;"")*(Segments!$J$5:$J$12&lt;=A45))</f>
        <v/>
      </c>
      <c r="C45" s="19">
        <f>INDEX(Segments!$B$5:$B$12,B45)</f>
        <v/>
      </c>
      <c r="D45" s="18">
        <f>INDEX(Segments!$J$5:$J$12,B45)</f>
        <v/>
      </c>
      <c r="E45" s="19">
        <f>DATE(YEAR(C45)+INT((MONTH(C45)-1+(A45-D45))/12),MOD(MONTH(C45)-1+(A45-D45),12)+1,1)+(DAY(C45)-1)</f>
        <v/>
      </c>
      <c r="F45" s="20">
        <f>INDEX(Segments!$C$5:$C$12,B45)/100/12</f>
        <v/>
      </c>
      <c r="G45" s="21">
        <f>INDEX(Segments!$L$5:$L$12,B45)</f>
        <v/>
      </c>
      <c r="H45" s="6">
        <f>INDEX(Segments!$I$5:$I$12,B45)="Y"</f>
        <v/>
      </c>
      <c r="I45" s="6">
        <f>INDEX(Segments!$F$5:$F$12,B45)=""</f>
        <v/>
      </c>
      <c r="J45" s="18">
        <f>INDEX(Segments!$K$5:$K$12,B45)</f>
        <v/>
      </c>
      <c r="K45" s="18">
        <f>IF(INDEX(Segments!$F$5:$F$12,B45)&lt;&gt;"",INDEX(Segments!$F$5:$F$12,B45),IF(INDEX(Segments!$E$5:$E$12,B45)&lt;&gt;"",INDEX(Segments!$E$5:$E$12,B45),""))</f>
        <v/>
      </c>
      <c r="L45" s="21">
        <f>AA44</f>
        <v/>
      </c>
      <c r="M45" s="21">
        <f>IFERROR(INDEX(Overrides!$C:$C,MATCH(A45,Overrides!$A:$A,0)),"")</f>
        <v/>
      </c>
      <c r="N45" s="21">
        <f>IFERROR(INDEX(Overrides!$E:$E,MATCH(A45,Overrides!$A:$A,0)),"")</f>
        <v/>
      </c>
      <c r="O45" s="21">
        <f>IFERROR(INDEX(Overrides!$D:$D,MATCH(A45,Overrides!$A:$A,0)),"")</f>
        <v/>
      </c>
      <c r="P45" s="21">
        <f>IFERROR(INDEX(Overrides!$B:$B,MATCH(A45,Overrides!$A:$A,0)),"")</f>
        <v/>
      </c>
      <c r="Q45" s="6">
        <f>IFERROR(INDEX(Overrides!$F:$F,MATCH(A45,Overrides!$A:$A,0)),"")</f>
        <v/>
      </c>
      <c r="R45" s="6">
        <f>ISNUMBER(MATCH(A45,Overrides!$A:$A,0))</f>
        <v/>
      </c>
      <c r="S45" s="6">
        <f>OR(ROUND(L45-ROUND(G45-T45,2),2)&lt;=0,AND(I45,K45&lt;&gt;"",(A45-D45+1)=K45))</f>
        <v/>
      </c>
      <c r="T45" s="21">
        <f>IF(M45&lt;&gt;"",M45,ROUND(L45*F45,2))</f>
        <v/>
      </c>
      <c r="U45" s="21">
        <f>IF(R45,IF(O45&lt;&gt;"",O45,IF(N45&lt;&gt;"",ROUND(L45-N45,2),ROUND((IF(P45&lt;&gt;"",P45,G45))-T45,2))),IF(H45,0,IF(S45,L45,ROUND(G45-T45,2))))</f>
        <v/>
      </c>
      <c r="V45" s="21">
        <f>IF(R45,IF(P45&lt;&gt;"",P45,ROUND(T45+U45,2)),IF(H45,T45,IF(S45,ROUND(T45+U45,2),G45)))</f>
        <v/>
      </c>
      <c r="W45" s="21">
        <f>IF(R45,IF(N45&lt;&gt;"",N45,ROUND(L45-U45,2)),IF(H45,L45,IF(S45,0,ROUND(L45-U45,2))))</f>
        <v/>
      </c>
      <c r="X45" s="21">
        <f>IFERROR(MIN(INDEX(LumpSums!$B:$B,MATCH(A45,LumpSums!$A:$A,0)),W45),0)</f>
        <v/>
      </c>
      <c r="Y45" s="21">
        <f>ROUND(U45+X45,2)</f>
        <v/>
      </c>
      <c r="Z45" s="21">
        <f>ROUND(V45+X45,2)</f>
        <v/>
      </c>
      <c r="AA45" s="21">
        <f>ROUND(W45-X45,2)</f>
        <v/>
      </c>
      <c r="AB45" s="6">
        <f>AND(AB44,L45&gt;0)</f>
        <v/>
      </c>
      <c r="AC45" s="21">
        <f>IF(PMI_Costs!$B$8=0,0,ROUND(PMI_Costs!$B$8*(1+PMI_Costs!$B$9/100)^INT((A45-1)/12)/12,2))</f>
        <v/>
      </c>
      <c r="AD45" s="21">
        <f>IF(PMI_Costs!$B$10=0,0,ROUND(PMI_Costs!$B$10*(1+PMI_Costs!$B$11/100)^INT((A45-1)/12)/12,2))</f>
        <v/>
      </c>
      <c r="AE45" s="21">
        <f>IF(PMI_Costs!$B$12=0,0,ROUND(PMI_Costs!$B$12*(1+PMI_Costs!$B$13/100)^INT((A45-1)/12)/12,2))</f>
        <v/>
      </c>
      <c r="AF45" s="22">
        <f>IF(PMI_Costs!$B$5=0,0,AA45/PMI_Costs!$B$5)</f>
        <v/>
      </c>
      <c r="AG45" s="6">
        <f>AND(PMI_Costs!$B$4&gt;0,AF45&gt;PMI_Costs!$B$6/100)</f>
        <v/>
      </c>
      <c r="AH45" s="21">
        <f>IF(AG45,ROUND(Segments!$G$5*PMI_Costs!$B$4/100/12,2),0)</f>
        <v/>
      </c>
      <c r="AI45" s="6">
        <f>AND(NOT(AG45),AG44)</f>
        <v/>
      </c>
    </row>
    <row r="46">
      <c r="A46" s="18" t="n">
        <v>42</v>
      </c>
      <c r="B46" s="18">
        <f>SUMPRODUCT((Segments!$J$5:$J$12&lt;&gt;"")*(Segments!$J$5:$J$12&lt;=A46))</f>
        <v/>
      </c>
      <c r="C46" s="19">
        <f>INDEX(Segments!$B$5:$B$12,B46)</f>
        <v/>
      </c>
      <c r="D46" s="18">
        <f>INDEX(Segments!$J$5:$J$12,B46)</f>
        <v/>
      </c>
      <c r="E46" s="19">
        <f>DATE(YEAR(C46)+INT((MONTH(C46)-1+(A46-D46))/12),MOD(MONTH(C46)-1+(A46-D46),12)+1,1)+(DAY(C46)-1)</f>
        <v/>
      </c>
      <c r="F46" s="20">
        <f>INDEX(Segments!$C$5:$C$12,B46)/100/12</f>
        <v/>
      </c>
      <c r="G46" s="21">
        <f>INDEX(Segments!$L$5:$L$12,B46)</f>
        <v/>
      </c>
      <c r="H46" s="6">
        <f>INDEX(Segments!$I$5:$I$12,B46)="Y"</f>
        <v/>
      </c>
      <c r="I46" s="6">
        <f>INDEX(Segments!$F$5:$F$12,B46)=""</f>
        <v/>
      </c>
      <c r="J46" s="18">
        <f>INDEX(Segments!$K$5:$K$12,B46)</f>
        <v/>
      </c>
      <c r="K46" s="18">
        <f>IF(INDEX(Segments!$F$5:$F$12,B46)&lt;&gt;"",INDEX(Segments!$F$5:$F$12,B46),IF(INDEX(Segments!$E$5:$E$12,B46)&lt;&gt;"",INDEX(Segments!$E$5:$E$12,B46),""))</f>
        <v/>
      </c>
      <c r="L46" s="21">
        <f>AA45</f>
        <v/>
      </c>
      <c r="M46" s="21">
        <f>IFERROR(INDEX(Overrides!$C:$C,MATCH(A46,Overrides!$A:$A,0)),"")</f>
        <v/>
      </c>
      <c r="N46" s="21">
        <f>IFERROR(INDEX(Overrides!$E:$E,MATCH(A46,Overrides!$A:$A,0)),"")</f>
        <v/>
      </c>
      <c r="O46" s="21">
        <f>IFERROR(INDEX(Overrides!$D:$D,MATCH(A46,Overrides!$A:$A,0)),"")</f>
        <v/>
      </c>
      <c r="P46" s="21">
        <f>IFERROR(INDEX(Overrides!$B:$B,MATCH(A46,Overrides!$A:$A,0)),"")</f>
        <v/>
      </c>
      <c r="Q46" s="6">
        <f>IFERROR(INDEX(Overrides!$F:$F,MATCH(A46,Overrides!$A:$A,0)),"")</f>
        <v/>
      </c>
      <c r="R46" s="6">
        <f>ISNUMBER(MATCH(A46,Overrides!$A:$A,0))</f>
        <v/>
      </c>
      <c r="S46" s="6">
        <f>OR(ROUND(L46-ROUND(G46-T46,2),2)&lt;=0,AND(I46,K46&lt;&gt;"",(A46-D46+1)=K46))</f>
        <v/>
      </c>
      <c r="T46" s="21">
        <f>IF(M46&lt;&gt;"",M46,ROUND(L46*F46,2))</f>
        <v/>
      </c>
      <c r="U46" s="21">
        <f>IF(R46,IF(O46&lt;&gt;"",O46,IF(N46&lt;&gt;"",ROUND(L46-N46,2),ROUND((IF(P46&lt;&gt;"",P46,G46))-T46,2))),IF(H46,0,IF(S46,L46,ROUND(G46-T46,2))))</f>
        <v/>
      </c>
      <c r="V46" s="21">
        <f>IF(R46,IF(P46&lt;&gt;"",P46,ROUND(T46+U46,2)),IF(H46,T46,IF(S46,ROUND(T46+U46,2),G46)))</f>
        <v/>
      </c>
      <c r="W46" s="21">
        <f>IF(R46,IF(N46&lt;&gt;"",N46,ROUND(L46-U46,2)),IF(H46,L46,IF(S46,0,ROUND(L46-U46,2))))</f>
        <v/>
      </c>
      <c r="X46" s="21">
        <f>IFERROR(MIN(INDEX(LumpSums!$B:$B,MATCH(A46,LumpSums!$A:$A,0)),W46),0)</f>
        <v/>
      </c>
      <c r="Y46" s="21">
        <f>ROUND(U46+X46,2)</f>
        <v/>
      </c>
      <c r="Z46" s="21">
        <f>ROUND(V46+X46,2)</f>
        <v/>
      </c>
      <c r="AA46" s="21">
        <f>ROUND(W46-X46,2)</f>
        <v/>
      </c>
      <c r="AB46" s="6">
        <f>AND(AB45,L46&gt;0)</f>
        <v/>
      </c>
      <c r="AC46" s="21">
        <f>IF(PMI_Costs!$B$8=0,0,ROUND(PMI_Costs!$B$8*(1+PMI_Costs!$B$9/100)^INT((A46-1)/12)/12,2))</f>
        <v/>
      </c>
      <c r="AD46" s="21">
        <f>IF(PMI_Costs!$B$10=0,0,ROUND(PMI_Costs!$B$10*(1+PMI_Costs!$B$11/100)^INT((A46-1)/12)/12,2))</f>
        <v/>
      </c>
      <c r="AE46" s="21">
        <f>IF(PMI_Costs!$B$12=0,0,ROUND(PMI_Costs!$B$12*(1+PMI_Costs!$B$13/100)^INT((A46-1)/12)/12,2))</f>
        <v/>
      </c>
      <c r="AF46" s="22">
        <f>IF(PMI_Costs!$B$5=0,0,AA46/PMI_Costs!$B$5)</f>
        <v/>
      </c>
      <c r="AG46" s="6">
        <f>AND(PMI_Costs!$B$4&gt;0,AF46&gt;PMI_Costs!$B$6/100)</f>
        <v/>
      </c>
      <c r="AH46" s="21">
        <f>IF(AG46,ROUND(Segments!$G$5*PMI_Costs!$B$4/100/12,2),0)</f>
        <v/>
      </c>
      <c r="AI46" s="6">
        <f>AND(NOT(AG46),AG45)</f>
        <v/>
      </c>
    </row>
    <row r="47">
      <c r="A47" s="18" t="n">
        <v>43</v>
      </c>
      <c r="B47" s="18">
        <f>SUMPRODUCT((Segments!$J$5:$J$12&lt;&gt;"")*(Segments!$J$5:$J$12&lt;=A47))</f>
        <v/>
      </c>
      <c r="C47" s="19">
        <f>INDEX(Segments!$B$5:$B$12,B47)</f>
        <v/>
      </c>
      <c r="D47" s="18">
        <f>INDEX(Segments!$J$5:$J$12,B47)</f>
        <v/>
      </c>
      <c r="E47" s="19">
        <f>DATE(YEAR(C47)+INT((MONTH(C47)-1+(A47-D47))/12),MOD(MONTH(C47)-1+(A47-D47),12)+1,1)+(DAY(C47)-1)</f>
        <v/>
      </c>
      <c r="F47" s="20">
        <f>INDEX(Segments!$C$5:$C$12,B47)/100/12</f>
        <v/>
      </c>
      <c r="G47" s="21">
        <f>INDEX(Segments!$L$5:$L$12,B47)</f>
        <v/>
      </c>
      <c r="H47" s="6">
        <f>INDEX(Segments!$I$5:$I$12,B47)="Y"</f>
        <v/>
      </c>
      <c r="I47" s="6">
        <f>INDEX(Segments!$F$5:$F$12,B47)=""</f>
        <v/>
      </c>
      <c r="J47" s="18">
        <f>INDEX(Segments!$K$5:$K$12,B47)</f>
        <v/>
      </c>
      <c r="K47" s="18">
        <f>IF(INDEX(Segments!$F$5:$F$12,B47)&lt;&gt;"",INDEX(Segments!$F$5:$F$12,B47),IF(INDEX(Segments!$E$5:$E$12,B47)&lt;&gt;"",INDEX(Segments!$E$5:$E$12,B47),""))</f>
        <v/>
      </c>
      <c r="L47" s="21">
        <f>AA46</f>
        <v/>
      </c>
      <c r="M47" s="21">
        <f>IFERROR(INDEX(Overrides!$C:$C,MATCH(A47,Overrides!$A:$A,0)),"")</f>
        <v/>
      </c>
      <c r="N47" s="21">
        <f>IFERROR(INDEX(Overrides!$E:$E,MATCH(A47,Overrides!$A:$A,0)),"")</f>
        <v/>
      </c>
      <c r="O47" s="21">
        <f>IFERROR(INDEX(Overrides!$D:$D,MATCH(A47,Overrides!$A:$A,0)),"")</f>
        <v/>
      </c>
      <c r="P47" s="21">
        <f>IFERROR(INDEX(Overrides!$B:$B,MATCH(A47,Overrides!$A:$A,0)),"")</f>
        <v/>
      </c>
      <c r="Q47" s="6">
        <f>IFERROR(INDEX(Overrides!$F:$F,MATCH(A47,Overrides!$A:$A,0)),"")</f>
        <v/>
      </c>
      <c r="R47" s="6">
        <f>ISNUMBER(MATCH(A47,Overrides!$A:$A,0))</f>
        <v/>
      </c>
      <c r="S47" s="6">
        <f>OR(ROUND(L47-ROUND(G47-T47,2),2)&lt;=0,AND(I47,K47&lt;&gt;"",(A47-D47+1)=K47))</f>
        <v/>
      </c>
      <c r="T47" s="21">
        <f>IF(M47&lt;&gt;"",M47,ROUND(L47*F47,2))</f>
        <v/>
      </c>
      <c r="U47" s="21">
        <f>IF(R47,IF(O47&lt;&gt;"",O47,IF(N47&lt;&gt;"",ROUND(L47-N47,2),ROUND((IF(P47&lt;&gt;"",P47,G47))-T47,2))),IF(H47,0,IF(S47,L47,ROUND(G47-T47,2))))</f>
        <v/>
      </c>
      <c r="V47" s="21">
        <f>IF(R47,IF(P47&lt;&gt;"",P47,ROUND(T47+U47,2)),IF(H47,T47,IF(S47,ROUND(T47+U47,2),G47)))</f>
        <v/>
      </c>
      <c r="W47" s="21">
        <f>IF(R47,IF(N47&lt;&gt;"",N47,ROUND(L47-U47,2)),IF(H47,L47,IF(S47,0,ROUND(L47-U47,2))))</f>
        <v/>
      </c>
      <c r="X47" s="21">
        <f>IFERROR(MIN(INDEX(LumpSums!$B:$B,MATCH(A47,LumpSums!$A:$A,0)),W47),0)</f>
        <v/>
      </c>
      <c r="Y47" s="21">
        <f>ROUND(U47+X47,2)</f>
        <v/>
      </c>
      <c r="Z47" s="21">
        <f>ROUND(V47+X47,2)</f>
        <v/>
      </c>
      <c r="AA47" s="21">
        <f>ROUND(W47-X47,2)</f>
        <v/>
      </c>
      <c r="AB47" s="6">
        <f>AND(AB46,L47&gt;0)</f>
        <v/>
      </c>
      <c r="AC47" s="21">
        <f>IF(PMI_Costs!$B$8=0,0,ROUND(PMI_Costs!$B$8*(1+PMI_Costs!$B$9/100)^INT((A47-1)/12)/12,2))</f>
        <v/>
      </c>
      <c r="AD47" s="21">
        <f>IF(PMI_Costs!$B$10=0,0,ROUND(PMI_Costs!$B$10*(1+PMI_Costs!$B$11/100)^INT((A47-1)/12)/12,2))</f>
        <v/>
      </c>
      <c r="AE47" s="21">
        <f>IF(PMI_Costs!$B$12=0,0,ROUND(PMI_Costs!$B$12*(1+PMI_Costs!$B$13/100)^INT((A47-1)/12)/12,2))</f>
        <v/>
      </c>
      <c r="AF47" s="22">
        <f>IF(PMI_Costs!$B$5=0,0,AA47/PMI_Costs!$B$5)</f>
        <v/>
      </c>
      <c r="AG47" s="6">
        <f>AND(PMI_Costs!$B$4&gt;0,AF47&gt;PMI_Costs!$B$6/100)</f>
        <v/>
      </c>
      <c r="AH47" s="21">
        <f>IF(AG47,ROUND(Segments!$G$5*PMI_Costs!$B$4/100/12,2),0)</f>
        <v/>
      </c>
      <c r="AI47" s="6">
        <f>AND(NOT(AG47),AG46)</f>
        <v/>
      </c>
    </row>
    <row r="48">
      <c r="A48" s="18" t="n">
        <v>44</v>
      </c>
      <c r="B48" s="18">
        <f>SUMPRODUCT((Segments!$J$5:$J$12&lt;&gt;"")*(Segments!$J$5:$J$12&lt;=A48))</f>
        <v/>
      </c>
      <c r="C48" s="19">
        <f>INDEX(Segments!$B$5:$B$12,B48)</f>
        <v/>
      </c>
      <c r="D48" s="18">
        <f>INDEX(Segments!$J$5:$J$12,B48)</f>
        <v/>
      </c>
      <c r="E48" s="19">
        <f>DATE(YEAR(C48)+INT((MONTH(C48)-1+(A48-D48))/12),MOD(MONTH(C48)-1+(A48-D48),12)+1,1)+(DAY(C48)-1)</f>
        <v/>
      </c>
      <c r="F48" s="20">
        <f>INDEX(Segments!$C$5:$C$12,B48)/100/12</f>
        <v/>
      </c>
      <c r="G48" s="21">
        <f>INDEX(Segments!$L$5:$L$12,B48)</f>
        <v/>
      </c>
      <c r="H48" s="6">
        <f>INDEX(Segments!$I$5:$I$12,B48)="Y"</f>
        <v/>
      </c>
      <c r="I48" s="6">
        <f>INDEX(Segments!$F$5:$F$12,B48)=""</f>
        <v/>
      </c>
      <c r="J48" s="18">
        <f>INDEX(Segments!$K$5:$K$12,B48)</f>
        <v/>
      </c>
      <c r="K48" s="18">
        <f>IF(INDEX(Segments!$F$5:$F$12,B48)&lt;&gt;"",INDEX(Segments!$F$5:$F$12,B48),IF(INDEX(Segments!$E$5:$E$12,B48)&lt;&gt;"",INDEX(Segments!$E$5:$E$12,B48),""))</f>
        <v/>
      </c>
      <c r="L48" s="21">
        <f>AA47</f>
        <v/>
      </c>
      <c r="M48" s="21">
        <f>IFERROR(INDEX(Overrides!$C:$C,MATCH(A48,Overrides!$A:$A,0)),"")</f>
        <v/>
      </c>
      <c r="N48" s="21">
        <f>IFERROR(INDEX(Overrides!$E:$E,MATCH(A48,Overrides!$A:$A,0)),"")</f>
        <v/>
      </c>
      <c r="O48" s="21">
        <f>IFERROR(INDEX(Overrides!$D:$D,MATCH(A48,Overrides!$A:$A,0)),"")</f>
        <v/>
      </c>
      <c r="P48" s="21">
        <f>IFERROR(INDEX(Overrides!$B:$B,MATCH(A48,Overrides!$A:$A,0)),"")</f>
        <v/>
      </c>
      <c r="Q48" s="6">
        <f>IFERROR(INDEX(Overrides!$F:$F,MATCH(A48,Overrides!$A:$A,0)),"")</f>
        <v/>
      </c>
      <c r="R48" s="6">
        <f>ISNUMBER(MATCH(A48,Overrides!$A:$A,0))</f>
        <v/>
      </c>
      <c r="S48" s="6">
        <f>OR(ROUND(L48-ROUND(G48-T48,2),2)&lt;=0,AND(I48,K48&lt;&gt;"",(A48-D48+1)=K48))</f>
        <v/>
      </c>
      <c r="T48" s="21">
        <f>IF(M48&lt;&gt;"",M48,ROUND(L48*F48,2))</f>
        <v/>
      </c>
      <c r="U48" s="21">
        <f>IF(R48,IF(O48&lt;&gt;"",O48,IF(N48&lt;&gt;"",ROUND(L48-N48,2),ROUND((IF(P48&lt;&gt;"",P48,G48))-T48,2))),IF(H48,0,IF(S48,L48,ROUND(G48-T48,2))))</f>
        <v/>
      </c>
      <c r="V48" s="21">
        <f>IF(R48,IF(P48&lt;&gt;"",P48,ROUND(T48+U48,2)),IF(H48,T48,IF(S48,ROUND(T48+U48,2),G48)))</f>
        <v/>
      </c>
      <c r="W48" s="21">
        <f>IF(R48,IF(N48&lt;&gt;"",N48,ROUND(L48-U48,2)),IF(H48,L48,IF(S48,0,ROUND(L48-U48,2))))</f>
        <v/>
      </c>
      <c r="X48" s="21">
        <f>IFERROR(MIN(INDEX(LumpSums!$B:$B,MATCH(A48,LumpSums!$A:$A,0)),W48),0)</f>
        <v/>
      </c>
      <c r="Y48" s="21">
        <f>ROUND(U48+X48,2)</f>
        <v/>
      </c>
      <c r="Z48" s="21">
        <f>ROUND(V48+X48,2)</f>
        <v/>
      </c>
      <c r="AA48" s="21">
        <f>ROUND(W48-X48,2)</f>
        <v/>
      </c>
      <c r="AB48" s="6">
        <f>AND(AB47,L48&gt;0)</f>
        <v/>
      </c>
      <c r="AC48" s="21">
        <f>IF(PMI_Costs!$B$8=0,0,ROUND(PMI_Costs!$B$8*(1+PMI_Costs!$B$9/100)^INT((A48-1)/12)/12,2))</f>
        <v/>
      </c>
      <c r="AD48" s="21">
        <f>IF(PMI_Costs!$B$10=0,0,ROUND(PMI_Costs!$B$10*(1+PMI_Costs!$B$11/100)^INT((A48-1)/12)/12,2))</f>
        <v/>
      </c>
      <c r="AE48" s="21">
        <f>IF(PMI_Costs!$B$12=0,0,ROUND(PMI_Costs!$B$12*(1+PMI_Costs!$B$13/100)^INT((A48-1)/12)/12,2))</f>
        <v/>
      </c>
      <c r="AF48" s="22">
        <f>IF(PMI_Costs!$B$5=0,0,AA48/PMI_Costs!$B$5)</f>
        <v/>
      </c>
      <c r="AG48" s="6">
        <f>AND(PMI_Costs!$B$4&gt;0,AF48&gt;PMI_Costs!$B$6/100)</f>
        <v/>
      </c>
      <c r="AH48" s="21">
        <f>IF(AG48,ROUND(Segments!$G$5*PMI_Costs!$B$4/100/12,2),0)</f>
        <v/>
      </c>
      <c r="AI48" s="6">
        <f>AND(NOT(AG48),AG47)</f>
        <v/>
      </c>
    </row>
    <row r="49">
      <c r="A49" s="18" t="n">
        <v>45</v>
      </c>
      <c r="B49" s="18">
        <f>SUMPRODUCT((Segments!$J$5:$J$12&lt;&gt;"")*(Segments!$J$5:$J$12&lt;=A49))</f>
        <v/>
      </c>
      <c r="C49" s="19">
        <f>INDEX(Segments!$B$5:$B$12,B49)</f>
        <v/>
      </c>
      <c r="D49" s="18">
        <f>INDEX(Segments!$J$5:$J$12,B49)</f>
        <v/>
      </c>
      <c r="E49" s="19">
        <f>DATE(YEAR(C49)+INT((MONTH(C49)-1+(A49-D49))/12),MOD(MONTH(C49)-1+(A49-D49),12)+1,1)+(DAY(C49)-1)</f>
        <v/>
      </c>
      <c r="F49" s="20">
        <f>INDEX(Segments!$C$5:$C$12,B49)/100/12</f>
        <v/>
      </c>
      <c r="G49" s="21">
        <f>INDEX(Segments!$L$5:$L$12,B49)</f>
        <v/>
      </c>
      <c r="H49" s="6">
        <f>INDEX(Segments!$I$5:$I$12,B49)="Y"</f>
        <v/>
      </c>
      <c r="I49" s="6">
        <f>INDEX(Segments!$F$5:$F$12,B49)=""</f>
        <v/>
      </c>
      <c r="J49" s="18">
        <f>INDEX(Segments!$K$5:$K$12,B49)</f>
        <v/>
      </c>
      <c r="K49" s="18">
        <f>IF(INDEX(Segments!$F$5:$F$12,B49)&lt;&gt;"",INDEX(Segments!$F$5:$F$12,B49),IF(INDEX(Segments!$E$5:$E$12,B49)&lt;&gt;"",INDEX(Segments!$E$5:$E$12,B49),""))</f>
        <v/>
      </c>
      <c r="L49" s="21">
        <f>AA48</f>
        <v/>
      </c>
      <c r="M49" s="21">
        <f>IFERROR(INDEX(Overrides!$C:$C,MATCH(A49,Overrides!$A:$A,0)),"")</f>
        <v/>
      </c>
      <c r="N49" s="21">
        <f>IFERROR(INDEX(Overrides!$E:$E,MATCH(A49,Overrides!$A:$A,0)),"")</f>
        <v/>
      </c>
      <c r="O49" s="21">
        <f>IFERROR(INDEX(Overrides!$D:$D,MATCH(A49,Overrides!$A:$A,0)),"")</f>
        <v/>
      </c>
      <c r="P49" s="21">
        <f>IFERROR(INDEX(Overrides!$B:$B,MATCH(A49,Overrides!$A:$A,0)),"")</f>
        <v/>
      </c>
      <c r="Q49" s="6">
        <f>IFERROR(INDEX(Overrides!$F:$F,MATCH(A49,Overrides!$A:$A,0)),"")</f>
        <v/>
      </c>
      <c r="R49" s="6">
        <f>ISNUMBER(MATCH(A49,Overrides!$A:$A,0))</f>
        <v/>
      </c>
      <c r="S49" s="6">
        <f>OR(ROUND(L49-ROUND(G49-T49,2),2)&lt;=0,AND(I49,K49&lt;&gt;"",(A49-D49+1)=K49))</f>
        <v/>
      </c>
      <c r="T49" s="21">
        <f>IF(M49&lt;&gt;"",M49,ROUND(L49*F49,2))</f>
        <v/>
      </c>
      <c r="U49" s="21">
        <f>IF(R49,IF(O49&lt;&gt;"",O49,IF(N49&lt;&gt;"",ROUND(L49-N49,2),ROUND((IF(P49&lt;&gt;"",P49,G49))-T49,2))),IF(H49,0,IF(S49,L49,ROUND(G49-T49,2))))</f>
        <v/>
      </c>
      <c r="V49" s="21">
        <f>IF(R49,IF(P49&lt;&gt;"",P49,ROUND(T49+U49,2)),IF(H49,T49,IF(S49,ROUND(T49+U49,2),G49)))</f>
        <v/>
      </c>
      <c r="W49" s="21">
        <f>IF(R49,IF(N49&lt;&gt;"",N49,ROUND(L49-U49,2)),IF(H49,L49,IF(S49,0,ROUND(L49-U49,2))))</f>
        <v/>
      </c>
      <c r="X49" s="21">
        <f>IFERROR(MIN(INDEX(LumpSums!$B:$B,MATCH(A49,LumpSums!$A:$A,0)),W49),0)</f>
        <v/>
      </c>
      <c r="Y49" s="21">
        <f>ROUND(U49+X49,2)</f>
        <v/>
      </c>
      <c r="Z49" s="21">
        <f>ROUND(V49+X49,2)</f>
        <v/>
      </c>
      <c r="AA49" s="21">
        <f>ROUND(W49-X49,2)</f>
        <v/>
      </c>
      <c r="AB49" s="6">
        <f>AND(AB48,L49&gt;0)</f>
        <v/>
      </c>
      <c r="AC49" s="21">
        <f>IF(PMI_Costs!$B$8=0,0,ROUND(PMI_Costs!$B$8*(1+PMI_Costs!$B$9/100)^INT((A49-1)/12)/12,2))</f>
        <v/>
      </c>
      <c r="AD49" s="21">
        <f>IF(PMI_Costs!$B$10=0,0,ROUND(PMI_Costs!$B$10*(1+PMI_Costs!$B$11/100)^INT((A49-1)/12)/12,2))</f>
        <v/>
      </c>
      <c r="AE49" s="21">
        <f>IF(PMI_Costs!$B$12=0,0,ROUND(PMI_Costs!$B$12*(1+PMI_Costs!$B$13/100)^INT((A49-1)/12)/12,2))</f>
        <v/>
      </c>
      <c r="AF49" s="22">
        <f>IF(PMI_Costs!$B$5=0,0,AA49/PMI_Costs!$B$5)</f>
        <v/>
      </c>
      <c r="AG49" s="6">
        <f>AND(PMI_Costs!$B$4&gt;0,AF49&gt;PMI_Costs!$B$6/100)</f>
        <v/>
      </c>
      <c r="AH49" s="21">
        <f>IF(AG49,ROUND(Segments!$G$5*PMI_Costs!$B$4/100/12,2),0)</f>
        <v/>
      </c>
      <c r="AI49" s="6">
        <f>AND(NOT(AG49),AG48)</f>
        <v/>
      </c>
    </row>
    <row r="50">
      <c r="A50" s="18" t="n">
        <v>46</v>
      </c>
      <c r="B50" s="18">
        <f>SUMPRODUCT((Segments!$J$5:$J$12&lt;&gt;"")*(Segments!$J$5:$J$12&lt;=A50))</f>
        <v/>
      </c>
      <c r="C50" s="19">
        <f>INDEX(Segments!$B$5:$B$12,B50)</f>
        <v/>
      </c>
      <c r="D50" s="18">
        <f>INDEX(Segments!$J$5:$J$12,B50)</f>
        <v/>
      </c>
      <c r="E50" s="19">
        <f>DATE(YEAR(C50)+INT((MONTH(C50)-1+(A50-D50))/12),MOD(MONTH(C50)-1+(A50-D50),12)+1,1)+(DAY(C50)-1)</f>
        <v/>
      </c>
      <c r="F50" s="20">
        <f>INDEX(Segments!$C$5:$C$12,B50)/100/12</f>
        <v/>
      </c>
      <c r="G50" s="21">
        <f>INDEX(Segments!$L$5:$L$12,B50)</f>
        <v/>
      </c>
      <c r="H50" s="6">
        <f>INDEX(Segments!$I$5:$I$12,B50)="Y"</f>
        <v/>
      </c>
      <c r="I50" s="6">
        <f>INDEX(Segments!$F$5:$F$12,B50)=""</f>
        <v/>
      </c>
      <c r="J50" s="18">
        <f>INDEX(Segments!$K$5:$K$12,B50)</f>
        <v/>
      </c>
      <c r="K50" s="18">
        <f>IF(INDEX(Segments!$F$5:$F$12,B50)&lt;&gt;"",INDEX(Segments!$F$5:$F$12,B50),IF(INDEX(Segments!$E$5:$E$12,B50)&lt;&gt;"",INDEX(Segments!$E$5:$E$12,B50),""))</f>
        <v/>
      </c>
      <c r="L50" s="21">
        <f>AA49</f>
        <v/>
      </c>
      <c r="M50" s="21">
        <f>IFERROR(INDEX(Overrides!$C:$C,MATCH(A50,Overrides!$A:$A,0)),"")</f>
        <v/>
      </c>
      <c r="N50" s="21">
        <f>IFERROR(INDEX(Overrides!$E:$E,MATCH(A50,Overrides!$A:$A,0)),"")</f>
        <v/>
      </c>
      <c r="O50" s="21">
        <f>IFERROR(INDEX(Overrides!$D:$D,MATCH(A50,Overrides!$A:$A,0)),"")</f>
        <v/>
      </c>
      <c r="P50" s="21">
        <f>IFERROR(INDEX(Overrides!$B:$B,MATCH(A50,Overrides!$A:$A,0)),"")</f>
        <v/>
      </c>
      <c r="Q50" s="6">
        <f>IFERROR(INDEX(Overrides!$F:$F,MATCH(A50,Overrides!$A:$A,0)),"")</f>
        <v/>
      </c>
      <c r="R50" s="6">
        <f>ISNUMBER(MATCH(A50,Overrides!$A:$A,0))</f>
        <v/>
      </c>
      <c r="S50" s="6">
        <f>OR(ROUND(L50-ROUND(G50-T50,2),2)&lt;=0,AND(I50,K50&lt;&gt;"",(A50-D50+1)=K50))</f>
        <v/>
      </c>
      <c r="T50" s="21">
        <f>IF(M50&lt;&gt;"",M50,ROUND(L50*F50,2))</f>
        <v/>
      </c>
      <c r="U50" s="21">
        <f>IF(R50,IF(O50&lt;&gt;"",O50,IF(N50&lt;&gt;"",ROUND(L50-N50,2),ROUND((IF(P50&lt;&gt;"",P50,G50))-T50,2))),IF(H50,0,IF(S50,L50,ROUND(G50-T50,2))))</f>
        <v/>
      </c>
      <c r="V50" s="21">
        <f>IF(R50,IF(P50&lt;&gt;"",P50,ROUND(T50+U50,2)),IF(H50,T50,IF(S50,ROUND(T50+U50,2),G50)))</f>
        <v/>
      </c>
      <c r="W50" s="21">
        <f>IF(R50,IF(N50&lt;&gt;"",N50,ROUND(L50-U50,2)),IF(H50,L50,IF(S50,0,ROUND(L50-U50,2))))</f>
        <v/>
      </c>
      <c r="X50" s="21">
        <f>IFERROR(MIN(INDEX(LumpSums!$B:$B,MATCH(A50,LumpSums!$A:$A,0)),W50),0)</f>
        <v/>
      </c>
      <c r="Y50" s="21">
        <f>ROUND(U50+X50,2)</f>
        <v/>
      </c>
      <c r="Z50" s="21">
        <f>ROUND(V50+X50,2)</f>
        <v/>
      </c>
      <c r="AA50" s="21">
        <f>ROUND(W50-X50,2)</f>
        <v/>
      </c>
      <c r="AB50" s="6">
        <f>AND(AB49,L50&gt;0)</f>
        <v/>
      </c>
      <c r="AC50" s="21">
        <f>IF(PMI_Costs!$B$8=0,0,ROUND(PMI_Costs!$B$8*(1+PMI_Costs!$B$9/100)^INT((A50-1)/12)/12,2))</f>
        <v/>
      </c>
      <c r="AD50" s="21">
        <f>IF(PMI_Costs!$B$10=0,0,ROUND(PMI_Costs!$B$10*(1+PMI_Costs!$B$11/100)^INT((A50-1)/12)/12,2))</f>
        <v/>
      </c>
      <c r="AE50" s="21">
        <f>IF(PMI_Costs!$B$12=0,0,ROUND(PMI_Costs!$B$12*(1+PMI_Costs!$B$13/100)^INT((A50-1)/12)/12,2))</f>
        <v/>
      </c>
      <c r="AF50" s="22">
        <f>IF(PMI_Costs!$B$5=0,0,AA50/PMI_Costs!$B$5)</f>
        <v/>
      </c>
      <c r="AG50" s="6">
        <f>AND(PMI_Costs!$B$4&gt;0,AF50&gt;PMI_Costs!$B$6/100)</f>
        <v/>
      </c>
      <c r="AH50" s="21">
        <f>IF(AG50,ROUND(Segments!$G$5*PMI_Costs!$B$4/100/12,2),0)</f>
        <v/>
      </c>
      <c r="AI50" s="6">
        <f>AND(NOT(AG50),AG49)</f>
        <v/>
      </c>
    </row>
    <row r="51">
      <c r="A51" s="18" t="n">
        <v>47</v>
      </c>
      <c r="B51" s="18">
        <f>SUMPRODUCT((Segments!$J$5:$J$12&lt;&gt;"")*(Segments!$J$5:$J$12&lt;=A51))</f>
        <v/>
      </c>
      <c r="C51" s="19">
        <f>INDEX(Segments!$B$5:$B$12,B51)</f>
        <v/>
      </c>
      <c r="D51" s="18">
        <f>INDEX(Segments!$J$5:$J$12,B51)</f>
        <v/>
      </c>
      <c r="E51" s="19">
        <f>DATE(YEAR(C51)+INT((MONTH(C51)-1+(A51-D51))/12),MOD(MONTH(C51)-1+(A51-D51),12)+1,1)+(DAY(C51)-1)</f>
        <v/>
      </c>
      <c r="F51" s="20">
        <f>INDEX(Segments!$C$5:$C$12,B51)/100/12</f>
        <v/>
      </c>
      <c r="G51" s="21">
        <f>INDEX(Segments!$L$5:$L$12,B51)</f>
        <v/>
      </c>
      <c r="H51" s="6">
        <f>INDEX(Segments!$I$5:$I$12,B51)="Y"</f>
        <v/>
      </c>
      <c r="I51" s="6">
        <f>INDEX(Segments!$F$5:$F$12,B51)=""</f>
        <v/>
      </c>
      <c r="J51" s="18">
        <f>INDEX(Segments!$K$5:$K$12,B51)</f>
        <v/>
      </c>
      <c r="K51" s="18">
        <f>IF(INDEX(Segments!$F$5:$F$12,B51)&lt;&gt;"",INDEX(Segments!$F$5:$F$12,B51),IF(INDEX(Segments!$E$5:$E$12,B51)&lt;&gt;"",INDEX(Segments!$E$5:$E$12,B51),""))</f>
        <v/>
      </c>
      <c r="L51" s="21">
        <f>AA50</f>
        <v/>
      </c>
      <c r="M51" s="21">
        <f>IFERROR(INDEX(Overrides!$C:$C,MATCH(A51,Overrides!$A:$A,0)),"")</f>
        <v/>
      </c>
      <c r="N51" s="21">
        <f>IFERROR(INDEX(Overrides!$E:$E,MATCH(A51,Overrides!$A:$A,0)),"")</f>
        <v/>
      </c>
      <c r="O51" s="21">
        <f>IFERROR(INDEX(Overrides!$D:$D,MATCH(A51,Overrides!$A:$A,0)),"")</f>
        <v/>
      </c>
      <c r="P51" s="21">
        <f>IFERROR(INDEX(Overrides!$B:$B,MATCH(A51,Overrides!$A:$A,0)),"")</f>
        <v/>
      </c>
      <c r="Q51" s="6">
        <f>IFERROR(INDEX(Overrides!$F:$F,MATCH(A51,Overrides!$A:$A,0)),"")</f>
        <v/>
      </c>
      <c r="R51" s="6">
        <f>ISNUMBER(MATCH(A51,Overrides!$A:$A,0))</f>
        <v/>
      </c>
      <c r="S51" s="6">
        <f>OR(ROUND(L51-ROUND(G51-T51,2),2)&lt;=0,AND(I51,K51&lt;&gt;"",(A51-D51+1)=K51))</f>
        <v/>
      </c>
      <c r="T51" s="21">
        <f>IF(M51&lt;&gt;"",M51,ROUND(L51*F51,2))</f>
        <v/>
      </c>
      <c r="U51" s="21">
        <f>IF(R51,IF(O51&lt;&gt;"",O51,IF(N51&lt;&gt;"",ROUND(L51-N51,2),ROUND((IF(P51&lt;&gt;"",P51,G51))-T51,2))),IF(H51,0,IF(S51,L51,ROUND(G51-T51,2))))</f>
        <v/>
      </c>
      <c r="V51" s="21">
        <f>IF(R51,IF(P51&lt;&gt;"",P51,ROUND(T51+U51,2)),IF(H51,T51,IF(S51,ROUND(T51+U51,2),G51)))</f>
        <v/>
      </c>
      <c r="W51" s="21">
        <f>IF(R51,IF(N51&lt;&gt;"",N51,ROUND(L51-U51,2)),IF(H51,L51,IF(S51,0,ROUND(L51-U51,2))))</f>
        <v/>
      </c>
      <c r="X51" s="21">
        <f>IFERROR(MIN(INDEX(LumpSums!$B:$B,MATCH(A51,LumpSums!$A:$A,0)),W51),0)</f>
        <v/>
      </c>
      <c r="Y51" s="21">
        <f>ROUND(U51+X51,2)</f>
        <v/>
      </c>
      <c r="Z51" s="21">
        <f>ROUND(V51+X51,2)</f>
        <v/>
      </c>
      <c r="AA51" s="21">
        <f>ROUND(W51-X51,2)</f>
        <v/>
      </c>
      <c r="AB51" s="6">
        <f>AND(AB50,L51&gt;0)</f>
        <v/>
      </c>
      <c r="AC51" s="21">
        <f>IF(PMI_Costs!$B$8=0,0,ROUND(PMI_Costs!$B$8*(1+PMI_Costs!$B$9/100)^INT((A51-1)/12)/12,2))</f>
        <v/>
      </c>
      <c r="AD51" s="21">
        <f>IF(PMI_Costs!$B$10=0,0,ROUND(PMI_Costs!$B$10*(1+PMI_Costs!$B$11/100)^INT((A51-1)/12)/12,2))</f>
        <v/>
      </c>
      <c r="AE51" s="21">
        <f>IF(PMI_Costs!$B$12=0,0,ROUND(PMI_Costs!$B$12*(1+PMI_Costs!$B$13/100)^INT((A51-1)/12)/12,2))</f>
        <v/>
      </c>
      <c r="AF51" s="22">
        <f>IF(PMI_Costs!$B$5=0,0,AA51/PMI_Costs!$B$5)</f>
        <v/>
      </c>
      <c r="AG51" s="6">
        <f>AND(PMI_Costs!$B$4&gt;0,AF51&gt;PMI_Costs!$B$6/100)</f>
        <v/>
      </c>
      <c r="AH51" s="21">
        <f>IF(AG51,ROUND(Segments!$G$5*PMI_Costs!$B$4/100/12,2),0)</f>
        <v/>
      </c>
      <c r="AI51" s="6">
        <f>AND(NOT(AG51),AG50)</f>
        <v/>
      </c>
    </row>
    <row r="52">
      <c r="A52" s="18" t="n">
        <v>48</v>
      </c>
      <c r="B52" s="18">
        <f>SUMPRODUCT((Segments!$J$5:$J$12&lt;&gt;"")*(Segments!$J$5:$J$12&lt;=A52))</f>
        <v/>
      </c>
      <c r="C52" s="19">
        <f>INDEX(Segments!$B$5:$B$12,B52)</f>
        <v/>
      </c>
      <c r="D52" s="18">
        <f>INDEX(Segments!$J$5:$J$12,B52)</f>
        <v/>
      </c>
      <c r="E52" s="19">
        <f>DATE(YEAR(C52)+INT((MONTH(C52)-1+(A52-D52))/12),MOD(MONTH(C52)-1+(A52-D52),12)+1,1)+(DAY(C52)-1)</f>
        <v/>
      </c>
      <c r="F52" s="20">
        <f>INDEX(Segments!$C$5:$C$12,B52)/100/12</f>
        <v/>
      </c>
      <c r="G52" s="21">
        <f>INDEX(Segments!$L$5:$L$12,B52)</f>
        <v/>
      </c>
      <c r="H52" s="6">
        <f>INDEX(Segments!$I$5:$I$12,B52)="Y"</f>
        <v/>
      </c>
      <c r="I52" s="6">
        <f>INDEX(Segments!$F$5:$F$12,B52)=""</f>
        <v/>
      </c>
      <c r="J52" s="18">
        <f>INDEX(Segments!$K$5:$K$12,B52)</f>
        <v/>
      </c>
      <c r="K52" s="18">
        <f>IF(INDEX(Segments!$F$5:$F$12,B52)&lt;&gt;"",INDEX(Segments!$F$5:$F$12,B52),IF(INDEX(Segments!$E$5:$E$12,B52)&lt;&gt;"",INDEX(Segments!$E$5:$E$12,B52),""))</f>
        <v/>
      </c>
      <c r="L52" s="21">
        <f>AA51</f>
        <v/>
      </c>
      <c r="M52" s="21">
        <f>IFERROR(INDEX(Overrides!$C:$C,MATCH(A52,Overrides!$A:$A,0)),"")</f>
        <v/>
      </c>
      <c r="N52" s="21">
        <f>IFERROR(INDEX(Overrides!$E:$E,MATCH(A52,Overrides!$A:$A,0)),"")</f>
        <v/>
      </c>
      <c r="O52" s="21">
        <f>IFERROR(INDEX(Overrides!$D:$D,MATCH(A52,Overrides!$A:$A,0)),"")</f>
        <v/>
      </c>
      <c r="P52" s="21">
        <f>IFERROR(INDEX(Overrides!$B:$B,MATCH(A52,Overrides!$A:$A,0)),"")</f>
        <v/>
      </c>
      <c r="Q52" s="6">
        <f>IFERROR(INDEX(Overrides!$F:$F,MATCH(A52,Overrides!$A:$A,0)),"")</f>
        <v/>
      </c>
      <c r="R52" s="6">
        <f>ISNUMBER(MATCH(A52,Overrides!$A:$A,0))</f>
        <v/>
      </c>
      <c r="S52" s="6">
        <f>OR(ROUND(L52-ROUND(G52-T52,2),2)&lt;=0,AND(I52,K52&lt;&gt;"",(A52-D52+1)=K52))</f>
        <v/>
      </c>
      <c r="T52" s="21">
        <f>IF(M52&lt;&gt;"",M52,ROUND(L52*F52,2))</f>
        <v/>
      </c>
      <c r="U52" s="21">
        <f>IF(R52,IF(O52&lt;&gt;"",O52,IF(N52&lt;&gt;"",ROUND(L52-N52,2),ROUND((IF(P52&lt;&gt;"",P52,G52))-T52,2))),IF(H52,0,IF(S52,L52,ROUND(G52-T52,2))))</f>
        <v/>
      </c>
      <c r="V52" s="21">
        <f>IF(R52,IF(P52&lt;&gt;"",P52,ROUND(T52+U52,2)),IF(H52,T52,IF(S52,ROUND(T52+U52,2),G52)))</f>
        <v/>
      </c>
      <c r="W52" s="21">
        <f>IF(R52,IF(N52&lt;&gt;"",N52,ROUND(L52-U52,2)),IF(H52,L52,IF(S52,0,ROUND(L52-U52,2))))</f>
        <v/>
      </c>
      <c r="X52" s="21">
        <f>IFERROR(MIN(INDEX(LumpSums!$B:$B,MATCH(A52,LumpSums!$A:$A,0)),W52),0)</f>
        <v/>
      </c>
      <c r="Y52" s="21">
        <f>ROUND(U52+X52,2)</f>
        <v/>
      </c>
      <c r="Z52" s="21">
        <f>ROUND(V52+X52,2)</f>
        <v/>
      </c>
      <c r="AA52" s="21">
        <f>ROUND(W52-X52,2)</f>
        <v/>
      </c>
      <c r="AB52" s="6">
        <f>AND(AB51,L52&gt;0)</f>
        <v/>
      </c>
      <c r="AC52" s="21">
        <f>IF(PMI_Costs!$B$8=0,0,ROUND(PMI_Costs!$B$8*(1+PMI_Costs!$B$9/100)^INT((A52-1)/12)/12,2))</f>
        <v/>
      </c>
      <c r="AD52" s="21">
        <f>IF(PMI_Costs!$B$10=0,0,ROUND(PMI_Costs!$B$10*(1+PMI_Costs!$B$11/100)^INT((A52-1)/12)/12,2))</f>
        <v/>
      </c>
      <c r="AE52" s="21">
        <f>IF(PMI_Costs!$B$12=0,0,ROUND(PMI_Costs!$B$12*(1+PMI_Costs!$B$13/100)^INT((A52-1)/12)/12,2))</f>
        <v/>
      </c>
      <c r="AF52" s="22">
        <f>IF(PMI_Costs!$B$5=0,0,AA52/PMI_Costs!$B$5)</f>
        <v/>
      </c>
      <c r="AG52" s="6">
        <f>AND(PMI_Costs!$B$4&gt;0,AF52&gt;PMI_Costs!$B$6/100)</f>
        <v/>
      </c>
      <c r="AH52" s="21">
        <f>IF(AG52,ROUND(Segments!$G$5*PMI_Costs!$B$4/100/12,2),0)</f>
        <v/>
      </c>
      <c r="AI52" s="6">
        <f>AND(NOT(AG52),AG51)</f>
        <v/>
      </c>
    </row>
    <row r="53">
      <c r="A53" s="18" t="n">
        <v>49</v>
      </c>
      <c r="B53" s="18">
        <f>SUMPRODUCT((Segments!$J$5:$J$12&lt;&gt;"")*(Segments!$J$5:$J$12&lt;=A53))</f>
        <v/>
      </c>
      <c r="C53" s="19">
        <f>INDEX(Segments!$B$5:$B$12,B53)</f>
        <v/>
      </c>
      <c r="D53" s="18">
        <f>INDEX(Segments!$J$5:$J$12,B53)</f>
        <v/>
      </c>
      <c r="E53" s="19">
        <f>DATE(YEAR(C53)+INT((MONTH(C53)-1+(A53-D53))/12),MOD(MONTH(C53)-1+(A53-D53),12)+1,1)+(DAY(C53)-1)</f>
        <v/>
      </c>
      <c r="F53" s="20">
        <f>INDEX(Segments!$C$5:$C$12,B53)/100/12</f>
        <v/>
      </c>
      <c r="G53" s="21">
        <f>INDEX(Segments!$L$5:$L$12,B53)</f>
        <v/>
      </c>
      <c r="H53" s="6">
        <f>INDEX(Segments!$I$5:$I$12,B53)="Y"</f>
        <v/>
      </c>
      <c r="I53" s="6">
        <f>INDEX(Segments!$F$5:$F$12,B53)=""</f>
        <v/>
      </c>
      <c r="J53" s="18">
        <f>INDEX(Segments!$K$5:$K$12,B53)</f>
        <v/>
      </c>
      <c r="K53" s="18">
        <f>IF(INDEX(Segments!$F$5:$F$12,B53)&lt;&gt;"",INDEX(Segments!$F$5:$F$12,B53),IF(INDEX(Segments!$E$5:$E$12,B53)&lt;&gt;"",INDEX(Segments!$E$5:$E$12,B53),""))</f>
        <v/>
      </c>
      <c r="L53" s="21">
        <f>AA52</f>
        <v/>
      </c>
      <c r="M53" s="21">
        <f>IFERROR(INDEX(Overrides!$C:$C,MATCH(A53,Overrides!$A:$A,0)),"")</f>
        <v/>
      </c>
      <c r="N53" s="21">
        <f>IFERROR(INDEX(Overrides!$E:$E,MATCH(A53,Overrides!$A:$A,0)),"")</f>
        <v/>
      </c>
      <c r="O53" s="21">
        <f>IFERROR(INDEX(Overrides!$D:$D,MATCH(A53,Overrides!$A:$A,0)),"")</f>
        <v/>
      </c>
      <c r="P53" s="21">
        <f>IFERROR(INDEX(Overrides!$B:$B,MATCH(A53,Overrides!$A:$A,0)),"")</f>
        <v/>
      </c>
      <c r="Q53" s="6">
        <f>IFERROR(INDEX(Overrides!$F:$F,MATCH(A53,Overrides!$A:$A,0)),"")</f>
        <v/>
      </c>
      <c r="R53" s="6">
        <f>ISNUMBER(MATCH(A53,Overrides!$A:$A,0))</f>
        <v/>
      </c>
      <c r="S53" s="6">
        <f>OR(ROUND(L53-ROUND(G53-T53,2),2)&lt;=0,AND(I53,K53&lt;&gt;"",(A53-D53+1)=K53))</f>
        <v/>
      </c>
      <c r="T53" s="21">
        <f>IF(M53&lt;&gt;"",M53,ROUND(L53*F53,2))</f>
        <v/>
      </c>
      <c r="U53" s="21">
        <f>IF(R53,IF(O53&lt;&gt;"",O53,IF(N53&lt;&gt;"",ROUND(L53-N53,2),ROUND((IF(P53&lt;&gt;"",P53,G53))-T53,2))),IF(H53,0,IF(S53,L53,ROUND(G53-T53,2))))</f>
        <v/>
      </c>
      <c r="V53" s="21">
        <f>IF(R53,IF(P53&lt;&gt;"",P53,ROUND(T53+U53,2)),IF(H53,T53,IF(S53,ROUND(T53+U53,2),G53)))</f>
        <v/>
      </c>
      <c r="W53" s="21">
        <f>IF(R53,IF(N53&lt;&gt;"",N53,ROUND(L53-U53,2)),IF(H53,L53,IF(S53,0,ROUND(L53-U53,2))))</f>
        <v/>
      </c>
      <c r="X53" s="21">
        <f>IFERROR(MIN(INDEX(LumpSums!$B:$B,MATCH(A53,LumpSums!$A:$A,0)),W53),0)</f>
        <v/>
      </c>
      <c r="Y53" s="21">
        <f>ROUND(U53+X53,2)</f>
        <v/>
      </c>
      <c r="Z53" s="21">
        <f>ROUND(V53+X53,2)</f>
        <v/>
      </c>
      <c r="AA53" s="21">
        <f>ROUND(W53-X53,2)</f>
        <v/>
      </c>
      <c r="AB53" s="6">
        <f>AND(AB52,L53&gt;0)</f>
        <v/>
      </c>
      <c r="AC53" s="21">
        <f>IF(PMI_Costs!$B$8=0,0,ROUND(PMI_Costs!$B$8*(1+PMI_Costs!$B$9/100)^INT((A53-1)/12)/12,2))</f>
        <v/>
      </c>
      <c r="AD53" s="21">
        <f>IF(PMI_Costs!$B$10=0,0,ROUND(PMI_Costs!$B$10*(1+PMI_Costs!$B$11/100)^INT((A53-1)/12)/12,2))</f>
        <v/>
      </c>
      <c r="AE53" s="21">
        <f>IF(PMI_Costs!$B$12=0,0,ROUND(PMI_Costs!$B$12*(1+PMI_Costs!$B$13/100)^INT((A53-1)/12)/12,2))</f>
        <v/>
      </c>
      <c r="AF53" s="22">
        <f>IF(PMI_Costs!$B$5=0,0,AA53/PMI_Costs!$B$5)</f>
        <v/>
      </c>
      <c r="AG53" s="6">
        <f>AND(PMI_Costs!$B$4&gt;0,AF53&gt;PMI_Costs!$B$6/100)</f>
        <v/>
      </c>
      <c r="AH53" s="21">
        <f>IF(AG53,ROUND(Segments!$G$5*PMI_Costs!$B$4/100/12,2),0)</f>
        <v/>
      </c>
      <c r="AI53" s="6">
        <f>AND(NOT(AG53),AG52)</f>
        <v/>
      </c>
    </row>
    <row r="54">
      <c r="A54" s="18" t="n">
        <v>50</v>
      </c>
      <c r="B54" s="18">
        <f>SUMPRODUCT((Segments!$J$5:$J$12&lt;&gt;"")*(Segments!$J$5:$J$12&lt;=A54))</f>
        <v/>
      </c>
      <c r="C54" s="19">
        <f>INDEX(Segments!$B$5:$B$12,B54)</f>
        <v/>
      </c>
      <c r="D54" s="18">
        <f>INDEX(Segments!$J$5:$J$12,B54)</f>
        <v/>
      </c>
      <c r="E54" s="19">
        <f>DATE(YEAR(C54)+INT((MONTH(C54)-1+(A54-D54))/12),MOD(MONTH(C54)-1+(A54-D54),12)+1,1)+(DAY(C54)-1)</f>
        <v/>
      </c>
      <c r="F54" s="20">
        <f>INDEX(Segments!$C$5:$C$12,B54)/100/12</f>
        <v/>
      </c>
      <c r="G54" s="21">
        <f>INDEX(Segments!$L$5:$L$12,B54)</f>
        <v/>
      </c>
      <c r="H54" s="6">
        <f>INDEX(Segments!$I$5:$I$12,B54)="Y"</f>
        <v/>
      </c>
      <c r="I54" s="6">
        <f>INDEX(Segments!$F$5:$F$12,B54)=""</f>
        <v/>
      </c>
      <c r="J54" s="18">
        <f>INDEX(Segments!$K$5:$K$12,B54)</f>
        <v/>
      </c>
      <c r="K54" s="18">
        <f>IF(INDEX(Segments!$F$5:$F$12,B54)&lt;&gt;"",INDEX(Segments!$F$5:$F$12,B54),IF(INDEX(Segments!$E$5:$E$12,B54)&lt;&gt;"",INDEX(Segments!$E$5:$E$12,B54),""))</f>
        <v/>
      </c>
      <c r="L54" s="21">
        <f>AA53</f>
        <v/>
      </c>
      <c r="M54" s="21">
        <f>IFERROR(INDEX(Overrides!$C:$C,MATCH(A54,Overrides!$A:$A,0)),"")</f>
        <v/>
      </c>
      <c r="N54" s="21">
        <f>IFERROR(INDEX(Overrides!$E:$E,MATCH(A54,Overrides!$A:$A,0)),"")</f>
        <v/>
      </c>
      <c r="O54" s="21">
        <f>IFERROR(INDEX(Overrides!$D:$D,MATCH(A54,Overrides!$A:$A,0)),"")</f>
        <v/>
      </c>
      <c r="P54" s="21">
        <f>IFERROR(INDEX(Overrides!$B:$B,MATCH(A54,Overrides!$A:$A,0)),"")</f>
        <v/>
      </c>
      <c r="Q54" s="6">
        <f>IFERROR(INDEX(Overrides!$F:$F,MATCH(A54,Overrides!$A:$A,0)),"")</f>
        <v/>
      </c>
      <c r="R54" s="6">
        <f>ISNUMBER(MATCH(A54,Overrides!$A:$A,0))</f>
        <v/>
      </c>
      <c r="S54" s="6">
        <f>OR(ROUND(L54-ROUND(G54-T54,2),2)&lt;=0,AND(I54,K54&lt;&gt;"",(A54-D54+1)=K54))</f>
        <v/>
      </c>
      <c r="T54" s="21">
        <f>IF(M54&lt;&gt;"",M54,ROUND(L54*F54,2))</f>
        <v/>
      </c>
      <c r="U54" s="21">
        <f>IF(R54,IF(O54&lt;&gt;"",O54,IF(N54&lt;&gt;"",ROUND(L54-N54,2),ROUND((IF(P54&lt;&gt;"",P54,G54))-T54,2))),IF(H54,0,IF(S54,L54,ROUND(G54-T54,2))))</f>
        <v/>
      </c>
      <c r="V54" s="21">
        <f>IF(R54,IF(P54&lt;&gt;"",P54,ROUND(T54+U54,2)),IF(H54,T54,IF(S54,ROUND(T54+U54,2),G54)))</f>
        <v/>
      </c>
      <c r="W54" s="21">
        <f>IF(R54,IF(N54&lt;&gt;"",N54,ROUND(L54-U54,2)),IF(H54,L54,IF(S54,0,ROUND(L54-U54,2))))</f>
        <v/>
      </c>
      <c r="X54" s="21">
        <f>IFERROR(MIN(INDEX(LumpSums!$B:$B,MATCH(A54,LumpSums!$A:$A,0)),W54),0)</f>
        <v/>
      </c>
      <c r="Y54" s="21">
        <f>ROUND(U54+X54,2)</f>
        <v/>
      </c>
      <c r="Z54" s="21">
        <f>ROUND(V54+X54,2)</f>
        <v/>
      </c>
      <c r="AA54" s="21">
        <f>ROUND(W54-X54,2)</f>
        <v/>
      </c>
      <c r="AB54" s="6">
        <f>AND(AB53,L54&gt;0)</f>
        <v/>
      </c>
      <c r="AC54" s="21">
        <f>IF(PMI_Costs!$B$8=0,0,ROUND(PMI_Costs!$B$8*(1+PMI_Costs!$B$9/100)^INT((A54-1)/12)/12,2))</f>
        <v/>
      </c>
      <c r="AD54" s="21">
        <f>IF(PMI_Costs!$B$10=0,0,ROUND(PMI_Costs!$B$10*(1+PMI_Costs!$B$11/100)^INT((A54-1)/12)/12,2))</f>
        <v/>
      </c>
      <c r="AE54" s="21">
        <f>IF(PMI_Costs!$B$12=0,0,ROUND(PMI_Costs!$B$12*(1+PMI_Costs!$B$13/100)^INT((A54-1)/12)/12,2))</f>
        <v/>
      </c>
      <c r="AF54" s="22">
        <f>IF(PMI_Costs!$B$5=0,0,AA54/PMI_Costs!$B$5)</f>
        <v/>
      </c>
      <c r="AG54" s="6">
        <f>AND(PMI_Costs!$B$4&gt;0,AF54&gt;PMI_Costs!$B$6/100)</f>
        <v/>
      </c>
      <c r="AH54" s="21">
        <f>IF(AG54,ROUND(Segments!$G$5*PMI_Costs!$B$4/100/12,2),0)</f>
        <v/>
      </c>
      <c r="AI54" s="6">
        <f>AND(NOT(AG54),AG53)</f>
        <v/>
      </c>
    </row>
    <row r="55">
      <c r="A55" s="18" t="n">
        <v>51</v>
      </c>
      <c r="B55" s="18">
        <f>SUMPRODUCT((Segments!$J$5:$J$12&lt;&gt;"")*(Segments!$J$5:$J$12&lt;=A55))</f>
        <v/>
      </c>
      <c r="C55" s="19">
        <f>INDEX(Segments!$B$5:$B$12,B55)</f>
        <v/>
      </c>
      <c r="D55" s="18">
        <f>INDEX(Segments!$J$5:$J$12,B55)</f>
        <v/>
      </c>
      <c r="E55" s="19">
        <f>DATE(YEAR(C55)+INT((MONTH(C55)-1+(A55-D55))/12),MOD(MONTH(C55)-1+(A55-D55),12)+1,1)+(DAY(C55)-1)</f>
        <v/>
      </c>
      <c r="F55" s="20">
        <f>INDEX(Segments!$C$5:$C$12,B55)/100/12</f>
        <v/>
      </c>
      <c r="G55" s="21">
        <f>INDEX(Segments!$L$5:$L$12,B55)</f>
        <v/>
      </c>
      <c r="H55" s="6">
        <f>INDEX(Segments!$I$5:$I$12,B55)="Y"</f>
        <v/>
      </c>
      <c r="I55" s="6">
        <f>INDEX(Segments!$F$5:$F$12,B55)=""</f>
        <v/>
      </c>
      <c r="J55" s="18">
        <f>INDEX(Segments!$K$5:$K$12,B55)</f>
        <v/>
      </c>
      <c r="K55" s="18">
        <f>IF(INDEX(Segments!$F$5:$F$12,B55)&lt;&gt;"",INDEX(Segments!$F$5:$F$12,B55),IF(INDEX(Segments!$E$5:$E$12,B55)&lt;&gt;"",INDEX(Segments!$E$5:$E$12,B55),""))</f>
        <v/>
      </c>
      <c r="L55" s="21">
        <f>AA54</f>
        <v/>
      </c>
      <c r="M55" s="21">
        <f>IFERROR(INDEX(Overrides!$C:$C,MATCH(A55,Overrides!$A:$A,0)),"")</f>
        <v/>
      </c>
      <c r="N55" s="21">
        <f>IFERROR(INDEX(Overrides!$E:$E,MATCH(A55,Overrides!$A:$A,0)),"")</f>
        <v/>
      </c>
      <c r="O55" s="21">
        <f>IFERROR(INDEX(Overrides!$D:$D,MATCH(A55,Overrides!$A:$A,0)),"")</f>
        <v/>
      </c>
      <c r="P55" s="21">
        <f>IFERROR(INDEX(Overrides!$B:$B,MATCH(A55,Overrides!$A:$A,0)),"")</f>
        <v/>
      </c>
      <c r="Q55" s="6">
        <f>IFERROR(INDEX(Overrides!$F:$F,MATCH(A55,Overrides!$A:$A,0)),"")</f>
        <v/>
      </c>
      <c r="R55" s="6">
        <f>ISNUMBER(MATCH(A55,Overrides!$A:$A,0))</f>
        <v/>
      </c>
      <c r="S55" s="6">
        <f>OR(ROUND(L55-ROUND(G55-T55,2),2)&lt;=0,AND(I55,K55&lt;&gt;"",(A55-D55+1)=K55))</f>
        <v/>
      </c>
      <c r="T55" s="21">
        <f>IF(M55&lt;&gt;"",M55,ROUND(L55*F55,2))</f>
        <v/>
      </c>
      <c r="U55" s="21">
        <f>IF(R55,IF(O55&lt;&gt;"",O55,IF(N55&lt;&gt;"",ROUND(L55-N55,2),ROUND((IF(P55&lt;&gt;"",P55,G55))-T55,2))),IF(H55,0,IF(S55,L55,ROUND(G55-T55,2))))</f>
        <v/>
      </c>
      <c r="V55" s="21">
        <f>IF(R55,IF(P55&lt;&gt;"",P55,ROUND(T55+U55,2)),IF(H55,T55,IF(S55,ROUND(T55+U55,2),G55)))</f>
        <v/>
      </c>
      <c r="W55" s="21">
        <f>IF(R55,IF(N55&lt;&gt;"",N55,ROUND(L55-U55,2)),IF(H55,L55,IF(S55,0,ROUND(L55-U55,2))))</f>
        <v/>
      </c>
      <c r="X55" s="21">
        <f>IFERROR(MIN(INDEX(LumpSums!$B:$B,MATCH(A55,LumpSums!$A:$A,0)),W55),0)</f>
        <v/>
      </c>
      <c r="Y55" s="21">
        <f>ROUND(U55+X55,2)</f>
        <v/>
      </c>
      <c r="Z55" s="21">
        <f>ROUND(V55+X55,2)</f>
        <v/>
      </c>
      <c r="AA55" s="21">
        <f>ROUND(W55-X55,2)</f>
        <v/>
      </c>
      <c r="AB55" s="6">
        <f>AND(AB54,L55&gt;0)</f>
        <v/>
      </c>
      <c r="AC55" s="21">
        <f>IF(PMI_Costs!$B$8=0,0,ROUND(PMI_Costs!$B$8*(1+PMI_Costs!$B$9/100)^INT((A55-1)/12)/12,2))</f>
        <v/>
      </c>
      <c r="AD55" s="21">
        <f>IF(PMI_Costs!$B$10=0,0,ROUND(PMI_Costs!$B$10*(1+PMI_Costs!$B$11/100)^INT((A55-1)/12)/12,2))</f>
        <v/>
      </c>
      <c r="AE55" s="21">
        <f>IF(PMI_Costs!$B$12=0,0,ROUND(PMI_Costs!$B$12*(1+PMI_Costs!$B$13/100)^INT((A55-1)/12)/12,2))</f>
        <v/>
      </c>
      <c r="AF55" s="22">
        <f>IF(PMI_Costs!$B$5=0,0,AA55/PMI_Costs!$B$5)</f>
        <v/>
      </c>
      <c r="AG55" s="6">
        <f>AND(PMI_Costs!$B$4&gt;0,AF55&gt;PMI_Costs!$B$6/100)</f>
        <v/>
      </c>
      <c r="AH55" s="21">
        <f>IF(AG55,ROUND(Segments!$G$5*PMI_Costs!$B$4/100/12,2),0)</f>
        <v/>
      </c>
      <c r="AI55" s="6">
        <f>AND(NOT(AG55),AG54)</f>
        <v/>
      </c>
    </row>
    <row r="56">
      <c r="A56" s="18" t="n">
        <v>52</v>
      </c>
      <c r="B56" s="18">
        <f>SUMPRODUCT((Segments!$J$5:$J$12&lt;&gt;"")*(Segments!$J$5:$J$12&lt;=A56))</f>
        <v/>
      </c>
      <c r="C56" s="19">
        <f>INDEX(Segments!$B$5:$B$12,B56)</f>
        <v/>
      </c>
      <c r="D56" s="18">
        <f>INDEX(Segments!$J$5:$J$12,B56)</f>
        <v/>
      </c>
      <c r="E56" s="19">
        <f>DATE(YEAR(C56)+INT((MONTH(C56)-1+(A56-D56))/12),MOD(MONTH(C56)-1+(A56-D56),12)+1,1)+(DAY(C56)-1)</f>
        <v/>
      </c>
      <c r="F56" s="20">
        <f>INDEX(Segments!$C$5:$C$12,B56)/100/12</f>
        <v/>
      </c>
      <c r="G56" s="21">
        <f>INDEX(Segments!$L$5:$L$12,B56)</f>
        <v/>
      </c>
      <c r="H56" s="6">
        <f>INDEX(Segments!$I$5:$I$12,B56)="Y"</f>
        <v/>
      </c>
      <c r="I56" s="6">
        <f>INDEX(Segments!$F$5:$F$12,B56)=""</f>
        <v/>
      </c>
      <c r="J56" s="18">
        <f>INDEX(Segments!$K$5:$K$12,B56)</f>
        <v/>
      </c>
      <c r="K56" s="18">
        <f>IF(INDEX(Segments!$F$5:$F$12,B56)&lt;&gt;"",INDEX(Segments!$F$5:$F$12,B56),IF(INDEX(Segments!$E$5:$E$12,B56)&lt;&gt;"",INDEX(Segments!$E$5:$E$12,B56),""))</f>
        <v/>
      </c>
      <c r="L56" s="21">
        <f>AA55</f>
        <v/>
      </c>
      <c r="M56" s="21">
        <f>IFERROR(INDEX(Overrides!$C:$C,MATCH(A56,Overrides!$A:$A,0)),"")</f>
        <v/>
      </c>
      <c r="N56" s="21">
        <f>IFERROR(INDEX(Overrides!$E:$E,MATCH(A56,Overrides!$A:$A,0)),"")</f>
        <v/>
      </c>
      <c r="O56" s="21">
        <f>IFERROR(INDEX(Overrides!$D:$D,MATCH(A56,Overrides!$A:$A,0)),"")</f>
        <v/>
      </c>
      <c r="P56" s="21">
        <f>IFERROR(INDEX(Overrides!$B:$B,MATCH(A56,Overrides!$A:$A,0)),"")</f>
        <v/>
      </c>
      <c r="Q56" s="6">
        <f>IFERROR(INDEX(Overrides!$F:$F,MATCH(A56,Overrides!$A:$A,0)),"")</f>
        <v/>
      </c>
      <c r="R56" s="6">
        <f>ISNUMBER(MATCH(A56,Overrides!$A:$A,0))</f>
        <v/>
      </c>
      <c r="S56" s="6">
        <f>OR(ROUND(L56-ROUND(G56-T56,2),2)&lt;=0,AND(I56,K56&lt;&gt;"",(A56-D56+1)=K56))</f>
        <v/>
      </c>
      <c r="T56" s="21">
        <f>IF(M56&lt;&gt;"",M56,ROUND(L56*F56,2))</f>
        <v/>
      </c>
      <c r="U56" s="21">
        <f>IF(R56,IF(O56&lt;&gt;"",O56,IF(N56&lt;&gt;"",ROUND(L56-N56,2),ROUND((IF(P56&lt;&gt;"",P56,G56))-T56,2))),IF(H56,0,IF(S56,L56,ROUND(G56-T56,2))))</f>
        <v/>
      </c>
      <c r="V56" s="21">
        <f>IF(R56,IF(P56&lt;&gt;"",P56,ROUND(T56+U56,2)),IF(H56,T56,IF(S56,ROUND(T56+U56,2),G56)))</f>
        <v/>
      </c>
      <c r="W56" s="21">
        <f>IF(R56,IF(N56&lt;&gt;"",N56,ROUND(L56-U56,2)),IF(H56,L56,IF(S56,0,ROUND(L56-U56,2))))</f>
        <v/>
      </c>
      <c r="X56" s="21">
        <f>IFERROR(MIN(INDEX(LumpSums!$B:$B,MATCH(A56,LumpSums!$A:$A,0)),W56),0)</f>
        <v/>
      </c>
      <c r="Y56" s="21">
        <f>ROUND(U56+X56,2)</f>
        <v/>
      </c>
      <c r="Z56" s="21">
        <f>ROUND(V56+X56,2)</f>
        <v/>
      </c>
      <c r="AA56" s="21">
        <f>ROUND(W56-X56,2)</f>
        <v/>
      </c>
      <c r="AB56" s="6">
        <f>AND(AB55,L56&gt;0)</f>
        <v/>
      </c>
      <c r="AC56" s="21">
        <f>IF(PMI_Costs!$B$8=0,0,ROUND(PMI_Costs!$B$8*(1+PMI_Costs!$B$9/100)^INT((A56-1)/12)/12,2))</f>
        <v/>
      </c>
      <c r="AD56" s="21">
        <f>IF(PMI_Costs!$B$10=0,0,ROUND(PMI_Costs!$B$10*(1+PMI_Costs!$B$11/100)^INT((A56-1)/12)/12,2))</f>
        <v/>
      </c>
      <c r="AE56" s="21">
        <f>IF(PMI_Costs!$B$12=0,0,ROUND(PMI_Costs!$B$12*(1+PMI_Costs!$B$13/100)^INT((A56-1)/12)/12,2))</f>
        <v/>
      </c>
      <c r="AF56" s="22">
        <f>IF(PMI_Costs!$B$5=0,0,AA56/PMI_Costs!$B$5)</f>
        <v/>
      </c>
      <c r="AG56" s="6">
        <f>AND(PMI_Costs!$B$4&gt;0,AF56&gt;PMI_Costs!$B$6/100)</f>
        <v/>
      </c>
      <c r="AH56" s="21">
        <f>IF(AG56,ROUND(Segments!$G$5*PMI_Costs!$B$4/100/12,2),0)</f>
        <v/>
      </c>
      <c r="AI56" s="6">
        <f>AND(NOT(AG56),AG55)</f>
        <v/>
      </c>
    </row>
    <row r="57">
      <c r="A57" s="18" t="n">
        <v>53</v>
      </c>
      <c r="B57" s="18">
        <f>SUMPRODUCT((Segments!$J$5:$J$12&lt;&gt;"")*(Segments!$J$5:$J$12&lt;=A57))</f>
        <v/>
      </c>
      <c r="C57" s="19">
        <f>INDEX(Segments!$B$5:$B$12,B57)</f>
        <v/>
      </c>
      <c r="D57" s="18">
        <f>INDEX(Segments!$J$5:$J$12,B57)</f>
        <v/>
      </c>
      <c r="E57" s="19">
        <f>DATE(YEAR(C57)+INT((MONTH(C57)-1+(A57-D57))/12),MOD(MONTH(C57)-1+(A57-D57),12)+1,1)+(DAY(C57)-1)</f>
        <v/>
      </c>
      <c r="F57" s="20">
        <f>INDEX(Segments!$C$5:$C$12,B57)/100/12</f>
        <v/>
      </c>
      <c r="G57" s="21">
        <f>INDEX(Segments!$L$5:$L$12,B57)</f>
        <v/>
      </c>
      <c r="H57" s="6">
        <f>INDEX(Segments!$I$5:$I$12,B57)="Y"</f>
        <v/>
      </c>
      <c r="I57" s="6">
        <f>INDEX(Segments!$F$5:$F$12,B57)=""</f>
        <v/>
      </c>
      <c r="J57" s="18">
        <f>INDEX(Segments!$K$5:$K$12,B57)</f>
        <v/>
      </c>
      <c r="K57" s="18">
        <f>IF(INDEX(Segments!$F$5:$F$12,B57)&lt;&gt;"",INDEX(Segments!$F$5:$F$12,B57),IF(INDEX(Segments!$E$5:$E$12,B57)&lt;&gt;"",INDEX(Segments!$E$5:$E$12,B57),""))</f>
        <v/>
      </c>
      <c r="L57" s="21">
        <f>AA56</f>
        <v/>
      </c>
      <c r="M57" s="21">
        <f>IFERROR(INDEX(Overrides!$C:$C,MATCH(A57,Overrides!$A:$A,0)),"")</f>
        <v/>
      </c>
      <c r="N57" s="21">
        <f>IFERROR(INDEX(Overrides!$E:$E,MATCH(A57,Overrides!$A:$A,0)),"")</f>
        <v/>
      </c>
      <c r="O57" s="21">
        <f>IFERROR(INDEX(Overrides!$D:$D,MATCH(A57,Overrides!$A:$A,0)),"")</f>
        <v/>
      </c>
      <c r="P57" s="21">
        <f>IFERROR(INDEX(Overrides!$B:$B,MATCH(A57,Overrides!$A:$A,0)),"")</f>
        <v/>
      </c>
      <c r="Q57" s="6">
        <f>IFERROR(INDEX(Overrides!$F:$F,MATCH(A57,Overrides!$A:$A,0)),"")</f>
        <v/>
      </c>
      <c r="R57" s="6">
        <f>ISNUMBER(MATCH(A57,Overrides!$A:$A,0))</f>
        <v/>
      </c>
      <c r="S57" s="6">
        <f>OR(ROUND(L57-ROUND(G57-T57,2),2)&lt;=0,AND(I57,K57&lt;&gt;"",(A57-D57+1)=K57))</f>
        <v/>
      </c>
      <c r="T57" s="21">
        <f>IF(M57&lt;&gt;"",M57,ROUND(L57*F57,2))</f>
        <v/>
      </c>
      <c r="U57" s="21">
        <f>IF(R57,IF(O57&lt;&gt;"",O57,IF(N57&lt;&gt;"",ROUND(L57-N57,2),ROUND((IF(P57&lt;&gt;"",P57,G57))-T57,2))),IF(H57,0,IF(S57,L57,ROUND(G57-T57,2))))</f>
        <v/>
      </c>
      <c r="V57" s="21">
        <f>IF(R57,IF(P57&lt;&gt;"",P57,ROUND(T57+U57,2)),IF(H57,T57,IF(S57,ROUND(T57+U57,2),G57)))</f>
        <v/>
      </c>
      <c r="W57" s="21">
        <f>IF(R57,IF(N57&lt;&gt;"",N57,ROUND(L57-U57,2)),IF(H57,L57,IF(S57,0,ROUND(L57-U57,2))))</f>
        <v/>
      </c>
      <c r="X57" s="21">
        <f>IFERROR(MIN(INDEX(LumpSums!$B:$B,MATCH(A57,LumpSums!$A:$A,0)),W57),0)</f>
        <v/>
      </c>
      <c r="Y57" s="21">
        <f>ROUND(U57+X57,2)</f>
        <v/>
      </c>
      <c r="Z57" s="21">
        <f>ROUND(V57+X57,2)</f>
        <v/>
      </c>
      <c r="AA57" s="21">
        <f>ROUND(W57-X57,2)</f>
        <v/>
      </c>
      <c r="AB57" s="6">
        <f>AND(AB56,L57&gt;0)</f>
        <v/>
      </c>
      <c r="AC57" s="21">
        <f>IF(PMI_Costs!$B$8=0,0,ROUND(PMI_Costs!$B$8*(1+PMI_Costs!$B$9/100)^INT((A57-1)/12)/12,2))</f>
        <v/>
      </c>
      <c r="AD57" s="21">
        <f>IF(PMI_Costs!$B$10=0,0,ROUND(PMI_Costs!$B$10*(1+PMI_Costs!$B$11/100)^INT((A57-1)/12)/12,2))</f>
        <v/>
      </c>
      <c r="AE57" s="21">
        <f>IF(PMI_Costs!$B$12=0,0,ROUND(PMI_Costs!$B$12*(1+PMI_Costs!$B$13/100)^INT((A57-1)/12)/12,2))</f>
        <v/>
      </c>
      <c r="AF57" s="22">
        <f>IF(PMI_Costs!$B$5=0,0,AA57/PMI_Costs!$B$5)</f>
        <v/>
      </c>
      <c r="AG57" s="6">
        <f>AND(PMI_Costs!$B$4&gt;0,AF57&gt;PMI_Costs!$B$6/100)</f>
        <v/>
      </c>
      <c r="AH57" s="21">
        <f>IF(AG57,ROUND(Segments!$G$5*PMI_Costs!$B$4/100/12,2),0)</f>
        <v/>
      </c>
      <c r="AI57" s="6">
        <f>AND(NOT(AG57),AG56)</f>
        <v/>
      </c>
    </row>
    <row r="58">
      <c r="A58" s="18" t="n">
        <v>54</v>
      </c>
      <c r="B58" s="18">
        <f>SUMPRODUCT((Segments!$J$5:$J$12&lt;&gt;"")*(Segments!$J$5:$J$12&lt;=A58))</f>
        <v/>
      </c>
      <c r="C58" s="19">
        <f>INDEX(Segments!$B$5:$B$12,B58)</f>
        <v/>
      </c>
      <c r="D58" s="18">
        <f>INDEX(Segments!$J$5:$J$12,B58)</f>
        <v/>
      </c>
      <c r="E58" s="19">
        <f>DATE(YEAR(C58)+INT((MONTH(C58)-1+(A58-D58))/12),MOD(MONTH(C58)-1+(A58-D58),12)+1,1)+(DAY(C58)-1)</f>
        <v/>
      </c>
      <c r="F58" s="20">
        <f>INDEX(Segments!$C$5:$C$12,B58)/100/12</f>
        <v/>
      </c>
      <c r="G58" s="21">
        <f>INDEX(Segments!$L$5:$L$12,B58)</f>
        <v/>
      </c>
      <c r="H58" s="6">
        <f>INDEX(Segments!$I$5:$I$12,B58)="Y"</f>
        <v/>
      </c>
      <c r="I58" s="6">
        <f>INDEX(Segments!$F$5:$F$12,B58)=""</f>
        <v/>
      </c>
      <c r="J58" s="18">
        <f>INDEX(Segments!$K$5:$K$12,B58)</f>
        <v/>
      </c>
      <c r="K58" s="18">
        <f>IF(INDEX(Segments!$F$5:$F$12,B58)&lt;&gt;"",INDEX(Segments!$F$5:$F$12,B58),IF(INDEX(Segments!$E$5:$E$12,B58)&lt;&gt;"",INDEX(Segments!$E$5:$E$12,B58),""))</f>
        <v/>
      </c>
      <c r="L58" s="21">
        <f>AA57</f>
        <v/>
      </c>
      <c r="M58" s="21">
        <f>IFERROR(INDEX(Overrides!$C:$C,MATCH(A58,Overrides!$A:$A,0)),"")</f>
        <v/>
      </c>
      <c r="N58" s="21">
        <f>IFERROR(INDEX(Overrides!$E:$E,MATCH(A58,Overrides!$A:$A,0)),"")</f>
        <v/>
      </c>
      <c r="O58" s="21">
        <f>IFERROR(INDEX(Overrides!$D:$D,MATCH(A58,Overrides!$A:$A,0)),"")</f>
        <v/>
      </c>
      <c r="P58" s="21">
        <f>IFERROR(INDEX(Overrides!$B:$B,MATCH(A58,Overrides!$A:$A,0)),"")</f>
        <v/>
      </c>
      <c r="Q58" s="6">
        <f>IFERROR(INDEX(Overrides!$F:$F,MATCH(A58,Overrides!$A:$A,0)),"")</f>
        <v/>
      </c>
      <c r="R58" s="6">
        <f>ISNUMBER(MATCH(A58,Overrides!$A:$A,0))</f>
        <v/>
      </c>
      <c r="S58" s="6">
        <f>OR(ROUND(L58-ROUND(G58-T58,2),2)&lt;=0,AND(I58,K58&lt;&gt;"",(A58-D58+1)=K58))</f>
        <v/>
      </c>
      <c r="T58" s="21">
        <f>IF(M58&lt;&gt;"",M58,ROUND(L58*F58,2))</f>
        <v/>
      </c>
      <c r="U58" s="21">
        <f>IF(R58,IF(O58&lt;&gt;"",O58,IF(N58&lt;&gt;"",ROUND(L58-N58,2),ROUND((IF(P58&lt;&gt;"",P58,G58))-T58,2))),IF(H58,0,IF(S58,L58,ROUND(G58-T58,2))))</f>
        <v/>
      </c>
      <c r="V58" s="21">
        <f>IF(R58,IF(P58&lt;&gt;"",P58,ROUND(T58+U58,2)),IF(H58,T58,IF(S58,ROUND(T58+U58,2),G58)))</f>
        <v/>
      </c>
      <c r="W58" s="21">
        <f>IF(R58,IF(N58&lt;&gt;"",N58,ROUND(L58-U58,2)),IF(H58,L58,IF(S58,0,ROUND(L58-U58,2))))</f>
        <v/>
      </c>
      <c r="X58" s="21">
        <f>IFERROR(MIN(INDEX(LumpSums!$B:$B,MATCH(A58,LumpSums!$A:$A,0)),W58),0)</f>
        <v/>
      </c>
      <c r="Y58" s="21">
        <f>ROUND(U58+X58,2)</f>
        <v/>
      </c>
      <c r="Z58" s="21">
        <f>ROUND(V58+X58,2)</f>
        <v/>
      </c>
      <c r="AA58" s="21">
        <f>ROUND(W58-X58,2)</f>
        <v/>
      </c>
      <c r="AB58" s="6">
        <f>AND(AB57,L58&gt;0)</f>
        <v/>
      </c>
      <c r="AC58" s="21">
        <f>IF(PMI_Costs!$B$8=0,0,ROUND(PMI_Costs!$B$8*(1+PMI_Costs!$B$9/100)^INT((A58-1)/12)/12,2))</f>
        <v/>
      </c>
      <c r="AD58" s="21">
        <f>IF(PMI_Costs!$B$10=0,0,ROUND(PMI_Costs!$B$10*(1+PMI_Costs!$B$11/100)^INT((A58-1)/12)/12,2))</f>
        <v/>
      </c>
      <c r="AE58" s="21">
        <f>IF(PMI_Costs!$B$12=0,0,ROUND(PMI_Costs!$B$12*(1+PMI_Costs!$B$13/100)^INT((A58-1)/12)/12,2))</f>
        <v/>
      </c>
      <c r="AF58" s="22">
        <f>IF(PMI_Costs!$B$5=0,0,AA58/PMI_Costs!$B$5)</f>
        <v/>
      </c>
      <c r="AG58" s="6">
        <f>AND(PMI_Costs!$B$4&gt;0,AF58&gt;PMI_Costs!$B$6/100)</f>
        <v/>
      </c>
      <c r="AH58" s="21">
        <f>IF(AG58,ROUND(Segments!$G$5*PMI_Costs!$B$4/100/12,2),0)</f>
        <v/>
      </c>
      <c r="AI58" s="6">
        <f>AND(NOT(AG58),AG57)</f>
        <v/>
      </c>
    </row>
    <row r="59">
      <c r="A59" s="18" t="n">
        <v>55</v>
      </c>
      <c r="B59" s="18">
        <f>SUMPRODUCT((Segments!$J$5:$J$12&lt;&gt;"")*(Segments!$J$5:$J$12&lt;=A59))</f>
        <v/>
      </c>
      <c r="C59" s="19">
        <f>INDEX(Segments!$B$5:$B$12,B59)</f>
        <v/>
      </c>
      <c r="D59" s="18">
        <f>INDEX(Segments!$J$5:$J$12,B59)</f>
        <v/>
      </c>
      <c r="E59" s="19">
        <f>DATE(YEAR(C59)+INT((MONTH(C59)-1+(A59-D59))/12),MOD(MONTH(C59)-1+(A59-D59),12)+1,1)+(DAY(C59)-1)</f>
        <v/>
      </c>
      <c r="F59" s="20">
        <f>INDEX(Segments!$C$5:$C$12,B59)/100/12</f>
        <v/>
      </c>
      <c r="G59" s="21">
        <f>INDEX(Segments!$L$5:$L$12,B59)</f>
        <v/>
      </c>
      <c r="H59" s="6">
        <f>INDEX(Segments!$I$5:$I$12,B59)="Y"</f>
        <v/>
      </c>
      <c r="I59" s="6">
        <f>INDEX(Segments!$F$5:$F$12,B59)=""</f>
        <v/>
      </c>
      <c r="J59" s="18">
        <f>INDEX(Segments!$K$5:$K$12,B59)</f>
        <v/>
      </c>
      <c r="K59" s="18">
        <f>IF(INDEX(Segments!$F$5:$F$12,B59)&lt;&gt;"",INDEX(Segments!$F$5:$F$12,B59),IF(INDEX(Segments!$E$5:$E$12,B59)&lt;&gt;"",INDEX(Segments!$E$5:$E$12,B59),""))</f>
        <v/>
      </c>
      <c r="L59" s="21">
        <f>AA58</f>
        <v/>
      </c>
      <c r="M59" s="21">
        <f>IFERROR(INDEX(Overrides!$C:$C,MATCH(A59,Overrides!$A:$A,0)),"")</f>
        <v/>
      </c>
      <c r="N59" s="21">
        <f>IFERROR(INDEX(Overrides!$E:$E,MATCH(A59,Overrides!$A:$A,0)),"")</f>
        <v/>
      </c>
      <c r="O59" s="21">
        <f>IFERROR(INDEX(Overrides!$D:$D,MATCH(A59,Overrides!$A:$A,0)),"")</f>
        <v/>
      </c>
      <c r="P59" s="21">
        <f>IFERROR(INDEX(Overrides!$B:$B,MATCH(A59,Overrides!$A:$A,0)),"")</f>
        <v/>
      </c>
      <c r="Q59" s="6">
        <f>IFERROR(INDEX(Overrides!$F:$F,MATCH(A59,Overrides!$A:$A,0)),"")</f>
        <v/>
      </c>
      <c r="R59" s="6">
        <f>ISNUMBER(MATCH(A59,Overrides!$A:$A,0))</f>
        <v/>
      </c>
      <c r="S59" s="6">
        <f>OR(ROUND(L59-ROUND(G59-T59,2),2)&lt;=0,AND(I59,K59&lt;&gt;"",(A59-D59+1)=K59))</f>
        <v/>
      </c>
      <c r="T59" s="21">
        <f>IF(M59&lt;&gt;"",M59,ROUND(L59*F59,2))</f>
        <v/>
      </c>
      <c r="U59" s="21">
        <f>IF(R59,IF(O59&lt;&gt;"",O59,IF(N59&lt;&gt;"",ROUND(L59-N59,2),ROUND((IF(P59&lt;&gt;"",P59,G59))-T59,2))),IF(H59,0,IF(S59,L59,ROUND(G59-T59,2))))</f>
        <v/>
      </c>
      <c r="V59" s="21">
        <f>IF(R59,IF(P59&lt;&gt;"",P59,ROUND(T59+U59,2)),IF(H59,T59,IF(S59,ROUND(T59+U59,2),G59)))</f>
        <v/>
      </c>
      <c r="W59" s="21">
        <f>IF(R59,IF(N59&lt;&gt;"",N59,ROUND(L59-U59,2)),IF(H59,L59,IF(S59,0,ROUND(L59-U59,2))))</f>
        <v/>
      </c>
      <c r="X59" s="21">
        <f>IFERROR(MIN(INDEX(LumpSums!$B:$B,MATCH(A59,LumpSums!$A:$A,0)),W59),0)</f>
        <v/>
      </c>
      <c r="Y59" s="21">
        <f>ROUND(U59+X59,2)</f>
        <v/>
      </c>
      <c r="Z59" s="21">
        <f>ROUND(V59+X59,2)</f>
        <v/>
      </c>
      <c r="AA59" s="21">
        <f>ROUND(W59-X59,2)</f>
        <v/>
      </c>
      <c r="AB59" s="6">
        <f>AND(AB58,L59&gt;0)</f>
        <v/>
      </c>
      <c r="AC59" s="21">
        <f>IF(PMI_Costs!$B$8=0,0,ROUND(PMI_Costs!$B$8*(1+PMI_Costs!$B$9/100)^INT((A59-1)/12)/12,2))</f>
        <v/>
      </c>
      <c r="AD59" s="21">
        <f>IF(PMI_Costs!$B$10=0,0,ROUND(PMI_Costs!$B$10*(1+PMI_Costs!$B$11/100)^INT((A59-1)/12)/12,2))</f>
        <v/>
      </c>
      <c r="AE59" s="21">
        <f>IF(PMI_Costs!$B$12=0,0,ROUND(PMI_Costs!$B$12*(1+PMI_Costs!$B$13/100)^INT((A59-1)/12)/12,2))</f>
        <v/>
      </c>
      <c r="AF59" s="22">
        <f>IF(PMI_Costs!$B$5=0,0,AA59/PMI_Costs!$B$5)</f>
        <v/>
      </c>
      <c r="AG59" s="6">
        <f>AND(PMI_Costs!$B$4&gt;0,AF59&gt;PMI_Costs!$B$6/100)</f>
        <v/>
      </c>
      <c r="AH59" s="21">
        <f>IF(AG59,ROUND(Segments!$G$5*PMI_Costs!$B$4/100/12,2),0)</f>
        <v/>
      </c>
      <c r="AI59" s="6">
        <f>AND(NOT(AG59),AG58)</f>
        <v/>
      </c>
    </row>
    <row r="60">
      <c r="A60" s="18" t="n">
        <v>56</v>
      </c>
      <c r="B60" s="18">
        <f>SUMPRODUCT((Segments!$J$5:$J$12&lt;&gt;"")*(Segments!$J$5:$J$12&lt;=A60))</f>
        <v/>
      </c>
      <c r="C60" s="19">
        <f>INDEX(Segments!$B$5:$B$12,B60)</f>
        <v/>
      </c>
      <c r="D60" s="18">
        <f>INDEX(Segments!$J$5:$J$12,B60)</f>
        <v/>
      </c>
      <c r="E60" s="19">
        <f>DATE(YEAR(C60)+INT((MONTH(C60)-1+(A60-D60))/12),MOD(MONTH(C60)-1+(A60-D60),12)+1,1)+(DAY(C60)-1)</f>
        <v/>
      </c>
      <c r="F60" s="20">
        <f>INDEX(Segments!$C$5:$C$12,B60)/100/12</f>
        <v/>
      </c>
      <c r="G60" s="21">
        <f>INDEX(Segments!$L$5:$L$12,B60)</f>
        <v/>
      </c>
      <c r="H60" s="6">
        <f>INDEX(Segments!$I$5:$I$12,B60)="Y"</f>
        <v/>
      </c>
      <c r="I60" s="6">
        <f>INDEX(Segments!$F$5:$F$12,B60)=""</f>
        <v/>
      </c>
      <c r="J60" s="18">
        <f>INDEX(Segments!$K$5:$K$12,B60)</f>
        <v/>
      </c>
      <c r="K60" s="18">
        <f>IF(INDEX(Segments!$F$5:$F$12,B60)&lt;&gt;"",INDEX(Segments!$F$5:$F$12,B60),IF(INDEX(Segments!$E$5:$E$12,B60)&lt;&gt;"",INDEX(Segments!$E$5:$E$12,B60),""))</f>
        <v/>
      </c>
      <c r="L60" s="21">
        <f>AA59</f>
        <v/>
      </c>
      <c r="M60" s="21">
        <f>IFERROR(INDEX(Overrides!$C:$C,MATCH(A60,Overrides!$A:$A,0)),"")</f>
        <v/>
      </c>
      <c r="N60" s="21">
        <f>IFERROR(INDEX(Overrides!$E:$E,MATCH(A60,Overrides!$A:$A,0)),"")</f>
        <v/>
      </c>
      <c r="O60" s="21">
        <f>IFERROR(INDEX(Overrides!$D:$D,MATCH(A60,Overrides!$A:$A,0)),"")</f>
        <v/>
      </c>
      <c r="P60" s="21">
        <f>IFERROR(INDEX(Overrides!$B:$B,MATCH(A60,Overrides!$A:$A,0)),"")</f>
        <v/>
      </c>
      <c r="Q60" s="6">
        <f>IFERROR(INDEX(Overrides!$F:$F,MATCH(A60,Overrides!$A:$A,0)),"")</f>
        <v/>
      </c>
      <c r="R60" s="6">
        <f>ISNUMBER(MATCH(A60,Overrides!$A:$A,0))</f>
        <v/>
      </c>
      <c r="S60" s="6">
        <f>OR(ROUND(L60-ROUND(G60-T60,2),2)&lt;=0,AND(I60,K60&lt;&gt;"",(A60-D60+1)=K60))</f>
        <v/>
      </c>
      <c r="T60" s="21">
        <f>IF(M60&lt;&gt;"",M60,ROUND(L60*F60,2))</f>
        <v/>
      </c>
      <c r="U60" s="21">
        <f>IF(R60,IF(O60&lt;&gt;"",O60,IF(N60&lt;&gt;"",ROUND(L60-N60,2),ROUND((IF(P60&lt;&gt;"",P60,G60))-T60,2))),IF(H60,0,IF(S60,L60,ROUND(G60-T60,2))))</f>
        <v/>
      </c>
      <c r="V60" s="21">
        <f>IF(R60,IF(P60&lt;&gt;"",P60,ROUND(T60+U60,2)),IF(H60,T60,IF(S60,ROUND(T60+U60,2),G60)))</f>
        <v/>
      </c>
      <c r="W60" s="21">
        <f>IF(R60,IF(N60&lt;&gt;"",N60,ROUND(L60-U60,2)),IF(H60,L60,IF(S60,0,ROUND(L60-U60,2))))</f>
        <v/>
      </c>
      <c r="X60" s="21">
        <f>IFERROR(MIN(INDEX(LumpSums!$B:$B,MATCH(A60,LumpSums!$A:$A,0)),W60),0)</f>
        <v/>
      </c>
      <c r="Y60" s="21">
        <f>ROUND(U60+X60,2)</f>
        <v/>
      </c>
      <c r="Z60" s="21">
        <f>ROUND(V60+X60,2)</f>
        <v/>
      </c>
      <c r="AA60" s="21">
        <f>ROUND(W60-X60,2)</f>
        <v/>
      </c>
      <c r="AB60" s="6">
        <f>AND(AB59,L60&gt;0)</f>
        <v/>
      </c>
      <c r="AC60" s="21">
        <f>IF(PMI_Costs!$B$8=0,0,ROUND(PMI_Costs!$B$8*(1+PMI_Costs!$B$9/100)^INT((A60-1)/12)/12,2))</f>
        <v/>
      </c>
      <c r="AD60" s="21">
        <f>IF(PMI_Costs!$B$10=0,0,ROUND(PMI_Costs!$B$10*(1+PMI_Costs!$B$11/100)^INT((A60-1)/12)/12,2))</f>
        <v/>
      </c>
      <c r="AE60" s="21">
        <f>IF(PMI_Costs!$B$12=0,0,ROUND(PMI_Costs!$B$12*(1+PMI_Costs!$B$13/100)^INT((A60-1)/12)/12,2))</f>
        <v/>
      </c>
      <c r="AF60" s="22">
        <f>IF(PMI_Costs!$B$5=0,0,AA60/PMI_Costs!$B$5)</f>
        <v/>
      </c>
      <c r="AG60" s="6">
        <f>AND(PMI_Costs!$B$4&gt;0,AF60&gt;PMI_Costs!$B$6/100)</f>
        <v/>
      </c>
      <c r="AH60" s="21">
        <f>IF(AG60,ROUND(Segments!$G$5*PMI_Costs!$B$4/100/12,2),0)</f>
        <v/>
      </c>
      <c r="AI60" s="6">
        <f>AND(NOT(AG60),AG59)</f>
        <v/>
      </c>
    </row>
    <row r="61">
      <c r="A61" s="18" t="n">
        <v>57</v>
      </c>
      <c r="B61" s="18">
        <f>SUMPRODUCT((Segments!$J$5:$J$12&lt;&gt;"")*(Segments!$J$5:$J$12&lt;=A61))</f>
        <v/>
      </c>
      <c r="C61" s="19">
        <f>INDEX(Segments!$B$5:$B$12,B61)</f>
        <v/>
      </c>
      <c r="D61" s="18">
        <f>INDEX(Segments!$J$5:$J$12,B61)</f>
        <v/>
      </c>
      <c r="E61" s="19">
        <f>DATE(YEAR(C61)+INT((MONTH(C61)-1+(A61-D61))/12),MOD(MONTH(C61)-1+(A61-D61),12)+1,1)+(DAY(C61)-1)</f>
        <v/>
      </c>
      <c r="F61" s="20">
        <f>INDEX(Segments!$C$5:$C$12,B61)/100/12</f>
        <v/>
      </c>
      <c r="G61" s="21">
        <f>INDEX(Segments!$L$5:$L$12,B61)</f>
        <v/>
      </c>
      <c r="H61" s="6">
        <f>INDEX(Segments!$I$5:$I$12,B61)="Y"</f>
        <v/>
      </c>
      <c r="I61" s="6">
        <f>INDEX(Segments!$F$5:$F$12,B61)=""</f>
        <v/>
      </c>
      <c r="J61" s="18">
        <f>INDEX(Segments!$K$5:$K$12,B61)</f>
        <v/>
      </c>
      <c r="K61" s="18">
        <f>IF(INDEX(Segments!$F$5:$F$12,B61)&lt;&gt;"",INDEX(Segments!$F$5:$F$12,B61),IF(INDEX(Segments!$E$5:$E$12,B61)&lt;&gt;"",INDEX(Segments!$E$5:$E$12,B61),""))</f>
        <v/>
      </c>
      <c r="L61" s="21">
        <f>AA60</f>
        <v/>
      </c>
      <c r="M61" s="21">
        <f>IFERROR(INDEX(Overrides!$C:$C,MATCH(A61,Overrides!$A:$A,0)),"")</f>
        <v/>
      </c>
      <c r="N61" s="21">
        <f>IFERROR(INDEX(Overrides!$E:$E,MATCH(A61,Overrides!$A:$A,0)),"")</f>
        <v/>
      </c>
      <c r="O61" s="21">
        <f>IFERROR(INDEX(Overrides!$D:$D,MATCH(A61,Overrides!$A:$A,0)),"")</f>
        <v/>
      </c>
      <c r="P61" s="21">
        <f>IFERROR(INDEX(Overrides!$B:$B,MATCH(A61,Overrides!$A:$A,0)),"")</f>
        <v/>
      </c>
      <c r="Q61" s="6">
        <f>IFERROR(INDEX(Overrides!$F:$F,MATCH(A61,Overrides!$A:$A,0)),"")</f>
        <v/>
      </c>
      <c r="R61" s="6">
        <f>ISNUMBER(MATCH(A61,Overrides!$A:$A,0))</f>
        <v/>
      </c>
      <c r="S61" s="6">
        <f>OR(ROUND(L61-ROUND(G61-T61,2),2)&lt;=0,AND(I61,K61&lt;&gt;"",(A61-D61+1)=K61))</f>
        <v/>
      </c>
      <c r="T61" s="21">
        <f>IF(M61&lt;&gt;"",M61,ROUND(L61*F61,2))</f>
        <v/>
      </c>
      <c r="U61" s="21">
        <f>IF(R61,IF(O61&lt;&gt;"",O61,IF(N61&lt;&gt;"",ROUND(L61-N61,2),ROUND((IF(P61&lt;&gt;"",P61,G61))-T61,2))),IF(H61,0,IF(S61,L61,ROUND(G61-T61,2))))</f>
        <v/>
      </c>
      <c r="V61" s="21">
        <f>IF(R61,IF(P61&lt;&gt;"",P61,ROUND(T61+U61,2)),IF(H61,T61,IF(S61,ROUND(T61+U61,2),G61)))</f>
        <v/>
      </c>
      <c r="W61" s="21">
        <f>IF(R61,IF(N61&lt;&gt;"",N61,ROUND(L61-U61,2)),IF(H61,L61,IF(S61,0,ROUND(L61-U61,2))))</f>
        <v/>
      </c>
      <c r="X61" s="21">
        <f>IFERROR(MIN(INDEX(LumpSums!$B:$B,MATCH(A61,LumpSums!$A:$A,0)),W61),0)</f>
        <v/>
      </c>
      <c r="Y61" s="21">
        <f>ROUND(U61+X61,2)</f>
        <v/>
      </c>
      <c r="Z61" s="21">
        <f>ROUND(V61+X61,2)</f>
        <v/>
      </c>
      <c r="AA61" s="21">
        <f>ROUND(W61-X61,2)</f>
        <v/>
      </c>
      <c r="AB61" s="6">
        <f>AND(AB60,L61&gt;0)</f>
        <v/>
      </c>
      <c r="AC61" s="21">
        <f>IF(PMI_Costs!$B$8=0,0,ROUND(PMI_Costs!$B$8*(1+PMI_Costs!$B$9/100)^INT((A61-1)/12)/12,2))</f>
        <v/>
      </c>
      <c r="AD61" s="21">
        <f>IF(PMI_Costs!$B$10=0,0,ROUND(PMI_Costs!$B$10*(1+PMI_Costs!$B$11/100)^INT((A61-1)/12)/12,2))</f>
        <v/>
      </c>
      <c r="AE61" s="21">
        <f>IF(PMI_Costs!$B$12=0,0,ROUND(PMI_Costs!$B$12*(1+PMI_Costs!$B$13/100)^INT((A61-1)/12)/12,2))</f>
        <v/>
      </c>
      <c r="AF61" s="22">
        <f>IF(PMI_Costs!$B$5=0,0,AA61/PMI_Costs!$B$5)</f>
        <v/>
      </c>
      <c r="AG61" s="6">
        <f>AND(PMI_Costs!$B$4&gt;0,AF61&gt;PMI_Costs!$B$6/100)</f>
        <v/>
      </c>
      <c r="AH61" s="21">
        <f>IF(AG61,ROUND(Segments!$G$5*PMI_Costs!$B$4/100/12,2),0)</f>
        <v/>
      </c>
      <c r="AI61" s="6">
        <f>AND(NOT(AG61),AG60)</f>
        <v/>
      </c>
    </row>
    <row r="62">
      <c r="A62" s="18" t="n">
        <v>58</v>
      </c>
      <c r="B62" s="18">
        <f>SUMPRODUCT((Segments!$J$5:$J$12&lt;&gt;"")*(Segments!$J$5:$J$12&lt;=A62))</f>
        <v/>
      </c>
      <c r="C62" s="19">
        <f>INDEX(Segments!$B$5:$B$12,B62)</f>
        <v/>
      </c>
      <c r="D62" s="18">
        <f>INDEX(Segments!$J$5:$J$12,B62)</f>
        <v/>
      </c>
      <c r="E62" s="19">
        <f>DATE(YEAR(C62)+INT((MONTH(C62)-1+(A62-D62))/12),MOD(MONTH(C62)-1+(A62-D62),12)+1,1)+(DAY(C62)-1)</f>
        <v/>
      </c>
      <c r="F62" s="20">
        <f>INDEX(Segments!$C$5:$C$12,B62)/100/12</f>
        <v/>
      </c>
      <c r="G62" s="21">
        <f>INDEX(Segments!$L$5:$L$12,B62)</f>
        <v/>
      </c>
      <c r="H62" s="6">
        <f>INDEX(Segments!$I$5:$I$12,B62)="Y"</f>
        <v/>
      </c>
      <c r="I62" s="6">
        <f>INDEX(Segments!$F$5:$F$12,B62)=""</f>
        <v/>
      </c>
      <c r="J62" s="18">
        <f>INDEX(Segments!$K$5:$K$12,B62)</f>
        <v/>
      </c>
      <c r="K62" s="18">
        <f>IF(INDEX(Segments!$F$5:$F$12,B62)&lt;&gt;"",INDEX(Segments!$F$5:$F$12,B62),IF(INDEX(Segments!$E$5:$E$12,B62)&lt;&gt;"",INDEX(Segments!$E$5:$E$12,B62),""))</f>
        <v/>
      </c>
      <c r="L62" s="21">
        <f>AA61</f>
        <v/>
      </c>
      <c r="M62" s="21">
        <f>IFERROR(INDEX(Overrides!$C:$C,MATCH(A62,Overrides!$A:$A,0)),"")</f>
        <v/>
      </c>
      <c r="N62" s="21">
        <f>IFERROR(INDEX(Overrides!$E:$E,MATCH(A62,Overrides!$A:$A,0)),"")</f>
        <v/>
      </c>
      <c r="O62" s="21">
        <f>IFERROR(INDEX(Overrides!$D:$D,MATCH(A62,Overrides!$A:$A,0)),"")</f>
        <v/>
      </c>
      <c r="P62" s="21">
        <f>IFERROR(INDEX(Overrides!$B:$B,MATCH(A62,Overrides!$A:$A,0)),"")</f>
        <v/>
      </c>
      <c r="Q62" s="6">
        <f>IFERROR(INDEX(Overrides!$F:$F,MATCH(A62,Overrides!$A:$A,0)),"")</f>
        <v/>
      </c>
      <c r="R62" s="6">
        <f>ISNUMBER(MATCH(A62,Overrides!$A:$A,0))</f>
        <v/>
      </c>
      <c r="S62" s="6">
        <f>OR(ROUND(L62-ROUND(G62-T62,2),2)&lt;=0,AND(I62,K62&lt;&gt;"",(A62-D62+1)=K62))</f>
        <v/>
      </c>
      <c r="T62" s="21">
        <f>IF(M62&lt;&gt;"",M62,ROUND(L62*F62,2))</f>
        <v/>
      </c>
      <c r="U62" s="21">
        <f>IF(R62,IF(O62&lt;&gt;"",O62,IF(N62&lt;&gt;"",ROUND(L62-N62,2),ROUND((IF(P62&lt;&gt;"",P62,G62))-T62,2))),IF(H62,0,IF(S62,L62,ROUND(G62-T62,2))))</f>
        <v/>
      </c>
      <c r="V62" s="21">
        <f>IF(R62,IF(P62&lt;&gt;"",P62,ROUND(T62+U62,2)),IF(H62,T62,IF(S62,ROUND(T62+U62,2),G62)))</f>
        <v/>
      </c>
      <c r="W62" s="21">
        <f>IF(R62,IF(N62&lt;&gt;"",N62,ROUND(L62-U62,2)),IF(H62,L62,IF(S62,0,ROUND(L62-U62,2))))</f>
        <v/>
      </c>
      <c r="X62" s="21">
        <f>IFERROR(MIN(INDEX(LumpSums!$B:$B,MATCH(A62,LumpSums!$A:$A,0)),W62),0)</f>
        <v/>
      </c>
      <c r="Y62" s="21">
        <f>ROUND(U62+X62,2)</f>
        <v/>
      </c>
      <c r="Z62" s="21">
        <f>ROUND(V62+X62,2)</f>
        <v/>
      </c>
      <c r="AA62" s="21">
        <f>ROUND(W62-X62,2)</f>
        <v/>
      </c>
      <c r="AB62" s="6">
        <f>AND(AB61,L62&gt;0)</f>
        <v/>
      </c>
      <c r="AC62" s="21">
        <f>IF(PMI_Costs!$B$8=0,0,ROUND(PMI_Costs!$B$8*(1+PMI_Costs!$B$9/100)^INT((A62-1)/12)/12,2))</f>
        <v/>
      </c>
      <c r="AD62" s="21">
        <f>IF(PMI_Costs!$B$10=0,0,ROUND(PMI_Costs!$B$10*(1+PMI_Costs!$B$11/100)^INT((A62-1)/12)/12,2))</f>
        <v/>
      </c>
      <c r="AE62" s="21">
        <f>IF(PMI_Costs!$B$12=0,0,ROUND(PMI_Costs!$B$12*(1+PMI_Costs!$B$13/100)^INT((A62-1)/12)/12,2))</f>
        <v/>
      </c>
      <c r="AF62" s="22">
        <f>IF(PMI_Costs!$B$5=0,0,AA62/PMI_Costs!$B$5)</f>
        <v/>
      </c>
      <c r="AG62" s="6">
        <f>AND(PMI_Costs!$B$4&gt;0,AF62&gt;PMI_Costs!$B$6/100)</f>
        <v/>
      </c>
      <c r="AH62" s="21">
        <f>IF(AG62,ROUND(Segments!$G$5*PMI_Costs!$B$4/100/12,2),0)</f>
        <v/>
      </c>
      <c r="AI62" s="6">
        <f>AND(NOT(AG62),AG61)</f>
        <v/>
      </c>
    </row>
    <row r="63">
      <c r="A63" s="18" t="n">
        <v>59</v>
      </c>
      <c r="B63" s="18">
        <f>SUMPRODUCT((Segments!$J$5:$J$12&lt;&gt;"")*(Segments!$J$5:$J$12&lt;=A63))</f>
        <v/>
      </c>
      <c r="C63" s="19">
        <f>INDEX(Segments!$B$5:$B$12,B63)</f>
        <v/>
      </c>
      <c r="D63" s="18">
        <f>INDEX(Segments!$J$5:$J$12,B63)</f>
        <v/>
      </c>
      <c r="E63" s="19">
        <f>DATE(YEAR(C63)+INT((MONTH(C63)-1+(A63-D63))/12),MOD(MONTH(C63)-1+(A63-D63),12)+1,1)+(DAY(C63)-1)</f>
        <v/>
      </c>
      <c r="F63" s="20">
        <f>INDEX(Segments!$C$5:$C$12,B63)/100/12</f>
        <v/>
      </c>
      <c r="G63" s="21">
        <f>INDEX(Segments!$L$5:$L$12,B63)</f>
        <v/>
      </c>
      <c r="H63" s="6">
        <f>INDEX(Segments!$I$5:$I$12,B63)="Y"</f>
        <v/>
      </c>
      <c r="I63" s="6">
        <f>INDEX(Segments!$F$5:$F$12,B63)=""</f>
        <v/>
      </c>
      <c r="J63" s="18">
        <f>INDEX(Segments!$K$5:$K$12,B63)</f>
        <v/>
      </c>
      <c r="K63" s="18">
        <f>IF(INDEX(Segments!$F$5:$F$12,B63)&lt;&gt;"",INDEX(Segments!$F$5:$F$12,B63),IF(INDEX(Segments!$E$5:$E$12,B63)&lt;&gt;"",INDEX(Segments!$E$5:$E$12,B63),""))</f>
        <v/>
      </c>
      <c r="L63" s="21">
        <f>AA62</f>
        <v/>
      </c>
      <c r="M63" s="21">
        <f>IFERROR(INDEX(Overrides!$C:$C,MATCH(A63,Overrides!$A:$A,0)),"")</f>
        <v/>
      </c>
      <c r="N63" s="21">
        <f>IFERROR(INDEX(Overrides!$E:$E,MATCH(A63,Overrides!$A:$A,0)),"")</f>
        <v/>
      </c>
      <c r="O63" s="21">
        <f>IFERROR(INDEX(Overrides!$D:$D,MATCH(A63,Overrides!$A:$A,0)),"")</f>
        <v/>
      </c>
      <c r="P63" s="21">
        <f>IFERROR(INDEX(Overrides!$B:$B,MATCH(A63,Overrides!$A:$A,0)),"")</f>
        <v/>
      </c>
      <c r="Q63" s="6">
        <f>IFERROR(INDEX(Overrides!$F:$F,MATCH(A63,Overrides!$A:$A,0)),"")</f>
        <v/>
      </c>
      <c r="R63" s="6">
        <f>ISNUMBER(MATCH(A63,Overrides!$A:$A,0))</f>
        <v/>
      </c>
      <c r="S63" s="6">
        <f>OR(ROUND(L63-ROUND(G63-T63,2),2)&lt;=0,AND(I63,K63&lt;&gt;"",(A63-D63+1)=K63))</f>
        <v/>
      </c>
      <c r="T63" s="21">
        <f>IF(M63&lt;&gt;"",M63,ROUND(L63*F63,2))</f>
        <v/>
      </c>
      <c r="U63" s="21">
        <f>IF(R63,IF(O63&lt;&gt;"",O63,IF(N63&lt;&gt;"",ROUND(L63-N63,2),ROUND((IF(P63&lt;&gt;"",P63,G63))-T63,2))),IF(H63,0,IF(S63,L63,ROUND(G63-T63,2))))</f>
        <v/>
      </c>
      <c r="V63" s="21">
        <f>IF(R63,IF(P63&lt;&gt;"",P63,ROUND(T63+U63,2)),IF(H63,T63,IF(S63,ROUND(T63+U63,2),G63)))</f>
        <v/>
      </c>
      <c r="W63" s="21">
        <f>IF(R63,IF(N63&lt;&gt;"",N63,ROUND(L63-U63,2)),IF(H63,L63,IF(S63,0,ROUND(L63-U63,2))))</f>
        <v/>
      </c>
      <c r="X63" s="21">
        <f>IFERROR(MIN(INDEX(LumpSums!$B:$B,MATCH(A63,LumpSums!$A:$A,0)),W63),0)</f>
        <v/>
      </c>
      <c r="Y63" s="21">
        <f>ROUND(U63+X63,2)</f>
        <v/>
      </c>
      <c r="Z63" s="21">
        <f>ROUND(V63+X63,2)</f>
        <v/>
      </c>
      <c r="AA63" s="21">
        <f>ROUND(W63-X63,2)</f>
        <v/>
      </c>
      <c r="AB63" s="6">
        <f>AND(AB62,L63&gt;0)</f>
        <v/>
      </c>
      <c r="AC63" s="21">
        <f>IF(PMI_Costs!$B$8=0,0,ROUND(PMI_Costs!$B$8*(1+PMI_Costs!$B$9/100)^INT((A63-1)/12)/12,2))</f>
        <v/>
      </c>
      <c r="AD63" s="21">
        <f>IF(PMI_Costs!$B$10=0,0,ROUND(PMI_Costs!$B$10*(1+PMI_Costs!$B$11/100)^INT((A63-1)/12)/12,2))</f>
        <v/>
      </c>
      <c r="AE63" s="21">
        <f>IF(PMI_Costs!$B$12=0,0,ROUND(PMI_Costs!$B$12*(1+PMI_Costs!$B$13/100)^INT((A63-1)/12)/12,2))</f>
        <v/>
      </c>
      <c r="AF63" s="22">
        <f>IF(PMI_Costs!$B$5=0,0,AA63/PMI_Costs!$B$5)</f>
        <v/>
      </c>
      <c r="AG63" s="6">
        <f>AND(PMI_Costs!$B$4&gt;0,AF63&gt;PMI_Costs!$B$6/100)</f>
        <v/>
      </c>
      <c r="AH63" s="21">
        <f>IF(AG63,ROUND(Segments!$G$5*PMI_Costs!$B$4/100/12,2),0)</f>
        <v/>
      </c>
      <c r="AI63" s="6">
        <f>AND(NOT(AG63),AG62)</f>
        <v/>
      </c>
    </row>
    <row r="64">
      <c r="A64" s="18" t="n">
        <v>60</v>
      </c>
      <c r="B64" s="18">
        <f>SUMPRODUCT((Segments!$J$5:$J$12&lt;&gt;"")*(Segments!$J$5:$J$12&lt;=A64))</f>
        <v/>
      </c>
      <c r="C64" s="19">
        <f>INDEX(Segments!$B$5:$B$12,B64)</f>
        <v/>
      </c>
      <c r="D64" s="18">
        <f>INDEX(Segments!$J$5:$J$12,B64)</f>
        <v/>
      </c>
      <c r="E64" s="19">
        <f>DATE(YEAR(C64)+INT((MONTH(C64)-1+(A64-D64))/12),MOD(MONTH(C64)-1+(A64-D64),12)+1,1)+(DAY(C64)-1)</f>
        <v/>
      </c>
      <c r="F64" s="20">
        <f>INDEX(Segments!$C$5:$C$12,B64)/100/12</f>
        <v/>
      </c>
      <c r="G64" s="21">
        <f>INDEX(Segments!$L$5:$L$12,B64)</f>
        <v/>
      </c>
      <c r="H64" s="6">
        <f>INDEX(Segments!$I$5:$I$12,B64)="Y"</f>
        <v/>
      </c>
      <c r="I64" s="6">
        <f>INDEX(Segments!$F$5:$F$12,B64)=""</f>
        <v/>
      </c>
      <c r="J64" s="18">
        <f>INDEX(Segments!$K$5:$K$12,B64)</f>
        <v/>
      </c>
      <c r="K64" s="18">
        <f>IF(INDEX(Segments!$F$5:$F$12,B64)&lt;&gt;"",INDEX(Segments!$F$5:$F$12,B64),IF(INDEX(Segments!$E$5:$E$12,B64)&lt;&gt;"",INDEX(Segments!$E$5:$E$12,B64),""))</f>
        <v/>
      </c>
      <c r="L64" s="21">
        <f>AA63</f>
        <v/>
      </c>
      <c r="M64" s="21">
        <f>IFERROR(INDEX(Overrides!$C:$C,MATCH(A64,Overrides!$A:$A,0)),"")</f>
        <v/>
      </c>
      <c r="N64" s="21">
        <f>IFERROR(INDEX(Overrides!$E:$E,MATCH(A64,Overrides!$A:$A,0)),"")</f>
        <v/>
      </c>
      <c r="O64" s="21">
        <f>IFERROR(INDEX(Overrides!$D:$D,MATCH(A64,Overrides!$A:$A,0)),"")</f>
        <v/>
      </c>
      <c r="P64" s="21">
        <f>IFERROR(INDEX(Overrides!$B:$B,MATCH(A64,Overrides!$A:$A,0)),"")</f>
        <v/>
      </c>
      <c r="Q64" s="6">
        <f>IFERROR(INDEX(Overrides!$F:$F,MATCH(A64,Overrides!$A:$A,0)),"")</f>
        <v/>
      </c>
      <c r="R64" s="6">
        <f>ISNUMBER(MATCH(A64,Overrides!$A:$A,0))</f>
        <v/>
      </c>
      <c r="S64" s="6">
        <f>OR(ROUND(L64-ROUND(G64-T64,2),2)&lt;=0,AND(I64,K64&lt;&gt;"",(A64-D64+1)=K64))</f>
        <v/>
      </c>
      <c r="T64" s="21">
        <f>IF(M64&lt;&gt;"",M64,ROUND(L64*F64,2))</f>
        <v/>
      </c>
      <c r="U64" s="21">
        <f>IF(R64,IF(O64&lt;&gt;"",O64,IF(N64&lt;&gt;"",ROUND(L64-N64,2),ROUND((IF(P64&lt;&gt;"",P64,G64))-T64,2))),IF(H64,0,IF(S64,L64,ROUND(G64-T64,2))))</f>
        <v/>
      </c>
      <c r="V64" s="21">
        <f>IF(R64,IF(P64&lt;&gt;"",P64,ROUND(T64+U64,2)),IF(H64,T64,IF(S64,ROUND(T64+U64,2),G64)))</f>
        <v/>
      </c>
      <c r="W64" s="21">
        <f>IF(R64,IF(N64&lt;&gt;"",N64,ROUND(L64-U64,2)),IF(H64,L64,IF(S64,0,ROUND(L64-U64,2))))</f>
        <v/>
      </c>
      <c r="X64" s="21">
        <f>IFERROR(MIN(INDEX(LumpSums!$B:$B,MATCH(A64,LumpSums!$A:$A,0)),W64),0)</f>
        <v/>
      </c>
      <c r="Y64" s="21">
        <f>ROUND(U64+X64,2)</f>
        <v/>
      </c>
      <c r="Z64" s="21">
        <f>ROUND(V64+X64,2)</f>
        <v/>
      </c>
      <c r="AA64" s="21">
        <f>ROUND(W64-X64,2)</f>
        <v/>
      </c>
      <c r="AB64" s="6">
        <f>AND(AB63,L64&gt;0)</f>
        <v/>
      </c>
      <c r="AC64" s="21">
        <f>IF(PMI_Costs!$B$8=0,0,ROUND(PMI_Costs!$B$8*(1+PMI_Costs!$B$9/100)^INT((A64-1)/12)/12,2))</f>
        <v/>
      </c>
      <c r="AD64" s="21">
        <f>IF(PMI_Costs!$B$10=0,0,ROUND(PMI_Costs!$B$10*(1+PMI_Costs!$B$11/100)^INT((A64-1)/12)/12,2))</f>
        <v/>
      </c>
      <c r="AE64" s="21">
        <f>IF(PMI_Costs!$B$12=0,0,ROUND(PMI_Costs!$B$12*(1+PMI_Costs!$B$13/100)^INT((A64-1)/12)/12,2))</f>
        <v/>
      </c>
      <c r="AF64" s="22">
        <f>IF(PMI_Costs!$B$5=0,0,AA64/PMI_Costs!$B$5)</f>
        <v/>
      </c>
      <c r="AG64" s="6">
        <f>AND(PMI_Costs!$B$4&gt;0,AF64&gt;PMI_Costs!$B$6/100)</f>
        <v/>
      </c>
      <c r="AH64" s="21">
        <f>IF(AG64,ROUND(Segments!$G$5*PMI_Costs!$B$4/100/12,2),0)</f>
        <v/>
      </c>
      <c r="AI64" s="6">
        <f>AND(NOT(AG64),AG63)</f>
        <v/>
      </c>
    </row>
    <row r="65">
      <c r="A65" s="18" t="n">
        <v>61</v>
      </c>
      <c r="B65" s="18">
        <f>SUMPRODUCT((Segments!$J$5:$J$12&lt;&gt;"")*(Segments!$J$5:$J$12&lt;=A65))</f>
        <v/>
      </c>
      <c r="C65" s="19">
        <f>INDEX(Segments!$B$5:$B$12,B65)</f>
        <v/>
      </c>
      <c r="D65" s="18">
        <f>INDEX(Segments!$J$5:$J$12,B65)</f>
        <v/>
      </c>
      <c r="E65" s="19">
        <f>DATE(YEAR(C65)+INT((MONTH(C65)-1+(A65-D65))/12),MOD(MONTH(C65)-1+(A65-D65),12)+1,1)+(DAY(C65)-1)</f>
        <v/>
      </c>
      <c r="F65" s="20">
        <f>INDEX(Segments!$C$5:$C$12,B65)/100/12</f>
        <v/>
      </c>
      <c r="G65" s="21">
        <f>INDEX(Segments!$L$5:$L$12,B65)</f>
        <v/>
      </c>
      <c r="H65" s="6">
        <f>INDEX(Segments!$I$5:$I$12,B65)="Y"</f>
        <v/>
      </c>
      <c r="I65" s="6">
        <f>INDEX(Segments!$F$5:$F$12,B65)=""</f>
        <v/>
      </c>
      <c r="J65" s="18">
        <f>INDEX(Segments!$K$5:$K$12,B65)</f>
        <v/>
      </c>
      <c r="K65" s="18">
        <f>IF(INDEX(Segments!$F$5:$F$12,B65)&lt;&gt;"",INDEX(Segments!$F$5:$F$12,B65),IF(INDEX(Segments!$E$5:$E$12,B65)&lt;&gt;"",INDEX(Segments!$E$5:$E$12,B65),""))</f>
        <v/>
      </c>
      <c r="L65" s="21">
        <f>AA64</f>
        <v/>
      </c>
      <c r="M65" s="21">
        <f>IFERROR(INDEX(Overrides!$C:$C,MATCH(A65,Overrides!$A:$A,0)),"")</f>
        <v/>
      </c>
      <c r="N65" s="21">
        <f>IFERROR(INDEX(Overrides!$E:$E,MATCH(A65,Overrides!$A:$A,0)),"")</f>
        <v/>
      </c>
      <c r="O65" s="21">
        <f>IFERROR(INDEX(Overrides!$D:$D,MATCH(A65,Overrides!$A:$A,0)),"")</f>
        <v/>
      </c>
      <c r="P65" s="21">
        <f>IFERROR(INDEX(Overrides!$B:$B,MATCH(A65,Overrides!$A:$A,0)),"")</f>
        <v/>
      </c>
      <c r="Q65" s="6">
        <f>IFERROR(INDEX(Overrides!$F:$F,MATCH(A65,Overrides!$A:$A,0)),"")</f>
        <v/>
      </c>
      <c r="R65" s="6">
        <f>ISNUMBER(MATCH(A65,Overrides!$A:$A,0))</f>
        <v/>
      </c>
      <c r="S65" s="6">
        <f>OR(ROUND(L65-ROUND(G65-T65,2),2)&lt;=0,AND(I65,K65&lt;&gt;"",(A65-D65+1)=K65))</f>
        <v/>
      </c>
      <c r="T65" s="21">
        <f>IF(M65&lt;&gt;"",M65,ROUND(L65*F65,2))</f>
        <v/>
      </c>
      <c r="U65" s="21">
        <f>IF(R65,IF(O65&lt;&gt;"",O65,IF(N65&lt;&gt;"",ROUND(L65-N65,2),ROUND((IF(P65&lt;&gt;"",P65,G65))-T65,2))),IF(H65,0,IF(S65,L65,ROUND(G65-T65,2))))</f>
        <v/>
      </c>
      <c r="V65" s="21">
        <f>IF(R65,IF(P65&lt;&gt;"",P65,ROUND(T65+U65,2)),IF(H65,T65,IF(S65,ROUND(T65+U65,2),G65)))</f>
        <v/>
      </c>
      <c r="W65" s="21">
        <f>IF(R65,IF(N65&lt;&gt;"",N65,ROUND(L65-U65,2)),IF(H65,L65,IF(S65,0,ROUND(L65-U65,2))))</f>
        <v/>
      </c>
      <c r="X65" s="21">
        <f>IFERROR(MIN(INDEX(LumpSums!$B:$B,MATCH(A65,LumpSums!$A:$A,0)),W65),0)</f>
        <v/>
      </c>
      <c r="Y65" s="21">
        <f>ROUND(U65+X65,2)</f>
        <v/>
      </c>
      <c r="Z65" s="21">
        <f>ROUND(V65+X65,2)</f>
        <v/>
      </c>
      <c r="AA65" s="21">
        <f>ROUND(W65-X65,2)</f>
        <v/>
      </c>
      <c r="AB65" s="6">
        <f>AND(AB64,L65&gt;0)</f>
        <v/>
      </c>
      <c r="AC65" s="21">
        <f>IF(PMI_Costs!$B$8=0,0,ROUND(PMI_Costs!$B$8*(1+PMI_Costs!$B$9/100)^INT((A65-1)/12)/12,2))</f>
        <v/>
      </c>
      <c r="AD65" s="21">
        <f>IF(PMI_Costs!$B$10=0,0,ROUND(PMI_Costs!$B$10*(1+PMI_Costs!$B$11/100)^INT((A65-1)/12)/12,2))</f>
        <v/>
      </c>
      <c r="AE65" s="21">
        <f>IF(PMI_Costs!$B$12=0,0,ROUND(PMI_Costs!$B$12*(1+PMI_Costs!$B$13/100)^INT((A65-1)/12)/12,2))</f>
        <v/>
      </c>
      <c r="AF65" s="22">
        <f>IF(PMI_Costs!$B$5=0,0,AA65/PMI_Costs!$B$5)</f>
        <v/>
      </c>
      <c r="AG65" s="6">
        <f>AND(PMI_Costs!$B$4&gt;0,AF65&gt;PMI_Costs!$B$6/100)</f>
        <v/>
      </c>
      <c r="AH65" s="21">
        <f>IF(AG65,ROUND(Segments!$G$5*PMI_Costs!$B$4/100/12,2),0)</f>
        <v/>
      </c>
      <c r="AI65" s="6">
        <f>AND(NOT(AG65),AG64)</f>
        <v/>
      </c>
    </row>
    <row r="66">
      <c r="A66" s="18" t="n">
        <v>62</v>
      </c>
      <c r="B66" s="18">
        <f>SUMPRODUCT((Segments!$J$5:$J$12&lt;&gt;"")*(Segments!$J$5:$J$12&lt;=A66))</f>
        <v/>
      </c>
      <c r="C66" s="19">
        <f>INDEX(Segments!$B$5:$B$12,B66)</f>
        <v/>
      </c>
      <c r="D66" s="18">
        <f>INDEX(Segments!$J$5:$J$12,B66)</f>
        <v/>
      </c>
      <c r="E66" s="19">
        <f>DATE(YEAR(C66)+INT((MONTH(C66)-1+(A66-D66))/12),MOD(MONTH(C66)-1+(A66-D66),12)+1,1)+(DAY(C66)-1)</f>
        <v/>
      </c>
      <c r="F66" s="20">
        <f>INDEX(Segments!$C$5:$C$12,B66)/100/12</f>
        <v/>
      </c>
      <c r="G66" s="21">
        <f>INDEX(Segments!$L$5:$L$12,B66)</f>
        <v/>
      </c>
      <c r="H66" s="6">
        <f>INDEX(Segments!$I$5:$I$12,B66)="Y"</f>
        <v/>
      </c>
      <c r="I66" s="6">
        <f>INDEX(Segments!$F$5:$F$12,B66)=""</f>
        <v/>
      </c>
      <c r="J66" s="18">
        <f>INDEX(Segments!$K$5:$K$12,B66)</f>
        <v/>
      </c>
      <c r="K66" s="18">
        <f>IF(INDEX(Segments!$F$5:$F$12,B66)&lt;&gt;"",INDEX(Segments!$F$5:$F$12,B66),IF(INDEX(Segments!$E$5:$E$12,B66)&lt;&gt;"",INDEX(Segments!$E$5:$E$12,B66),""))</f>
        <v/>
      </c>
      <c r="L66" s="21">
        <f>AA65</f>
        <v/>
      </c>
      <c r="M66" s="21">
        <f>IFERROR(INDEX(Overrides!$C:$C,MATCH(A66,Overrides!$A:$A,0)),"")</f>
        <v/>
      </c>
      <c r="N66" s="21">
        <f>IFERROR(INDEX(Overrides!$E:$E,MATCH(A66,Overrides!$A:$A,0)),"")</f>
        <v/>
      </c>
      <c r="O66" s="21">
        <f>IFERROR(INDEX(Overrides!$D:$D,MATCH(A66,Overrides!$A:$A,0)),"")</f>
        <v/>
      </c>
      <c r="P66" s="21">
        <f>IFERROR(INDEX(Overrides!$B:$B,MATCH(A66,Overrides!$A:$A,0)),"")</f>
        <v/>
      </c>
      <c r="Q66" s="6">
        <f>IFERROR(INDEX(Overrides!$F:$F,MATCH(A66,Overrides!$A:$A,0)),"")</f>
        <v/>
      </c>
      <c r="R66" s="6">
        <f>ISNUMBER(MATCH(A66,Overrides!$A:$A,0))</f>
        <v/>
      </c>
      <c r="S66" s="6">
        <f>OR(ROUND(L66-ROUND(G66-T66,2),2)&lt;=0,AND(I66,K66&lt;&gt;"",(A66-D66+1)=K66))</f>
        <v/>
      </c>
      <c r="T66" s="21">
        <f>IF(M66&lt;&gt;"",M66,ROUND(L66*F66,2))</f>
        <v/>
      </c>
      <c r="U66" s="21">
        <f>IF(R66,IF(O66&lt;&gt;"",O66,IF(N66&lt;&gt;"",ROUND(L66-N66,2),ROUND((IF(P66&lt;&gt;"",P66,G66))-T66,2))),IF(H66,0,IF(S66,L66,ROUND(G66-T66,2))))</f>
        <v/>
      </c>
      <c r="V66" s="21">
        <f>IF(R66,IF(P66&lt;&gt;"",P66,ROUND(T66+U66,2)),IF(H66,T66,IF(S66,ROUND(T66+U66,2),G66)))</f>
        <v/>
      </c>
      <c r="W66" s="21">
        <f>IF(R66,IF(N66&lt;&gt;"",N66,ROUND(L66-U66,2)),IF(H66,L66,IF(S66,0,ROUND(L66-U66,2))))</f>
        <v/>
      </c>
      <c r="X66" s="21">
        <f>IFERROR(MIN(INDEX(LumpSums!$B:$B,MATCH(A66,LumpSums!$A:$A,0)),W66),0)</f>
        <v/>
      </c>
      <c r="Y66" s="21">
        <f>ROUND(U66+X66,2)</f>
        <v/>
      </c>
      <c r="Z66" s="21">
        <f>ROUND(V66+X66,2)</f>
        <v/>
      </c>
      <c r="AA66" s="21">
        <f>ROUND(W66-X66,2)</f>
        <v/>
      </c>
      <c r="AB66" s="6">
        <f>AND(AB65,L66&gt;0)</f>
        <v/>
      </c>
      <c r="AC66" s="21">
        <f>IF(PMI_Costs!$B$8=0,0,ROUND(PMI_Costs!$B$8*(1+PMI_Costs!$B$9/100)^INT((A66-1)/12)/12,2))</f>
        <v/>
      </c>
      <c r="AD66" s="21">
        <f>IF(PMI_Costs!$B$10=0,0,ROUND(PMI_Costs!$B$10*(1+PMI_Costs!$B$11/100)^INT((A66-1)/12)/12,2))</f>
        <v/>
      </c>
      <c r="AE66" s="21">
        <f>IF(PMI_Costs!$B$12=0,0,ROUND(PMI_Costs!$B$12*(1+PMI_Costs!$B$13/100)^INT((A66-1)/12)/12,2))</f>
        <v/>
      </c>
      <c r="AF66" s="22">
        <f>IF(PMI_Costs!$B$5=0,0,AA66/PMI_Costs!$B$5)</f>
        <v/>
      </c>
      <c r="AG66" s="6">
        <f>AND(PMI_Costs!$B$4&gt;0,AF66&gt;PMI_Costs!$B$6/100)</f>
        <v/>
      </c>
      <c r="AH66" s="21">
        <f>IF(AG66,ROUND(Segments!$G$5*PMI_Costs!$B$4/100/12,2),0)</f>
        <v/>
      </c>
      <c r="AI66" s="6">
        <f>AND(NOT(AG66),AG65)</f>
        <v/>
      </c>
    </row>
    <row r="67">
      <c r="A67" s="18" t="n">
        <v>63</v>
      </c>
      <c r="B67" s="18">
        <f>SUMPRODUCT((Segments!$J$5:$J$12&lt;&gt;"")*(Segments!$J$5:$J$12&lt;=A67))</f>
        <v/>
      </c>
      <c r="C67" s="19">
        <f>INDEX(Segments!$B$5:$B$12,B67)</f>
        <v/>
      </c>
      <c r="D67" s="18">
        <f>INDEX(Segments!$J$5:$J$12,B67)</f>
        <v/>
      </c>
      <c r="E67" s="19">
        <f>DATE(YEAR(C67)+INT((MONTH(C67)-1+(A67-D67))/12),MOD(MONTH(C67)-1+(A67-D67),12)+1,1)+(DAY(C67)-1)</f>
        <v/>
      </c>
      <c r="F67" s="20">
        <f>INDEX(Segments!$C$5:$C$12,B67)/100/12</f>
        <v/>
      </c>
      <c r="G67" s="21">
        <f>INDEX(Segments!$L$5:$L$12,B67)</f>
        <v/>
      </c>
      <c r="H67" s="6">
        <f>INDEX(Segments!$I$5:$I$12,B67)="Y"</f>
        <v/>
      </c>
      <c r="I67" s="6">
        <f>INDEX(Segments!$F$5:$F$12,B67)=""</f>
        <v/>
      </c>
      <c r="J67" s="18">
        <f>INDEX(Segments!$K$5:$K$12,B67)</f>
        <v/>
      </c>
      <c r="K67" s="18">
        <f>IF(INDEX(Segments!$F$5:$F$12,B67)&lt;&gt;"",INDEX(Segments!$F$5:$F$12,B67),IF(INDEX(Segments!$E$5:$E$12,B67)&lt;&gt;"",INDEX(Segments!$E$5:$E$12,B67),""))</f>
        <v/>
      </c>
      <c r="L67" s="21">
        <f>AA66</f>
        <v/>
      </c>
      <c r="M67" s="21">
        <f>IFERROR(INDEX(Overrides!$C:$C,MATCH(A67,Overrides!$A:$A,0)),"")</f>
        <v/>
      </c>
      <c r="N67" s="21">
        <f>IFERROR(INDEX(Overrides!$E:$E,MATCH(A67,Overrides!$A:$A,0)),"")</f>
        <v/>
      </c>
      <c r="O67" s="21">
        <f>IFERROR(INDEX(Overrides!$D:$D,MATCH(A67,Overrides!$A:$A,0)),"")</f>
        <v/>
      </c>
      <c r="P67" s="21">
        <f>IFERROR(INDEX(Overrides!$B:$B,MATCH(A67,Overrides!$A:$A,0)),"")</f>
        <v/>
      </c>
      <c r="Q67" s="6">
        <f>IFERROR(INDEX(Overrides!$F:$F,MATCH(A67,Overrides!$A:$A,0)),"")</f>
        <v/>
      </c>
      <c r="R67" s="6">
        <f>ISNUMBER(MATCH(A67,Overrides!$A:$A,0))</f>
        <v/>
      </c>
      <c r="S67" s="6">
        <f>OR(ROUND(L67-ROUND(G67-T67,2),2)&lt;=0,AND(I67,K67&lt;&gt;"",(A67-D67+1)=K67))</f>
        <v/>
      </c>
      <c r="T67" s="21">
        <f>IF(M67&lt;&gt;"",M67,ROUND(L67*F67,2))</f>
        <v/>
      </c>
      <c r="U67" s="21">
        <f>IF(R67,IF(O67&lt;&gt;"",O67,IF(N67&lt;&gt;"",ROUND(L67-N67,2),ROUND((IF(P67&lt;&gt;"",P67,G67))-T67,2))),IF(H67,0,IF(S67,L67,ROUND(G67-T67,2))))</f>
        <v/>
      </c>
      <c r="V67" s="21">
        <f>IF(R67,IF(P67&lt;&gt;"",P67,ROUND(T67+U67,2)),IF(H67,T67,IF(S67,ROUND(T67+U67,2),G67)))</f>
        <v/>
      </c>
      <c r="W67" s="21">
        <f>IF(R67,IF(N67&lt;&gt;"",N67,ROUND(L67-U67,2)),IF(H67,L67,IF(S67,0,ROUND(L67-U67,2))))</f>
        <v/>
      </c>
      <c r="X67" s="21">
        <f>IFERROR(MIN(INDEX(LumpSums!$B:$B,MATCH(A67,LumpSums!$A:$A,0)),W67),0)</f>
        <v/>
      </c>
      <c r="Y67" s="21">
        <f>ROUND(U67+X67,2)</f>
        <v/>
      </c>
      <c r="Z67" s="21">
        <f>ROUND(V67+X67,2)</f>
        <v/>
      </c>
      <c r="AA67" s="21">
        <f>ROUND(W67-X67,2)</f>
        <v/>
      </c>
      <c r="AB67" s="6">
        <f>AND(AB66,L67&gt;0)</f>
        <v/>
      </c>
      <c r="AC67" s="21">
        <f>IF(PMI_Costs!$B$8=0,0,ROUND(PMI_Costs!$B$8*(1+PMI_Costs!$B$9/100)^INT((A67-1)/12)/12,2))</f>
        <v/>
      </c>
      <c r="AD67" s="21">
        <f>IF(PMI_Costs!$B$10=0,0,ROUND(PMI_Costs!$B$10*(1+PMI_Costs!$B$11/100)^INT((A67-1)/12)/12,2))</f>
        <v/>
      </c>
      <c r="AE67" s="21">
        <f>IF(PMI_Costs!$B$12=0,0,ROUND(PMI_Costs!$B$12*(1+PMI_Costs!$B$13/100)^INT((A67-1)/12)/12,2))</f>
        <v/>
      </c>
      <c r="AF67" s="22">
        <f>IF(PMI_Costs!$B$5=0,0,AA67/PMI_Costs!$B$5)</f>
        <v/>
      </c>
      <c r="AG67" s="6">
        <f>AND(PMI_Costs!$B$4&gt;0,AF67&gt;PMI_Costs!$B$6/100)</f>
        <v/>
      </c>
      <c r="AH67" s="21">
        <f>IF(AG67,ROUND(Segments!$G$5*PMI_Costs!$B$4/100/12,2),0)</f>
        <v/>
      </c>
      <c r="AI67" s="6">
        <f>AND(NOT(AG67),AG66)</f>
        <v/>
      </c>
    </row>
    <row r="68">
      <c r="A68" s="18" t="n">
        <v>64</v>
      </c>
      <c r="B68" s="18">
        <f>SUMPRODUCT((Segments!$J$5:$J$12&lt;&gt;"")*(Segments!$J$5:$J$12&lt;=A68))</f>
        <v/>
      </c>
      <c r="C68" s="19">
        <f>INDEX(Segments!$B$5:$B$12,B68)</f>
        <v/>
      </c>
      <c r="D68" s="18">
        <f>INDEX(Segments!$J$5:$J$12,B68)</f>
        <v/>
      </c>
      <c r="E68" s="19">
        <f>DATE(YEAR(C68)+INT((MONTH(C68)-1+(A68-D68))/12),MOD(MONTH(C68)-1+(A68-D68),12)+1,1)+(DAY(C68)-1)</f>
        <v/>
      </c>
      <c r="F68" s="20">
        <f>INDEX(Segments!$C$5:$C$12,B68)/100/12</f>
        <v/>
      </c>
      <c r="G68" s="21">
        <f>INDEX(Segments!$L$5:$L$12,B68)</f>
        <v/>
      </c>
      <c r="H68" s="6">
        <f>INDEX(Segments!$I$5:$I$12,B68)="Y"</f>
        <v/>
      </c>
      <c r="I68" s="6">
        <f>INDEX(Segments!$F$5:$F$12,B68)=""</f>
        <v/>
      </c>
      <c r="J68" s="18">
        <f>INDEX(Segments!$K$5:$K$12,B68)</f>
        <v/>
      </c>
      <c r="K68" s="18">
        <f>IF(INDEX(Segments!$F$5:$F$12,B68)&lt;&gt;"",INDEX(Segments!$F$5:$F$12,B68),IF(INDEX(Segments!$E$5:$E$12,B68)&lt;&gt;"",INDEX(Segments!$E$5:$E$12,B68),""))</f>
        <v/>
      </c>
      <c r="L68" s="21">
        <f>AA67</f>
        <v/>
      </c>
      <c r="M68" s="21">
        <f>IFERROR(INDEX(Overrides!$C:$C,MATCH(A68,Overrides!$A:$A,0)),"")</f>
        <v/>
      </c>
      <c r="N68" s="21">
        <f>IFERROR(INDEX(Overrides!$E:$E,MATCH(A68,Overrides!$A:$A,0)),"")</f>
        <v/>
      </c>
      <c r="O68" s="21">
        <f>IFERROR(INDEX(Overrides!$D:$D,MATCH(A68,Overrides!$A:$A,0)),"")</f>
        <v/>
      </c>
      <c r="P68" s="21">
        <f>IFERROR(INDEX(Overrides!$B:$B,MATCH(A68,Overrides!$A:$A,0)),"")</f>
        <v/>
      </c>
      <c r="Q68" s="6">
        <f>IFERROR(INDEX(Overrides!$F:$F,MATCH(A68,Overrides!$A:$A,0)),"")</f>
        <v/>
      </c>
      <c r="R68" s="6">
        <f>ISNUMBER(MATCH(A68,Overrides!$A:$A,0))</f>
        <v/>
      </c>
      <c r="S68" s="6">
        <f>OR(ROUND(L68-ROUND(G68-T68,2),2)&lt;=0,AND(I68,K68&lt;&gt;"",(A68-D68+1)=K68))</f>
        <v/>
      </c>
      <c r="T68" s="21">
        <f>IF(M68&lt;&gt;"",M68,ROUND(L68*F68,2))</f>
        <v/>
      </c>
      <c r="U68" s="21">
        <f>IF(R68,IF(O68&lt;&gt;"",O68,IF(N68&lt;&gt;"",ROUND(L68-N68,2),ROUND((IF(P68&lt;&gt;"",P68,G68))-T68,2))),IF(H68,0,IF(S68,L68,ROUND(G68-T68,2))))</f>
        <v/>
      </c>
      <c r="V68" s="21">
        <f>IF(R68,IF(P68&lt;&gt;"",P68,ROUND(T68+U68,2)),IF(H68,T68,IF(S68,ROUND(T68+U68,2),G68)))</f>
        <v/>
      </c>
      <c r="W68" s="21">
        <f>IF(R68,IF(N68&lt;&gt;"",N68,ROUND(L68-U68,2)),IF(H68,L68,IF(S68,0,ROUND(L68-U68,2))))</f>
        <v/>
      </c>
      <c r="X68" s="21">
        <f>IFERROR(MIN(INDEX(LumpSums!$B:$B,MATCH(A68,LumpSums!$A:$A,0)),W68),0)</f>
        <v/>
      </c>
      <c r="Y68" s="21">
        <f>ROUND(U68+X68,2)</f>
        <v/>
      </c>
      <c r="Z68" s="21">
        <f>ROUND(V68+X68,2)</f>
        <v/>
      </c>
      <c r="AA68" s="21">
        <f>ROUND(W68-X68,2)</f>
        <v/>
      </c>
      <c r="AB68" s="6">
        <f>AND(AB67,L68&gt;0)</f>
        <v/>
      </c>
      <c r="AC68" s="21">
        <f>IF(PMI_Costs!$B$8=0,0,ROUND(PMI_Costs!$B$8*(1+PMI_Costs!$B$9/100)^INT((A68-1)/12)/12,2))</f>
        <v/>
      </c>
      <c r="AD68" s="21">
        <f>IF(PMI_Costs!$B$10=0,0,ROUND(PMI_Costs!$B$10*(1+PMI_Costs!$B$11/100)^INT((A68-1)/12)/12,2))</f>
        <v/>
      </c>
      <c r="AE68" s="21">
        <f>IF(PMI_Costs!$B$12=0,0,ROUND(PMI_Costs!$B$12*(1+PMI_Costs!$B$13/100)^INT((A68-1)/12)/12,2))</f>
        <v/>
      </c>
      <c r="AF68" s="22">
        <f>IF(PMI_Costs!$B$5=0,0,AA68/PMI_Costs!$B$5)</f>
        <v/>
      </c>
      <c r="AG68" s="6">
        <f>AND(PMI_Costs!$B$4&gt;0,AF68&gt;PMI_Costs!$B$6/100)</f>
        <v/>
      </c>
      <c r="AH68" s="21">
        <f>IF(AG68,ROUND(Segments!$G$5*PMI_Costs!$B$4/100/12,2),0)</f>
        <v/>
      </c>
      <c r="AI68" s="6">
        <f>AND(NOT(AG68),AG67)</f>
        <v/>
      </c>
    </row>
    <row r="69">
      <c r="A69" s="18" t="n">
        <v>65</v>
      </c>
      <c r="B69" s="18">
        <f>SUMPRODUCT((Segments!$J$5:$J$12&lt;&gt;"")*(Segments!$J$5:$J$12&lt;=A69))</f>
        <v/>
      </c>
      <c r="C69" s="19">
        <f>INDEX(Segments!$B$5:$B$12,B69)</f>
        <v/>
      </c>
      <c r="D69" s="18">
        <f>INDEX(Segments!$J$5:$J$12,B69)</f>
        <v/>
      </c>
      <c r="E69" s="19">
        <f>DATE(YEAR(C69)+INT((MONTH(C69)-1+(A69-D69))/12),MOD(MONTH(C69)-1+(A69-D69),12)+1,1)+(DAY(C69)-1)</f>
        <v/>
      </c>
      <c r="F69" s="20">
        <f>INDEX(Segments!$C$5:$C$12,B69)/100/12</f>
        <v/>
      </c>
      <c r="G69" s="21">
        <f>INDEX(Segments!$L$5:$L$12,B69)</f>
        <v/>
      </c>
      <c r="H69" s="6">
        <f>INDEX(Segments!$I$5:$I$12,B69)="Y"</f>
        <v/>
      </c>
      <c r="I69" s="6">
        <f>INDEX(Segments!$F$5:$F$12,B69)=""</f>
        <v/>
      </c>
      <c r="J69" s="18">
        <f>INDEX(Segments!$K$5:$K$12,B69)</f>
        <v/>
      </c>
      <c r="K69" s="18">
        <f>IF(INDEX(Segments!$F$5:$F$12,B69)&lt;&gt;"",INDEX(Segments!$F$5:$F$12,B69),IF(INDEX(Segments!$E$5:$E$12,B69)&lt;&gt;"",INDEX(Segments!$E$5:$E$12,B69),""))</f>
        <v/>
      </c>
      <c r="L69" s="21">
        <f>AA68</f>
        <v/>
      </c>
      <c r="M69" s="21">
        <f>IFERROR(INDEX(Overrides!$C:$C,MATCH(A69,Overrides!$A:$A,0)),"")</f>
        <v/>
      </c>
      <c r="N69" s="21">
        <f>IFERROR(INDEX(Overrides!$E:$E,MATCH(A69,Overrides!$A:$A,0)),"")</f>
        <v/>
      </c>
      <c r="O69" s="21">
        <f>IFERROR(INDEX(Overrides!$D:$D,MATCH(A69,Overrides!$A:$A,0)),"")</f>
        <v/>
      </c>
      <c r="P69" s="21">
        <f>IFERROR(INDEX(Overrides!$B:$B,MATCH(A69,Overrides!$A:$A,0)),"")</f>
        <v/>
      </c>
      <c r="Q69" s="6">
        <f>IFERROR(INDEX(Overrides!$F:$F,MATCH(A69,Overrides!$A:$A,0)),"")</f>
        <v/>
      </c>
      <c r="R69" s="6">
        <f>ISNUMBER(MATCH(A69,Overrides!$A:$A,0))</f>
        <v/>
      </c>
      <c r="S69" s="6">
        <f>OR(ROUND(L69-ROUND(G69-T69,2),2)&lt;=0,AND(I69,K69&lt;&gt;"",(A69-D69+1)=K69))</f>
        <v/>
      </c>
      <c r="T69" s="21">
        <f>IF(M69&lt;&gt;"",M69,ROUND(L69*F69,2))</f>
        <v/>
      </c>
      <c r="U69" s="21">
        <f>IF(R69,IF(O69&lt;&gt;"",O69,IF(N69&lt;&gt;"",ROUND(L69-N69,2),ROUND((IF(P69&lt;&gt;"",P69,G69))-T69,2))),IF(H69,0,IF(S69,L69,ROUND(G69-T69,2))))</f>
        <v/>
      </c>
      <c r="V69" s="21">
        <f>IF(R69,IF(P69&lt;&gt;"",P69,ROUND(T69+U69,2)),IF(H69,T69,IF(S69,ROUND(T69+U69,2),G69)))</f>
        <v/>
      </c>
      <c r="W69" s="21">
        <f>IF(R69,IF(N69&lt;&gt;"",N69,ROUND(L69-U69,2)),IF(H69,L69,IF(S69,0,ROUND(L69-U69,2))))</f>
        <v/>
      </c>
      <c r="X69" s="21">
        <f>IFERROR(MIN(INDEX(LumpSums!$B:$B,MATCH(A69,LumpSums!$A:$A,0)),W69),0)</f>
        <v/>
      </c>
      <c r="Y69" s="21">
        <f>ROUND(U69+X69,2)</f>
        <v/>
      </c>
      <c r="Z69" s="21">
        <f>ROUND(V69+X69,2)</f>
        <v/>
      </c>
      <c r="AA69" s="21">
        <f>ROUND(W69-X69,2)</f>
        <v/>
      </c>
      <c r="AB69" s="6">
        <f>AND(AB68,L69&gt;0)</f>
        <v/>
      </c>
      <c r="AC69" s="21">
        <f>IF(PMI_Costs!$B$8=0,0,ROUND(PMI_Costs!$B$8*(1+PMI_Costs!$B$9/100)^INT((A69-1)/12)/12,2))</f>
        <v/>
      </c>
      <c r="AD69" s="21">
        <f>IF(PMI_Costs!$B$10=0,0,ROUND(PMI_Costs!$B$10*(1+PMI_Costs!$B$11/100)^INT((A69-1)/12)/12,2))</f>
        <v/>
      </c>
      <c r="AE69" s="21">
        <f>IF(PMI_Costs!$B$12=0,0,ROUND(PMI_Costs!$B$12*(1+PMI_Costs!$B$13/100)^INT((A69-1)/12)/12,2))</f>
        <v/>
      </c>
      <c r="AF69" s="22">
        <f>IF(PMI_Costs!$B$5=0,0,AA69/PMI_Costs!$B$5)</f>
        <v/>
      </c>
      <c r="AG69" s="6">
        <f>AND(PMI_Costs!$B$4&gt;0,AF69&gt;PMI_Costs!$B$6/100)</f>
        <v/>
      </c>
      <c r="AH69" s="21">
        <f>IF(AG69,ROUND(Segments!$G$5*PMI_Costs!$B$4/100/12,2),0)</f>
        <v/>
      </c>
      <c r="AI69" s="6">
        <f>AND(NOT(AG69),AG68)</f>
        <v/>
      </c>
    </row>
    <row r="70">
      <c r="A70" s="18" t="n">
        <v>66</v>
      </c>
      <c r="B70" s="18">
        <f>SUMPRODUCT((Segments!$J$5:$J$12&lt;&gt;"")*(Segments!$J$5:$J$12&lt;=A70))</f>
        <v/>
      </c>
      <c r="C70" s="19">
        <f>INDEX(Segments!$B$5:$B$12,B70)</f>
        <v/>
      </c>
      <c r="D70" s="18">
        <f>INDEX(Segments!$J$5:$J$12,B70)</f>
        <v/>
      </c>
      <c r="E70" s="19">
        <f>DATE(YEAR(C70)+INT((MONTH(C70)-1+(A70-D70))/12),MOD(MONTH(C70)-1+(A70-D70),12)+1,1)+(DAY(C70)-1)</f>
        <v/>
      </c>
      <c r="F70" s="20">
        <f>INDEX(Segments!$C$5:$C$12,B70)/100/12</f>
        <v/>
      </c>
      <c r="G70" s="21">
        <f>INDEX(Segments!$L$5:$L$12,B70)</f>
        <v/>
      </c>
      <c r="H70" s="6">
        <f>INDEX(Segments!$I$5:$I$12,B70)="Y"</f>
        <v/>
      </c>
      <c r="I70" s="6">
        <f>INDEX(Segments!$F$5:$F$12,B70)=""</f>
        <v/>
      </c>
      <c r="J70" s="18">
        <f>INDEX(Segments!$K$5:$K$12,B70)</f>
        <v/>
      </c>
      <c r="K70" s="18">
        <f>IF(INDEX(Segments!$F$5:$F$12,B70)&lt;&gt;"",INDEX(Segments!$F$5:$F$12,B70),IF(INDEX(Segments!$E$5:$E$12,B70)&lt;&gt;"",INDEX(Segments!$E$5:$E$12,B70),""))</f>
        <v/>
      </c>
      <c r="L70" s="21">
        <f>AA69</f>
        <v/>
      </c>
      <c r="M70" s="21">
        <f>IFERROR(INDEX(Overrides!$C:$C,MATCH(A70,Overrides!$A:$A,0)),"")</f>
        <v/>
      </c>
      <c r="N70" s="21">
        <f>IFERROR(INDEX(Overrides!$E:$E,MATCH(A70,Overrides!$A:$A,0)),"")</f>
        <v/>
      </c>
      <c r="O70" s="21">
        <f>IFERROR(INDEX(Overrides!$D:$D,MATCH(A70,Overrides!$A:$A,0)),"")</f>
        <v/>
      </c>
      <c r="P70" s="21">
        <f>IFERROR(INDEX(Overrides!$B:$B,MATCH(A70,Overrides!$A:$A,0)),"")</f>
        <v/>
      </c>
      <c r="Q70" s="6">
        <f>IFERROR(INDEX(Overrides!$F:$F,MATCH(A70,Overrides!$A:$A,0)),"")</f>
        <v/>
      </c>
      <c r="R70" s="6">
        <f>ISNUMBER(MATCH(A70,Overrides!$A:$A,0))</f>
        <v/>
      </c>
      <c r="S70" s="6">
        <f>OR(ROUND(L70-ROUND(G70-T70,2),2)&lt;=0,AND(I70,K70&lt;&gt;"",(A70-D70+1)=K70))</f>
        <v/>
      </c>
      <c r="T70" s="21">
        <f>IF(M70&lt;&gt;"",M70,ROUND(L70*F70,2))</f>
        <v/>
      </c>
      <c r="U70" s="21">
        <f>IF(R70,IF(O70&lt;&gt;"",O70,IF(N70&lt;&gt;"",ROUND(L70-N70,2),ROUND((IF(P70&lt;&gt;"",P70,G70))-T70,2))),IF(H70,0,IF(S70,L70,ROUND(G70-T70,2))))</f>
        <v/>
      </c>
      <c r="V70" s="21">
        <f>IF(R70,IF(P70&lt;&gt;"",P70,ROUND(T70+U70,2)),IF(H70,T70,IF(S70,ROUND(T70+U70,2),G70)))</f>
        <v/>
      </c>
      <c r="W70" s="21">
        <f>IF(R70,IF(N70&lt;&gt;"",N70,ROUND(L70-U70,2)),IF(H70,L70,IF(S70,0,ROUND(L70-U70,2))))</f>
        <v/>
      </c>
      <c r="X70" s="21">
        <f>IFERROR(MIN(INDEX(LumpSums!$B:$B,MATCH(A70,LumpSums!$A:$A,0)),W70),0)</f>
        <v/>
      </c>
      <c r="Y70" s="21">
        <f>ROUND(U70+X70,2)</f>
        <v/>
      </c>
      <c r="Z70" s="21">
        <f>ROUND(V70+X70,2)</f>
        <v/>
      </c>
      <c r="AA70" s="21">
        <f>ROUND(W70-X70,2)</f>
        <v/>
      </c>
      <c r="AB70" s="6">
        <f>AND(AB69,L70&gt;0)</f>
        <v/>
      </c>
      <c r="AC70" s="21">
        <f>IF(PMI_Costs!$B$8=0,0,ROUND(PMI_Costs!$B$8*(1+PMI_Costs!$B$9/100)^INT((A70-1)/12)/12,2))</f>
        <v/>
      </c>
      <c r="AD70" s="21">
        <f>IF(PMI_Costs!$B$10=0,0,ROUND(PMI_Costs!$B$10*(1+PMI_Costs!$B$11/100)^INT((A70-1)/12)/12,2))</f>
        <v/>
      </c>
      <c r="AE70" s="21">
        <f>IF(PMI_Costs!$B$12=0,0,ROUND(PMI_Costs!$B$12*(1+PMI_Costs!$B$13/100)^INT((A70-1)/12)/12,2))</f>
        <v/>
      </c>
      <c r="AF70" s="22">
        <f>IF(PMI_Costs!$B$5=0,0,AA70/PMI_Costs!$B$5)</f>
        <v/>
      </c>
      <c r="AG70" s="6">
        <f>AND(PMI_Costs!$B$4&gt;0,AF70&gt;PMI_Costs!$B$6/100)</f>
        <v/>
      </c>
      <c r="AH70" s="21">
        <f>IF(AG70,ROUND(Segments!$G$5*PMI_Costs!$B$4/100/12,2),0)</f>
        <v/>
      </c>
      <c r="AI70" s="6">
        <f>AND(NOT(AG70),AG69)</f>
        <v/>
      </c>
    </row>
    <row r="71">
      <c r="A71" s="18" t="n">
        <v>67</v>
      </c>
      <c r="B71" s="18">
        <f>SUMPRODUCT((Segments!$J$5:$J$12&lt;&gt;"")*(Segments!$J$5:$J$12&lt;=A71))</f>
        <v/>
      </c>
      <c r="C71" s="19">
        <f>INDEX(Segments!$B$5:$B$12,B71)</f>
        <v/>
      </c>
      <c r="D71" s="18">
        <f>INDEX(Segments!$J$5:$J$12,B71)</f>
        <v/>
      </c>
      <c r="E71" s="19">
        <f>DATE(YEAR(C71)+INT((MONTH(C71)-1+(A71-D71))/12),MOD(MONTH(C71)-1+(A71-D71),12)+1,1)+(DAY(C71)-1)</f>
        <v/>
      </c>
      <c r="F71" s="20">
        <f>INDEX(Segments!$C$5:$C$12,B71)/100/12</f>
        <v/>
      </c>
      <c r="G71" s="21">
        <f>INDEX(Segments!$L$5:$L$12,B71)</f>
        <v/>
      </c>
      <c r="H71" s="6">
        <f>INDEX(Segments!$I$5:$I$12,B71)="Y"</f>
        <v/>
      </c>
      <c r="I71" s="6">
        <f>INDEX(Segments!$F$5:$F$12,B71)=""</f>
        <v/>
      </c>
      <c r="J71" s="18">
        <f>INDEX(Segments!$K$5:$K$12,B71)</f>
        <v/>
      </c>
      <c r="K71" s="18">
        <f>IF(INDEX(Segments!$F$5:$F$12,B71)&lt;&gt;"",INDEX(Segments!$F$5:$F$12,B71),IF(INDEX(Segments!$E$5:$E$12,B71)&lt;&gt;"",INDEX(Segments!$E$5:$E$12,B71),""))</f>
        <v/>
      </c>
      <c r="L71" s="21">
        <f>AA70</f>
        <v/>
      </c>
      <c r="M71" s="21">
        <f>IFERROR(INDEX(Overrides!$C:$C,MATCH(A71,Overrides!$A:$A,0)),"")</f>
        <v/>
      </c>
      <c r="N71" s="21">
        <f>IFERROR(INDEX(Overrides!$E:$E,MATCH(A71,Overrides!$A:$A,0)),"")</f>
        <v/>
      </c>
      <c r="O71" s="21">
        <f>IFERROR(INDEX(Overrides!$D:$D,MATCH(A71,Overrides!$A:$A,0)),"")</f>
        <v/>
      </c>
      <c r="P71" s="21">
        <f>IFERROR(INDEX(Overrides!$B:$B,MATCH(A71,Overrides!$A:$A,0)),"")</f>
        <v/>
      </c>
      <c r="Q71" s="6">
        <f>IFERROR(INDEX(Overrides!$F:$F,MATCH(A71,Overrides!$A:$A,0)),"")</f>
        <v/>
      </c>
      <c r="R71" s="6">
        <f>ISNUMBER(MATCH(A71,Overrides!$A:$A,0))</f>
        <v/>
      </c>
      <c r="S71" s="6">
        <f>OR(ROUND(L71-ROUND(G71-T71,2),2)&lt;=0,AND(I71,K71&lt;&gt;"",(A71-D71+1)=K71))</f>
        <v/>
      </c>
      <c r="T71" s="21">
        <f>IF(M71&lt;&gt;"",M71,ROUND(L71*F71,2))</f>
        <v/>
      </c>
      <c r="U71" s="21">
        <f>IF(R71,IF(O71&lt;&gt;"",O71,IF(N71&lt;&gt;"",ROUND(L71-N71,2),ROUND((IF(P71&lt;&gt;"",P71,G71))-T71,2))),IF(H71,0,IF(S71,L71,ROUND(G71-T71,2))))</f>
        <v/>
      </c>
      <c r="V71" s="21">
        <f>IF(R71,IF(P71&lt;&gt;"",P71,ROUND(T71+U71,2)),IF(H71,T71,IF(S71,ROUND(T71+U71,2),G71)))</f>
        <v/>
      </c>
      <c r="W71" s="21">
        <f>IF(R71,IF(N71&lt;&gt;"",N71,ROUND(L71-U71,2)),IF(H71,L71,IF(S71,0,ROUND(L71-U71,2))))</f>
        <v/>
      </c>
      <c r="X71" s="21">
        <f>IFERROR(MIN(INDEX(LumpSums!$B:$B,MATCH(A71,LumpSums!$A:$A,0)),W71),0)</f>
        <v/>
      </c>
      <c r="Y71" s="21">
        <f>ROUND(U71+X71,2)</f>
        <v/>
      </c>
      <c r="Z71" s="21">
        <f>ROUND(V71+X71,2)</f>
        <v/>
      </c>
      <c r="AA71" s="21">
        <f>ROUND(W71-X71,2)</f>
        <v/>
      </c>
      <c r="AB71" s="6">
        <f>AND(AB70,L71&gt;0)</f>
        <v/>
      </c>
      <c r="AC71" s="21">
        <f>IF(PMI_Costs!$B$8=0,0,ROUND(PMI_Costs!$B$8*(1+PMI_Costs!$B$9/100)^INT((A71-1)/12)/12,2))</f>
        <v/>
      </c>
      <c r="AD71" s="21">
        <f>IF(PMI_Costs!$B$10=0,0,ROUND(PMI_Costs!$B$10*(1+PMI_Costs!$B$11/100)^INT((A71-1)/12)/12,2))</f>
        <v/>
      </c>
      <c r="AE71" s="21">
        <f>IF(PMI_Costs!$B$12=0,0,ROUND(PMI_Costs!$B$12*(1+PMI_Costs!$B$13/100)^INT((A71-1)/12)/12,2))</f>
        <v/>
      </c>
      <c r="AF71" s="22">
        <f>IF(PMI_Costs!$B$5=0,0,AA71/PMI_Costs!$B$5)</f>
        <v/>
      </c>
      <c r="AG71" s="6">
        <f>AND(PMI_Costs!$B$4&gt;0,AF71&gt;PMI_Costs!$B$6/100)</f>
        <v/>
      </c>
      <c r="AH71" s="21">
        <f>IF(AG71,ROUND(Segments!$G$5*PMI_Costs!$B$4/100/12,2),0)</f>
        <v/>
      </c>
      <c r="AI71" s="6">
        <f>AND(NOT(AG71),AG70)</f>
        <v/>
      </c>
    </row>
    <row r="72">
      <c r="A72" s="18" t="n">
        <v>68</v>
      </c>
      <c r="B72" s="18">
        <f>SUMPRODUCT((Segments!$J$5:$J$12&lt;&gt;"")*(Segments!$J$5:$J$12&lt;=A72))</f>
        <v/>
      </c>
      <c r="C72" s="19">
        <f>INDEX(Segments!$B$5:$B$12,B72)</f>
        <v/>
      </c>
      <c r="D72" s="18">
        <f>INDEX(Segments!$J$5:$J$12,B72)</f>
        <v/>
      </c>
      <c r="E72" s="19">
        <f>DATE(YEAR(C72)+INT((MONTH(C72)-1+(A72-D72))/12),MOD(MONTH(C72)-1+(A72-D72),12)+1,1)+(DAY(C72)-1)</f>
        <v/>
      </c>
      <c r="F72" s="20">
        <f>INDEX(Segments!$C$5:$C$12,B72)/100/12</f>
        <v/>
      </c>
      <c r="G72" s="21">
        <f>INDEX(Segments!$L$5:$L$12,B72)</f>
        <v/>
      </c>
      <c r="H72" s="6">
        <f>INDEX(Segments!$I$5:$I$12,B72)="Y"</f>
        <v/>
      </c>
      <c r="I72" s="6">
        <f>INDEX(Segments!$F$5:$F$12,B72)=""</f>
        <v/>
      </c>
      <c r="J72" s="18">
        <f>INDEX(Segments!$K$5:$K$12,B72)</f>
        <v/>
      </c>
      <c r="K72" s="18">
        <f>IF(INDEX(Segments!$F$5:$F$12,B72)&lt;&gt;"",INDEX(Segments!$F$5:$F$12,B72),IF(INDEX(Segments!$E$5:$E$12,B72)&lt;&gt;"",INDEX(Segments!$E$5:$E$12,B72),""))</f>
        <v/>
      </c>
      <c r="L72" s="21">
        <f>AA71</f>
        <v/>
      </c>
      <c r="M72" s="21">
        <f>IFERROR(INDEX(Overrides!$C:$C,MATCH(A72,Overrides!$A:$A,0)),"")</f>
        <v/>
      </c>
      <c r="N72" s="21">
        <f>IFERROR(INDEX(Overrides!$E:$E,MATCH(A72,Overrides!$A:$A,0)),"")</f>
        <v/>
      </c>
      <c r="O72" s="21">
        <f>IFERROR(INDEX(Overrides!$D:$D,MATCH(A72,Overrides!$A:$A,0)),"")</f>
        <v/>
      </c>
      <c r="P72" s="21">
        <f>IFERROR(INDEX(Overrides!$B:$B,MATCH(A72,Overrides!$A:$A,0)),"")</f>
        <v/>
      </c>
      <c r="Q72" s="6">
        <f>IFERROR(INDEX(Overrides!$F:$F,MATCH(A72,Overrides!$A:$A,0)),"")</f>
        <v/>
      </c>
      <c r="R72" s="6">
        <f>ISNUMBER(MATCH(A72,Overrides!$A:$A,0))</f>
        <v/>
      </c>
      <c r="S72" s="6">
        <f>OR(ROUND(L72-ROUND(G72-T72,2),2)&lt;=0,AND(I72,K72&lt;&gt;"",(A72-D72+1)=K72))</f>
        <v/>
      </c>
      <c r="T72" s="21">
        <f>IF(M72&lt;&gt;"",M72,ROUND(L72*F72,2))</f>
        <v/>
      </c>
      <c r="U72" s="21">
        <f>IF(R72,IF(O72&lt;&gt;"",O72,IF(N72&lt;&gt;"",ROUND(L72-N72,2),ROUND((IF(P72&lt;&gt;"",P72,G72))-T72,2))),IF(H72,0,IF(S72,L72,ROUND(G72-T72,2))))</f>
        <v/>
      </c>
      <c r="V72" s="21">
        <f>IF(R72,IF(P72&lt;&gt;"",P72,ROUND(T72+U72,2)),IF(H72,T72,IF(S72,ROUND(T72+U72,2),G72)))</f>
        <v/>
      </c>
      <c r="W72" s="21">
        <f>IF(R72,IF(N72&lt;&gt;"",N72,ROUND(L72-U72,2)),IF(H72,L72,IF(S72,0,ROUND(L72-U72,2))))</f>
        <v/>
      </c>
      <c r="X72" s="21">
        <f>IFERROR(MIN(INDEX(LumpSums!$B:$B,MATCH(A72,LumpSums!$A:$A,0)),W72),0)</f>
        <v/>
      </c>
      <c r="Y72" s="21">
        <f>ROUND(U72+X72,2)</f>
        <v/>
      </c>
      <c r="Z72" s="21">
        <f>ROUND(V72+X72,2)</f>
        <v/>
      </c>
      <c r="AA72" s="21">
        <f>ROUND(W72-X72,2)</f>
        <v/>
      </c>
      <c r="AB72" s="6">
        <f>AND(AB71,L72&gt;0)</f>
        <v/>
      </c>
      <c r="AC72" s="21">
        <f>IF(PMI_Costs!$B$8=0,0,ROUND(PMI_Costs!$B$8*(1+PMI_Costs!$B$9/100)^INT((A72-1)/12)/12,2))</f>
        <v/>
      </c>
      <c r="AD72" s="21">
        <f>IF(PMI_Costs!$B$10=0,0,ROUND(PMI_Costs!$B$10*(1+PMI_Costs!$B$11/100)^INT((A72-1)/12)/12,2))</f>
        <v/>
      </c>
      <c r="AE72" s="21">
        <f>IF(PMI_Costs!$B$12=0,0,ROUND(PMI_Costs!$B$12*(1+PMI_Costs!$B$13/100)^INT((A72-1)/12)/12,2))</f>
        <v/>
      </c>
      <c r="AF72" s="22">
        <f>IF(PMI_Costs!$B$5=0,0,AA72/PMI_Costs!$B$5)</f>
        <v/>
      </c>
      <c r="AG72" s="6">
        <f>AND(PMI_Costs!$B$4&gt;0,AF72&gt;PMI_Costs!$B$6/100)</f>
        <v/>
      </c>
      <c r="AH72" s="21">
        <f>IF(AG72,ROUND(Segments!$G$5*PMI_Costs!$B$4/100/12,2),0)</f>
        <v/>
      </c>
      <c r="AI72" s="6">
        <f>AND(NOT(AG72),AG71)</f>
        <v/>
      </c>
    </row>
    <row r="73">
      <c r="A73" s="18" t="n">
        <v>69</v>
      </c>
      <c r="B73" s="18">
        <f>SUMPRODUCT((Segments!$J$5:$J$12&lt;&gt;"")*(Segments!$J$5:$J$12&lt;=A73))</f>
        <v/>
      </c>
      <c r="C73" s="19">
        <f>INDEX(Segments!$B$5:$B$12,B73)</f>
        <v/>
      </c>
      <c r="D73" s="18">
        <f>INDEX(Segments!$J$5:$J$12,B73)</f>
        <v/>
      </c>
      <c r="E73" s="19">
        <f>DATE(YEAR(C73)+INT((MONTH(C73)-1+(A73-D73))/12),MOD(MONTH(C73)-1+(A73-D73),12)+1,1)+(DAY(C73)-1)</f>
        <v/>
      </c>
      <c r="F73" s="20">
        <f>INDEX(Segments!$C$5:$C$12,B73)/100/12</f>
        <v/>
      </c>
      <c r="G73" s="21">
        <f>INDEX(Segments!$L$5:$L$12,B73)</f>
        <v/>
      </c>
      <c r="H73" s="6">
        <f>INDEX(Segments!$I$5:$I$12,B73)="Y"</f>
        <v/>
      </c>
      <c r="I73" s="6">
        <f>INDEX(Segments!$F$5:$F$12,B73)=""</f>
        <v/>
      </c>
      <c r="J73" s="18">
        <f>INDEX(Segments!$K$5:$K$12,B73)</f>
        <v/>
      </c>
      <c r="K73" s="18">
        <f>IF(INDEX(Segments!$F$5:$F$12,B73)&lt;&gt;"",INDEX(Segments!$F$5:$F$12,B73),IF(INDEX(Segments!$E$5:$E$12,B73)&lt;&gt;"",INDEX(Segments!$E$5:$E$12,B73),""))</f>
        <v/>
      </c>
      <c r="L73" s="21">
        <f>AA72</f>
        <v/>
      </c>
      <c r="M73" s="21">
        <f>IFERROR(INDEX(Overrides!$C:$C,MATCH(A73,Overrides!$A:$A,0)),"")</f>
        <v/>
      </c>
      <c r="N73" s="21">
        <f>IFERROR(INDEX(Overrides!$E:$E,MATCH(A73,Overrides!$A:$A,0)),"")</f>
        <v/>
      </c>
      <c r="O73" s="21">
        <f>IFERROR(INDEX(Overrides!$D:$D,MATCH(A73,Overrides!$A:$A,0)),"")</f>
        <v/>
      </c>
      <c r="P73" s="21">
        <f>IFERROR(INDEX(Overrides!$B:$B,MATCH(A73,Overrides!$A:$A,0)),"")</f>
        <v/>
      </c>
      <c r="Q73" s="6">
        <f>IFERROR(INDEX(Overrides!$F:$F,MATCH(A73,Overrides!$A:$A,0)),"")</f>
        <v/>
      </c>
      <c r="R73" s="6">
        <f>ISNUMBER(MATCH(A73,Overrides!$A:$A,0))</f>
        <v/>
      </c>
      <c r="S73" s="6">
        <f>OR(ROUND(L73-ROUND(G73-T73,2),2)&lt;=0,AND(I73,K73&lt;&gt;"",(A73-D73+1)=K73))</f>
        <v/>
      </c>
      <c r="T73" s="21">
        <f>IF(M73&lt;&gt;"",M73,ROUND(L73*F73,2))</f>
        <v/>
      </c>
      <c r="U73" s="21">
        <f>IF(R73,IF(O73&lt;&gt;"",O73,IF(N73&lt;&gt;"",ROUND(L73-N73,2),ROUND((IF(P73&lt;&gt;"",P73,G73))-T73,2))),IF(H73,0,IF(S73,L73,ROUND(G73-T73,2))))</f>
        <v/>
      </c>
      <c r="V73" s="21">
        <f>IF(R73,IF(P73&lt;&gt;"",P73,ROUND(T73+U73,2)),IF(H73,T73,IF(S73,ROUND(T73+U73,2),G73)))</f>
        <v/>
      </c>
      <c r="W73" s="21">
        <f>IF(R73,IF(N73&lt;&gt;"",N73,ROUND(L73-U73,2)),IF(H73,L73,IF(S73,0,ROUND(L73-U73,2))))</f>
        <v/>
      </c>
      <c r="X73" s="21">
        <f>IFERROR(MIN(INDEX(LumpSums!$B:$B,MATCH(A73,LumpSums!$A:$A,0)),W73),0)</f>
        <v/>
      </c>
      <c r="Y73" s="21">
        <f>ROUND(U73+X73,2)</f>
        <v/>
      </c>
      <c r="Z73" s="21">
        <f>ROUND(V73+X73,2)</f>
        <v/>
      </c>
      <c r="AA73" s="21">
        <f>ROUND(W73-X73,2)</f>
        <v/>
      </c>
      <c r="AB73" s="6">
        <f>AND(AB72,L73&gt;0)</f>
        <v/>
      </c>
      <c r="AC73" s="21">
        <f>IF(PMI_Costs!$B$8=0,0,ROUND(PMI_Costs!$B$8*(1+PMI_Costs!$B$9/100)^INT((A73-1)/12)/12,2))</f>
        <v/>
      </c>
      <c r="AD73" s="21">
        <f>IF(PMI_Costs!$B$10=0,0,ROUND(PMI_Costs!$B$10*(1+PMI_Costs!$B$11/100)^INT((A73-1)/12)/12,2))</f>
        <v/>
      </c>
      <c r="AE73" s="21">
        <f>IF(PMI_Costs!$B$12=0,0,ROUND(PMI_Costs!$B$12*(1+PMI_Costs!$B$13/100)^INT((A73-1)/12)/12,2))</f>
        <v/>
      </c>
      <c r="AF73" s="22">
        <f>IF(PMI_Costs!$B$5=0,0,AA73/PMI_Costs!$B$5)</f>
        <v/>
      </c>
      <c r="AG73" s="6">
        <f>AND(PMI_Costs!$B$4&gt;0,AF73&gt;PMI_Costs!$B$6/100)</f>
        <v/>
      </c>
      <c r="AH73" s="21">
        <f>IF(AG73,ROUND(Segments!$G$5*PMI_Costs!$B$4/100/12,2),0)</f>
        <v/>
      </c>
      <c r="AI73" s="6">
        <f>AND(NOT(AG73),AG72)</f>
        <v/>
      </c>
    </row>
    <row r="74">
      <c r="A74" s="18" t="n">
        <v>70</v>
      </c>
      <c r="B74" s="18">
        <f>SUMPRODUCT((Segments!$J$5:$J$12&lt;&gt;"")*(Segments!$J$5:$J$12&lt;=A74))</f>
        <v/>
      </c>
      <c r="C74" s="19">
        <f>INDEX(Segments!$B$5:$B$12,B74)</f>
        <v/>
      </c>
      <c r="D74" s="18">
        <f>INDEX(Segments!$J$5:$J$12,B74)</f>
        <v/>
      </c>
      <c r="E74" s="19">
        <f>DATE(YEAR(C74)+INT((MONTH(C74)-1+(A74-D74))/12),MOD(MONTH(C74)-1+(A74-D74),12)+1,1)+(DAY(C74)-1)</f>
        <v/>
      </c>
      <c r="F74" s="20">
        <f>INDEX(Segments!$C$5:$C$12,B74)/100/12</f>
        <v/>
      </c>
      <c r="G74" s="21">
        <f>INDEX(Segments!$L$5:$L$12,B74)</f>
        <v/>
      </c>
      <c r="H74" s="6">
        <f>INDEX(Segments!$I$5:$I$12,B74)="Y"</f>
        <v/>
      </c>
      <c r="I74" s="6">
        <f>INDEX(Segments!$F$5:$F$12,B74)=""</f>
        <v/>
      </c>
      <c r="J74" s="18">
        <f>INDEX(Segments!$K$5:$K$12,B74)</f>
        <v/>
      </c>
      <c r="K74" s="18">
        <f>IF(INDEX(Segments!$F$5:$F$12,B74)&lt;&gt;"",INDEX(Segments!$F$5:$F$12,B74),IF(INDEX(Segments!$E$5:$E$12,B74)&lt;&gt;"",INDEX(Segments!$E$5:$E$12,B74),""))</f>
        <v/>
      </c>
      <c r="L74" s="21">
        <f>AA73</f>
        <v/>
      </c>
      <c r="M74" s="21">
        <f>IFERROR(INDEX(Overrides!$C:$C,MATCH(A74,Overrides!$A:$A,0)),"")</f>
        <v/>
      </c>
      <c r="N74" s="21">
        <f>IFERROR(INDEX(Overrides!$E:$E,MATCH(A74,Overrides!$A:$A,0)),"")</f>
        <v/>
      </c>
      <c r="O74" s="21">
        <f>IFERROR(INDEX(Overrides!$D:$D,MATCH(A74,Overrides!$A:$A,0)),"")</f>
        <v/>
      </c>
      <c r="P74" s="21">
        <f>IFERROR(INDEX(Overrides!$B:$B,MATCH(A74,Overrides!$A:$A,0)),"")</f>
        <v/>
      </c>
      <c r="Q74" s="6">
        <f>IFERROR(INDEX(Overrides!$F:$F,MATCH(A74,Overrides!$A:$A,0)),"")</f>
        <v/>
      </c>
      <c r="R74" s="6">
        <f>ISNUMBER(MATCH(A74,Overrides!$A:$A,0))</f>
        <v/>
      </c>
      <c r="S74" s="6">
        <f>OR(ROUND(L74-ROUND(G74-T74,2),2)&lt;=0,AND(I74,K74&lt;&gt;"",(A74-D74+1)=K74))</f>
        <v/>
      </c>
      <c r="T74" s="21">
        <f>IF(M74&lt;&gt;"",M74,ROUND(L74*F74,2))</f>
        <v/>
      </c>
      <c r="U74" s="21">
        <f>IF(R74,IF(O74&lt;&gt;"",O74,IF(N74&lt;&gt;"",ROUND(L74-N74,2),ROUND((IF(P74&lt;&gt;"",P74,G74))-T74,2))),IF(H74,0,IF(S74,L74,ROUND(G74-T74,2))))</f>
        <v/>
      </c>
      <c r="V74" s="21">
        <f>IF(R74,IF(P74&lt;&gt;"",P74,ROUND(T74+U74,2)),IF(H74,T74,IF(S74,ROUND(T74+U74,2),G74)))</f>
        <v/>
      </c>
      <c r="W74" s="21">
        <f>IF(R74,IF(N74&lt;&gt;"",N74,ROUND(L74-U74,2)),IF(H74,L74,IF(S74,0,ROUND(L74-U74,2))))</f>
        <v/>
      </c>
      <c r="X74" s="21">
        <f>IFERROR(MIN(INDEX(LumpSums!$B:$B,MATCH(A74,LumpSums!$A:$A,0)),W74),0)</f>
        <v/>
      </c>
      <c r="Y74" s="21">
        <f>ROUND(U74+X74,2)</f>
        <v/>
      </c>
      <c r="Z74" s="21">
        <f>ROUND(V74+X74,2)</f>
        <v/>
      </c>
      <c r="AA74" s="21">
        <f>ROUND(W74-X74,2)</f>
        <v/>
      </c>
      <c r="AB74" s="6">
        <f>AND(AB73,L74&gt;0)</f>
        <v/>
      </c>
      <c r="AC74" s="21">
        <f>IF(PMI_Costs!$B$8=0,0,ROUND(PMI_Costs!$B$8*(1+PMI_Costs!$B$9/100)^INT((A74-1)/12)/12,2))</f>
        <v/>
      </c>
      <c r="AD74" s="21">
        <f>IF(PMI_Costs!$B$10=0,0,ROUND(PMI_Costs!$B$10*(1+PMI_Costs!$B$11/100)^INT((A74-1)/12)/12,2))</f>
        <v/>
      </c>
      <c r="AE74" s="21">
        <f>IF(PMI_Costs!$B$12=0,0,ROUND(PMI_Costs!$B$12*(1+PMI_Costs!$B$13/100)^INT((A74-1)/12)/12,2))</f>
        <v/>
      </c>
      <c r="AF74" s="22">
        <f>IF(PMI_Costs!$B$5=0,0,AA74/PMI_Costs!$B$5)</f>
        <v/>
      </c>
      <c r="AG74" s="6">
        <f>AND(PMI_Costs!$B$4&gt;0,AF74&gt;PMI_Costs!$B$6/100)</f>
        <v/>
      </c>
      <c r="AH74" s="21">
        <f>IF(AG74,ROUND(Segments!$G$5*PMI_Costs!$B$4/100/12,2),0)</f>
        <v/>
      </c>
      <c r="AI74" s="6">
        <f>AND(NOT(AG74),AG73)</f>
        <v/>
      </c>
    </row>
    <row r="75">
      <c r="A75" s="18" t="n">
        <v>71</v>
      </c>
      <c r="B75" s="18">
        <f>SUMPRODUCT((Segments!$J$5:$J$12&lt;&gt;"")*(Segments!$J$5:$J$12&lt;=A75))</f>
        <v/>
      </c>
      <c r="C75" s="19">
        <f>INDEX(Segments!$B$5:$B$12,B75)</f>
        <v/>
      </c>
      <c r="D75" s="18">
        <f>INDEX(Segments!$J$5:$J$12,B75)</f>
        <v/>
      </c>
      <c r="E75" s="19">
        <f>DATE(YEAR(C75)+INT((MONTH(C75)-1+(A75-D75))/12),MOD(MONTH(C75)-1+(A75-D75),12)+1,1)+(DAY(C75)-1)</f>
        <v/>
      </c>
      <c r="F75" s="20">
        <f>INDEX(Segments!$C$5:$C$12,B75)/100/12</f>
        <v/>
      </c>
      <c r="G75" s="21">
        <f>INDEX(Segments!$L$5:$L$12,B75)</f>
        <v/>
      </c>
      <c r="H75" s="6">
        <f>INDEX(Segments!$I$5:$I$12,B75)="Y"</f>
        <v/>
      </c>
      <c r="I75" s="6">
        <f>INDEX(Segments!$F$5:$F$12,B75)=""</f>
        <v/>
      </c>
      <c r="J75" s="18">
        <f>INDEX(Segments!$K$5:$K$12,B75)</f>
        <v/>
      </c>
      <c r="K75" s="18">
        <f>IF(INDEX(Segments!$F$5:$F$12,B75)&lt;&gt;"",INDEX(Segments!$F$5:$F$12,B75),IF(INDEX(Segments!$E$5:$E$12,B75)&lt;&gt;"",INDEX(Segments!$E$5:$E$12,B75),""))</f>
        <v/>
      </c>
      <c r="L75" s="21">
        <f>AA74</f>
        <v/>
      </c>
      <c r="M75" s="21">
        <f>IFERROR(INDEX(Overrides!$C:$C,MATCH(A75,Overrides!$A:$A,0)),"")</f>
        <v/>
      </c>
      <c r="N75" s="21">
        <f>IFERROR(INDEX(Overrides!$E:$E,MATCH(A75,Overrides!$A:$A,0)),"")</f>
        <v/>
      </c>
      <c r="O75" s="21">
        <f>IFERROR(INDEX(Overrides!$D:$D,MATCH(A75,Overrides!$A:$A,0)),"")</f>
        <v/>
      </c>
      <c r="P75" s="21">
        <f>IFERROR(INDEX(Overrides!$B:$B,MATCH(A75,Overrides!$A:$A,0)),"")</f>
        <v/>
      </c>
      <c r="Q75" s="6">
        <f>IFERROR(INDEX(Overrides!$F:$F,MATCH(A75,Overrides!$A:$A,0)),"")</f>
        <v/>
      </c>
      <c r="R75" s="6">
        <f>ISNUMBER(MATCH(A75,Overrides!$A:$A,0))</f>
        <v/>
      </c>
      <c r="S75" s="6">
        <f>OR(ROUND(L75-ROUND(G75-T75,2),2)&lt;=0,AND(I75,K75&lt;&gt;"",(A75-D75+1)=K75))</f>
        <v/>
      </c>
      <c r="T75" s="21">
        <f>IF(M75&lt;&gt;"",M75,ROUND(L75*F75,2))</f>
        <v/>
      </c>
      <c r="U75" s="21">
        <f>IF(R75,IF(O75&lt;&gt;"",O75,IF(N75&lt;&gt;"",ROUND(L75-N75,2),ROUND((IF(P75&lt;&gt;"",P75,G75))-T75,2))),IF(H75,0,IF(S75,L75,ROUND(G75-T75,2))))</f>
        <v/>
      </c>
      <c r="V75" s="21">
        <f>IF(R75,IF(P75&lt;&gt;"",P75,ROUND(T75+U75,2)),IF(H75,T75,IF(S75,ROUND(T75+U75,2),G75)))</f>
        <v/>
      </c>
      <c r="W75" s="21">
        <f>IF(R75,IF(N75&lt;&gt;"",N75,ROUND(L75-U75,2)),IF(H75,L75,IF(S75,0,ROUND(L75-U75,2))))</f>
        <v/>
      </c>
      <c r="X75" s="21">
        <f>IFERROR(MIN(INDEX(LumpSums!$B:$B,MATCH(A75,LumpSums!$A:$A,0)),W75),0)</f>
        <v/>
      </c>
      <c r="Y75" s="21">
        <f>ROUND(U75+X75,2)</f>
        <v/>
      </c>
      <c r="Z75" s="21">
        <f>ROUND(V75+X75,2)</f>
        <v/>
      </c>
      <c r="AA75" s="21">
        <f>ROUND(W75-X75,2)</f>
        <v/>
      </c>
      <c r="AB75" s="6">
        <f>AND(AB74,L75&gt;0)</f>
        <v/>
      </c>
      <c r="AC75" s="21">
        <f>IF(PMI_Costs!$B$8=0,0,ROUND(PMI_Costs!$B$8*(1+PMI_Costs!$B$9/100)^INT((A75-1)/12)/12,2))</f>
        <v/>
      </c>
      <c r="AD75" s="21">
        <f>IF(PMI_Costs!$B$10=0,0,ROUND(PMI_Costs!$B$10*(1+PMI_Costs!$B$11/100)^INT((A75-1)/12)/12,2))</f>
        <v/>
      </c>
      <c r="AE75" s="21">
        <f>IF(PMI_Costs!$B$12=0,0,ROUND(PMI_Costs!$B$12*(1+PMI_Costs!$B$13/100)^INT((A75-1)/12)/12,2))</f>
        <v/>
      </c>
      <c r="AF75" s="22">
        <f>IF(PMI_Costs!$B$5=0,0,AA75/PMI_Costs!$B$5)</f>
        <v/>
      </c>
      <c r="AG75" s="6">
        <f>AND(PMI_Costs!$B$4&gt;0,AF75&gt;PMI_Costs!$B$6/100)</f>
        <v/>
      </c>
      <c r="AH75" s="21">
        <f>IF(AG75,ROUND(Segments!$G$5*PMI_Costs!$B$4/100/12,2),0)</f>
        <v/>
      </c>
      <c r="AI75" s="6">
        <f>AND(NOT(AG75),AG74)</f>
        <v/>
      </c>
    </row>
    <row r="76">
      <c r="A76" s="18" t="n">
        <v>72</v>
      </c>
      <c r="B76" s="18">
        <f>SUMPRODUCT((Segments!$J$5:$J$12&lt;&gt;"")*(Segments!$J$5:$J$12&lt;=A76))</f>
        <v/>
      </c>
      <c r="C76" s="19">
        <f>INDEX(Segments!$B$5:$B$12,B76)</f>
        <v/>
      </c>
      <c r="D76" s="18">
        <f>INDEX(Segments!$J$5:$J$12,B76)</f>
        <v/>
      </c>
      <c r="E76" s="19">
        <f>DATE(YEAR(C76)+INT((MONTH(C76)-1+(A76-D76))/12),MOD(MONTH(C76)-1+(A76-D76),12)+1,1)+(DAY(C76)-1)</f>
        <v/>
      </c>
      <c r="F76" s="20">
        <f>INDEX(Segments!$C$5:$C$12,B76)/100/12</f>
        <v/>
      </c>
      <c r="G76" s="21">
        <f>INDEX(Segments!$L$5:$L$12,B76)</f>
        <v/>
      </c>
      <c r="H76" s="6">
        <f>INDEX(Segments!$I$5:$I$12,B76)="Y"</f>
        <v/>
      </c>
      <c r="I76" s="6">
        <f>INDEX(Segments!$F$5:$F$12,B76)=""</f>
        <v/>
      </c>
      <c r="J76" s="18">
        <f>INDEX(Segments!$K$5:$K$12,B76)</f>
        <v/>
      </c>
      <c r="K76" s="18">
        <f>IF(INDEX(Segments!$F$5:$F$12,B76)&lt;&gt;"",INDEX(Segments!$F$5:$F$12,B76),IF(INDEX(Segments!$E$5:$E$12,B76)&lt;&gt;"",INDEX(Segments!$E$5:$E$12,B76),""))</f>
        <v/>
      </c>
      <c r="L76" s="21">
        <f>AA75</f>
        <v/>
      </c>
      <c r="M76" s="21">
        <f>IFERROR(INDEX(Overrides!$C:$C,MATCH(A76,Overrides!$A:$A,0)),"")</f>
        <v/>
      </c>
      <c r="N76" s="21">
        <f>IFERROR(INDEX(Overrides!$E:$E,MATCH(A76,Overrides!$A:$A,0)),"")</f>
        <v/>
      </c>
      <c r="O76" s="21">
        <f>IFERROR(INDEX(Overrides!$D:$D,MATCH(A76,Overrides!$A:$A,0)),"")</f>
        <v/>
      </c>
      <c r="P76" s="21">
        <f>IFERROR(INDEX(Overrides!$B:$B,MATCH(A76,Overrides!$A:$A,0)),"")</f>
        <v/>
      </c>
      <c r="Q76" s="6">
        <f>IFERROR(INDEX(Overrides!$F:$F,MATCH(A76,Overrides!$A:$A,0)),"")</f>
        <v/>
      </c>
      <c r="R76" s="6">
        <f>ISNUMBER(MATCH(A76,Overrides!$A:$A,0))</f>
        <v/>
      </c>
      <c r="S76" s="6">
        <f>OR(ROUND(L76-ROUND(G76-T76,2),2)&lt;=0,AND(I76,K76&lt;&gt;"",(A76-D76+1)=K76))</f>
        <v/>
      </c>
      <c r="T76" s="21">
        <f>IF(M76&lt;&gt;"",M76,ROUND(L76*F76,2))</f>
        <v/>
      </c>
      <c r="U76" s="21">
        <f>IF(R76,IF(O76&lt;&gt;"",O76,IF(N76&lt;&gt;"",ROUND(L76-N76,2),ROUND((IF(P76&lt;&gt;"",P76,G76))-T76,2))),IF(H76,0,IF(S76,L76,ROUND(G76-T76,2))))</f>
        <v/>
      </c>
      <c r="V76" s="21">
        <f>IF(R76,IF(P76&lt;&gt;"",P76,ROUND(T76+U76,2)),IF(H76,T76,IF(S76,ROUND(T76+U76,2),G76)))</f>
        <v/>
      </c>
      <c r="W76" s="21">
        <f>IF(R76,IF(N76&lt;&gt;"",N76,ROUND(L76-U76,2)),IF(H76,L76,IF(S76,0,ROUND(L76-U76,2))))</f>
        <v/>
      </c>
      <c r="X76" s="21">
        <f>IFERROR(MIN(INDEX(LumpSums!$B:$B,MATCH(A76,LumpSums!$A:$A,0)),W76),0)</f>
        <v/>
      </c>
      <c r="Y76" s="21">
        <f>ROUND(U76+X76,2)</f>
        <v/>
      </c>
      <c r="Z76" s="21">
        <f>ROUND(V76+X76,2)</f>
        <v/>
      </c>
      <c r="AA76" s="21">
        <f>ROUND(W76-X76,2)</f>
        <v/>
      </c>
      <c r="AB76" s="6">
        <f>AND(AB75,L76&gt;0)</f>
        <v/>
      </c>
      <c r="AC76" s="21">
        <f>IF(PMI_Costs!$B$8=0,0,ROUND(PMI_Costs!$B$8*(1+PMI_Costs!$B$9/100)^INT((A76-1)/12)/12,2))</f>
        <v/>
      </c>
      <c r="AD76" s="21">
        <f>IF(PMI_Costs!$B$10=0,0,ROUND(PMI_Costs!$B$10*(1+PMI_Costs!$B$11/100)^INT((A76-1)/12)/12,2))</f>
        <v/>
      </c>
      <c r="AE76" s="21">
        <f>IF(PMI_Costs!$B$12=0,0,ROUND(PMI_Costs!$B$12*(1+PMI_Costs!$B$13/100)^INT((A76-1)/12)/12,2))</f>
        <v/>
      </c>
      <c r="AF76" s="22">
        <f>IF(PMI_Costs!$B$5=0,0,AA76/PMI_Costs!$B$5)</f>
        <v/>
      </c>
      <c r="AG76" s="6">
        <f>AND(PMI_Costs!$B$4&gt;0,AF76&gt;PMI_Costs!$B$6/100)</f>
        <v/>
      </c>
      <c r="AH76" s="21">
        <f>IF(AG76,ROUND(Segments!$G$5*PMI_Costs!$B$4/100/12,2),0)</f>
        <v/>
      </c>
      <c r="AI76" s="6">
        <f>AND(NOT(AG76),AG75)</f>
        <v/>
      </c>
    </row>
    <row r="77">
      <c r="A77" s="18" t="n">
        <v>73</v>
      </c>
      <c r="B77" s="18">
        <f>SUMPRODUCT((Segments!$J$5:$J$12&lt;&gt;"")*(Segments!$J$5:$J$12&lt;=A77))</f>
        <v/>
      </c>
      <c r="C77" s="19">
        <f>INDEX(Segments!$B$5:$B$12,B77)</f>
        <v/>
      </c>
      <c r="D77" s="18">
        <f>INDEX(Segments!$J$5:$J$12,B77)</f>
        <v/>
      </c>
      <c r="E77" s="19">
        <f>DATE(YEAR(C77)+INT((MONTH(C77)-1+(A77-D77))/12),MOD(MONTH(C77)-1+(A77-D77),12)+1,1)+(DAY(C77)-1)</f>
        <v/>
      </c>
      <c r="F77" s="20">
        <f>INDEX(Segments!$C$5:$C$12,B77)/100/12</f>
        <v/>
      </c>
      <c r="G77" s="21">
        <f>INDEX(Segments!$L$5:$L$12,B77)</f>
        <v/>
      </c>
      <c r="H77" s="6">
        <f>INDEX(Segments!$I$5:$I$12,B77)="Y"</f>
        <v/>
      </c>
      <c r="I77" s="6">
        <f>INDEX(Segments!$F$5:$F$12,B77)=""</f>
        <v/>
      </c>
      <c r="J77" s="18">
        <f>INDEX(Segments!$K$5:$K$12,B77)</f>
        <v/>
      </c>
      <c r="K77" s="18">
        <f>IF(INDEX(Segments!$F$5:$F$12,B77)&lt;&gt;"",INDEX(Segments!$F$5:$F$12,B77),IF(INDEX(Segments!$E$5:$E$12,B77)&lt;&gt;"",INDEX(Segments!$E$5:$E$12,B77),""))</f>
        <v/>
      </c>
      <c r="L77" s="21">
        <f>AA76</f>
        <v/>
      </c>
      <c r="M77" s="21">
        <f>IFERROR(INDEX(Overrides!$C:$C,MATCH(A77,Overrides!$A:$A,0)),"")</f>
        <v/>
      </c>
      <c r="N77" s="21">
        <f>IFERROR(INDEX(Overrides!$E:$E,MATCH(A77,Overrides!$A:$A,0)),"")</f>
        <v/>
      </c>
      <c r="O77" s="21">
        <f>IFERROR(INDEX(Overrides!$D:$D,MATCH(A77,Overrides!$A:$A,0)),"")</f>
        <v/>
      </c>
      <c r="P77" s="21">
        <f>IFERROR(INDEX(Overrides!$B:$B,MATCH(A77,Overrides!$A:$A,0)),"")</f>
        <v/>
      </c>
      <c r="Q77" s="6">
        <f>IFERROR(INDEX(Overrides!$F:$F,MATCH(A77,Overrides!$A:$A,0)),"")</f>
        <v/>
      </c>
      <c r="R77" s="6">
        <f>ISNUMBER(MATCH(A77,Overrides!$A:$A,0))</f>
        <v/>
      </c>
      <c r="S77" s="6">
        <f>OR(ROUND(L77-ROUND(G77-T77,2),2)&lt;=0,AND(I77,K77&lt;&gt;"",(A77-D77+1)=K77))</f>
        <v/>
      </c>
      <c r="T77" s="21">
        <f>IF(M77&lt;&gt;"",M77,ROUND(L77*F77,2))</f>
        <v/>
      </c>
      <c r="U77" s="21">
        <f>IF(R77,IF(O77&lt;&gt;"",O77,IF(N77&lt;&gt;"",ROUND(L77-N77,2),ROUND((IF(P77&lt;&gt;"",P77,G77))-T77,2))),IF(H77,0,IF(S77,L77,ROUND(G77-T77,2))))</f>
        <v/>
      </c>
      <c r="V77" s="21">
        <f>IF(R77,IF(P77&lt;&gt;"",P77,ROUND(T77+U77,2)),IF(H77,T77,IF(S77,ROUND(T77+U77,2),G77)))</f>
        <v/>
      </c>
      <c r="W77" s="21">
        <f>IF(R77,IF(N77&lt;&gt;"",N77,ROUND(L77-U77,2)),IF(H77,L77,IF(S77,0,ROUND(L77-U77,2))))</f>
        <v/>
      </c>
      <c r="X77" s="21">
        <f>IFERROR(MIN(INDEX(LumpSums!$B:$B,MATCH(A77,LumpSums!$A:$A,0)),W77),0)</f>
        <v/>
      </c>
      <c r="Y77" s="21">
        <f>ROUND(U77+X77,2)</f>
        <v/>
      </c>
      <c r="Z77" s="21">
        <f>ROUND(V77+X77,2)</f>
        <v/>
      </c>
      <c r="AA77" s="21">
        <f>ROUND(W77-X77,2)</f>
        <v/>
      </c>
      <c r="AB77" s="6">
        <f>AND(AB76,L77&gt;0)</f>
        <v/>
      </c>
      <c r="AC77" s="21">
        <f>IF(PMI_Costs!$B$8=0,0,ROUND(PMI_Costs!$B$8*(1+PMI_Costs!$B$9/100)^INT((A77-1)/12)/12,2))</f>
        <v/>
      </c>
      <c r="AD77" s="21">
        <f>IF(PMI_Costs!$B$10=0,0,ROUND(PMI_Costs!$B$10*(1+PMI_Costs!$B$11/100)^INT((A77-1)/12)/12,2))</f>
        <v/>
      </c>
      <c r="AE77" s="21">
        <f>IF(PMI_Costs!$B$12=0,0,ROUND(PMI_Costs!$B$12*(1+PMI_Costs!$B$13/100)^INT((A77-1)/12)/12,2))</f>
        <v/>
      </c>
      <c r="AF77" s="22">
        <f>IF(PMI_Costs!$B$5=0,0,AA77/PMI_Costs!$B$5)</f>
        <v/>
      </c>
      <c r="AG77" s="6">
        <f>AND(PMI_Costs!$B$4&gt;0,AF77&gt;PMI_Costs!$B$6/100)</f>
        <v/>
      </c>
      <c r="AH77" s="21">
        <f>IF(AG77,ROUND(Segments!$G$5*PMI_Costs!$B$4/100/12,2),0)</f>
        <v/>
      </c>
      <c r="AI77" s="6">
        <f>AND(NOT(AG77),AG76)</f>
        <v/>
      </c>
    </row>
    <row r="78">
      <c r="A78" s="18" t="n">
        <v>74</v>
      </c>
      <c r="B78" s="18">
        <f>SUMPRODUCT((Segments!$J$5:$J$12&lt;&gt;"")*(Segments!$J$5:$J$12&lt;=A78))</f>
        <v/>
      </c>
      <c r="C78" s="19">
        <f>INDEX(Segments!$B$5:$B$12,B78)</f>
        <v/>
      </c>
      <c r="D78" s="18">
        <f>INDEX(Segments!$J$5:$J$12,B78)</f>
        <v/>
      </c>
      <c r="E78" s="19">
        <f>DATE(YEAR(C78)+INT((MONTH(C78)-1+(A78-D78))/12),MOD(MONTH(C78)-1+(A78-D78),12)+1,1)+(DAY(C78)-1)</f>
        <v/>
      </c>
      <c r="F78" s="20">
        <f>INDEX(Segments!$C$5:$C$12,B78)/100/12</f>
        <v/>
      </c>
      <c r="G78" s="21">
        <f>INDEX(Segments!$L$5:$L$12,B78)</f>
        <v/>
      </c>
      <c r="H78" s="6">
        <f>INDEX(Segments!$I$5:$I$12,B78)="Y"</f>
        <v/>
      </c>
      <c r="I78" s="6">
        <f>INDEX(Segments!$F$5:$F$12,B78)=""</f>
        <v/>
      </c>
      <c r="J78" s="18">
        <f>INDEX(Segments!$K$5:$K$12,B78)</f>
        <v/>
      </c>
      <c r="K78" s="18">
        <f>IF(INDEX(Segments!$F$5:$F$12,B78)&lt;&gt;"",INDEX(Segments!$F$5:$F$12,B78),IF(INDEX(Segments!$E$5:$E$12,B78)&lt;&gt;"",INDEX(Segments!$E$5:$E$12,B78),""))</f>
        <v/>
      </c>
      <c r="L78" s="21">
        <f>AA77</f>
        <v/>
      </c>
      <c r="M78" s="21">
        <f>IFERROR(INDEX(Overrides!$C:$C,MATCH(A78,Overrides!$A:$A,0)),"")</f>
        <v/>
      </c>
      <c r="N78" s="21">
        <f>IFERROR(INDEX(Overrides!$E:$E,MATCH(A78,Overrides!$A:$A,0)),"")</f>
        <v/>
      </c>
      <c r="O78" s="21">
        <f>IFERROR(INDEX(Overrides!$D:$D,MATCH(A78,Overrides!$A:$A,0)),"")</f>
        <v/>
      </c>
      <c r="P78" s="21">
        <f>IFERROR(INDEX(Overrides!$B:$B,MATCH(A78,Overrides!$A:$A,0)),"")</f>
        <v/>
      </c>
      <c r="Q78" s="6">
        <f>IFERROR(INDEX(Overrides!$F:$F,MATCH(A78,Overrides!$A:$A,0)),"")</f>
        <v/>
      </c>
      <c r="R78" s="6">
        <f>ISNUMBER(MATCH(A78,Overrides!$A:$A,0))</f>
        <v/>
      </c>
      <c r="S78" s="6">
        <f>OR(ROUND(L78-ROUND(G78-T78,2),2)&lt;=0,AND(I78,K78&lt;&gt;"",(A78-D78+1)=K78))</f>
        <v/>
      </c>
      <c r="T78" s="21">
        <f>IF(M78&lt;&gt;"",M78,ROUND(L78*F78,2))</f>
        <v/>
      </c>
      <c r="U78" s="21">
        <f>IF(R78,IF(O78&lt;&gt;"",O78,IF(N78&lt;&gt;"",ROUND(L78-N78,2),ROUND((IF(P78&lt;&gt;"",P78,G78))-T78,2))),IF(H78,0,IF(S78,L78,ROUND(G78-T78,2))))</f>
        <v/>
      </c>
      <c r="V78" s="21">
        <f>IF(R78,IF(P78&lt;&gt;"",P78,ROUND(T78+U78,2)),IF(H78,T78,IF(S78,ROUND(T78+U78,2),G78)))</f>
        <v/>
      </c>
      <c r="W78" s="21">
        <f>IF(R78,IF(N78&lt;&gt;"",N78,ROUND(L78-U78,2)),IF(H78,L78,IF(S78,0,ROUND(L78-U78,2))))</f>
        <v/>
      </c>
      <c r="X78" s="21">
        <f>IFERROR(MIN(INDEX(LumpSums!$B:$B,MATCH(A78,LumpSums!$A:$A,0)),W78),0)</f>
        <v/>
      </c>
      <c r="Y78" s="21">
        <f>ROUND(U78+X78,2)</f>
        <v/>
      </c>
      <c r="Z78" s="21">
        <f>ROUND(V78+X78,2)</f>
        <v/>
      </c>
      <c r="AA78" s="21">
        <f>ROUND(W78-X78,2)</f>
        <v/>
      </c>
      <c r="AB78" s="6">
        <f>AND(AB77,L78&gt;0)</f>
        <v/>
      </c>
      <c r="AC78" s="21">
        <f>IF(PMI_Costs!$B$8=0,0,ROUND(PMI_Costs!$B$8*(1+PMI_Costs!$B$9/100)^INT((A78-1)/12)/12,2))</f>
        <v/>
      </c>
      <c r="AD78" s="21">
        <f>IF(PMI_Costs!$B$10=0,0,ROUND(PMI_Costs!$B$10*(1+PMI_Costs!$B$11/100)^INT((A78-1)/12)/12,2))</f>
        <v/>
      </c>
      <c r="AE78" s="21">
        <f>IF(PMI_Costs!$B$12=0,0,ROUND(PMI_Costs!$B$12*(1+PMI_Costs!$B$13/100)^INT((A78-1)/12)/12,2))</f>
        <v/>
      </c>
      <c r="AF78" s="22">
        <f>IF(PMI_Costs!$B$5=0,0,AA78/PMI_Costs!$B$5)</f>
        <v/>
      </c>
      <c r="AG78" s="6">
        <f>AND(PMI_Costs!$B$4&gt;0,AF78&gt;PMI_Costs!$B$6/100)</f>
        <v/>
      </c>
      <c r="AH78" s="21">
        <f>IF(AG78,ROUND(Segments!$G$5*PMI_Costs!$B$4/100/12,2),0)</f>
        <v/>
      </c>
      <c r="AI78" s="6">
        <f>AND(NOT(AG78),AG77)</f>
        <v/>
      </c>
    </row>
    <row r="79">
      <c r="A79" s="18" t="n">
        <v>75</v>
      </c>
      <c r="B79" s="18">
        <f>SUMPRODUCT((Segments!$J$5:$J$12&lt;&gt;"")*(Segments!$J$5:$J$12&lt;=A79))</f>
        <v/>
      </c>
      <c r="C79" s="19">
        <f>INDEX(Segments!$B$5:$B$12,B79)</f>
        <v/>
      </c>
      <c r="D79" s="18">
        <f>INDEX(Segments!$J$5:$J$12,B79)</f>
        <v/>
      </c>
      <c r="E79" s="19">
        <f>DATE(YEAR(C79)+INT((MONTH(C79)-1+(A79-D79))/12),MOD(MONTH(C79)-1+(A79-D79),12)+1,1)+(DAY(C79)-1)</f>
        <v/>
      </c>
      <c r="F79" s="20">
        <f>INDEX(Segments!$C$5:$C$12,B79)/100/12</f>
        <v/>
      </c>
      <c r="G79" s="21">
        <f>INDEX(Segments!$L$5:$L$12,B79)</f>
        <v/>
      </c>
      <c r="H79" s="6">
        <f>INDEX(Segments!$I$5:$I$12,B79)="Y"</f>
        <v/>
      </c>
      <c r="I79" s="6">
        <f>INDEX(Segments!$F$5:$F$12,B79)=""</f>
        <v/>
      </c>
      <c r="J79" s="18">
        <f>INDEX(Segments!$K$5:$K$12,B79)</f>
        <v/>
      </c>
      <c r="K79" s="18">
        <f>IF(INDEX(Segments!$F$5:$F$12,B79)&lt;&gt;"",INDEX(Segments!$F$5:$F$12,B79),IF(INDEX(Segments!$E$5:$E$12,B79)&lt;&gt;"",INDEX(Segments!$E$5:$E$12,B79),""))</f>
        <v/>
      </c>
      <c r="L79" s="21">
        <f>AA78</f>
        <v/>
      </c>
      <c r="M79" s="21">
        <f>IFERROR(INDEX(Overrides!$C:$C,MATCH(A79,Overrides!$A:$A,0)),"")</f>
        <v/>
      </c>
      <c r="N79" s="21">
        <f>IFERROR(INDEX(Overrides!$E:$E,MATCH(A79,Overrides!$A:$A,0)),"")</f>
        <v/>
      </c>
      <c r="O79" s="21">
        <f>IFERROR(INDEX(Overrides!$D:$D,MATCH(A79,Overrides!$A:$A,0)),"")</f>
        <v/>
      </c>
      <c r="P79" s="21">
        <f>IFERROR(INDEX(Overrides!$B:$B,MATCH(A79,Overrides!$A:$A,0)),"")</f>
        <v/>
      </c>
      <c r="Q79" s="6">
        <f>IFERROR(INDEX(Overrides!$F:$F,MATCH(A79,Overrides!$A:$A,0)),"")</f>
        <v/>
      </c>
      <c r="R79" s="6">
        <f>ISNUMBER(MATCH(A79,Overrides!$A:$A,0))</f>
        <v/>
      </c>
      <c r="S79" s="6">
        <f>OR(ROUND(L79-ROUND(G79-T79,2),2)&lt;=0,AND(I79,K79&lt;&gt;"",(A79-D79+1)=K79))</f>
        <v/>
      </c>
      <c r="T79" s="21">
        <f>IF(M79&lt;&gt;"",M79,ROUND(L79*F79,2))</f>
        <v/>
      </c>
      <c r="U79" s="21">
        <f>IF(R79,IF(O79&lt;&gt;"",O79,IF(N79&lt;&gt;"",ROUND(L79-N79,2),ROUND((IF(P79&lt;&gt;"",P79,G79))-T79,2))),IF(H79,0,IF(S79,L79,ROUND(G79-T79,2))))</f>
        <v/>
      </c>
      <c r="V79" s="21">
        <f>IF(R79,IF(P79&lt;&gt;"",P79,ROUND(T79+U79,2)),IF(H79,T79,IF(S79,ROUND(T79+U79,2),G79)))</f>
        <v/>
      </c>
      <c r="W79" s="21">
        <f>IF(R79,IF(N79&lt;&gt;"",N79,ROUND(L79-U79,2)),IF(H79,L79,IF(S79,0,ROUND(L79-U79,2))))</f>
        <v/>
      </c>
      <c r="X79" s="21">
        <f>IFERROR(MIN(INDEX(LumpSums!$B:$B,MATCH(A79,LumpSums!$A:$A,0)),W79),0)</f>
        <v/>
      </c>
      <c r="Y79" s="21">
        <f>ROUND(U79+X79,2)</f>
        <v/>
      </c>
      <c r="Z79" s="21">
        <f>ROUND(V79+X79,2)</f>
        <v/>
      </c>
      <c r="AA79" s="21">
        <f>ROUND(W79-X79,2)</f>
        <v/>
      </c>
      <c r="AB79" s="6">
        <f>AND(AB78,L79&gt;0)</f>
        <v/>
      </c>
      <c r="AC79" s="21">
        <f>IF(PMI_Costs!$B$8=0,0,ROUND(PMI_Costs!$B$8*(1+PMI_Costs!$B$9/100)^INT((A79-1)/12)/12,2))</f>
        <v/>
      </c>
      <c r="AD79" s="21">
        <f>IF(PMI_Costs!$B$10=0,0,ROUND(PMI_Costs!$B$10*(1+PMI_Costs!$B$11/100)^INT((A79-1)/12)/12,2))</f>
        <v/>
      </c>
      <c r="AE79" s="21">
        <f>IF(PMI_Costs!$B$12=0,0,ROUND(PMI_Costs!$B$12*(1+PMI_Costs!$B$13/100)^INT((A79-1)/12)/12,2))</f>
        <v/>
      </c>
      <c r="AF79" s="22">
        <f>IF(PMI_Costs!$B$5=0,0,AA79/PMI_Costs!$B$5)</f>
        <v/>
      </c>
      <c r="AG79" s="6">
        <f>AND(PMI_Costs!$B$4&gt;0,AF79&gt;PMI_Costs!$B$6/100)</f>
        <v/>
      </c>
      <c r="AH79" s="21">
        <f>IF(AG79,ROUND(Segments!$G$5*PMI_Costs!$B$4/100/12,2),0)</f>
        <v/>
      </c>
      <c r="AI79" s="6">
        <f>AND(NOT(AG79),AG78)</f>
        <v/>
      </c>
    </row>
    <row r="80">
      <c r="A80" s="18" t="n">
        <v>76</v>
      </c>
      <c r="B80" s="18">
        <f>SUMPRODUCT((Segments!$J$5:$J$12&lt;&gt;"")*(Segments!$J$5:$J$12&lt;=A80))</f>
        <v/>
      </c>
      <c r="C80" s="19">
        <f>INDEX(Segments!$B$5:$B$12,B80)</f>
        <v/>
      </c>
      <c r="D80" s="18">
        <f>INDEX(Segments!$J$5:$J$12,B80)</f>
        <v/>
      </c>
      <c r="E80" s="19">
        <f>DATE(YEAR(C80)+INT((MONTH(C80)-1+(A80-D80))/12),MOD(MONTH(C80)-1+(A80-D80),12)+1,1)+(DAY(C80)-1)</f>
        <v/>
      </c>
      <c r="F80" s="20">
        <f>INDEX(Segments!$C$5:$C$12,B80)/100/12</f>
        <v/>
      </c>
      <c r="G80" s="21">
        <f>INDEX(Segments!$L$5:$L$12,B80)</f>
        <v/>
      </c>
      <c r="H80" s="6">
        <f>INDEX(Segments!$I$5:$I$12,B80)="Y"</f>
        <v/>
      </c>
      <c r="I80" s="6">
        <f>INDEX(Segments!$F$5:$F$12,B80)=""</f>
        <v/>
      </c>
      <c r="J80" s="18">
        <f>INDEX(Segments!$K$5:$K$12,B80)</f>
        <v/>
      </c>
      <c r="K80" s="18">
        <f>IF(INDEX(Segments!$F$5:$F$12,B80)&lt;&gt;"",INDEX(Segments!$F$5:$F$12,B80),IF(INDEX(Segments!$E$5:$E$12,B80)&lt;&gt;"",INDEX(Segments!$E$5:$E$12,B80),""))</f>
        <v/>
      </c>
      <c r="L80" s="21">
        <f>AA79</f>
        <v/>
      </c>
      <c r="M80" s="21">
        <f>IFERROR(INDEX(Overrides!$C:$C,MATCH(A80,Overrides!$A:$A,0)),"")</f>
        <v/>
      </c>
      <c r="N80" s="21">
        <f>IFERROR(INDEX(Overrides!$E:$E,MATCH(A80,Overrides!$A:$A,0)),"")</f>
        <v/>
      </c>
      <c r="O80" s="21">
        <f>IFERROR(INDEX(Overrides!$D:$D,MATCH(A80,Overrides!$A:$A,0)),"")</f>
        <v/>
      </c>
      <c r="P80" s="21">
        <f>IFERROR(INDEX(Overrides!$B:$B,MATCH(A80,Overrides!$A:$A,0)),"")</f>
        <v/>
      </c>
      <c r="Q80" s="6">
        <f>IFERROR(INDEX(Overrides!$F:$F,MATCH(A80,Overrides!$A:$A,0)),"")</f>
        <v/>
      </c>
      <c r="R80" s="6">
        <f>ISNUMBER(MATCH(A80,Overrides!$A:$A,0))</f>
        <v/>
      </c>
      <c r="S80" s="6">
        <f>OR(ROUND(L80-ROUND(G80-T80,2),2)&lt;=0,AND(I80,K80&lt;&gt;"",(A80-D80+1)=K80))</f>
        <v/>
      </c>
      <c r="T80" s="21">
        <f>IF(M80&lt;&gt;"",M80,ROUND(L80*F80,2))</f>
        <v/>
      </c>
      <c r="U80" s="21">
        <f>IF(R80,IF(O80&lt;&gt;"",O80,IF(N80&lt;&gt;"",ROUND(L80-N80,2),ROUND((IF(P80&lt;&gt;"",P80,G80))-T80,2))),IF(H80,0,IF(S80,L80,ROUND(G80-T80,2))))</f>
        <v/>
      </c>
      <c r="V80" s="21">
        <f>IF(R80,IF(P80&lt;&gt;"",P80,ROUND(T80+U80,2)),IF(H80,T80,IF(S80,ROUND(T80+U80,2),G80)))</f>
        <v/>
      </c>
      <c r="W80" s="21">
        <f>IF(R80,IF(N80&lt;&gt;"",N80,ROUND(L80-U80,2)),IF(H80,L80,IF(S80,0,ROUND(L80-U80,2))))</f>
        <v/>
      </c>
      <c r="X80" s="21">
        <f>IFERROR(MIN(INDEX(LumpSums!$B:$B,MATCH(A80,LumpSums!$A:$A,0)),W80),0)</f>
        <v/>
      </c>
      <c r="Y80" s="21">
        <f>ROUND(U80+X80,2)</f>
        <v/>
      </c>
      <c r="Z80" s="21">
        <f>ROUND(V80+X80,2)</f>
        <v/>
      </c>
      <c r="AA80" s="21">
        <f>ROUND(W80-X80,2)</f>
        <v/>
      </c>
      <c r="AB80" s="6">
        <f>AND(AB79,L80&gt;0)</f>
        <v/>
      </c>
      <c r="AC80" s="21">
        <f>IF(PMI_Costs!$B$8=0,0,ROUND(PMI_Costs!$B$8*(1+PMI_Costs!$B$9/100)^INT((A80-1)/12)/12,2))</f>
        <v/>
      </c>
      <c r="AD80" s="21">
        <f>IF(PMI_Costs!$B$10=0,0,ROUND(PMI_Costs!$B$10*(1+PMI_Costs!$B$11/100)^INT((A80-1)/12)/12,2))</f>
        <v/>
      </c>
      <c r="AE80" s="21">
        <f>IF(PMI_Costs!$B$12=0,0,ROUND(PMI_Costs!$B$12*(1+PMI_Costs!$B$13/100)^INT((A80-1)/12)/12,2))</f>
        <v/>
      </c>
      <c r="AF80" s="22">
        <f>IF(PMI_Costs!$B$5=0,0,AA80/PMI_Costs!$B$5)</f>
        <v/>
      </c>
      <c r="AG80" s="6">
        <f>AND(PMI_Costs!$B$4&gt;0,AF80&gt;PMI_Costs!$B$6/100)</f>
        <v/>
      </c>
      <c r="AH80" s="21">
        <f>IF(AG80,ROUND(Segments!$G$5*PMI_Costs!$B$4/100/12,2),0)</f>
        <v/>
      </c>
      <c r="AI80" s="6">
        <f>AND(NOT(AG80),AG79)</f>
        <v/>
      </c>
    </row>
    <row r="81">
      <c r="A81" s="18" t="n">
        <v>77</v>
      </c>
      <c r="B81" s="18">
        <f>SUMPRODUCT((Segments!$J$5:$J$12&lt;&gt;"")*(Segments!$J$5:$J$12&lt;=A81))</f>
        <v/>
      </c>
      <c r="C81" s="19">
        <f>INDEX(Segments!$B$5:$B$12,B81)</f>
        <v/>
      </c>
      <c r="D81" s="18">
        <f>INDEX(Segments!$J$5:$J$12,B81)</f>
        <v/>
      </c>
      <c r="E81" s="19">
        <f>DATE(YEAR(C81)+INT((MONTH(C81)-1+(A81-D81))/12),MOD(MONTH(C81)-1+(A81-D81),12)+1,1)+(DAY(C81)-1)</f>
        <v/>
      </c>
      <c r="F81" s="20">
        <f>INDEX(Segments!$C$5:$C$12,B81)/100/12</f>
        <v/>
      </c>
      <c r="G81" s="21">
        <f>INDEX(Segments!$L$5:$L$12,B81)</f>
        <v/>
      </c>
      <c r="H81" s="6">
        <f>INDEX(Segments!$I$5:$I$12,B81)="Y"</f>
        <v/>
      </c>
      <c r="I81" s="6">
        <f>INDEX(Segments!$F$5:$F$12,B81)=""</f>
        <v/>
      </c>
      <c r="J81" s="18">
        <f>INDEX(Segments!$K$5:$K$12,B81)</f>
        <v/>
      </c>
      <c r="K81" s="18">
        <f>IF(INDEX(Segments!$F$5:$F$12,B81)&lt;&gt;"",INDEX(Segments!$F$5:$F$12,B81),IF(INDEX(Segments!$E$5:$E$12,B81)&lt;&gt;"",INDEX(Segments!$E$5:$E$12,B81),""))</f>
        <v/>
      </c>
      <c r="L81" s="21">
        <f>AA80</f>
        <v/>
      </c>
      <c r="M81" s="21">
        <f>IFERROR(INDEX(Overrides!$C:$C,MATCH(A81,Overrides!$A:$A,0)),"")</f>
        <v/>
      </c>
      <c r="N81" s="21">
        <f>IFERROR(INDEX(Overrides!$E:$E,MATCH(A81,Overrides!$A:$A,0)),"")</f>
        <v/>
      </c>
      <c r="O81" s="21">
        <f>IFERROR(INDEX(Overrides!$D:$D,MATCH(A81,Overrides!$A:$A,0)),"")</f>
        <v/>
      </c>
      <c r="P81" s="21">
        <f>IFERROR(INDEX(Overrides!$B:$B,MATCH(A81,Overrides!$A:$A,0)),"")</f>
        <v/>
      </c>
      <c r="Q81" s="6">
        <f>IFERROR(INDEX(Overrides!$F:$F,MATCH(A81,Overrides!$A:$A,0)),"")</f>
        <v/>
      </c>
      <c r="R81" s="6">
        <f>ISNUMBER(MATCH(A81,Overrides!$A:$A,0))</f>
        <v/>
      </c>
      <c r="S81" s="6">
        <f>OR(ROUND(L81-ROUND(G81-T81,2),2)&lt;=0,AND(I81,K81&lt;&gt;"",(A81-D81+1)=K81))</f>
        <v/>
      </c>
      <c r="T81" s="21">
        <f>IF(M81&lt;&gt;"",M81,ROUND(L81*F81,2))</f>
        <v/>
      </c>
      <c r="U81" s="21">
        <f>IF(R81,IF(O81&lt;&gt;"",O81,IF(N81&lt;&gt;"",ROUND(L81-N81,2),ROUND((IF(P81&lt;&gt;"",P81,G81))-T81,2))),IF(H81,0,IF(S81,L81,ROUND(G81-T81,2))))</f>
        <v/>
      </c>
      <c r="V81" s="21">
        <f>IF(R81,IF(P81&lt;&gt;"",P81,ROUND(T81+U81,2)),IF(H81,T81,IF(S81,ROUND(T81+U81,2),G81)))</f>
        <v/>
      </c>
      <c r="W81" s="21">
        <f>IF(R81,IF(N81&lt;&gt;"",N81,ROUND(L81-U81,2)),IF(H81,L81,IF(S81,0,ROUND(L81-U81,2))))</f>
        <v/>
      </c>
      <c r="X81" s="21">
        <f>IFERROR(MIN(INDEX(LumpSums!$B:$B,MATCH(A81,LumpSums!$A:$A,0)),W81),0)</f>
        <v/>
      </c>
      <c r="Y81" s="21">
        <f>ROUND(U81+X81,2)</f>
        <v/>
      </c>
      <c r="Z81" s="21">
        <f>ROUND(V81+X81,2)</f>
        <v/>
      </c>
      <c r="AA81" s="21">
        <f>ROUND(W81-X81,2)</f>
        <v/>
      </c>
      <c r="AB81" s="6">
        <f>AND(AB80,L81&gt;0)</f>
        <v/>
      </c>
      <c r="AC81" s="21">
        <f>IF(PMI_Costs!$B$8=0,0,ROUND(PMI_Costs!$B$8*(1+PMI_Costs!$B$9/100)^INT((A81-1)/12)/12,2))</f>
        <v/>
      </c>
      <c r="AD81" s="21">
        <f>IF(PMI_Costs!$B$10=0,0,ROUND(PMI_Costs!$B$10*(1+PMI_Costs!$B$11/100)^INT((A81-1)/12)/12,2))</f>
        <v/>
      </c>
      <c r="AE81" s="21">
        <f>IF(PMI_Costs!$B$12=0,0,ROUND(PMI_Costs!$B$12*(1+PMI_Costs!$B$13/100)^INT((A81-1)/12)/12,2))</f>
        <v/>
      </c>
      <c r="AF81" s="22">
        <f>IF(PMI_Costs!$B$5=0,0,AA81/PMI_Costs!$B$5)</f>
        <v/>
      </c>
      <c r="AG81" s="6">
        <f>AND(PMI_Costs!$B$4&gt;0,AF81&gt;PMI_Costs!$B$6/100)</f>
        <v/>
      </c>
      <c r="AH81" s="21">
        <f>IF(AG81,ROUND(Segments!$G$5*PMI_Costs!$B$4/100/12,2),0)</f>
        <v/>
      </c>
      <c r="AI81" s="6">
        <f>AND(NOT(AG81),AG80)</f>
        <v/>
      </c>
    </row>
    <row r="82">
      <c r="A82" s="18" t="n">
        <v>78</v>
      </c>
      <c r="B82" s="18">
        <f>SUMPRODUCT((Segments!$J$5:$J$12&lt;&gt;"")*(Segments!$J$5:$J$12&lt;=A82))</f>
        <v/>
      </c>
      <c r="C82" s="19">
        <f>INDEX(Segments!$B$5:$B$12,B82)</f>
        <v/>
      </c>
      <c r="D82" s="18">
        <f>INDEX(Segments!$J$5:$J$12,B82)</f>
        <v/>
      </c>
      <c r="E82" s="19">
        <f>DATE(YEAR(C82)+INT((MONTH(C82)-1+(A82-D82))/12),MOD(MONTH(C82)-1+(A82-D82),12)+1,1)+(DAY(C82)-1)</f>
        <v/>
      </c>
      <c r="F82" s="20">
        <f>INDEX(Segments!$C$5:$C$12,B82)/100/12</f>
        <v/>
      </c>
      <c r="G82" s="21">
        <f>INDEX(Segments!$L$5:$L$12,B82)</f>
        <v/>
      </c>
      <c r="H82" s="6">
        <f>INDEX(Segments!$I$5:$I$12,B82)="Y"</f>
        <v/>
      </c>
      <c r="I82" s="6">
        <f>INDEX(Segments!$F$5:$F$12,B82)=""</f>
        <v/>
      </c>
      <c r="J82" s="18">
        <f>INDEX(Segments!$K$5:$K$12,B82)</f>
        <v/>
      </c>
      <c r="K82" s="18">
        <f>IF(INDEX(Segments!$F$5:$F$12,B82)&lt;&gt;"",INDEX(Segments!$F$5:$F$12,B82),IF(INDEX(Segments!$E$5:$E$12,B82)&lt;&gt;"",INDEX(Segments!$E$5:$E$12,B82),""))</f>
        <v/>
      </c>
      <c r="L82" s="21">
        <f>AA81</f>
        <v/>
      </c>
      <c r="M82" s="21">
        <f>IFERROR(INDEX(Overrides!$C:$C,MATCH(A82,Overrides!$A:$A,0)),"")</f>
        <v/>
      </c>
      <c r="N82" s="21">
        <f>IFERROR(INDEX(Overrides!$E:$E,MATCH(A82,Overrides!$A:$A,0)),"")</f>
        <v/>
      </c>
      <c r="O82" s="21">
        <f>IFERROR(INDEX(Overrides!$D:$D,MATCH(A82,Overrides!$A:$A,0)),"")</f>
        <v/>
      </c>
      <c r="P82" s="21">
        <f>IFERROR(INDEX(Overrides!$B:$B,MATCH(A82,Overrides!$A:$A,0)),"")</f>
        <v/>
      </c>
      <c r="Q82" s="6">
        <f>IFERROR(INDEX(Overrides!$F:$F,MATCH(A82,Overrides!$A:$A,0)),"")</f>
        <v/>
      </c>
      <c r="R82" s="6">
        <f>ISNUMBER(MATCH(A82,Overrides!$A:$A,0))</f>
        <v/>
      </c>
      <c r="S82" s="6">
        <f>OR(ROUND(L82-ROUND(G82-T82,2),2)&lt;=0,AND(I82,K82&lt;&gt;"",(A82-D82+1)=K82))</f>
        <v/>
      </c>
      <c r="T82" s="21">
        <f>IF(M82&lt;&gt;"",M82,ROUND(L82*F82,2))</f>
        <v/>
      </c>
      <c r="U82" s="21">
        <f>IF(R82,IF(O82&lt;&gt;"",O82,IF(N82&lt;&gt;"",ROUND(L82-N82,2),ROUND((IF(P82&lt;&gt;"",P82,G82))-T82,2))),IF(H82,0,IF(S82,L82,ROUND(G82-T82,2))))</f>
        <v/>
      </c>
      <c r="V82" s="21">
        <f>IF(R82,IF(P82&lt;&gt;"",P82,ROUND(T82+U82,2)),IF(H82,T82,IF(S82,ROUND(T82+U82,2),G82)))</f>
        <v/>
      </c>
      <c r="W82" s="21">
        <f>IF(R82,IF(N82&lt;&gt;"",N82,ROUND(L82-U82,2)),IF(H82,L82,IF(S82,0,ROUND(L82-U82,2))))</f>
        <v/>
      </c>
      <c r="X82" s="21">
        <f>IFERROR(MIN(INDEX(LumpSums!$B:$B,MATCH(A82,LumpSums!$A:$A,0)),W82),0)</f>
        <v/>
      </c>
      <c r="Y82" s="21">
        <f>ROUND(U82+X82,2)</f>
        <v/>
      </c>
      <c r="Z82" s="21">
        <f>ROUND(V82+X82,2)</f>
        <v/>
      </c>
      <c r="AA82" s="21">
        <f>ROUND(W82-X82,2)</f>
        <v/>
      </c>
      <c r="AB82" s="6">
        <f>AND(AB81,L82&gt;0)</f>
        <v/>
      </c>
      <c r="AC82" s="21">
        <f>IF(PMI_Costs!$B$8=0,0,ROUND(PMI_Costs!$B$8*(1+PMI_Costs!$B$9/100)^INT((A82-1)/12)/12,2))</f>
        <v/>
      </c>
      <c r="AD82" s="21">
        <f>IF(PMI_Costs!$B$10=0,0,ROUND(PMI_Costs!$B$10*(1+PMI_Costs!$B$11/100)^INT((A82-1)/12)/12,2))</f>
        <v/>
      </c>
      <c r="AE82" s="21">
        <f>IF(PMI_Costs!$B$12=0,0,ROUND(PMI_Costs!$B$12*(1+PMI_Costs!$B$13/100)^INT((A82-1)/12)/12,2))</f>
        <v/>
      </c>
      <c r="AF82" s="22">
        <f>IF(PMI_Costs!$B$5=0,0,AA82/PMI_Costs!$B$5)</f>
        <v/>
      </c>
      <c r="AG82" s="6">
        <f>AND(PMI_Costs!$B$4&gt;0,AF82&gt;PMI_Costs!$B$6/100)</f>
        <v/>
      </c>
      <c r="AH82" s="21">
        <f>IF(AG82,ROUND(Segments!$G$5*PMI_Costs!$B$4/100/12,2),0)</f>
        <v/>
      </c>
      <c r="AI82" s="6">
        <f>AND(NOT(AG82),AG81)</f>
        <v/>
      </c>
    </row>
    <row r="83">
      <c r="A83" s="18" t="n">
        <v>79</v>
      </c>
      <c r="B83" s="18">
        <f>SUMPRODUCT((Segments!$J$5:$J$12&lt;&gt;"")*(Segments!$J$5:$J$12&lt;=A83))</f>
        <v/>
      </c>
      <c r="C83" s="19">
        <f>INDEX(Segments!$B$5:$B$12,B83)</f>
        <v/>
      </c>
      <c r="D83" s="18">
        <f>INDEX(Segments!$J$5:$J$12,B83)</f>
        <v/>
      </c>
      <c r="E83" s="19">
        <f>DATE(YEAR(C83)+INT((MONTH(C83)-1+(A83-D83))/12),MOD(MONTH(C83)-1+(A83-D83),12)+1,1)+(DAY(C83)-1)</f>
        <v/>
      </c>
      <c r="F83" s="20">
        <f>INDEX(Segments!$C$5:$C$12,B83)/100/12</f>
        <v/>
      </c>
      <c r="G83" s="21">
        <f>INDEX(Segments!$L$5:$L$12,B83)</f>
        <v/>
      </c>
      <c r="H83" s="6">
        <f>INDEX(Segments!$I$5:$I$12,B83)="Y"</f>
        <v/>
      </c>
      <c r="I83" s="6">
        <f>INDEX(Segments!$F$5:$F$12,B83)=""</f>
        <v/>
      </c>
      <c r="J83" s="18">
        <f>INDEX(Segments!$K$5:$K$12,B83)</f>
        <v/>
      </c>
      <c r="K83" s="18">
        <f>IF(INDEX(Segments!$F$5:$F$12,B83)&lt;&gt;"",INDEX(Segments!$F$5:$F$12,B83),IF(INDEX(Segments!$E$5:$E$12,B83)&lt;&gt;"",INDEX(Segments!$E$5:$E$12,B83),""))</f>
        <v/>
      </c>
      <c r="L83" s="21">
        <f>AA82</f>
        <v/>
      </c>
      <c r="M83" s="21">
        <f>IFERROR(INDEX(Overrides!$C:$C,MATCH(A83,Overrides!$A:$A,0)),"")</f>
        <v/>
      </c>
      <c r="N83" s="21">
        <f>IFERROR(INDEX(Overrides!$E:$E,MATCH(A83,Overrides!$A:$A,0)),"")</f>
        <v/>
      </c>
      <c r="O83" s="21">
        <f>IFERROR(INDEX(Overrides!$D:$D,MATCH(A83,Overrides!$A:$A,0)),"")</f>
        <v/>
      </c>
      <c r="P83" s="21">
        <f>IFERROR(INDEX(Overrides!$B:$B,MATCH(A83,Overrides!$A:$A,0)),"")</f>
        <v/>
      </c>
      <c r="Q83" s="6">
        <f>IFERROR(INDEX(Overrides!$F:$F,MATCH(A83,Overrides!$A:$A,0)),"")</f>
        <v/>
      </c>
      <c r="R83" s="6">
        <f>ISNUMBER(MATCH(A83,Overrides!$A:$A,0))</f>
        <v/>
      </c>
      <c r="S83" s="6">
        <f>OR(ROUND(L83-ROUND(G83-T83,2),2)&lt;=0,AND(I83,K83&lt;&gt;"",(A83-D83+1)=K83))</f>
        <v/>
      </c>
      <c r="T83" s="21">
        <f>IF(M83&lt;&gt;"",M83,ROUND(L83*F83,2))</f>
        <v/>
      </c>
      <c r="U83" s="21">
        <f>IF(R83,IF(O83&lt;&gt;"",O83,IF(N83&lt;&gt;"",ROUND(L83-N83,2),ROUND((IF(P83&lt;&gt;"",P83,G83))-T83,2))),IF(H83,0,IF(S83,L83,ROUND(G83-T83,2))))</f>
        <v/>
      </c>
      <c r="V83" s="21">
        <f>IF(R83,IF(P83&lt;&gt;"",P83,ROUND(T83+U83,2)),IF(H83,T83,IF(S83,ROUND(T83+U83,2),G83)))</f>
        <v/>
      </c>
      <c r="W83" s="21">
        <f>IF(R83,IF(N83&lt;&gt;"",N83,ROUND(L83-U83,2)),IF(H83,L83,IF(S83,0,ROUND(L83-U83,2))))</f>
        <v/>
      </c>
      <c r="X83" s="21">
        <f>IFERROR(MIN(INDEX(LumpSums!$B:$B,MATCH(A83,LumpSums!$A:$A,0)),W83),0)</f>
        <v/>
      </c>
      <c r="Y83" s="21">
        <f>ROUND(U83+X83,2)</f>
        <v/>
      </c>
      <c r="Z83" s="21">
        <f>ROUND(V83+X83,2)</f>
        <v/>
      </c>
      <c r="AA83" s="21">
        <f>ROUND(W83-X83,2)</f>
        <v/>
      </c>
      <c r="AB83" s="6">
        <f>AND(AB82,L83&gt;0)</f>
        <v/>
      </c>
      <c r="AC83" s="21">
        <f>IF(PMI_Costs!$B$8=0,0,ROUND(PMI_Costs!$B$8*(1+PMI_Costs!$B$9/100)^INT((A83-1)/12)/12,2))</f>
        <v/>
      </c>
      <c r="AD83" s="21">
        <f>IF(PMI_Costs!$B$10=0,0,ROUND(PMI_Costs!$B$10*(1+PMI_Costs!$B$11/100)^INT((A83-1)/12)/12,2))</f>
        <v/>
      </c>
      <c r="AE83" s="21">
        <f>IF(PMI_Costs!$B$12=0,0,ROUND(PMI_Costs!$B$12*(1+PMI_Costs!$B$13/100)^INT((A83-1)/12)/12,2))</f>
        <v/>
      </c>
      <c r="AF83" s="22">
        <f>IF(PMI_Costs!$B$5=0,0,AA83/PMI_Costs!$B$5)</f>
        <v/>
      </c>
      <c r="AG83" s="6">
        <f>AND(PMI_Costs!$B$4&gt;0,AF83&gt;PMI_Costs!$B$6/100)</f>
        <v/>
      </c>
      <c r="AH83" s="21">
        <f>IF(AG83,ROUND(Segments!$G$5*PMI_Costs!$B$4/100/12,2),0)</f>
        <v/>
      </c>
      <c r="AI83" s="6">
        <f>AND(NOT(AG83),AG82)</f>
        <v/>
      </c>
    </row>
    <row r="84">
      <c r="A84" s="18" t="n">
        <v>80</v>
      </c>
      <c r="B84" s="18">
        <f>SUMPRODUCT((Segments!$J$5:$J$12&lt;&gt;"")*(Segments!$J$5:$J$12&lt;=A84))</f>
        <v/>
      </c>
      <c r="C84" s="19">
        <f>INDEX(Segments!$B$5:$B$12,B84)</f>
        <v/>
      </c>
      <c r="D84" s="18">
        <f>INDEX(Segments!$J$5:$J$12,B84)</f>
        <v/>
      </c>
      <c r="E84" s="19">
        <f>DATE(YEAR(C84)+INT((MONTH(C84)-1+(A84-D84))/12),MOD(MONTH(C84)-1+(A84-D84),12)+1,1)+(DAY(C84)-1)</f>
        <v/>
      </c>
      <c r="F84" s="20">
        <f>INDEX(Segments!$C$5:$C$12,B84)/100/12</f>
        <v/>
      </c>
      <c r="G84" s="21">
        <f>INDEX(Segments!$L$5:$L$12,B84)</f>
        <v/>
      </c>
      <c r="H84" s="6">
        <f>INDEX(Segments!$I$5:$I$12,B84)="Y"</f>
        <v/>
      </c>
      <c r="I84" s="6">
        <f>INDEX(Segments!$F$5:$F$12,B84)=""</f>
        <v/>
      </c>
      <c r="J84" s="18">
        <f>INDEX(Segments!$K$5:$K$12,B84)</f>
        <v/>
      </c>
      <c r="K84" s="18">
        <f>IF(INDEX(Segments!$F$5:$F$12,B84)&lt;&gt;"",INDEX(Segments!$F$5:$F$12,B84),IF(INDEX(Segments!$E$5:$E$12,B84)&lt;&gt;"",INDEX(Segments!$E$5:$E$12,B84),""))</f>
        <v/>
      </c>
      <c r="L84" s="21">
        <f>AA83</f>
        <v/>
      </c>
      <c r="M84" s="21">
        <f>IFERROR(INDEX(Overrides!$C:$C,MATCH(A84,Overrides!$A:$A,0)),"")</f>
        <v/>
      </c>
      <c r="N84" s="21">
        <f>IFERROR(INDEX(Overrides!$E:$E,MATCH(A84,Overrides!$A:$A,0)),"")</f>
        <v/>
      </c>
      <c r="O84" s="21">
        <f>IFERROR(INDEX(Overrides!$D:$D,MATCH(A84,Overrides!$A:$A,0)),"")</f>
        <v/>
      </c>
      <c r="P84" s="21">
        <f>IFERROR(INDEX(Overrides!$B:$B,MATCH(A84,Overrides!$A:$A,0)),"")</f>
        <v/>
      </c>
      <c r="Q84" s="6">
        <f>IFERROR(INDEX(Overrides!$F:$F,MATCH(A84,Overrides!$A:$A,0)),"")</f>
        <v/>
      </c>
      <c r="R84" s="6">
        <f>ISNUMBER(MATCH(A84,Overrides!$A:$A,0))</f>
        <v/>
      </c>
      <c r="S84" s="6">
        <f>OR(ROUND(L84-ROUND(G84-T84,2),2)&lt;=0,AND(I84,K84&lt;&gt;"",(A84-D84+1)=K84))</f>
        <v/>
      </c>
      <c r="T84" s="21">
        <f>IF(M84&lt;&gt;"",M84,ROUND(L84*F84,2))</f>
        <v/>
      </c>
      <c r="U84" s="21">
        <f>IF(R84,IF(O84&lt;&gt;"",O84,IF(N84&lt;&gt;"",ROUND(L84-N84,2),ROUND((IF(P84&lt;&gt;"",P84,G84))-T84,2))),IF(H84,0,IF(S84,L84,ROUND(G84-T84,2))))</f>
        <v/>
      </c>
      <c r="V84" s="21">
        <f>IF(R84,IF(P84&lt;&gt;"",P84,ROUND(T84+U84,2)),IF(H84,T84,IF(S84,ROUND(T84+U84,2),G84)))</f>
        <v/>
      </c>
      <c r="W84" s="21">
        <f>IF(R84,IF(N84&lt;&gt;"",N84,ROUND(L84-U84,2)),IF(H84,L84,IF(S84,0,ROUND(L84-U84,2))))</f>
        <v/>
      </c>
      <c r="X84" s="21">
        <f>IFERROR(MIN(INDEX(LumpSums!$B:$B,MATCH(A84,LumpSums!$A:$A,0)),W84),0)</f>
        <v/>
      </c>
      <c r="Y84" s="21">
        <f>ROUND(U84+X84,2)</f>
        <v/>
      </c>
      <c r="Z84" s="21">
        <f>ROUND(V84+X84,2)</f>
        <v/>
      </c>
      <c r="AA84" s="21">
        <f>ROUND(W84-X84,2)</f>
        <v/>
      </c>
      <c r="AB84" s="6">
        <f>AND(AB83,L84&gt;0)</f>
        <v/>
      </c>
      <c r="AC84" s="21">
        <f>IF(PMI_Costs!$B$8=0,0,ROUND(PMI_Costs!$B$8*(1+PMI_Costs!$B$9/100)^INT((A84-1)/12)/12,2))</f>
        <v/>
      </c>
      <c r="AD84" s="21">
        <f>IF(PMI_Costs!$B$10=0,0,ROUND(PMI_Costs!$B$10*(1+PMI_Costs!$B$11/100)^INT((A84-1)/12)/12,2))</f>
        <v/>
      </c>
      <c r="AE84" s="21">
        <f>IF(PMI_Costs!$B$12=0,0,ROUND(PMI_Costs!$B$12*(1+PMI_Costs!$B$13/100)^INT((A84-1)/12)/12,2))</f>
        <v/>
      </c>
      <c r="AF84" s="22">
        <f>IF(PMI_Costs!$B$5=0,0,AA84/PMI_Costs!$B$5)</f>
        <v/>
      </c>
      <c r="AG84" s="6">
        <f>AND(PMI_Costs!$B$4&gt;0,AF84&gt;PMI_Costs!$B$6/100)</f>
        <v/>
      </c>
      <c r="AH84" s="21">
        <f>IF(AG84,ROUND(Segments!$G$5*PMI_Costs!$B$4/100/12,2),0)</f>
        <v/>
      </c>
      <c r="AI84" s="6">
        <f>AND(NOT(AG84),AG83)</f>
        <v/>
      </c>
    </row>
    <row r="85">
      <c r="A85" s="18" t="n">
        <v>81</v>
      </c>
      <c r="B85" s="18">
        <f>SUMPRODUCT((Segments!$J$5:$J$12&lt;&gt;"")*(Segments!$J$5:$J$12&lt;=A85))</f>
        <v/>
      </c>
      <c r="C85" s="19">
        <f>INDEX(Segments!$B$5:$B$12,B85)</f>
        <v/>
      </c>
      <c r="D85" s="18">
        <f>INDEX(Segments!$J$5:$J$12,B85)</f>
        <v/>
      </c>
      <c r="E85" s="19">
        <f>DATE(YEAR(C85)+INT((MONTH(C85)-1+(A85-D85))/12),MOD(MONTH(C85)-1+(A85-D85),12)+1,1)+(DAY(C85)-1)</f>
        <v/>
      </c>
      <c r="F85" s="20">
        <f>INDEX(Segments!$C$5:$C$12,B85)/100/12</f>
        <v/>
      </c>
      <c r="G85" s="21">
        <f>INDEX(Segments!$L$5:$L$12,B85)</f>
        <v/>
      </c>
      <c r="H85" s="6">
        <f>INDEX(Segments!$I$5:$I$12,B85)="Y"</f>
        <v/>
      </c>
      <c r="I85" s="6">
        <f>INDEX(Segments!$F$5:$F$12,B85)=""</f>
        <v/>
      </c>
      <c r="J85" s="18">
        <f>INDEX(Segments!$K$5:$K$12,B85)</f>
        <v/>
      </c>
      <c r="K85" s="18">
        <f>IF(INDEX(Segments!$F$5:$F$12,B85)&lt;&gt;"",INDEX(Segments!$F$5:$F$12,B85),IF(INDEX(Segments!$E$5:$E$12,B85)&lt;&gt;"",INDEX(Segments!$E$5:$E$12,B85),""))</f>
        <v/>
      </c>
      <c r="L85" s="21">
        <f>AA84</f>
        <v/>
      </c>
      <c r="M85" s="21">
        <f>IFERROR(INDEX(Overrides!$C:$C,MATCH(A85,Overrides!$A:$A,0)),"")</f>
        <v/>
      </c>
      <c r="N85" s="21">
        <f>IFERROR(INDEX(Overrides!$E:$E,MATCH(A85,Overrides!$A:$A,0)),"")</f>
        <v/>
      </c>
      <c r="O85" s="21">
        <f>IFERROR(INDEX(Overrides!$D:$D,MATCH(A85,Overrides!$A:$A,0)),"")</f>
        <v/>
      </c>
      <c r="P85" s="21">
        <f>IFERROR(INDEX(Overrides!$B:$B,MATCH(A85,Overrides!$A:$A,0)),"")</f>
        <v/>
      </c>
      <c r="Q85" s="6">
        <f>IFERROR(INDEX(Overrides!$F:$F,MATCH(A85,Overrides!$A:$A,0)),"")</f>
        <v/>
      </c>
      <c r="R85" s="6">
        <f>ISNUMBER(MATCH(A85,Overrides!$A:$A,0))</f>
        <v/>
      </c>
      <c r="S85" s="6">
        <f>OR(ROUND(L85-ROUND(G85-T85,2),2)&lt;=0,AND(I85,K85&lt;&gt;"",(A85-D85+1)=K85))</f>
        <v/>
      </c>
      <c r="T85" s="21">
        <f>IF(M85&lt;&gt;"",M85,ROUND(L85*F85,2))</f>
        <v/>
      </c>
      <c r="U85" s="21">
        <f>IF(R85,IF(O85&lt;&gt;"",O85,IF(N85&lt;&gt;"",ROUND(L85-N85,2),ROUND((IF(P85&lt;&gt;"",P85,G85))-T85,2))),IF(H85,0,IF(S85,L85,ROUND(G85-T85,2))))</f>
        <v/>
      </c>
      <c r="V85" s="21">
        <f>IF(R85,IF(P85&lt;&gt;"",P85,ROUND(T85+U85,2)),IF(H85,T85,IF(S85,ROUND(T85+U85,2),G85)))</f>
        <v/>
      </c>
      <c r="W85" s="21">
        <f>IF(R85,IF(N85&lt;&gt;"",N85,ROUND(L85-U85,2)),IF(H85,L85,IF(S85,0,ROUND(L85-U85,2))))</f>
        <v/>
      </c>
      <c r="X85" s="21">
        <f>IFERROR(MIN(INDEX(LumpSums!$B:$B,MATCH(A85,LumpSums!$A:$A,0)),W85),0)</f>
        <v/>
      </c>
      <c r="Y85" s="21">
        <f>ROUND(U85+X85,2)</f>
        <v/>
      </c>
      <c r="Z85" s="21">
        <f>ROUND(V85+X85,2)</f>
        <v/>
      </c>
      <c r="AA85" s="21">
        <f>ROUND(W85-X85,2)</f>
        <v/>
      </c>
      <c r="AB85" s="6">
        <f>AND(AB84,L85&gt;0)</f>
        <v/>
      </c>
      <c r="AC85" s="21">
        <f>IF(PMI_Costs!$B$8=0,0,ROUND(PMI_Costs!$B$8*(1+PMI_Costs!$B$9/100)^INT((A85-1)/12)/12,2))</f>
        <v/>
      </c>
      <c r="AD85" s="21">
        <f>IF(PMI_Costs!$B$10=0,0,ROUND(PMI_Costs!$B$10*(1+PMI_Costs!$B$11/100)^INT((A85-1)/12)/12,2))</f>
        <v/>
      </c>
      <c r="AE85" s="21">
        <f>IF(PMI_Costs!$B$12=0,0,ROUND(PMI_Costs!$B$12*(1+PMI_Costs!$B$13/100)^INT((A85-1)/12)/12,2))</f>
        <v/>
      </c>
      <c r="AF85" s="22">
        <f>IF(PMI_Costs!$B$5=0,0,AA85/PMI_Costs!$B$5)</f>
        <v/>
      </c>
      <c r="AG85" s="6">
        <f>AND(PMI_Costs!$B$4&gt;0,AF85&gt;PMI_Costs!$B$6/100)</f>
        <v/>
      </c>
      <c r="AH85" s="21">
        <f>IF(AG85,ROUND(Segments!$G$5*PMI_Costs!$B$4/100/12,2),0)</f>
        <v/>
      </c>
      <c r="AI85" s="6">
        <f>AND(NOT(AG85),AG84)</f>
        <v/>
      </c>
    </row>
    <row r="86">
      <c r="A86" s="18" t="n">
        <v>82</v>
      </c>
      <c r="B86" s="18">
        <f>SUMPRODUCT((Segments!$J$5:$J$12&lt;&gt;"")*(Segments!$J$5:$J$12&lt;=A86))</f>
        <v/>
      </c>
      <c r="C86" s="19">
        <f>INDEX(Segments!$B$5:$B$12,B86)</f>
        <v/>
      </c>
      <c r="D86" s="18">
        <f>INDEX(Segments!$J$5:$J$12,B86)</f>
        <v/>
      </c>
      <c r="E86" s="19">
        <f>DATE(YEAR(C86)+INT((MONTH(C86)-1+(A86-D86))/12),MOD(MONTH(C86)-1+(A86-D86),12)+1,1)+(DAY(C86)-1)</f>
        <v/>
      </c>
      <c r="F86" s="20">
        <f>INDEX(Segments!$C$5:$C$12,B86)/100/12</f>
        <v/>
      </c>
      <c r="G86" s="21">
        <f>INDEX(Segments!$L$5:$L$12,B86)</f>
        <v/>
      </c>
      <c r="H86" s="6">
        <f>INDEX(Segments!$I$5:$I$12,B86)="Y"</f>
        <v/>
      </c>
      <c r="I86" s="6">
        <f>INDEX(Segments!$F$5:$F$12,B86)=""</f>
        <v/>
      </c>
      <c r="J86" s="18">
        <f>INDEX(Segments!$K$5:$K$12,B86)</f>
        <v/>
      </c>
      <c r="K86" s="18">
        <f>IF(INDEX(Segments!$F$5:$F$12,B86)&lt;&gt;"",INDEX(Segments!$F$5:$F$12,B86),IF(INDEX(Segments!$E$5:$E$12,B86)&lt;&gt;"",INDEX(Segments!$E$5:$E$12,B86),""))</f>
        <v/>
      </c>
      <c r="L86" s="21">
        <f>AA85</f>
        <v/>
      </c>
      <c r="M86" s="21">
        <f>IFERROR(INDEX(Overrides!$C:$C,MATCH(A86,Overrides!$A:$A,0)),"")</f>
        <v/>
      </c>
      <c r="N86" s="21">
        <f>IFERROR(INDEX(Overrides!$E:$E,MATCH(A86,Overrides!$A:$A,0)),"")</f>
        <v/>
      </c>
      <c r="O86" s="21">
        <f>IFERROR(INDEX(Overrides!$D:$D,MATCH(A86,Overrides!$A:$A,0)),"")</f>
        <v/>
      </c>
      <c r="P86" s="21">
        <f>IFERROR(INDEX(Overrides!$B:$B,MATCH(A86,Overrides!$A:$A,0)),"")</f>
        <v/>
      </c>
      <c r="Q86" s="6">
        <f>IFERROR(INDEX(Overrides!$F:$F,MATCH(A86,Overrides!$A:$A,0)),"")</f>
        <v/>
      </c>
      <c r="R86" s="6">
        <f>ISNUMBER(MATCH(A86,Overrides!$A:$A,0))</f>
        <v/>
      </c>
      <c r="S86" s="6">
        <f>OR(ROUND(L86-ROUND(G86-T86,2),2)&lt;=0,AND(I86,K86&lt;&gt;"",(A86-D86+1)=K86))</f>
        <v/>
      </c>
      <c r="T86" s="21">
        <f>IF(M86&lt;&gt;"",M86,ROUND(L86*F86,2))</f>
        <v/>
      </c>
      <c r="U86" s="21">
        <f>IF(R86,IF(O86&lt;&gt;"",O86,IF(N86&lt;&gt;"",ROUND(L86-N86,2),ROUND((IF(P86&lt;&gt;"",P86,G86))-T86,2))),IF(H86,0,IF(S86,L86,ROUND(G86-T86,2))))</f>
        <v/>
      </c>
      <c r="V86" s="21">
        <f>IF(R86,IF(P86&lt;&gt;"",P86,ROUND(T86+U86,2)),IF(H86,T86,IF(S86,ROUND(T86+U86,2),G86)))</f>
        <v/>
      </c>
      <c r="W86" s="21">
        <f>IF(R86,IF(N86&lt;&gt;"",N86,ROUND(L86-U86,2)),IF(H86,L86,IF(S86,0,ROUND(L86-U86,2))))</f>
        <v/>
      </c>
      <c r="X86" s="21">
        <f>IFERROR(MIN(INDEX(LumpSums!$B:$B,MATCH(A86,LumpSums!$A:$A,0)),W86),0)</f>
        <v/>
      </c>
      <c r="Y86" s="21">
        <f>ROUND(U86+X86,2)</f>
        <v/>
      </c>
      <c r="Z86" s="21">
        <f>ROUND(V86+X86,2)</f>
        <v/>
      </c>
      <c r="AA86" s="21">
        <f>ROUND(W86-X86,2)</f>
        <v/>
      </c>
      <c r="AB86" s="6">
        <f>AND(AB85,L86&gt;0)</f>
        <v/>
      </c>
      <c r="AC86" s="21">
        <f>IF(PMI_Costs!$B$8=0,0,ROUND(PMI_Costs!$B$8*(1+PMI_Costs!$B$9/100)^INT((A86-1)/12)/12,2))</f>
        <v/>
      </c>
      <c r="AD86" s="21">
        <f>IF(PMI_Costs!$B$10=0,0,ROUND(PMI_Costs!$B$10*(1+PMI_Costs!$B$11/100)^INT((A86-1)/12)/12,2))</f>
        <v/>
      </c>
      <c r="AE86" s="21">
        <f>IF(PMI_Costs!$B$12=0,0,ROUND(PMI_Costs!$B$12*(1+PMI_Costs!$B$13/100)^INT((A86-1)/12)/12,2))</f>
        <v/>
      </c>
      <c r="AF86" s="22">
        <f>IF(PMI_Costs!$B$5=0,0,AA86/PMI_Costs!$B$5)</f>
        <v/>
      </c>
      <c r="AG86" s="6">
        <f>AND(PMI_Costs!$B$4&gt;0,AF86&gt;PMI_Costs!$B$6/100)</f>
        <v/>
      </c>
      <c r="AH86" s="21">
        <f>IF(AG86,ROUND(Segments!$G$5*PMI_Costs!$B$4/100/12,2),0)</f>
        <v/>
      </c>
      <c r="AI86" s="6">
        <f>AND(NOT(AG86),AG85)</f>
        <v/>
      </c>
    </row>
    <row r="87">
      <c r="A87" s="18" t="n">
        <v>83</v>
      </c>
      <c r="B87" s="18">
        <f>SUMPRODUCT((Segments!$J$5:$J$12&lt;&gt;"")*(Segments!$J$5:$J$12&lt;=A87))</f>
        <v/>
      </c>
      <c r="C87" s="19">
        <f>INDEX(Segments!$B$5:$B$12,B87)</f>
        <v/>
      </c>
      <c r="D87" s="18">
        <f>INDEX(Segments!$J$5:$J$12,B87)</f>
        <v/>
      </c>
      <c r="E87" s="19">
        <f>DATE(YEAR(C87)+INT((MONTH(C87)-1+(A87-D87))/12),MOD(MONTH(C87)-1+(A87-D87),12)+1,1)+(DAY(C87)-1)</f>
        <v/>
      </c>
      <c r="F87" s="20">
        <f>INDEX(Segments!$C$5:$C$12,B87)/100/12</f>
        <v/>
      </c>
      <c r="G87" s="21">
        <f>INDEX(Segments!$L$5:$L$12,B87)</f>
        <v/>
      </c>
      <c r="H87" s="6">
        <f>INDEX(Segments!$I$5:$I$12,B87)="Y"</f>
        <v/>
      </c>
      <c r="I87" s="6">
        <f>INDEX(Segments!$F$5:$F$12,B87)=""</f>
        <v/>
      </c>
      <c r="J87" s="18">
        <f>INDEX(Segments!$K$5:$K$12,B87)</f>
        <v/>
      </c>
      <c r="K87" s="18">
        <f>IF(INDEX(Segments!$F$5:$F$12,B87)&lt;&gt;"",INDEX(Segments!$F$5:$F$12,B87),IF(INDEX(Segments!$E$5:$E$12,B87)&lt;&gt;"",INDEX(Segments!$E$5:$E$12,B87),""))</f>
        <v/>
      </c>
      <c r="L87" s="21">
        <f>AA86</f>
        <v/>
      </c>
      <c r="M87" s="21">
        <f>IFERROR(INDEX(Overrides!$C:$C,MATCH(A87,Overrides!$A:$A,0)),"")</f>
        <v/>
      </c>
      <c r="N87" s="21">
        <f>IFERROR(INDEX(Overrides!$E:$E,MATCH(A87,Overrides!$A:$A,0)),"")</f>
        <v/>
      </c>
      <c r="O87" s="21">
        <f>IFERROR(INDEX(Overrides!$D:$D,MATCH(A87,Overrides!$A:$A,0)),"")</f>
        <v/>
      </c>
      <c r="P87" s="21">
        <f>IFERROR(INDEX(Overrides!$B:$B,MATCH(A87,Overrides!$A:$A,0)),"")</f>
        <v/>
      </c>
      <c r="Q87" s="6">
        <f>IFERROR(INDEX(Overrides!$F:$F,MATCH(A87,Overrides!$A:$A,0)),"")</f>
        <v/>
      </c>
      <c r="R87" s="6">
        <f>ISNUMBER(MATCH(A87,Overrides!$A:$A,0))</f>
        <v/>
      </c>
      <c r="S87" s="6">
        <f>OR(ROUND(L87-ROUND(G87-T87,2),2)&lt;=0,AND(I87,K87&lt;&gt;"",(A87-D87+1)=K87))</f>
        <v/>
      </c>
      <c r="T87" s="21">
        <f>IF(M87&lt;&gt;"",M87,ROUND(L87*F87,2))</f>
        <v/>
      </c>
      <c r="U87" s="21">
        <f>IF(R87,IF(O87&lt;&gt;"",O87,IF(N87&lt;&gt;"",ROUND(L87-N87,2),ROUND((IF(P87&lt;&gt;"",P87,G87))-T87,2))),IF(H87,0,IF(S87,L87,ROUND(G87-T87,2))))</f>
        <v/>
      </c>
      <c r="V87" s="21">
        <f>IF(R87,IF(P87&lt;&gt;"",P87,ROUND(T87+U87,2)),IF(H87,T87,IF(S87,ROUND(T87+U87,2),G87)))</f>
        <v/>
      </c>
      <c r="W87" s="21">
        <f>IF(R87,IF(N87&lt;&gt;"",N87,ROUND(L87-U87,2)),IF(H87,L87,IF(S87,0,ROUND(L87-U87,2))))</f>
        <v/>
      </c>
      <c r="X87" s="21">
        <f>IFERROR(MIN(INDEX(LumpSums!$B:$B,MATCH(A87,LumpSums!$A:$A,0)),W87),0)</f>
        <v/>
      </c>
      <c r="Y87" s="21">
        <f>ROUND(U87+X87,2)</f>
        <v/>
      </c>
      <c r="Z87" s="21">
        <f>ROUND(V87+X87,2)</f>
        <v/>
      </c>
      <c r="AA87" s="21">
        <f>ROUND(W87-X87,2)</f>
        <v/>
      </c>
      <c r="AB87" s="6">
        <f>AND(AB86,L87&gt;0)</f>
        <v/>
      </c>
      <c r="AC87" s="21">
        <f>IF(PMI_Costs!$B$8=0,0,ROUND(PMI_Costs!$B$8*(1+PMI_Costs!$B$9/100)^INT((A87-1)/12)/12,2))</f>
        <v/>
      </c>
      <c r="AD87" s="21">
        <f>IF(PMI_Costs!$B$10=0,0,ROUND(PMI_Costs!$B$10*(1+PMI_Costs!$B$11/100)^INT((A87-1)/12)/12,2))</f>
        <v/>
      </c>
      <c r="AE87" s="21">
        <f>IF(PMI_Costs!$B$12=0,0,ROUND(PMI_Costs!$B$12*(1+PMI_Costs!$B$13/100)^INT((A87-1)/12)/12,2))</f>
        <v/>
      </c>
      <c r="AF87" s="22">
        <f>IF(PMI_Costs!$B$5=0,0,AA87/PMI_Costs!$B$5)</f>
        <v/>
      </c>
      <c r="AG87" s="6">
        <f>AND(PMI_Costs!$B$4&gt;0,AF87&gt;PMI_Costs!$B$6/100)</f>
        <v/>
      </c>
      <c r="AH87" s="21">
        <f>IF(AG87,ROUND(Segments!$G$5*PMI_Costs!$B$4/100/12,2),0)</f>
        <v/>
      </c>
      <c r="AI87" s="6">
        <f>AND(NOT(AG87),AG86)</f>
        <v/>
      </c>
    </row>
    <row r="88">
      <c r="A88" s="18" t="n">
        <v>84</v>
      </c>
      <c r="B88" s="18">
        <f>SUMPRODUCT((Segments!$J$5:$J$12&lt;&gt;"")*(Segments!$J$5:$J$12&lt;=A88))</f>
        <v/>
      </c>
      <c r="C88" s="19">
        <f>INDEX(Segments!$B$5:$B$12,B88)</f>
        <v/>
      </c>
      <c r="D88" s="18">
        <f>INDEX(Segments!$J$5:$J$12,B88)</f>
        <v/>
      </c>
      <c r="E88" s="19">
        <f>DATE(YEAR(C88)+INT((MONTH(C88)-1+(A88-D88))/12),MOD(MONTH(C88)-1+(A88-D88),12)+1,1)+(DAY(C88)-1)</f>
        <v/>
      </c>
      <c r="F88" s="20">
        <f>INDEX(Segments!$C$5:$C$12,B88)/100/12</f>
        <v/>
      </c>
      <c r="G88" s="21">
        <f>INDEX(Segments!$L$5:$L$12,B88)</f>
        <v/>
      </c>
      <c r="H88" s="6">
        <f>INDEX(Segments!$I$5:$I$12,B88)="Y"</f>
        <v/>
      </c>
      <c r="I88" s="6">
        <f>INDEX(Segments!$F$5:$F$12,B88)=""</f>
        <v/>
      </c>
      <c r="J88" s="18">
        <f>INDEX(Segments!$K$5:$K$12,B88)</f>
        <v/>
      </c>
      <c r="K88" s="18">
        <f>IF(INDEX(Segments!$F$5:$F$12,B88)&lt;&gt;"",INDEX(Segments!$F$5:$F$12,B88),IF(INDEX(Segments!$E$5:$E$12,B88)&lt;&gt;"",INDEX(Segments!$E$5:$E$12,B88),""))</f>
        <v/>
      </c>
      <c r="L88" s="21">
        <f>AA87</f>
        <v/>
      </c>
      <c r="M88" s="21">
        <f>IFERROR(INDEX(Overrides!$C:$C,MATCH(A88,Overrides!$A:$A,0)),"")</f>
        <v/>
      </c>
      <c r="N88" s="21">
        <f>IFERROR(INDEX(Overrides!$E:$E,MATCH(A88,Overrides!$A:$A,0)),"")</f>
        <v/>
      </c>
      <c r="O88" s="21">
        <f>IFERROR(INDEX(Overrides!$D:$D,MATCH(A88,Overrides!$A:$A,0)),"")</f>
        <v/>
      </c>
      <c r="P88" s="21">
        <f>IFERROR(INDEX(Overrides!$B:$B,MATCH(A88,Overrides!$A:$A,0)),"")</f>
        <v/>
      </c>
      <c r="Q88" s="6">
        <f>IFERROR(INDEX(Overrides!$F:$F,MATCH(A88,Overrides!$A:$A,0)),"")</f>
        <v/>
      </c>
      <c r="R88" s="6">
        <f>ISNUMBER(MATCH(A88,Overrides!$A:$A,0))</f>
        <v/>
      </c>
      <c r="S88" s="6">
        <f>OR(ROUND(L88-ROUND(G88-T88,2),2)&lt;=0,AND(I88,K88&lt;&gt;"",(A88-D88+1)=K88))</f>
        <v/>
      </c>
      <c r="T88" s="21">
        <f>IF(M88&lt;&gt;"",M88,ROUND(L88*F88,2))</f>
        <v/>
      </c>
      <c r="U88" s="21">
        <f>IF(R88,IF(O88&lt;&gt;"",O88,IF(N88&lt;&gt;"",ROUND(L88-N88,2),ROUND((IF(P88&lt;&gt;"",P88,G88))-T88,2))),IF(H88,0,IF(S88,L88,ROUND(G88-T88,2))))</f>
        <v/>
      </c>
      <c r="V88" s="21">
        <f>IF(R88,IF(P88&lt;&gt;"",P88,ROUND(T88+U88,2)),IF(H88,T88,IF(S88,ROUND(T88+U88,2),G88)))</f>
        <v/>
      </c>
      <c r="W88" s="21">
        <f>IF(R88,IF(N88&lt;&gt;"",N88,ROUND(L88-U88,2)),IF(H88,L88,IF(S88,0,ROUND(L88-U88,2))))</f>
        <v/>
      </c>
      <c r="X88" s="21">
        <f>IFERROR(MIN(INDEX(LumpSums!$B:$B,MATCH(A88,LumpSums!$A:$A,0)),W88),0)</f>
        <v/>
      </c>
      <c r="Y88" s="21">
        <f>ROUND(U88+X88,2)</f>
        <v/>
      </c>
      <c r="Z88" s="21">
        <f>ROUND(V88+X88,2)</f>
        <v/>
      </c>
      <c r="AA88" s="21">
        <f>ROUND(W88-X88,2)</f>
        <v/>
      </c>
      <c r="AB88" s="6">
        <f>AND(AB87,L88&gt;0)</f>
        <v/>
      </c>
      <c r="AC88" s="21">
        <f>IF(PMI_Costs!$B$8=0,0,ROUND(PMI_Costs!$B$8*(1+PMI_Costs!$B$9/100)^INT((A88-1)/12)/12,2))</f>
        <v/>
      </c>
      <c r="AD88" s="21">
        <f>IF(PMI_Costs!$B$10=0,0,ROUND(PMI_Costs!$B$10*(1+PMI_Costs!$B$11/100)^INT((A88-1)/12)/12,2))</f>
        <v/>
      </c>
      <c r="AE88" s="21">
        <f>IF(PMI_Costs!$B$12=0,0,ROUND(PMI_Costs!$B$12*(1+PMI_Costs!$B$13/100)^INT((A88-1)/12)/12,2))</f>
        <v/>
      </c>
      <c r="AF88" s="22">
        <f>IF(PMI_Costs!$B$5=0,0,AA88/PMI_Costs!$B$5)</f>
        <v/>
      </c>
      <c r="AG88" s="6">
        <f>AND(PMI_Costs!$B$4&gt;0,AF88&gt;PMI_Costs!$B$6/100)</f>
        <v/>
      </c>
      <c r="AH88" s="21">
        <f>IF(AG88,ROUND(Segments!$G$5*PMI_Costs!$B$4/100/12,2),0)</f>
        <v/>
      </c>
      <c r="AI88" s="6">
        <f>AND(NOT(AG88),AG87)</f>
        <v/>
      </c>
    </row>
    <row r="89">
      <c r="A89" s="18" t="n">
        <v>85</v>
      </c>
      <c r="B89" s="18">
        <f>SUMPRODUCT((Segments!$J$5:$J$12&lt;&gt;"")*(Segments!$J$5:$J$12&lt;=A89))</f>
        <v/>
      </c>
      <c r="C89" s="19">
        <f>INDEX(Segments!$B$5:$B$12,B89)</f>
        <v/>
      </c>
      <c r="D89" s="18">
        <f>INDEX(Segments!$J$5:$J$12,B89)</f>
        <v/>
      </c>
      <c r="E89" s="19">
        <f>DATE(YEAR(C89)+INT((MONTH(C89)-1+(A89-D89))/12),MOD(MONTH(C89)-1+(A89-D89),12)+1,1)+(DAY(C89)-1)</f>
        <v/>
      </c>
      <c r="F89" s="20">
        <f>INDEX(Segments!$C$5:$C$12,B89)/100/12</f>
        <v/>
      </c>
      <c r="G89" s="21">
        <f>INDEX(Segments!$L$5:$L$12,B89)</f>
        <v/>
      </c>
      <c r="H89" s="6">
        <f>INDEX(Segments!$I$5:$I$12,B89)="Y"</f>
        <v/>
      </c>
      <c r="I89" s="6">
        <f>INDEX(Segments!$F$5:$F$12,B89)=""</f>
        <v/>
      </c>
      <c r="J89" s="18">
        <f>INDEX(Segments!$K$5:$K$12,B89)</f>
        <v/>
      </c>
      <c r="K89" s="18">
        <f>IF(INDEX(Segments!$F$5:$F$12,B89)&lt;&gt;"",INDEX(Segments!$F$5:$F$12,B89),IF(INDEX(Segments!$E$5:$E$12,B89)&lt;&gt;"",INDEX(Segments!$E$5:$E$12,B89),""))</f>
        <v/>
      </c>
      <c r="L89" s="21">
        <f>AA88</f>
        <v/>
      </c>
      <c r="M89" s="21">
        <f>IFERROR(INDEX(Overrides!$C:$C,MATCH(A89,Overrides!$A:$A,0)),"")</f>
        <v/>
      </c>
      <c r="N89" s="21">
        <f>IFERROR(INDEX(Overrides!$E:$E,MATCH(A89,Overrides!$A:$A,0)),"")</f>
        <v/>
      </c>
      <c r="O89" s="21">
        <f>IFERROR(INDEX(Overrides!$D:$D,MATCH(A89,Overrides!$A:$A,0)),"")</f>
        <v/>
      </c>
      <c r="P89" s="21">
        <f>IFERROR(INDEX(Overrides!$B:$B,MATCH(A89,Overrides!$A:$A,0)),"")</f>
        <v/>
      </c>
      <c r="Q89" s="6">
        <f>IFERROR(INDEX(Overrides!$F:$F,MATCH(A89,Overrides!$A:$A,0)),"")</f>
        <v/>
      </c>
      <c r="R89" s="6">
        <f>ISNUMBER(MATCH(A89,Overrides!$A:$A,0))</f>
        <v/>
      </c>
      <c r="S89" s="6">
        <f>OR(ROUND(L89-ROUND(G89-T89,2),2)&lt;=0,AND(I89,K89&lt;&gt;"",(A89-D89+1)=K89))</f>
        <v/>
      </c>
      <c r="T89" s="21">
        <f>IF(M89&lt;&gt;"",M89,ROUND(L89*F89,2))</f>
        <v/>
      </c>
      <c r="U89" s="21">
        <f>IF(R89,IF(O89&lt;&gt;"",O89,IF(N89&lt;&gt;"",ROUND(L89-N89,2),ROUND((IF(P89&lt;&gt;"",P89,G89))-T89,2))),IF(H89,0,IF(S89,L89,ROUND(G89-T89,2))))</f>
        <v/>
      </c>
      <c r="V89" s="21">
        <f>IF(R89,IF(P89&lt;&gt;"",P89,ROUND(T89+U89,2)),IF(H89,T89,IF(S89,ROUND(T89+U89,2),G89)))</f>
        <v/>
      </c>
      <c r="W89" s="21">
        <f>IF(R89,IF(N89&lt;&gt;"",N89,ROUND(L89-U89,2)),IF(H89,L89,IF(S89,0,ROUND(L89-U89,2))))</f>
        <v/>
      </c>
      <c r="X89" s="21">
        <f>IFERROR(MIN(INDEX(LumpSums!$B:$B,MATCH(A89,LumpSums!$A:$A,0)),W89),0)</f>
        <v/>
      </c>
      <c r="Y89" s="21">
        <f>ROUND(U89+X89,2)</f>
        <v/>
      </c>
      <c r="Z89" s="21">
        <f>ROUND(V89+X89,2)</f>
        <v/>
      </c>
      <c r="AA89" s="21">
        <f>ROUND(W89-X89,2)</f>
        <v/>
      </c>
      <c r="AB89" s="6">
        <f>AND(AB88,L89&gt;0)</f>
        <v/>
      </c>
      <c r="AC89" s="21">
        <f>IF(PMI_Costs!$B$8=0,0,ROUND(PMI_Costs!$B$8*(1+PMI_Costs!$B$9/100)^INT((A89-1)/12)/12,2))</f>
        <v/>
      </c>
      <c r="AD89" s="21">
        <f>IF(PMI_Costs!$B$10=0,0,ROUND(PMI_Costs!$B$10*(1+PMI_Costs!$B$11/100)^INT((A89-1)/12)/12,2))</f>
        <v/>
      </c>
      <c r="AE89" s="21">
        <f>IF(PMI_Costs!$B$12=0,0,ROUND(PMI_Costs!$B$12*(1+PMI_Costs!$B$13/100)^INT((A89-1)/12)/12,2))</f>
        <v/>
      </c>
      <c r="AF89" s="22">
        <f>IF(PMI_Costs!$B$5=0,0,AA89/PMI_Costs!$B$5)</f>
        <v/>
      </c>
      <c r="AG89" s="6">
        <f>AND(PMI_Costs!$B$4&gt;0,AF89&gt;PMI_Costs!$B$6/100)</f>
        <v/>
      </c>
      <c r="AH89" s="21">
        <f>IF(AG89,ROUND(Segments!$G$5*PMI_Costs!$B$4/100/12,2),0)</f>
        <v/>
      </c>
      <c r="AI89" s="6">
        <f>AND(NOT(AG89),AG88)</f>
        <v/>
      </c>
    </row>
    <row r="90">
      <c r="A90" s="18" t="n">
        <v>86</v>
      </c>
      <c r="B90" s="18">
        <f>SUMPRODUCT((Segments!$J$5:$J$12&lt;&gt;"")*(Segments!$J$5:$J$12&lt;=A90))</f>
        <v/>
      </c>
      <c r="C90" s="19">
        <f>INDEX(Segments!$B$5:$B$12,B90)</f>
        <v/>
      </c>
      <c r="D90" s="18">
        <f>INDEX(Segments!$J$5:$J$12,B90)</f>
        <v/>
      </c>
      <c r="E90" s="19">
        <f>DATE(YEAR(C90)+INT((MONTH(C90)-1+(A90-D90))/12),MOD(MONTH(C90)-1+(A90-D90),12)+1,1)+(DAY(C90)-1)</f>
        <v/>
      </c>
      <c r="F90" s="20">
        <f>INDEX(Segments!$C$5:$C$12,B90)/100/12</f>
        <v/>
      </c>
      <c r="G90" s="21">
        <f>INDEX(Segments!$L$5:$L$12,B90)</f>
        <v/>
      </c>
      <c r="H90" s="6">
        <f>INDEX(Segments!$I$5:$I$12,B90)="Y"</f>
        <v/>
      </c>
      <c r="I90" s="6">
        <f>INDEX(Segments!$F$5:$F$12,B90)=""</f>
        <v/>
      </c>
      <c r="J90" s="18">
        <f>INDEX(Segments!$K$5:$K$12,B90)</f>
        <v/>
      </c>
      <c r="K90" s="18">
        <f>IF(INDEX(Segments!$F$5:$F$12,B90)&lt;&gt;"",INDEX(Segments!$F$5:$F$12,B90),IF(INDEX(Segments!$E$5:$E$12,B90)&lt;&gt;"",INDEX(Segments!$E$5:$E$12,B90),""))</f>
        <v/>
      </c>
      <c r="L90" s="21">
        <f>AA89</f>
        <v/>
      </c>
      <c r="M90" s="21">
        <f>IFERROR(INDEX(Overrides!$C:$C,MATCH(A90,Overrides!$A:$A,0)),"")</f>
        <v/>
      </c>
      <c r="N90" s="21">
        <f>IFERROR(INDEX(Overrides!$E:$E,MATCH(A90,Overrides!$A:$A,0)),"")</f>
        <v/>
      </c>
      <c r="O90" s="21">
        <f>IFERROR(INDEX(Overrides!$D:$D,MATCH(A90,Overrides!$A:$A,0)),"")</f>
        <v/>
      </c>
      <c r="P90" s="21">
        <f>IFERROR(INDEX(Overrides!$B:$B,MATCH(A90,Overrides!$A:$A,0)),"")</f>
        <v/>
      </c>
      <c r="Q90" s="6">
        <f>IFERROR(INDEX(Overrides!$F:$F,MATCH(A90,Overrides!$A:$A,0)),"")</f>
        <v/>
      </c>
      <c r="R90" s="6">
        <f>ISNUMBER(MATCH(A90,Overrides!$A:$A,0))</f>
        <v/>
      </c>
      <c r="S90" s="6">
        <f>OR(ROUND(L90-ROUND(G90-T90,2),2)&lt;=0,AND(I90,K90&lt;&gt;"",(A90-D90+1)=K90))</f>
        <v/>
      </c>
      <c r="T90" s="21">
        <f>IF(M90&lt;&gt;"",M90,ROUND(L90*F90,2))</f>
        <v/>
      </c>
      <c r="U90" s="21">
        <f>IF(R90,IF(O90&lt;&gt;"",O90,IF(N90&lt;&gt;"",ROUND(L90-N90,2),ROUND((IF(P90&lt;&gt;"",P90,G90))-T90,2))),IF(H90,0,IF(S90,L90,ROUND(G90-T90,2))))</f>
        <v/>
      </c>
      <c r="V90" s="21">
        <f>IF(R90,IF(P90&lt;&gt;"",P90,ROUND(T90+U90,2)),IF(H90,T90,IF(S90,ROUND(T90+U90,2),G90)))</f>
        <v/>
      </c>
      <c r="W90" s="21">
        <f>IF(R90,IF(N90&lt;&gt;"",N90,ROUND(L90-U90,2)),IF(H90,L90,IF(S90,0,ROUND(L90-U90,2))))</f>
        <v/>
      </c>
      <c r="X90" s="21">
        <f>IFERROR(MIN(INDEX(LumpSums!$B:$B,MATCH(A90,LumpSums!$A:$A,0)),W90),0)</f>
        <v/>
      </c>
      <c r="Y90" s="21">
        <f>ROUND(U90+X90,2)</f>
        <v/>
      </c>
      <c r="Z90" s="21">
        <f>ROUND(V90+X90,2)</f>
        <v/>
      </c>
      <c r="AA90" s="21">
        <f>ROUND(W90-X90,2)</f>
        <v/>
      </c>
      <c r="AB90" s="6">
        <f>AND(AB89,L90&gt;0)</f>
        <v/>
      </c>
      <c r="AC90" s="21">
        <f>IF(PMI_Costs!$B$8=0,0,ROUND(PMI_Costs!$B$8*(1+PMI_Costs!$B$9/100)^INT((A90-1)/12)/12,2))</f>
        <v/>
      </c>
      <c r="AD90" s="21">
        <f>IF(PMI_Costs!$B$10=0,0,ROUND(PMI_Costs!$B$10*(1+PMI_Costs!$B$11/100)^INT((A90-1)/12)/12,2))</f>
        <v/>
      </c>
      <c r="AE90" s="21">
        <f>IF(PMI_Costs!$B$12=0,0,ROUND(PMI_Costs!$B$12*(1+PMI_Costs!$B$13/100)^INT((A90-1)/12)/12,2))</f>
        <v/>
      </c>
      <c r="AF90" s="22">
        <f>IF(PMI_Costs!$B$5=0,0,AA90/PMI_Costs!$B$5)</f>
        <v/>
      </c>
      <c r="AG90" s="6">
        <f>AND(PMI_Costs!$B$4&gt;0,AF90&gt;PMI_Costs!$B$6/100)</f>
        <v/>
      </c>
      <c r="AH90" s="21">
        <f>IF(AG90,ROUND(Segments!$G$5*PMI_Costs!$B$4/100/12,2),0)</f>
        <v/>
      </c>
      <c r="AI90" s="6">
        <f>AND(NOT(AG90),AG89)</f>
        <v/>
      </c>
    </row>
    <row r="91">
      <c r="A91" s="18" t="n">
        <v>87</v>
      </c>
      <c r="B91" s="18">
        <f>SUMPRODUCT((Segments!$J$5:$J$12&lt;&gt;"")*(Segments!$J$5:$J$12&lt;=A91))</f>
        <v/>
      </c>
      <c r="C91" s="19">
        <f>INDEX(Segments!$B$5:$B$12,B91)</f>
        <v/>
      </c>
      <c r="D91" s="18">
        <f>INDEX(Segments!$J$5:$J$12,B91)</f>
        <v/>
      </c>
      <c r="E91" s="19">
        <f>DATE(YEAR(C91)+INT((MONTH(C91)-1+(A91-D91))/12),MOD(MONTH(C91)-1+(A91-D91),12)+1,1)+(DAY(C91)-1)</f>
        <v/>
      </c>
      <c r="F91" s="20">
        <f>INDEX(Segments!$C$5:$C$12,B91)/100/12</f>
        <v/>
      </c>
      <c r="G91" s="21">
        <f>INDEX(Segments!$L$5:$L$12,B91)</f>
        <v/>
      </c>
      <c r="H91" s="6">
        <f>INDEX(Segments!$I$5:$I$12,B91)="Y"</f>
        <v/>
      </c>
      <c r="I91" s="6">
        <f>INDEX(Segments!$F$5:$F$12,B91)=""</f>
        <v/>
      </c>
      <c r="J91" s="18">
        <f>INDEX(Segments!$K$5:$K$12,B91)</f>
        <v/>
      </c>
      <c r="K91" s="18">
        <f>IF(INDEX(Segments!$F$5:$F$12,B91)&lt;&gt;"",INDEX(Segments!$F$5:$F$12,B91),IF(INDEX(Segments!$E$5:$E$12,B91)&lt;&gt;"",INDEX(Segments!$E$5:$E$12,B91),""))</f>
        <v/>
      </c>
      <c r="L91" s="21">
        <f>AA90</f>
        <v/>
      </c>
      <c r="M91" s="21">
        <f>IFERROR(INDEX(Overrides!$C:$C,MATCH(A91,Overrides!$A:$A,0)),"")</f>
        <v/>
      </c>
      <c r="N91" s="21">
        <f>IFERROR(INDEX(Overrides!$E:$E,MATCH(A91,Overrides!$A:$A,0)),"")</f>
        <v/>
      </c>
      <c r="O91" s="21">
        <f>IFERROR(INDEX(Overrides!$D:$D,MATCH(A91,Overrides!$A:$A,0)),"")</f>
        <v/>
      </c>
      <c r="P91" s="21">
        <f>IFERROR(INDEX(Overrides!$B:$B,MATCH(A91,Overrides!$A:$A,0)),"")</f>
        <v/>
      </c>
      <c r="Q91" s="6">
        <f>IFERROR(INDEX(Overrides!$F:$F,MATCH(A91,Overrides!$A:$A,0)),"")</f>
        <v/>
      </c>
      <c r="R91" s="6">
        <f>ISNUMBER(MATCH(A91,Overrides!$A:$A,0))</f>
        <v/>
      </c>
      <c r="S91" s="6">
        <f>OR(ROUND(L91-ROUND(G91-T91,2),2)&lt;=0,AND(I91,K91&lt;&gt;"",(A91-D91+1)=K91))</f>
        <v/>
      </c>
      <c r="T91" s="21">
        <f>IF(M91&lt;&gt;"",M91,ROUND(L91*F91,2))</f>
        <v/>
      </c>
      <c r="U91" s="21">
        <f>IF(R91,IF(O91&lt;&gt;"",O91,IF(N91&lt;&gt;"",ROUND(L91-N91,2),ROUND((IF(P91&lt;&gt;"",P91,G91))-T91,2))),IF(H91,0,IF(S91,L91,ROUND(G91-T91,2))))</f>
        <v/>
      </c>
      <c r="V91" s="21">
        <f>IF(R91,IF(P91&lt;&gt;"",P91,ROUND(T91+U91,2)),IF(H91,T91,IF(S91,ROUND(T91+U91,2),G91)))</f>
        <v/>
      </c>
      <c r="W91" s="21">
        <f>IF(R91,IF(N91&lt;&gt;"",N91,ROUND(L91-U91,2)),IF(H91,L91,IF(S91,0,ROUND(L91-U91,2))))</f>
        <v/>
      </c>
      <c r="X91" s="21">
        <f>IFERROR(MIN(INDEX(LumpSums!$B:$B,MATCH(A91,LumpSums!$A:$A,0)),W91),0)</f>
        <v/>
      </c>
      <c r="Y91" s="21">
        <f>ROUND(U91+X91,2)</f>
        <v/>
      </c>
      <c r="Z91" s="21">
        <f>ROUND(V91+X91,2)</f>
        <v/>
      </c>
      <c r="AA91" s="21">
        <f>ROUND(W91-X91,2)</f>
        <v/>
      </c>
      <c r="AB91" s="6">
        <f>AND(AB90,L91&gt;0)</f>
        <v/>
      </c>
      <c r="AC91" s="21">
        <f>IF(PMI_Costs!$B$8=0,0,ROUND(PMI_Costs!$B$8*(1+PMI_Costs!$B$9/100)^INT((A91-1)/12)/12,2))</f>
        <v/>
      </c>
      <c r="AD91" s="21">
        <f>IF(PMI_Costs!$B$10=0,0,ROUND(PMI_Costs!$B$10*(1+PMI_Costs!$B$11/100)^INT((A91-1)/12)/12,2))</f>
        <v/>
      </c>
      <c r="AE91" s="21">
        <f>IF(PMI_Costs!$B$12=0,0,ROUND(PMI_Costs!$B$12*(1+PMI_Costs!$B$13/100)^INT((A91-1)/12)/12,2))</f>
        <v/>
      </c>
      <c r="AF91" s="22">
        <f>IF(PMI_Costs!$B$5=0,0,AA91/PMI_Costs!$B$5)</f>
        <v/>
      </c>
      <c r="AG91" s="6">
        <f>AND(PMI_Costs!$B$4&gt;0,AF91&gt;PMI_Costs!$B$6/100)</f>
        <v/>
      </c>
      <c r="AH91" s="21">
        <f>IF(AG91,ROUND(Segments!$G$5*PMI_Costs!$B$4/100/12,2),0)</f>
        <v/>
      </c>
      <c r="AI91" s="6">
        <f>AND(NOT(AG91),AG90)</f>
        <v/>
      </c>
    </row>
    <row r="92">
      <c r="A92" s="18" t="n">
        <v>88</v>
      </c>
      <c r="B92" s="18">
        <f>SUMPRODUCT((Segments!$J$5:$J$12&lt;&gt;"")*(Segments!$J$5:$J$12&lt;=A92))</f>
        <v/>
      </c>
      <c r="C92" s="19">
        <f>INDEX(Segments!$B$5:$B$12,B92)</f>
        <v/>
      </c>
      <c r="D92" s="18">
        <f>INDEX(Segments!$J$5:$J$12,B92)</f>
        <v/>
      </c>
      <c r="E92" s="19">
        <f>DATE(YEAR(C92)+INT((MONTH(C92)-1+(A92-D92))/12),MOD(MONTH(C92)-1+(A92-D92),12)+1,1)+(DAY(C92)-1)</f>
        <v/>
      </c>
      <c r="F92" s="20">
        <f>INDEX(Segments!$C$5:$C$12,B92)/100/12</f>
        <v/>
      </c>
      <c r="G92" s="21">
        <f>INDEX(Segments!$L$5:$L$12,B92)</f>
        <v/>
      </c>
      <c r="H92" s="6">
        <f>INDEX(Segments!$I$5:$I$12,B92)="Y"</f>
        <v/>
      </c>
      <c r="I92" s="6">
        <f>INDEX(Segments!$F$5:$F$12,B92)=""</f>
        <v/>
      </c>
      <c r="J92" s="18">
        <f>INDEX(Segments!$K$5:$K$12,B92)</f>
        <v/>
      </c>
      <c r="K92" s="18">
        <f>IF(INDEX(Segments!$F$5:$F$12,B92)&lt;&gt;"",INDEX(Segments!$F$5:$F$12,B92),IF(INDEX(Segments!$E$5:$E$12,B92)&lt;&gt;"",INDEX(Segments!$E$5:$E$12,B92),""))</f>
        <v/>
      </c>
      <c r="L92" s="21">
        <f>AA91</f>
        <v/>
      </c>
      <c r="M92" s="21">
        <f>IFERROR(INDEX(Overrides!$C:$C,MATCH(A92,Overrides!$A:$A,0)),"")</f>
        <v/>
      </c>
      <c r="N92" s="21">
        <f>IFERROR(INDEX(Overrides!$E:$E,MATCH(A92,Overrides!$A:$A,0)),"")</f>
        <v/>
      </c>
      <c r="O92" s="21">
        <f>IFERROR(INDEX(Overrides!$D:$D,MATCH(A92,Overrides!$A:$A,0)),"")</f>
        <v/>
      </c>
      <c r="P92" s="21">
        <f>IFERROR(INDEX(Overrides!$B:$B,MATCH(A92,Overrides!$A:$A,0)),"")</f>
        <v/>
      </c>
      <c r="Q92" s="6">
        <f>IFERROR(INDEX(Overrides!$F:$F,MATCH(A92,Overrides!$A:$A,0)),"")</f>
        <v/>
      </c>
      <c r="R92" s="6">
        <f>ISNUMBER(MATCH(A92,Overrides!$A:$A,0))</f>
        <v/>
      </c>
      <c r="S92" s="6">
        <f>OR(ROUND(L92-ROUND(G92-T92,2),2)&lt;=0,AND(I92,K92&lt;&gt;"",(A92-D92+1)=K92))</f>
        <v/>
      </c>
      <c r="T92" s="21">
        <f>IF(M92&lt;&gt;"",M92,ROUND(L92*F92,2))</f>
        <v/>
      </c>
      <c r="U92" s="21">
        <f>IF(R92,IF(O92&lt;&gt;"",O92,IF(N92&lt;&gt;"",ROUND(L92-N92,2),ROUND((IF(P92&lt;&gt;"",P92,G92))-T92,2))),IF(H92,0,IF(S92,L92,ROUND(G92-T92,2))))</f>
        <v/>
      </c>
      <c r="V92" s="21">
        <f>IF(R92,IF(P92&lt;&gt;"",P92,ROUND(T92+U92,2)),IF(H92,T92,IF(S92,ROUND(T92+U92,2),G92)))</f>
        <v/>
      </c>
      <c r="W92" s="21">
        <f>IF(R92,IF(N92&lt;&gt;"",N92,ROUND(L92-U92,2)),IF(H92,L92,IF(S92,0,ROUND(L92-U92,2))))</f>
        <v/>
      </c>
      <c r="X92" s="21">
        <f>IFERROR(MIN(INDEX(LumpSums!$B:$B,MATCH(A92,LumpSums!$A:$A,0)),W92),0)</f>
        <v/>
      </c>
      <c r="Y92" s="21">
        <f>ROUND(U92+X92,2)</f>
        <v/>
      </c>
      <c r="Z92" s="21">
        <f>ROUND(V92+X92,2)</f>
        <v/>
      </c>
      <c r="AA92" s="21">
        <f>ROUND(W92-X92,2)</f>
        <v/>
      </c>
      <c r="AB92" s="6">
        <f>AND(AB91,L92&gt;0)</f>
        <v/>
      </c>
      <c r="AC92" s="21">
        <f>IF(PMI_Costs!$B$8=0,0,ROUND(PMI_Costs!$B$8*(1+PMI_Costs!$B$9/100)^INT((A92-1)/12)/12,2))</f>
        <v/>
      </c>
      <c r="AD92" s="21">
        <f>IF(PMI_Costs!$B$10=0,0,ROUND(PMI_Costs!$B$10*(1+PMI_Costs!$B$11/100)^INT((A92-1)/12)/12,2))</f>
        <v/>
      </c>
      <c r="AE92" s="21">
        <f>IF(PMI_Costs!$B$12=0,0,ROUND(PMI_Costs!$B$12*(1+PMI_Costs!$B$13/100)^INT((A92-1)/12)/12,2))</f>
        <v/>
      </c>
      <c r="AF92" s="22">
        <f>IF(PMI_Costs!$B$5=0,0,AA92/PMI_Costs!$B$5)</f>
        <v/>
      </c>
      <c r="AG92" s="6">
        <f>AND(PMI_Costs!$B$4&gt;0,AF92&gt;PMI_Costs!$B$6/100)</f>
        <v/>
      </c>
      <c r="AH92" s="21">
        <f>IF(AG92,ROUND(Segments!$G$5*PMI_Costs!$B$4/100/12,2),0)</f>
        <v/>
      </c>
      <c r="AI92" s="6">
        <f>AND(NOT(AG92),AG91)</f>
        <v/>
      </c>
    </row>
    <row r="93">
      <c r="A93" s="18" t="n">
        <v>89</v>
      </c>
      <c r="B93" s="18">
        <f>SUMPRODUCT((Segments!$J$5:$J$12&lt;&gt;"")*(Segments!$J$5:$J$12&lt;=A93))</f>
        <v/>
      </c>
      <c r="C93" s="19">
        <f>INDEX(Segments!$B$5:$B$12,B93)</f>
        <v/>
      </c>
      <c r="D93" s="18">
        <f>INDEX(Segments!$J$5:$J$12,B93)</f>
        <v/>
      </c>
      <c r="E93" s="19">
        <f>DATE(YEAR(C93)+INT((MONTH(C93)-1+(A93-D93))/12),MOD(MONTH(C93)-1+(A93-D93),12)+1,1)+(DAY(C93)-1)</f>
        <v/>
      </c>
      <c r="F93" s="20">
        <f>INDEX(Segments!$C$5:$C$12,B93)/100/12</f>
        <v/>
      </c>
      <c r="G93" s="21">
        <f>INDEX(Segments!$L$5:$L$12,B93)</f>
        <v/>
      </c>
      <c r="H93" s="6">
        <f>INDEX(Segments!$I$5:$I$12,B93)="Y"</f>
        <v/>
      </c>
      <c r="I93" s="6">
        <f>INDEX(Segments!$F$5:$F$12,B93)=""</f>
        <v/>
      </c>
      <c r="J93" s="18">
        <f>INDEX(Segments!$K$5:$K$12,B93)</f>
        <v/>
      </c>
      <c r="K93" s="18">
        <f>IF(INDEX(Segments!$F$5:$F$12,B93)&lt;&gt;"",INDEX(Segments!$F$5:$F$12,B93),IF(INDEX(Segments!$E$5:$E$12,B93)&lt;&gt;"",INDEX(Segments!$E$5:$E$12,B93),""))</f>
        <v/>
      </c>
      <c r="L93" s="21">
        <f>AA92</f>
        <v/>
      </c>
      <c r="M93" s="21">
        <f>IFERROR(INDEX(Overrides!$C:$C,MATCH(A93,Overrides!$A:$A,0)),"")</f>
        <v/>
      </c>
      <c r="N93" s="21">
        <f>IFERROR(INDEX(Overrides!$E:$E,MATCH(A93,Overrides!$A:$A,0)),"")</f>
        <v/>
      </c>
      <c r="O93" s="21">
        <f>IFERROR(INDEX(Overrides!$D:$D,MATCH(A93,Overrides!$A:$A,0)),"")</f>
        <v/>
      </c>
      <c r="P93" s="21">
        <f>IFERROR(INDEX(Overrides!$B:$B,MATCH(A93,Overrides!$A:$A,0)),"")</f>
        <v/>
      </c>
      <c r="Q93" s="6">
        <f>IFERROR(INDEX(Overrides!$F:$F,MATCH(A93,Overrides!$A:$A,0)),"")</f>
        <v/>
      </c>
      <c r="R93" s="6">
        <f>ISNUMBER(MATCH(A93,Overrides!$A:$A,0))</f>
        <v/>
      </c>
      <c r="S93" s="6">
        <f>OR(ROUND(L93-ROUND(G93-T93,2),2)&lt;=0,AND(I93,K93&lt;&gt;"",(A93-D93+1)=K93))</f>
        <v/>
      </c>
      <c r="T93" s="21">
        <f>IF(M93&lt;&gt;"",M93,ROUND(L93*F93,2))</f>
        <v/>
      </c>
      <c r="U93" s="21">
        <f>IF(R93,IF(O93&lt;&gt;"",O93,IF(N93&lt;&gt;"",ROUND(L93-N93,2),ROUND((IF(P93&lt;&gt;"",P93,G93))-T93,2))),IF(H93,0,IF(S93,L93,ROUND(G93-T93,2))))</f>
        <v/>
      </c>
      <c r="V93" s="21">
        <f>IF(R93,IF(P93&lt;&gt;"",P93,ROUND(T93+U93,2)),IF(H93,T93,IF(S93,ROUND(T93+U93,2),G93)))</f>
        <v/>
      </c>
      <c r="W93" s="21">
        <f>IF(R93,IF(N93&lt;&gt;"",N93,ROUND(L93-U93,2)),IF(H93,L93,IF(S93,0,ROUND(L93-U93,2))))</f>
        <v/>
      </c>
      <c r="X93" s="21">
        <f>IFERROR(MIN(INDEX(LumpSums!$B:$B,MATCH(A93,LumpSums!$A:$A,0)),W93),0)</f>
        <v/>
      </c>
      <c r="Y93" s="21">
        <f>ROUND(U93+X93,2)</f>
        <v/>
      </c>
      <c r="Z93" s="21">
        <f>ROUND(V93+X93,2)</f>
        <v/>
      </c>
      <c r="AA93" s="21">
        <f>ROUND(W93-X93,2)</f>
        <v/>
      </c>
      <c r="AB93" s="6">
        <f>AND(AB92,L93&gt;0)</f>
        <v/>
      </c>
      <c r="AC93" s="21">
        <f>IF(PMI_Costs!$B$8=0,0,ROUND(PMI_Costs!$B$8*(1+PMI_Costs!$B$9/100)^INT((A93-1)/12)/12,2))</f>
        <v/>
      </c>
      <c r="AD93" s="21">
        <f>IF(PMI_Costs!$B$10=0,0,ROUND(PMI_Costs!$B$10*(1+PMI_Costs!$B$11/100)^INT((A93-1)/12)/12,2))</f>
        <v/>
      </c>
      <c r="AE93" s="21">
        <f>IF(PMI_Costs!$B$12=0,0,ROUND(PMI_Costs!$B$12*(1+PMI_Costs!$B$13/100)^INT((A93-1)/12)/12,2))</f>
        <v/>
      </c>
      <c r="AF93" s="22">
        <f>IF(PMI_Costs!$B$5=0,0,AA93/PMI_Costs!$B$5)</f>
        <v/>
      </c>
      <c r="AG93" s="6">
        <f>AND(PMI_Costs!$B$4&gt;0,AF93&gt;PMI_Costs!$B$6/100)</f>
        <v/>
      </c>
      <c r="AH93" s="21">
        <f>IF(AG93,ROUND(Segments!$G$5*PMI_Costs!$B$4/100/12,2),0)</f>
        <v/>
      </c>
      <c r="AI93" s="6">
        <f>AND(NOT(AG93),AG92)</f>
        <v/>
      </c>
    </row>
    <row r="94">
      <c r="A94" s="18" t="n">
        <v>90</v>
      </c>
      <c r="B94" s="18">
        <f>SUMPRODUCT((Segments!$J$5:$J$12&lt;&gt;"")*(Segments!$J$5:$J$12&lt;=A94))</f>
        <v/>
      </c>
      <c r="C94" s="19">
        <f>INDEX(Segments!$B$5:$B$12,B94)</f>
        <v/>
      </c>
      <c r="D94" s="18">
        <f>INDEX(Segments!$J$5:$J$12,B94)</f>
        <v/>
      </c>
      <c r="E94" s="19">
        <f>DATE(YEAR(C94)+INT((MONTH(C94)-1+(A94-D94))/12),MOD(MONTH(C94)-1+(A94-D94),12)+1,1)+(DAY(C94)-1)</f>
        <v/>
      </c>
      <c r="F94" s="20">
        <f>INDEX(Segments!$C$5:$C$12,B94)/100/12</f>
        <v/>
      </c>
      <c r="G94" s="21">
        <f>INDEX(Segments!$L$5:$L$12,B94)</f>
        <v/>
      </c>
      <c r="H94" s="6">
        <f>INDEX(Segments!$I$5:$I$12,B94)="Y"</f>
        <v/>
      </c>
      <c r="I94" s="6">
        <f>INDEX(Segments!$F$5:$F$12,B94)=""</f>
        <v/>
      </c>
      <c r="J94" s="18">
        <f>INDEX(Segments!$K$5:$K$12,B94)</f>
        <v/>
      </c>
      <c r="K94" s="18">
        <f>IF(INDEX(Segments!$F$5:$F$12,B94)&lt;&gt;"",INDEX(Segments!$F$5:$F$12,B94),IF(INDEX(Segments!$E$5:$E$12,B94)&lt;&gt;"",INDEX(Segments!$E$5:$E$12,B94),""))</f>
        <v/>
      </c>
      <c r="L94" s="21">
        <f>AA93</f>
        <v/>
      </c>
      <c r="M94" s="21">
        <f>IFERROR(INDEX(Overrides!$C:$C,MATCH(A94,Overrides!$A:$A,0)),"")</f>
        <v/>
      </c>
      <c r="N94" s="21">
        <f>IFERROR(INDEX(Overrides!$E:$E,MATCH(A94,Overrides!$A:$A,0)),"")</f>
        <v/>
      </c>
      <c r="O94" s="21">
        <f>IFERROR(INDEX(Overrides!$D:$D,MATCH(A94,Overrides!$A:$A,0)),"")</f>
        <v/>
      </c>
      <c r="P94" s="21">
        <f>IFERROR(INDEX(Overrides!$B:$B,MATCH(A94,Overrides!$A:$A,0)),"")</f>
        <v/>
      </c>
      <c r="Q94" s="6">
        <f>IFERROR(INDEX(Overrides!$F:$F,MATCH(A94,Overrides!$A:$A,0)),"")</f>
        <v/>
      </c>
      <c r="R94" s="6">
        <f>ISNUMBER(MATCH(A94,Overrides!$A:$A,0))</f>
        <v/>
      </c>
      <c r="S94" s="6">
        <f>OR(ROUND(L94-ROUND(G94-T94,2),2)&lt;=0,AND(I94,K94&lt;&gt;"",(A94-D94+1)=K94))</f>
        <v/>
      </c>
      <c r="T94" s="21">
        <f>IF(M94&lt;&gt;"",M94,ROUND(L94*F94,2))</f>
        <v/>
      </c>
      <c r="U94" s="21">
        <f>IF(R94,IF(O94&lt;&gt;"",O94,IF(N94&lt;&gt;"",ROUND(L94-N94,2),ROUND((IF(P94&lt;&gt;"",P94,G94))-T94,2))),IF(H94,0,IF(S94,L94,ROUND(G94-T94,2))))</f>
        <v/>
      </c>
      <c r="V94" s="21">
        <f>IF(R94,IF(P94&lt;&gt;"",P94,ROUND(T94+U94,2)),IF(H94,T94,IF(S94,ROUND(T94+U94,2),G94)))</f>
        <v/>
      </c>
      <c r="W94" s="21">
        <f>IF(R94,IF(N94&lt;&gt;"",N94,ROUND(L94-U94,2)),IF(H94,L94,IF(S94,0,ROUND(L94-U94,2))))</f>
        <v/>
      </c>
      <c r="X94" s="21">
        <f>IFERROR(MIN(INDEX(LumpSums!$B:$B,MATCH(A94,LumpSums!$A:$A,0)),W94),0)</f>
        <v/>
      </c>
      <c r="Y94" s="21">
        <f>ROUND(U94+X94,2)</f>
        <v/>
      </c>
      <c r="Z94" s="21">
        <f>ROUND(V94+X94,2)</f>
        <v/>
      </c>
      <c r="AA94" s="21">
        <f>ROUND(W94-X94,2)</f>
        <v/>
      </c>
      <c r="AB94" s="6">
        <f>AND(AB93,L94&gt;0)</f>
        <v/>
      </c>
      <c r="AC94" s="21">
        <f>IF(PMI_Costs!$B$8=0,0,ROUND(PMI_Costs!$B$8*(1+PMI_Costs!$B$9/100)^INT((A94-1)/12)/12,2))</f>
        <v/>
      </c>
      <c r="AD94" s="21">
        <f>IF(PMI_Costs!$B$10=0,0,ROUND(PMI_Costs!$B$10*(1+PMI_Costs!$B$11/100)^INT((A94-1)/12)/12,2))</f>
        <v/>
      </c>
      <c r="AE94" s="21">
        <f>IF(PMI_Costs!$B$12=0,0,ROUND(PMI_Costs!$B$12*(1+PMI_Costs!$B$13/100)^INT((A94-1)/12)/12,2))</f>
        <v/>
      </c>
      <c r="AF94" s="22">
        <f>IF(PMI_Costs!$B$5=0,0,AA94/PMI_Costs!$B$5)</f>
        <v/>
      </c>
      <c r="AG94" s="6">
        <f>AND(PMI_Costs!$B$4&gt;0,AF94&gt;PMI_Costs!$B$6/100)</f>
        <v/>
      </c>
      <c r="AH94" s="21">
        <f>IF(AG94,ROUND(Segments!$G$5*PMI_Costs!$B$4/100/12,2),0)</f>
        <v/>
      </c>
      <c r="AI94" s="6">
        <f>AND(NOT(AG94),AG93)</f>
        <v/>
      </c>
    </row>
    <row r="95">
      <c r="A95" s="18" t="n">
        <v>91</v>
      </c>
      <c r="B95" s="18">
        <f>SUMPRODUCT((Segments!$J$5:$J$12&lt;&gt;"")*(Segments!$J$5:$J$12&lt;=A95))</f>
        <v/>
      </c>
      <c r="C95" s="19">
        <f>INDEX(Segments!$B$5:$B$12,B95)</f>
        <v/>
      </c>
      <c r="D95" s="18">
        <f>INDEX(Segments!$J$5:$J$12,B95)</f>
        <v/>
      </c>
      <c r="E95" s="19">
        <f>DATE(YEAR(C95)+INT((MONTH(C95)-1+(A95-D95))/12),MOD(MONTH(C95)-1+(A95-D95),12)+1,1)+(DAY(C95)-1)</f>
        <v/>
      </c>
      <c r="F95" s="20">
        <f>INDEX(Segments!$C$5:$C$12,B95)/100/12</f>
        <v/>
      </c>
      <c r="G95" s="21">
        <f>INDEX(Segments!$L$5:$L$12,B95)</f>
        <v/>
      </c>
      <c r="H95" s="6">
        <f>INDEX(Segments!$I$5:$I$12,B95)="Y"</f>
        <v/>
      </c>
      <c r="I95" s="6">
        <f>INDEX(Segments!$F$5:$F$12,B95)=""</f>
        <v/>
      </c>
      <c r="J95" s="18">
        <f>INDEX(Segments!$K$5:$K$12,B95)</f>
        <v/>
      </c>
      <c r="K95" s="18">
        <f>IF(INDEX(Segments!$F$5:$F$12,B95)&lt;&gt;"",INDEX(Segments!$F$5:$F$12,B95),IF(INDEX(Segments!$E$5:$E$12,B95)&lt;&gt;"",INDEX(Segments!$E$5:$E$12,B95),""))</f>
        <v/>
      </c>
      <c r="L95" s="21">
        <f>AA94</f>
        <v/>
      </c>
      <c r="M95" s="21">
        <f>IFERROR(INDEX(Overrides!$C:$C,MATCH(A95,Overrides!$A:$A,0)),"")</f>
        <v/>
      </c>
      <c r="N95" s="21">
        <f>IFERROR(INDEX(Overrides!$E:$E,MATCH(A95,Overrides!$A:$A,0)),"")</f>
        <v/>
      </c>
      <c r="O95" s="21">
        <f>IFERROR(INDEX(Overrides!$D:$D,MATCH(A95,Overrides!$A:$A,0)),"")</f>
        <v/>
      </c>
      <c r="P95" s="21">
        <f>IFERROR(INDEX(Overrides!$B:$B,MATCH(A95,Overrides!$A:$A,0)),"")</f>
        <v/>
      </c>
      <c r="Q95" s="6">
        <f>IFERROR(INDEX(Overrides!$F:$F,MATCH(A95,Overrides!$A:$A,0)),"")</f>
        <v/>
      </c>
      <c r="R95" s="6">
        <f>ISNUMBER(MATCH(A95,Overrides!$A:$A,0))</f>
        <v/>
      </c>
      <c r="S95" s="6">
        <f>OR(ROUND(L95-ROUND(G95-T95,2),2)&lt;=0,AND(I95,K95&lt;&gt;"",(A95-D95+1)=K95))</f>
        <v/>
      </c>
      <c r="T95" s="21">
        <f>IF(M95&lt;&gt;"",M95,ROUND(L95*F95,2))</f>
        <v/>
      </c>
      <c r="U95" s="21">
        <f>IF(R95,IF(O95&lt;&gt;"",O95,IF(N95&lt;&gt;"",ROUND(L95-N95,2),ROUND((IF(P95&lt;&gt;"",P95,G95))-T95,2))),IF(H95,0,IF(S95,L95,ROUND(G95-T95,2))))</f>
        <v/>
      </c>
      <c r="V95" s="21">
        <f>IF(R95,IF(P95&lt;&gt;"",P95,ROUND(T95+U95,2)),IF(H95,T95,IF(S95,ROUND(T95+U95,2),G95)))</f>
        <v/>
      </c>
      <c r="W95" s="21">
        <f>IF(R95,IF(N95&lt;&gt;"",N95,ROUND(L95-U95,2)),IF(H95,L95,IF(S95,0,ROUND(L95-U95,2))))</f>
        <v/>
      </c>
      <c r="X95" s="21">
        <f>IFERROR(MIN(INDEX(LumpSums!$B:$B,MATCH(A95,LumpSums!$A:$A,0)),W95),0)</f>
        <v/>
      </c>
      <c r="Y95" s="21">
        <f>ROUND(U95+X95,2)</f>
        <v/>
      </c>
      <c r="Z95" s="21">
        <f>ROUND(V95+X95,2)</f>
        <v/>
      </c>
      <c r="AA95" s="21">
        <f>ROUND(W95-X95,2)</f>
        <v/>
      </c>
      <c r="AB95" s="6">
        <f>AND(AB94,L95&gt;0)</f>
        <v/>
      </c>
      <c r="AC95" s="21">
        <f>IF(PMI_Costs!$B$8=0,0,ROUND(PMI_Costs!$B$8*(1+PMI_Costs!$B$9/100)^INT((A95-1)/12)/12,2))</f>
        <v/>
      </c>
      <c r="AD95" s="21">
        <f>IF(PMI_Costs!$B$10=0,0,ROUND(PMI_Costs!$B$10*(1+PMI_Costs!$B$11/100)^INT((A95-1)/12)/12,2))</f>
        <v/>
      </c>
      <c r="AE95" s="21">
        <f>IF(PMI_Costs!$B$12=0,0,ROUND(PMI_Costs!$B$12*(1+PMI_Costs!$B$13/100)^INT((A95-1)/12)/12,2))</f>
        <v/>
      </c>
      <c r="AF95" s="22">
        <f>IF(PMI_Costs!$B$5=0,0,AA95/PMI_Costs!$B$5)</f>
        <v/>
      </c>
      <c r="AG95" s="6">
        <f>AND(PMI_Costs!$B$4&gt;0,AF95&gt;PMI_Costs!$B$6/100)</f>
        <v/>
      </c>
      <c r="AH95" s="21">
        <f>IF(AG95,ROUND(Segments!$G$5*PMI_Costs!$B$4/100/12,2),0)</f>
        <v/>
      </c>
      <c r="AI95" s="6">
        <f>AND(NOT(AG95),AG94)</f>
        <v/>
      </c>
    </row>
    <row r="96">
      <c r="A96" s="18" t="n">
        <v>92</v>
      </c>
      <c r="B96" s="18">
        <f>SUMPRODUCT((Segments!$J$5:$J$12&lt;&gt;"")*(Segments!$J$5:$J$12&lt;=A96))</f>
        <v/>
      </c>
      <c r="C96" s="19">
        <f>INDEX(Segments!$B$5:$B$12,B96)</f>
        <v/>
      </c>
      <c r="D96" s="18">
        <f>INDEX(Segments!$J$5:$J$12,B96)</f>
        <v/>
      </c>
      <c r="E96" s="19">
        <f>DATE(YEAR(C96)+INT((MONTH(C96)-1+(A96-D96))/12),MOD(MONTH(C96)-1+(A96-D96),12)+1,1)+(DAY(C96)-1)</f>
        <v/>
      </c>
      <c r="F96" s="20">
        <f>INDEX(Segments!$C$5:$C$12,B96)/100/12</f>
        <v/>
      </c>
      <c r="G96" s="21">
        <f>INDEX(Segments!$L$5:$L$12,B96)</f>
        <v/>
      </c>
      <c r="H96" s="6">
        <f>INDEX(Segments!$I$5:$I$12,B96)="Y"</f>
        <v/>
      </c>
      <c r="I96" s="6">
        <f>INDEX(Segments!$F$5:$F$12,B96)=""</f>
        <v/>
      </c>
      <c r="J96" s="18">
        <f>INDEX(Segments!$K$5:$K$12,B96)</f>
        <v/>
      </c>
      <c r="K96" s="18">
        <f>IF(INDEX(Segments!$F$5:$F$12,B96)&lt;&gt;"",INDEX(Segments!$F$5:$F$12,B96),IF(INDEX(Segments!$E$5:$E$12,B96)&lt;&gt;"",INDEX(Segments!$E$5:$E$12,B96),""))</f>
        <v/>
      </c>
      <c r="L96" s="21">
        <f>AA95</f>
        <v/>
      </c>
      <c r="M96" s="21">
        <f>IFERROR(INDEX(Overrides!$C:$C,MATCH(A96,Overrides!$A:$A,0)),"")</f>
        <v/>
      </c>
      <c r="N96" s="21">
        <f>IFERROR(INDEX(Overrides!$E:$E,MATCH(A96,Overrides!$A:$A,0)),"")</f>
        <v/>
      </c>
      <c r="O96" s="21">
        <f>IFERROR(INDEX(Overrides!$D:$D,MATCH(A96,Overrides!$A:$A,0)),"")</f>
        <v/>
      </c>
      <c r="P96" s="21">
        <f>IFERROR(INDEX(Overrides!$B:$B,MATCH(A96,Overrides!$A:$A,0)),"")</f>
        <v/>
      </c>
      <c r="Q96" s="6">
        <f>IFERROR(INDEX(Overrides!$F:$F,MATCH(A96,Overrides!$A:$A,0)),"")</f>
        <v/>
      </c>
      <c r="R96" s="6">
        <f>ISNUMBER(MATCH(A96,Overrides!$A:$A,0))</f>
        <v/>
      </c>
      <c r="S96" s="6">
        <f>OR(ROUND(L96-ROUND(G96-T96,2),2)&lt;=0,AND(I96,K96&lt;&gt;"",(A96-D96+1)=K96))</f>
        <v/>
      </c>
      <c r="T96" s="21">
        <f>IF(M96&lt;&gt;"",M96,ROUND(L96*F96,2))</f>
        <v/>
      </c>
      <c r="U96" s="21">
        <f>IF(R96,IF(O96&lt;&gt;"",O96,IF(N96&lt;&gt;"",ROUND(L96-N96,2),ROUND((IF(P96&lt;&gt;"",P96,G96))-T96,2))),IF(H96,0,IF(S96,L96,ROUND(G96-T96,2))))</f>
        <v/>
      </c>
      <c r="V96" s="21">
        <f>IF(R96,IF(P96&lt;&gt;"",P96,ROUND(T96+U96,2)),IF(H96,T96,IF(S96,ROUND(T96+U96,2),G96)))</f>
        <v/>
      </c>
      <c r="W96" s="21">
        <f>IF(R96,IF(N96&lt;&gt;"",N96,ROUND(L96-U96,2)),IF(H96,L96,IF(S96,0,ROUND(L96-U96,2))))</f>
        <v/>
      </c>
      <c r="X96" s="21">
        <f>IFERROR(MIN(INDEX(LumpSums!$B:$B,MATCH(A96,LumpSums!$A:$A,0)),W96),0)</f>
        <v/>
      </c>
      <c r="Y96" s="21">
        <f>ROUND(U96+X96,2)</f>
        <v/>
      </c>
      <c r="Z96" s="21">
        <f>ROUND(V96+X96,2)</f>
        <v/>
      </c>
      <c r="AA96" s="21">
        <f>ROUND(W96-X96,2)</f>
        <v/>
      </c>
      <c r="AB96" s="6">
        <f>AND(AB95,L96&gt;0)</f>
        <v/>
      </c>
      <c r="AC96" s="21">
        <f>IF(PMI_Costs!$B$8=0,0,ROUND(PMI_Costs!$B$8*(1+PMI_Costs!$B$9/100)^INT((A96-1)/12)/12,2))</f>
        <v/>
      </c>
      <c r="AD96" s="21">
        <f>IF(PMI_Costs!$B$10=0,0,ROUND(PMI_Costs!$B$10*(1+PMI_Costs!$B$11/100)^INT((A96-1)/12)/12,2))</f>
        <v/>
      </c>
      <c r="AE96" s="21">
        <f>IF(PMI_Costs!$B$12=0,0,ROUND(PMI_Costs!$B$12*(1+PMI_Costs!$B$13/100)^INT((A96-1)/12)/12,2))</f>
        <v/>
      </c>
      <c r="AF96" s="22">
        <f>IF(PMI_Costs!$B$5=0,0,AA96/PMI_Costs!$B$5)</f>
        <v/>
      </c>
      <c r="AG96" s="6">
        <f>AND(PMI_Costs!$B$4&gt;0,AF96&gt;PMI_Costs!$B$6/100)</f>
        <v/>
      </c>
      <c r="AH96" s="21">
        <f>IF(AG96,ROUND(Segments!$G$5*PMI_Costs!$B$4/100/12,2),0)</f>
        <v/>
      </c>
      <c r="AI96" s="6">
        <f>AND(NOT(AG96),AG95)</f>
        <v/>
      </c>
    </row>
    <row r="97">
      <c r="A97" s="18" t="n">
        <v>93</v>
      </c>
      <c r="B97" s="18">
        <f>SUMPRODUCT((Segments!$J$5:$J$12&lt;&gt;"")*(Segments!$J$5:$J$12&lt;=A97))</f>
        <v/>
      </c>
      <c r="C97" s="19">
        <f>INDEX(Segments!$B$5:$B$12,B97)</f>
        <v/>
      </c>
      <c r="D97" s="18">
        <f>INDEX(Segments!$J$5:$J$12,B97)</f>
        <v/>
      </c>
      <c r="E97" s="19">
        <f>DATE(YEAR(C97)+INT((MONTH(C97)-1+(A97-D97))/12),MOD(MONTH(C97)-1+(A97-D97),12)+1,1)+(DAY(C97)-1)</f>
        <v/>
      </c>
      <c r="F97" s="20">
        <f>INDEX(Segments!$C$5:$C$12,B97)/100/12</f>
        <v/>
      </c>
      <c r="G97" s="21">
        <f>INDEX(Segments!$L$5:$L$12,B97)</f>
        <v/>
      </c>
      <c r="H97" s="6">
        <f>INDEX(Segments!$I$5:$I$12,B97)="Y"</f>
        <v/>
      </c>
      <c r="I97" s="6">
        <f>INDEX(Segments!$F$5:$F$12,B97)=""</f>
        <v/>
      </c>
      <c r="J97" s="18">
        <f>INDEX(Segments!$K$5:$K$12,B97)</f>
        <v/>
      </c>
      <c r="K97" s="18">
        <f>IF(INDEX(Segments!$F$5:$F$12,B97)&lt;&gt;"",INDEX(Segments!$F$5:$F$12,B97),IF(INDEX(Segments!$E$5:$E$12,B97)&lt;&gt;"",INDEX(Segments!$E$5:$E$12,B97),""))</f>
        <v/>
      </c>
      <c r="L97" s="21">
        <f>AA96</f>
        <v/>
      </c>
      <c r="M97" s="21">
        <f>IFERROR(INDEX(Overrides!$C:$C,MATCH(A97,Overrides!$A:$A,0)),"")</f>
        <v/>
      </c>
      <c r="N97" s="21">
        <f>IFERROR(INDEX(Overrides!$E:$E,MATCH(A97,Overrides!$A:$A,0)),"")</f>
        <v/>
      </c>
      <c r="O97" s="21">
        <f>IFERROR(INDEX(Overrides!$D:$D,MATCH(A97,Overrides!$A:$A,0)),"")</f>
        <v/>
      </c>
      <c r="P97" s="21">
        <f>IFERROR(INDEX(Overrides!$B:$B,MATCH(A97,Overrides!$A:$A,0)),"")</f>
        <v/>
      </c>
      <c r="Q97" s="6">
        <f>IFERROR(INDEX(Overrides!$F:$F,MATCH(A97,Overrides!$A:$A,0)),"")</f>
        <v/>
      </c>
      <c r="R97" s="6">
        <f>ISNUMBER(MATCH(A97,Overrides!$A:$A,0))</f>
        <v/>
      </c>
      <c r="S97" s="6">
        <f>OR(ROUND(L97-ROUND(G97-T97,2),2)&lt;=0,AND(I97,K97&lt;&gt;"",(A97-D97+1)=K97))</f>
        <v/>
      </c>
      <c r="T97" s="21">
        <f>IF(M97&lt;&gt;"",M97,ROUND(L97*F97,2))</f>
        <v/>
      </c>
      <c r="U97" s="21">
        <f>IF(R97,IF(O97&lt;&gt;"",O97,IF(N97&lt;&gt;"",ROUND(L97-N97,2),ROUND((IF(P97&lt;&gt;"",P97,G97))-T97,2))),IF(H97,0,IF(S97,L97,ROUND(G97-T97,2))))</f>
        <v/>
      </c>
      <c r="V97" s="21">
        <f>IF(R97,IF(P97&lt;&gt;"",P97,ROUND(T97+U97,2)),IF(H97,T97,IF(S97,ROUND(T97+U97,2),G97)))</f>
        <v/>
      </c>
      <c r="W97" s="21">
        <f>IF(R97,IF(N97&lt;&gt;"",N97,ROUND(L97-U97,2)),IF(H97,L97,IF(S97,0,ROUND(L97-U97,2))))</f>
        <v/>
      </c>
      <c r="X97" s="21">
        <f>IFERROR(MIN(INDEX(LumpSums!$B:$B,MATCH(A97,LumpSums!$A:$A,0)),W97),0)</f>
        <v/>
      </c>
      <c r="Y97" s="21">
        <f>ROUND(U97+X97,2)</f>
        <v/>
      </c>
      <c r="Z97" s="21">
        <f>ROUND(V97+X97,2)</f>
        <v/>
      </c>
      <c r="AA97" s="21">
        <f>ROUND(W97-X97,2)</f>
        <v/>
      </c>
      <c r="AB97" s="6">
        <f>AND(AB96,L97&gt;0)</f>
        <v/>
      </c>
      <c r="AC97" s="21">
        <f>IF(PMI_Costs!$B$8=0,0,ROUND(PMI_Costs!$B$8*(1+PMI_Costs!$B$9/100)^INT((A97-1)/12)/12,2))</f>
        <v/>
      </c>
      <c r="AD97" s="21">
        <f>IF(PMI_Costs!$B$10=0,0,ROUND(PMI_Costs!$B$10*(1+PMI_Costs!$B$11/100)^INT((A97-1)/12)/12,2))</f>
        <v/>
      </c>
      <c r="AE97" s="21">
        <f>IF(PMI_Costs!$B$12=0,0,ROUND(PMI_Costs!$B$12*(1+PMI_Costs!$B$13/100)^INT((A97-1)/12)/12,2))</f>
        <v/>
      </c>
      <c r="AF97" s="22">
        <f>IF(PMI_Costs!$B$5=0,0,AA97/PMI_Costs!$B$5)</f>
        <v/>
      </c>
      <c r="AG97" s="6">
        <f>AND(PMI_Costs!$B$4&gt;0,AF97&gt;PMI_Costs!$B$6/100)</f>
        <v/>
      </c>
      <c r="AH97" s="21">
        <f>IF(AG97,ROUND(Segments!$G$5*PMI_Costs!$B$4/100/12,2),0)</f>
        <v/>
      </c>
      <c r="AI97" s="6">
        <f>AND(NOT(AG97),AG96)</f>
        <v/>
      </c>
    </row>
    <row r="98">
      <c r="A98" s="18" t="n">
        <v>94</v>
      </c>
      <c r="B98" s="18">
        <f>SUMPRODUCT((Segments!$J$5:$J$12&lt;&gt;"")*(Segments!$J$5:$J$12&lt;=A98))</f>
        <v/>
      </c>
      <c r="C98" s="19">
        <f>INDEX(Segments!$B$5:$B$12,B98)</f>
        <v/>
      </c>
      <c r="D98" s="18">
        <f>INDEX(Segments!$J$5:$J$12,B98)</f>
        <v/>
      </c>
      <c r="E98" s="19">
        <f>DATE(YEAR(C98)+INT((MONTH(C98)-1+(A98-D98))/12),MOD(MONTH(C98)-1+(A98-D98),12)+1,1)+(DAY(C98)-1)</f>
        <v/>
      </c>
      <c r="F98" s="20">
        <f>INDEX(Segments!$C$5:$C$12,B98)/100/12</f>
        <v/>
      </c>
      <c r="G98" s="21">
        <f>INDEX(Segments!$L$5:$L$12,B98)</f>
        <v/>
      </c>
      <c r="H98" s="6">
        <f>INDEX(Segments!$I$5:$I$12,B98)="Y"</f>
        <v/>
      </c>
      <c r="I98" s="6">
        <f>INDEX(Segments!$F$5:$F$12,B98)=""</f>
        <v/>
      </c>
      <c r="J98" s="18">
        <f>INDEX(Segments!$K$5:$K$12,B98)</f>
        <v/>
      </c>
      <c r="K98" s="18">
        <f>IF(INDEX(Segments!$F$5:$F$12,B98)&lt;&gt;"",INDEX(Segments!$F$5:$F$12,B98),IF(INDEX(Segments!$E$5:$E$12,B98)&lt;&gt;"",INDEX(Segments!$E$5:$E$12,B98),""))</f>
        <v/>
      </c>
      <c r="L98" s="21">
        <f>AA97</f>
        <v/>
      </c>
      <c r="M98" s="21">
        <f>IFERROR(INDEX(Overrides!$C:$C,MATCH(A98,Overrides!$A:$A,0)),"")</f>
        <v/>
      </c>
      <c r="N98" s="21">
        <f>IFERROR(INDEX(Overrides!$E:$E,MATCH(A98,Overrides!$A:$A,0)),"")</f>
        <v/>
      </c>
      <c r="O98" s="21">
        <f>IFERROR(INDEX(Overrides!$D:$D,MATCH(A98,Overrides!$A:$A,0)),"")</f>
        <v/>
      </c>
      <c r="P98" s="21">
        <f>IFERROR(INDEX(Overrides!$B:$B,MATCH(A98,Overrides!$A:$A,0)),"")</f>
        <v/>
      </c>
      <c r="Q98" s="6">
        <f>IFERROR(INDEX(Overrides!$F:$F,MATCH(A98,Overrides!$A:$A,0)),"")</f>
        <v/>
      </c>
      <c r="R98" s="6">
        <f>ISNUMBER(MATCH(A98,Overrides!$A:$A,0))</f>
        <v/>
      </c>
      <c r="S98" s="6">
        <f>OR(ROUND(L98-ROUND(G98-T98,2),2)&lt;=0,AND(I98,K98&lt;&gt;"",(A98-D98+1)=K98))</f>
        <v/>
      </c>
      <c r="T98" s="21">
        <f>IF(M98&lt;&gt;"",M98,ROUND(L98*F98,2))</f>
        <v/>
      </c>
      <c r="U98" s="21">
        <f>IF(R98,IF(O98&lt;&gt;"",O98,IF(N98&lt;&gt;"",ROUND(L98-N98,2),ROUND((IF(P98&lt;&gt;"",P98,G98))-T98,2))),IF(H98,0,IF(S98,L98,ROUND(G98-T98,2))))</f>
        <v/>
      </c>
      <c r="V98" s="21">
        <f>IF(R98,IF(P98&lt;&gt;"",P98,ROUND(T98+U98,2)),IF(H98,T98,IF(S98,ROUND(T98+U98,2),G98)))</f>
        <v/>
      </c>
      <c r="W98" s="21">
        <f>IF(R98,IF(N98&lt;&gt;"",N98,ROUND(L98-U98,2)),IF(H98,L98,IF(S98,0,ROUND(L98-U98,2))))</f>
        <v/>
      </c>
      <c r="X98" s="21">
        <f>IFERROR(MIN(INDEX(LumpSums!$B:$B,MATCH(A98,LumpSums!$A:$A,0)),W98),0)</f>
        <v/>
      </c>
      <c r="Y98" s="21">
        <f>ROUND(U98+X98,2)</f>
        <v/>
      </c>
      <c r="Z98" s="21">
        <f>ROUND(V98+X98,2)</f>
        <v/>
      </c>
      <c r="AA98" s="21">
        <f>ROUND(W98-X98,2)</f>
        <v/>
      </c>
      <c r="AB98" s="6">
        <f>AND(AB97,L98&gt;0)</f>
        <v/>
      </c>
      <c r="AC98" s="21">
        <f>IF(PMI_Costs!$B$8=0,0,ROUND(PMI_Costs!$B$8*(1+PMI_Costs!$B$9/100)^INT((A98-1)/12)/12,2))</f>
        <v/>
      </c>
      <c r="AD98" s="21">
        <f>IF(PMI_Costs!$B$10=0,0,ROUND(PMI_Costs!$B$10*(1+PMI_Costs!$B$11/100)^INT((A98-1)/12)/12,2))</f>
        <v/>
      </c>
      <c r="AE98" s="21">
        <f>IF(PMI_Costs!$B$12=0,0,ROUND(PMI_Costs!$B$12*(1+PMI_Costs!$B$13/100)^INT((A98-1)/12)/12,2))</f>
        <v/>
      </c>
      <c r="AF98" s="22">
        <f>IF(PMI_Costs!$B$5=0,0,AA98/PMI_Costs!$B$5)</f>
        <v/>
      </c>
      <c r="AG98" s="6">
        <f>AND(PMI_Costs!$B$4&gt;0,AF98&gt;PMI_Costs!$B$6/100)</f>
        <v/>
      </c>
      <c r="AH98" s="21">
        <f>IF(AG98,ROUND(Segments!$G$5*PMI_Costs!$B$4/100/12,2),0)</f>
        <v/>
      </c>
      <c r="AI98" s="6">
        <f>AND(NOT(AG98),AG97)</f>
        <v/>
      </c>
    </row>
    <row r="99">
      <c r="A99" s="18" t="n">
        <v>95</v>
      </c>
      <c r="B99" s="18">
        <f>SUMPRODUCT((Segments!$J$5:$J$12&lt;&gt;"")*(Segments!$J$5:$J$12&lt;=A99))</f>
        <v/>
      </c>
      <c r="C99" s="19">
        <f>INDEX(Segments!$B$5:$B$12,B99)</f>
        <v/>
      </c>
      <c r="D99" s="18">
        <f>INDEX(Segments!$J$5:$J$12,B99)</f>
        <v/>
      </c>
      <c r="E99" s="19">
        <f>DATE(YEAR(C99)+INT((MONTH(C99)-1+(A99-D99))/12),MOD(MONTH(C99)-1+(A99-D99),12)+1,1)+(DAY(C99)-1)</f>
        <v/>
      </c>
      <c r="F99" s="20">
        <f>INDEX(Segments!$C$5:$C$12,B99)/100/12</f>
        <v/>
      </c>
      <c r="G99" s="21">
        <f>INDEX(Segments!$L$5:$L$12,B99)</f>
        <v/>
      </c>
      <c r="H99" s="6">
        <f>INDEX(Segments!$I$5:$I$12,B99)="Y"</f>
        <v/>
      </c>
      <c r="I99" s="6">
        <f>INDEX(Segments!$F$5:$F$12,B99)=""</f>
        <v/>
      </c>
      <c r="J99" s="18">
        <f>INDEX(Segments!$K$5:$K$12,B99)</f>
        <v/>
      </c>
      <c r="K99" s="18">
        <f>IF(INDEX(Segments!$F$5:$F$12,B99)&lt;&gt;"",INDEX(Segments!$F$5:$F$12,B99),IF(INDEX(Segments!$E$5:$E$12,B99)&lt;&gt;"",INDEX(Segments!$E$5:$E$12,B99),""))</f>
        <v/>
      </c>
      <c r="L99" s="21">
        <f>AA98</f>
        <v/>
      </c>
      <c r="M99" s="21">
        <f>IFERROR(INDEX(Overrides!$C:$C,MATCH(A99,Overrides!$A:$A,0)),"")</f>
        <v/>
      </c>
      <c r="N99" s="21">
        <f>IFERROR(INDEX(Overrides!$E:$E,MATCH(A99,Overrides!$A:$A,0)),"")</f>
        <v/>
      </c>
      <c r="O99" s="21">
        <f>IFERROR(INDEX(Overrides!$D:$D,MATCH(A99,Overrides!$A:$A,0)),"")</f>
        <v/>
      </c>
      <c r="P99" s="21">
        <f>IFERROR(INDEX(Overrides!$B:$B,MATCH(A99,Overrides!$A:$A,0)),"")</f>
        <v/>
      </c>
      <c r="Q99" s="6">
        <f>IFERROR(INDEX(Overrides!$F:$F,MATCH(A99,Overrides!$A:$A,0)),"")</f>
        <v/>
      </c>
      <c r="R99" s="6">
        <f>ISNUMBER(MATCH(A99,Overrides!$A:$A,0))</f>
        <v/>
      </c>
      <c r="S99" s="6">
        <f>OR(ROUND(L99-ROUND(G99-T99,2),2)&lt;=0,AND(I99,K99&lt;&gt;"",(A99-D99+1)=K99))</f>
        <v/>
      </c>
      <c r="T99" s="21">
        <f>IF(M99&lt;&gt;"",M99,ROUND(L99*F99,2))</f>
        <v/>
      </c>
      <c r="U99" s="21">
        <f>IF(R99,IF(O99&lt;&gt;"",O99,IF(N99&lt;&gt;"",ROUND(L99-N99,2),ROUND((IF(P99&lt;&gt;"",P99,G99))-T99,2))),IF(H99,0,IF(S99,L99,ROUND(G99-T99,2))))</f>
        <v/>
      </c>
      <c r="V99" s="21">
        <f>IF(R99,IF(P99&lt;&gt;"",P99,ROUND(T99+U99,2)),IF(H99,T99,IF(S99,ROUND(T99+U99,2),G99)))</f>
        <v/>
      </c>
      <c r="W99" s="21">
        <f>IF(R99,IF(N99&lt;&gt;"",N99,ROUND(L99-U99,2)),IF(H99,L99,IF(S99,0,ROUND(L99-U99,2))))</f>
        <v/>
      </c>
      <c r="X99" s="21">
        <f>IFERROR(MIN(INDEX(LumpSums!$B:$B,MATCH(A99,LumpSums!$A:$A,0)),W99),0)</f>
        <v/>
      </c>
      <c r="Y99" s="21">
        <f>ROUND(U99+X99,2)</f>
        <v/>
      </c>
      <c r="Z99" s="21">
        <f>ROUND(V99+X99,2)</f>
        <v/>
      </c>
      <c r="AA99" s="21">
        <f>ROUND(W99-X99,2)</f>
        <v/>
      </c>
      <c r="AB99" s="6">
        <f>AND(AB98,L99&gt;0)</f>
        <v/>
      </c>
      <c r="AC99" s="21">
        <f>IF(PMI_Costs!$B$8=0,0,ROUND(PMI_Costs!$B$8*(1+PMI_Costs!$B$9/100)^INT((A99-1)/12)/12,2))</f>
        <v/>
      </c>
      <c r="AD99" s="21">
        <f>IF(PMI_Costs!$B$10=0,0,ROUND(PMI_Costs!$B$10*(1+PMI_Costs!$B$11/100)^INT((A99-1)/12)/12,2))</f>
        <v/>
      </c>
      <c r="AE99" s="21">
        <f>IF(PMI_Costs!$B$12=0,0,ROUND(PMI_Costs!$B$12*(1+PMI_Costs!$B$13/100)^INT((A99-1)/12)/12,2))</f>
        <v/>
      </c>
      <c r="AF99" s="22">
        <f>IF(PMI_Costs!$B$5=0,0,AA99/PMI_Costs!$B$5)</f>
        <v/>
      </c>
      <c r="AG99" s="6">
        <f>AND(PMI_Costs!$B$4&gt;0,AF99&gt;PMI_Costs!$B$6/100)</f>
        <v/>
      </c>
      <c r="AH99" s="21">
        <f>IF(AG99,ROUND(Segments!$G$5*PMI_Costs!$B$4/100/12,2),0)</f>
        <v/>
      </c>
      <c r="AI99" s="6">
        <f>AND(NOT(AG99),AG98)</f>
        <v/>
      </c>
    </row>
    <row r="100">
      <c r="A100" s="18" t="n">
        <v>96</v>
      </c>
      <c r="B100" s="18">
        <f>SUMPRODUCT((Segments!$J$5:$J$12&lt;&gt;"")*(Segments!$J$5:$J$12&lt;=A100))</f>
        <v/>
      </c>
      <c r="C100" s="19">
        <f>INDEX(Segments!$B$5:$B$12,B100)</f>
        <v/>
      </c>
      <c r="D100" s="18">
        <f>INDEX(Segments!$J$5:$J$12,B100)</f>
        <v/>
      </c>
      <c r="E100" s="19">
        <f>DATE(YEAR(C100)+INT((MONTH(C100)-1+(A100-D100))/12),MOD(MONTH(C100)-1+(A100-D100),12)+1,1)+(DAY(C100)-1)</f>
        <v/>
      </c>
      <c r="F100" s="20">
        <f>INDEX(Segments!$C$5:$C$12,B100)/100/12</f>
        <v/>
      </c>
      <c r="G100" s="21">
        <f>INDEX(Segments!$L$5:$L$12,B100)</f>
        <v/>
      </c>
      <c r="H100" s="6">
        <f>INDEX(Segments!$I$5:$I$12,B100)="Y"</f>
        <v/>
      </c>
      <c r="I100" s="6">
        <f>INDEX(Segments!$F$5:$F$12,B100)=""</f>
        <v/>
      </c>
      <c r="J100" s="18">
        <f>INDEX(Segments!$K$5:$K$12,B100)</f>
        <v/>
      </c>
      <c r="K100" s="18">
        <f>IF(INDEX(Segments!$F$5:$F$12,B100)&lt;&gt;"",INDEX(Segments!$F$5:$F$12,B100),IF(INDEX(Segments!$E$5:$E$12,B100)&lt;&gt;"",INDEX(Segments!$E$5:$E$12,B100),""))</f>
        <v/>
      </c>
      <c r="L100" s="21">
        <f>AA99</f>
        <v/>
      </c>
      <c r="M100" s="21">
        <f>IFERROR(INDEX(Overrides!$C:$C,MATCH(A100,Overrides!$A:$A,0)),"")</f>
        <v/>
      </c>
      <c r="N100" s="21">
        <f>IFERROR(INDEX(Overrides!$E:$E,MATCH(A100,Overrides!$A:$A,0)),"")</f>
        <v/>
      </c>
      <c r="O100" s="21">
        <f>IFERROR(INDEX(Overrides!$D:$D,MATCH(A100,Overrides!$A:$A,0)),"")</f>
        <v/>
      </c>
      <c r="P100" s="21">
        <f>IFERROR(INDEX(Overrides!$B:$B,MATCH(A100,Overrides!$A:$A,0)),"")</f>
        <v/>
      </c>
      <c r="Q100" s="6">
        <f>IFERROR(INDEX(Overrides!$F:$F,MATCH(A100,Overrides!$A:$A,0)),"")</f>
        <v/>
      </c>
      <c r="R100" s="6">
        <f>ISNUMBER(MATCH(A100,Overrides!$A:$A,0))</f>
        <v/>
      </c>
      <c r="S100" s="6">
        <f>OR(ROUND(L100-ROUND(G100-T100,2),2)&lt;=0,AND(I100,K100&lt;&gt;"",(A100-D100+1)=K100))</f>
        <v/>
      </c>
      <c r="T100" s="21">
        <f>IF(M100&lt;&gt;"",M100,ROUND(L100*F100,2))</f>
        <v/>
      </c>
      <c r="U100" s="21">
        <f>IF(R100,IF(O100&lt;&gt;"",O100,IF(N100&lt;&gt;"",ROUND(L100-N100,2),ROUND((IF(P100&lt;&gt;"",P100,G100))-T100,2))),IF(H100,0,IF(S100,L100,ROUND(G100-T100,2))))</f>
        <v/>
      </c>
      <c r="V100" s="21">
        <f>IF(R100,IF(P100&lt;&gt;"",P100,ROUND(T100+U100,2)),IF(H100,T100,IF(S100,ROUND(T100+U100,2),G100)))</f>
        <v/>
      </c>
      <c r="W100" s="21">
        <f>IF(R100,IF(N100&lt;&gt;"",N100,ROUND(L100-U100,2)),IF(H100,L100,IF(S100,0,ROUND(L100-U100,2))))</f>
        <v/>
      </c>
      <c r="X100" s="21">
        <f>IFERROR(MIN(INDEX(LumpSums!$B:$B,MATCH(A100,LumpSums!$A:$A,0)),W100),0)</f>
        <v/>
      </c>
      <c r="Y100" s="21">
        <f>ROUND(U100+X100,2)</f>
        <v/>
      </c>
      <c r="Z100" s="21">
        <f>ROUND(V100+X100,2)</f>
        <v/>
      </c>
      <c r="AA100" s="21">
        <f>ROUND(W100-X100,2)</f>
        <v/>
      </c>
      <c r="AB100" s="6">
        <f>AND(AB99,L100&gt;0)</f>
        <v/>
      </c>
      <c r="AC100" s="21">
        <f>IF(PMI_Costs!$B$8=0,0,ROUND(PMI_Costs!$B$8*(1+PMI_Costs!$B$9/100)^INT((A100-1)/12)/12,2))</f>
        <v/>
      </c>
      <c r="AD100" s="21">
        <f>IF(PMI_Costs!$B$10=0,0,ROUND(PMI_Costs!$B$10*(1+PMI_Costs!$B$11/100)^INT((A100-1)/12)/12,2))</f>
        <v/>
      </c>
      <c r="AE100" s="21">
        <f>IF(PMI_Costs!$B$12=0,0,ROUND(PMI_Costs!$B$12*(1+PMI_Costs!$B$13/100)^INT((A100-1)/12)/12,2))</f>
        <v/>
      </c>
      <c r="AF100" s="22">
        <f>IF(PMI_Costs!$B$5=0,0,AA100/PMI_Costs!$B$5)</f>
        <v/>
      </c>
      <c r="AG100" s="6">
        <f>AND(PMI_Costs!$B$4&gt;0,AF100&gt;PMI_Costs!$B$6/100)</f>
        <v/>
      </c>
      <c r="AH100" s="21">
        <f>IF(AG100,ROUND(Segments!$G$5*PMI_Costs!$B$4/100/12,2),0)</f>
        <v/>
      </c>
      <c r="AI100" s="6">
        <f>AND(NOT(AG100),AG99)</f>
        <v/>
      </c>
    </row>
    <row r="101">
      <c r="A101" s="18" t="n">
        <v>97</v>
      </c>
      <c r="B101" s="18">
        <f>SUMPRODUCT((Segments!$J$5:$J$12&lt;&gt;"")*(Segments!$J$5:$J$12&lt;=A101))</f>
        <v/>
      </c>
      <c r="C101" s="19">
        <f>INDEX(Segments!$B$5:$B$12,B101)</f>
        <v/>
      </c>
      <c r="D101" s="18">
        <f>INDEX(Segments!$J$5:$J$12,B101)</f>
        <v/>
      </c>
      <c r="E101" s="19">
        <f>DATE(YEAR(C101)+INT((MONTH(C101)-1+(A101-D101))/12),MOD(MONTH(C101)-1+(A101-D101),12)+1,1)+(DAY(C101)-1)</f>
        <v/>
      </c>
      <c r="F101" s="20">
        <f>INDEX(Segments!$C$5:$C$12,B101)/100/12</f>
        <v/>
      </c>
      <c r="G101" s="21">
        <f>INDEX(Segments!$L$5:$L$12,B101)</f>
        <v/>
      </c>
      <c r="H101" s="6">
        <f>INDEX(Segments!$I$5:$I$12,B101)="Y"</f>
        <v/>
      </c>
      <c r="I101" s="6">
        <f>INDEX(Segments!$F$5:$F$12,B101)=""</f>
        <v/>
      </c>
      <c r="J101" s="18">
        <f>INDEX(Segments!$K$5:$K$12,B101)</f>
        <v/>
      </c>
      <c r="K101" s="18">
        <f>IF(INDEX(Segments!$F$5:$F$12,B101)&lt;&gt;"",INDEX(Segments!$F$5:$F$12,B101),IF(INDEX(Segments!$E$5:$E$12,B101)&lt;&gt;"",INDEX(Segments!$E$5:$E$12,B101),""))</f>
        <v/>
      </c>
      <c r="L101" s="21">
        <f>AA100</f>
        <v/>
      </c>
      <c r="M101" s="21">
        <f>IFERROR(INDEX(Overrides!$C:$C,MATCH(A101,Overrides!$A:$A,0)),"")</f>
        <v/>
      </c>
      <c r="N101" s="21">
        <f>IFERROR(INDEX(Overrides!$E:$E,MATCH(A101,Overrides!$A:$A,0)),"")</f>
        <v/>
      </c>
      <c r="O101" s="21">
        <f>IFERROR(INDEX(Overrides!$D:$D,MATCH(A101,Overrides!$A:$A,0)),"")</f>
        <v/>
      </c>
      <c r="P101" s="21">
        <f>IFERROR(INDEX(Overrides!$B:$B,MATCH(A101,Overrides!$A:$A,0)),"")</f>
        <v/>
      </c>
      <c r="Q101" s="6">
        <f>IFERROR(INDEX(Overrides!$F:$F,MATCH(A101,Overrides!$A:$A,0)),"")</f>
        <v/>
      </c>
      <c r="R101" s="6">
        <f>ISNUMBER(MATCH(A101,Overrides!$A:$A,0))</f>
        <v/>
      </c>
      <c r="S101" s="6">
        <f>OR(ROUND(L101-ROUND(G101-T101,2),2)&lt;=0,AND(I101,K101&lt;&gt;"",(A101-D101+1)=K101))</f>
        <v/>
      </c>
      <c r="T101" s="21">
        <f>IF(M101&lt;&gt;"",M101,ROUND(L101*F101,2))</f>
        <v/>
      </c>
      <c r="U101" s="21">
        <f>IF(R101,IF(O101&lt;&gt;"",O101,IF(N101&lt;&gt;"",ROUND(L101-N101,2),ROUND((IF(P101&lt;&gt;"",P101,G101))-T101,2))),IF(H101,0,IF(S101,L101,ROUND(G101-T101,2))))</f>
        <v/>
      </c>
      <c r="V101" s="21">
        <f>IF(R101,IF(P101&lt;&gt;"",P101,ROUND(T101+U101,2)),IF(H101,T101,IF(S101,ROUND(T101+U101,2),G101)))</f>
        <v/>
      </c>
      <c r="W101" s="21">
        <f>IF(R101,IF(N101&lt;&gt;"",N101,ROUND(L101-U101,2)),IF(H101,L101,IF(S101,0,ROUND(L101-U101,2))))</f>
        <v/>
      </c>
      <c r="X101" s="21">
        <f>IFERROR(MIN(INDEX(LumpSums!$B:$B,MATCH(A101,LumpSums!$A:$A,0)),W101),0)</f>
        <v/>
      </c>
      <c r="Y101" s="21">
        <f>ROUND(U101+X101,2)</f>
        <v/>
      </c>
      <c r="Z101" s="21">
        <f>ROUND(V101+X101,2)</f>
        <v/>
      </c>
      <c r="AA101" s="21">
        <f>ROUND(W101-X101,2)</f>
        <v/>
      </c>
      <c r="AB101" s="6">
        <f>AND(AB100,L101&gt;0)</f>
        <v/>
      </c>
      <c r="AC101" s="21">
        <f>IF(PMI_Costs!$B$8=0,0,ROUND(PMI_Costs!$B$8*(1+PMI_Costs!$B$9/100)^INT((A101-1)/12)/12,2))</f>
        <v/>
      </c>
      <c r="AD101" s="21">
        <f>IF(PMI_Costs!$B$10=0,0,ROUND(PMI_Costs!$B$10*(1+PMI_Costs!$B$11/100)^INT((A101-1)/12)/12,2))</f>
        <v/>
      </c>
      <c r="AE101" s="21">
        <f>IF(PMI_Costs!$B$12=0,0,ROUND(PMI_Costs!$B$12*(1+PMI_Costs!$B$13/100)^INT((A101-1)/12)/12,2))</f>
        <v/>
      </c>
      <c r="AF101" s="22">
        <f>IF(PMI_Costs!$B$5=0,0,AA101/PMI_Costs!$B$5)</f>
        <v/>
      </c>
      <c r="AG101" s="6">
        <f>AND(PMI_Costs!$B$4&gt;0,AF101&gt;PMI_Costs!$B$6/100)</f>
        <v/>
      </c>
      <c r="AH101" s="21">
        <f>IF(AG101,ROUND(Segments!$G$5*PMI_Costs!$B$4/100/12,2),0)</f>
        <v/>
      </c>
      <c r="AI101" s="6">
        <f>AND(NOT(AG101),AG100)</f>
        <v/>
      </c>
    </row>
    <row r="102">
      <c r="A102" s="18" t="n">
        <v>98</v>
      </c>
      <c r="B102" s="18">
        <f>SUMPRODUCT((Segments!$J$5:$J$12&lt;&gt;"")*(Segments!$J$5:$J$12&lt;=A102))</f>
        <v/>
      </c>
      <c r="C102" s="19">
        <f>INDEX(Segments!$B$5:$B$12,B102)</f>
        <v/>
      </c>
      <c r="D102" s="18">
        <f>INDEX(Segments!$J$5:$J$12,B102)</f>
        <v/>
      </c>
      <c r="E102" s="19">
        <f>DATE(YEAR(C102)+INT((MONTH(C102)-1+(A102-D102))/12),MOD(MONTH(C102)-1+(A102-D102),12)+1,1)+(DAY(C102)-1)</f>
        <v/>
      </c>
      <c r="F102" s="20">
        <f>INDEX(Segments!$C$5:$C$12,B102)/100/12</f>
        <v/>
      </c>
      <c r="G102" s="21">
        <f>INDEX(Segments!$L$5:$L$12,B102)</f>
        <v/>
      </c>
      <c r="H102" s="6">
        <f>INDEX(Segments!$I$5:$I$12,B102)="Y"</f>
        <v/>
      </c>
      <c r="I102" s="6">
        <f>INDEX(Segments!$F$5:$F$12,B102)=""</f>
        <v/>
      </c>
      <c r="J102" s="18">
        <f>INDEX(Segments!$K$5:$K$12,B102)</f>
        <v/>
      </c>
      <c r="K102" s="18">
        <f>IF(INDEX(Segments!$F$5:$F$12,B102)&lt;&gt;"",INDEX(Segments!$F$5:$F$12,B102),IF(INDEX(Segments!$E$5:$E$12,B102)&lt;&gt;"",INDEX(Segments!$E$5:$E$12,B102),""))</f>
        <v/>
      </c>
      <c r="L102" s="21">
        <f>AA101</f>
        <v/>
      </c>
      <c r="M102" s="21">
        <f>IFERROR(INDEX(Overrides!$C:$C,MATCH(A102,Overrides!$A:$A,0)),"")</f>
        <v/>
      </c>
      <c r="N102" s="21">
        <f>IFERROR(INDEX(Overrides!$E:$E,MATCH(A102,Overrides!$A:$A,0)),"")</f>
        <v/>
      </c>
      <c r="O102" s="21">
        <f>IFERROR(INDEX(Overrides!$D:$D,MATCH(A102,Overrides!$A:$A,0)),"")</f>
        <v/>
      </c>
      <c r="P102" s="21">
        <f>IFERROR(INDEX(Overrides!$B:$B,MATCH(A102,Overrides!$A:$A,0)),"")</f>
        <v/>
      </c>
      <c r="Q102" s="6">
        <f>IFERROR(INDEX(Overrides!$F:$F,MATCH(A102,Overrides!$A:$A,0)),"")</f>
        <v/>
      </c>
      <c r="R102" s="6">
        <f>ISNUMBER(MATCH(A102,Overrides!$A:$A,0))</f>
        <v/>
      </c>
      <c r="S102" s="6">
        <f>OR(ROUND(L102-ROUND(G102-T102,2),2)&lt;=0,AND(I102,K102&lt;&gt;"",(A102-D102+1)=K102))</f>
        <v/>
      </c>
      <c r="T102" s="21">
        <f>IF(M102&lt;&gt;"",M102,ROUND(L102*F102,2))</f>
        <v/>
      </c>
      <c r="U102" s="21">
        <f>IF(R102,IF(O102&lt;&gt;"",O102,IF(N102&lt;&gt;"",ROUND(L102-N102,2),ROUND((IF(P102&lt;&gt;"",P102,G102))-T102,2))),IF(H102,0,IF(S102,L102,ROUND(G102-T102,2))))</f>
        <v/>
      </c>
      <c r="V102" s="21">
        <f>IF(R102,IF(P102&lt;&gt;"",P102,ROUND(T102+U102,2)),IF(H102,T102,IF(S102,ROUND(T102+U102,2),G102)))</f>
        <v/>
      </c>
      <c r="W102" s="21">
        <f>IF(R102,IF(N102&lt;&gt;"",N102,ROUND(L102-U102,2)),IF(H102,L102,IF(S102,0,ROUND(L102-U102,2))))</f>
        <v/>
      </c>
      <c r="X102" s="21">
        <f>IFERROR(MIN(INDEX(LumpSums!$B:$B,MATCH(A102,LumpSums!$A:$A,0)),W102),0)</f>
        <v/>
      </c>
      <c r="Y102" s="21">
        <f>ROUND(U102+X102,2)</f>
        <v/>
      </c>
      <c r="Z102" s="21">
        <f>ROUND(V102+X102,2)</f>
        <v/>
      </c>
      <c r="AA102" s="21">
        <f>ROUND(W102-X102,2)</f>
        <v/>
      </c>
      <c r="AB102" s="6">
        <f>AND(AB101,L102&gt;0)</f>
        <v/>
      </c>
      <c r="AC102" s="21">
        <f>IF(PMI_Costs!$B$8=0,0,ROUND(PMI_Costs!$B$8*(1+PMI_Costs!$B$9/100)^INT((A102-1)/12)/12,2))</f>
        <v/>
      </c>
      <c r="AD102" s="21">
        <f>IF(PMI_Costs!$B$10=0,0,ROUND(PMI_Costs!$B$10*(1+PMI_Costs!$B$11/100)^INT((A102-1)/12)/12,2))</f>
        <v/>
      </c>
      <c r="AE102" s="21">
        <f>IF(PMI_Costs!$B$12=0,0,ROUND(PMI_Costs!$B$12*(1+PMI_Costs!$B$13/100)^INT((A102-1)/12)/12,2))</f>
        <v/>
      </c>
      <c r="AF102" s="22">
        <f>IF(PMI_Costs!$B$5=0,0,AA102/PMI_Costs!$B$5)</f>
        <v/>
      </c>
      <c r="AG102" s="6">
        <f>AND(PMI_Costs!$B$4&gt;0,AF102&gt;PMI_Costs!$B$6/100)</f>
        <v/>
      </c>
      <c r="AH102" s="21">
        <f>IF(AG102,ROUND(Segments!$G$5*PMI_Costs!$B$4/100/12,2),0)</f>
        <v/>
      </c>
      <c r="AI102" s="6">
        <f>AND(NOT(AG102),AG101)</f>
        <v/>
      </c>
    </row>
    <row r="103">
      <c r="A103" s="18" t="n">
        <v>99</v>
      </c>
      <c r="B103" s="18">
        <f>SUMPRODUCT((Segments!$J$5:$J$12&lt;&gt;"")*(Segments!$J$5:$J$12&lt;=A103))</f>
        <v/>
      </c>
      <c r="C103" s="19">
        <f>INDEX(Segments!$B$5:$B$12,B103)</f>
        <v/>
      </c>
      <c r="D103" s="18">
        <f>INDEX(Segments!$J$5:$J$12,B103)</f>
        <v/>
      </c>
      <c r="E103" s="19">
        <f>DATE(YEAR(C103)+INT((MONTH(C103)-1+(A103-D103))/12),MOD(MONTH(C103)-1+(A103-D103),12)+1,1)+(DAY(C103)-1)</f>
        <v/>
      </c>
      <c r="F103" s="20">
        <f>INDEX(Segments!$C$5:$C$12,B103)/100/12</f>
        <v/>
      </c>
      <c r="G103" s="21">
        <f>INDEX(Segments!$L$5:$L$12,B103)</f>
        <v/>
      </c>
      <c r="H103" s="6">
        <f>INDEX(Segments!$I$5:$I$12,B103)="Y"</f>
        <v/>
      </c>
      <c r="I103" s="6">
        <f>INDEX(Segments!$F$5:$F$12,B103)=""</f>
        <v/>
      </c>
      <c r="J103" s="18">
        <f>INDEX(Segments!$K$5:$K$12,B103)</f>
        <v/>
      </c>
      <c r="K103" s="18">
        <f>IF(INDEX(Segments!$F$5:$F$12,B103)&lt;&gt;"",INDEX(Segments!$F$5:$F$12,B103),IF(INDEX(Segments!$E$5:$E$12,B103)&lt;&gt;"",INDEX(Segments!$E$5:$E$12,B103),""))</f>
        <v/>
      </c>
      <c r="L103" s="21">
        <f>AA102</f>
        <v/>
      </c>
      <c r="M103" s="21">
        <f>IFERROR(INDEX(Overrides!$C:$C,MATCH(A103,Overrides!$A:$A,0)),"")</f>
        <v/>
      </c>
      <c r="N103" s="21">
        <f>IFERROR(INDEX(Overrides!$E:$E,MATCH(A103,Overrides!$A:$A,0)),"")</f>
        <v/>
      </c>
      <c r="O103" s="21">
        <f>IFERROR(INDEX(Overrides!$D:$D,MATCH(A103,Overrides!$A:$A,0)),"")</f>
        <v/>
      </c>
      <c r="P103" s="21">
        <f>IFERROR(INDEX(Overrides!$B:$B,MATCH(A103,Overrides!$A:$A,0)),"")</f>
        <v/>
      </c>
      <c r="Q103" s="6">
        <f>IFERROR(INDEX(Overrides!$F:$F,MATCH(A103,Overrides!$A:$A,0)),"")</f>
        <v/>
      </c>
      <c r="R103" s="6">
        <f>ISNUMBER(MATCH(A103,Overrides!$A:$A,0))</f>
        <v/>
      </c>
      <c r="S103" s="6">
        <f>OR(ROUND(L103-ROUND(G103-T103,2),2)&lt;=0,AND(I103,K103&lt;&gt;"",(A103-D103+1)=K103))</f>
        <v/>
      </c>
      <c r="T103" s="21">
        <f>IF(M103&lt;&gt;"",M103,ROUND(L103*F103,2))</f>
        <v/>
      </c>
      <c r="U103" s="21">
        <f>IF(R103,IF(O103&lt;&gt;"",O103,IF(N103&lt;&gt;"",ROUND(L103-N103,2),ROUND((IF(P103&lt;&gt;"",P103,G103))-T103,2))),IF(H103,0,IF(S103,L103,ROUND(G103-T103,2))))</f>
        <v/>
      </c>
      <c r="V103" s="21">
        <f>IF(R103,IF(P103&lt;&gt;"",P103,ROUND(T103+U103,2)),IF(H103,T103,IF(S103,ROUND(T103+U103,2),G103)))</f>
        <v/>
      </c>
      <c r="W103" s="21">
        <f>IF(R103,IF(N103&lt;&gt;"",N103,ROUND(L103-U103,2)),IF(H103,L103,IF(S103,0,ROUND(L103-U103,2))))</f>
        <v/>
      </c>
      <c r="X103" s="21">
        <f>IFERROR(MIN(INDEX(LumpSums!$B:$B,MATCH(A103,LumpSums!$A:$A,0)),W103),0)</f>
        <v/>
      </c>
      <c r="Y103" s="21">
        <f>ROUND(U103+X103,2)</f>
        <v/>
      </c>
      <c r="Z103" s="21">
        <f>ROUND(V103+X103,2)</f>
        <v/>
      </c>
      <c r="AA103" s="21">
        <f>ROUND(W103-X103,2)</f>
        <v/>
      </c>
      <c r="AB103" s="6">
        <f>AND(AB102,L103&gt;0)</f>
        <v/>
      </c>
      <c r="AC103" s="21">
        <f>IF(PMI_Costs!$B$8=0,0,ROUND(PMI_Costs!$B$8*(1+PMI_Costs!$B$9/100)^INT((A103-1)/12)/12,2))</f>
        <v/>
      </c>
      <c r="AD103" s="21">
        <f>IF(PMI_Costs!$B$10=0,0,ROUND(PMI_Costs!$B$10*(1+PMI_Costs!$B$11/100)^INT((A103-1)/12)/12,2))</f>
        <v/>
      </c>
      <c r="AE103" s="21">
        <f>IF(PMI_Costs!$B$12=0,0,ROUND(PMI_Costs!$B$12*(1+PMI_Costs!$B$13/100)^INT((A103-1)/12)/12,2))</f>
        <v/>
      </c>
      <c r="AF103" s="22">
        <f>IF(PMI_Costs!$B$5=0,0,AA103/PMI_Costs!$B$5)</f>
        <v/>
      </c>
      <c r="AG103" s="6">
        <f>AND(PMI_Costs!$B$4&gt;0,AF103&gt;PMI_Costs!$B$6/100)</f>
        <v/>
      </c>
      <c r="AH103" s="21">
        <f>IF(AG103,ROUND(Segments!$G$5*PMI_Costs!$B$4/100/12,2),0)</f>
        <v/>
      </c>
      <c r="AI103" s="6">
        <f>AND(NOT(AG103),AG102)</f>
        <v/>
      </c>
    </row>
    <row r="104">
      <c r="A104" s="18" t="n">
        <v>100</v>
      </c>
      <c r="B104" s="18">
        <f>SUMPRODUCT((Segments!$J$5:$J$12&lt;&gt;"")*(Segments!$J$5:$J$12&lt;=A104))</f>
        <v/>
      </c>
      <c r="C104" s="19">
        <f>INDEX(Segments!$B$5:$B$12,B104)</f>
        <v/>
      </c>
      <c r="D104" s="18">
        <f>INDEX(Segments!$J$5:$J$12,B104)</f>
        <v/>
      </c>
      <c r="E104" s="19">
        <f>DATE(YEAR(C104)+INT((MONTH(C104)-1+(A104-D104))/12),MOD(MONTH(C104)-1+(A104-D104),12)+1,1)+(DAY(C104)-1)</f>
        <v/>
      </c>
      <c r="F104" s="20">
        <f>INDEX(Segments!$C$5:$C$12,B104)/100/12</f>
        <v/>
      </c>
      <c r="G104" s="21">
        <f>INDEX(Segments!$L$5:$L$12,B104)</f>
        <v/>
      </c>
      <c r="H104" s="6">
        <f>INDEX(Segments!$I$5:$I$12,B104)="Y"</f>
        <v/>
      </c>
      <c r="I104" s="6">
        <f>INDEX(Segments!$F$5:$F$12,B104)=""</f>
        <v/>
      </c>
      <c r="J104" s="18">
        <f>INDEX(Segments!$K$5:$K$12,B104)</f>
        <v/>
      </c>
      <c r="K104" s="18">
        <f>IF(INDEX(Segments!$F$5:$F$12,B104)&lt;&gt;"",INDEX(Segments!$F$5:$F$12,B104),IF(INDEX(Segments!$E$5:$E$12,B104)&lt;&gt;"",INDEX(Segments!$E$5:$E$12,B104),""))</f>
        <v/>
      </c>
      <c r="L104" s="21">
        <f>AA103</f>
        <v/>
      </c>
      <c r="M104" s="21">
        <f>IFERROR(INDEX(Overrides!$C:$C,MATCH(A104,Overrides!$A:$A,0)),"")</f>
        <v/>
      </c>
      <c r="N104" s="21">
        <f>IFERROR(INDEX(Overrides!$E:$E,MATCH(A104,Overrides!$A:$A,0)),"")</f>
        <v/>
      </c>
      <c r="O104" s="21">
        <f>IFERROR(INDEX(Overrides!$D:$D,MATCH(A104,Overrides!$A:$A,0)),"")</f>
        <v/>
      </c>
      <c r="P104" s="21">
        <f>IFERROR(INDEX(Overrides!$B:$B,MATCH(A104,Overrides!$A:$A,0)),"")</f>
        <v/>
      </c>
      <c r="Q104" s="6">
        <f>IFERROR(INDEX(Overrides!$F:$F,MATCH(A104,Overrides!$A:$A,0)),"")</f>
        <v/>
      </c>
      <c r="R104" s="6">
        <f>ISNUMBER(MATCH(A104,Overrides!$A:$A,0))</f>
        <v/>
      </c>
      <c r="S104" s="6">
        <f>OR(ROUND(L104-ROUND(G104-T104,2),2)&lt;=0,AND(I104,K104&lt;&gt;"",(A104-D104+1)=K104))</f>
        <v/>
      </c>
      <c r="T104" s="21">
        <f>IF(M104&lt;&gt;"",M104,ROUND(L104*F104,2))</f>
        <v/>
      </c>
      <c r="U104" s="21">
        <f>IF(R104,IF(O104&lt;&gt;"",O104,IF(N104&lt;&gt;"",ROUND(L104-N104,2),ROUND((IF(P104&lt;&gt;"",P104,G104))-T104,2))),IF(H104,0,IF(S104,L104,ROUND(G104-T104,2))))</f>
        <v/>
      </c>
      <c r="V104" s="21">
        <f>IF(R104,IF(P104&lt;&gt;"",P104,ROUND(T104+U104,2)),IF(H104,T104,IF(S104,ROUND(T104+U104,2),G104)))</f>
        <v/>
      </c>
      <c r="W104" s="21">
        <f>IF(R104,IF(N104&lt;&gt;"",N104,ROUND(L104-U104,2)),IF(H104,L104,IF(S104,0,ROUND(L104-U104,2))))</f>
        <v/>
      </c>
      <c r="X104" s="21">
        <f>IFERROR(MIN(INDEX(LumpSums!$B:$B,MATCH(A104,LumpSums!$A:$A,0)),W104),0)</f>
        <v/>
      </c>
      <c r="Y104" s="21">
        <f>ROUND(U104+X104,2)</f>
        <v/>
      </c>
      <c r="Z104" s="21">
        <f>ROUND(V104+X104,2)</f>
        <v/>
      </c>
      <c r="AA104" s="21">
        <f>ROUND(W104-X104,2)</f>
        <v/>
      </c>
      <c r="AB104" s="6">
        <f>AND(AB103,L104&gt;0)</f>
        <v/>
      </c>
      <c r="AC104" s="21">
        <f>IF(PMI_Costs!$B$8=0,0,ROUND(PMI_Costs!$B$8*(1+PMI_Costs!$B$9/100)^INT((A104-1)/12)/12,2))</f>
        <v/>
      </c>
      <c r="AD104" s="21">
        <f>IF(PMI_Costs!$B$10=0,0,ROUND(PMI_Costs!$B$10*(1+PMI_Costs!$B$11/100)^INT((A104-1)/12)/12,2))</f>
        <v/>
      </c>
      <c r="AE104" s="21">
        <f>IF(PMI_Costs!$B$12=0,0,ROUND(PMI_Costs!$B$12*(1+PMI_Costs!$B$13/100)^INT((A104-1)/12)/12,2))</f>
        <v/>
      </c>
      <c r="AF104" s="22">
        <f>IF(PMI_Costs!$B$5=0,0,AA104/PMI_Costs!$B$5)</f>
        <v/>
      </c>
      <c r="AG104" s="6">
        <f>AND(PMI_Costs!$B$4&gt;0,AF104&gt;PMI_Costs!$B$6/100)</f>
        <v/>
      </c>
      <c r="AH104" s="21">
        <f>IF(AG104,ROUND(Segments!$G$5*PMI_Costs!$B$4/100/12,2),0)</f>
        <v/>
      </c>
      <c r="AI104" s="6">
        <f>AND(NOT(AG104),AG103)</f>
        <v/>
      </c>
    </row>
    <row r="105">
      <c r="A105" s="18" t="n">
        <v>101</v>
      </c>
      <c r="B105" s="18">
        <f>SUMPRODUCT((Segments!$J$5:$J$12&lt;&gt;"")*(Segments!$J$5:$J$12&lt;=A105))</f>
        <v/>
      </c>
      <c r="C105" s="19">
        <f>INDEX(Segments!$B$5:$B$12,B105)</f>
        <v/>
      </c>
      <c r="D105" s="18">
        <f>INDEX(Segments!$J$5:$J$12,B105)</f>
        <v/>
      </c>
      <c r="E105" s="19">
        <f>DATE(YEAR(C105)+INT((MONTH(C105)-1+(A105-D105))/12),MOD(MONTH(C105)-1+(A105-D105),12)+1,1)+(DAY(C105)-1)</f>
        <v/>
      </c>
      <c r="F105" s="20">
        <f>INDEX(Segments!$C$5:$C$12,B105)/100/12</f>
        <v/>
      </c>
      <c r="G105" s="21">
        <f>INDEX(Segments!$L$5:$L$12,B105)</f>
        <v/>
      </c>
      <c r="H105" s="6">
        <f>INDEX(Segments!$I$5:$I$12,B105)="Y"</f>
        <v/>
      </c>
      <c r="I105" s="6">
        <f>INDEX(Segments!$F$5:$F$12,B105)=""</f>
        <v/>
      </c>
      <c r="J105" s="18">
        <f>INDEX(Segments!$K$5:$K$12,B105)</f>
        <v/>
      </c>
      <c r="K105" s="18">
        <f>IF(INDEX(Segments!$F$5:$F$12,B105)&lt;&gt;"",INDEX(Segments!$F$5:$F$12,B105),IF(INDEX(Segments!$E$5:$E$12,B105)&lt;&gt;"",INDEX(Segments!$E$5:$E$12,B105),""))</f>
        <v/>
      </c>
      <c r="L105" s="21">
        <f>AA104</f>
        <v/>
      </c>
      <c r="M105" s="21">
        <f>IFERROR(INDEX(Overrides!$C:$C,MATCH(A105,Overrides!$A:$A,0)),"")</f>
        <v/>
      </c>
      <c r="N105" s="21">
        <f>IFERROR(INDEX(Overrides!$E:$E,MATCH(A105,Overrides!$A:$A,0)),"")</f>
        <v/>
      </c>
      <c r="O105" s="21">
        <f>IFERROR(INDEX(Overrides!$D:$D,MATCH(A105,Overrides!$A:$A,0)),"")</f>
        <v/>
      </c>
      <c r="P105" s="21">
        <f>IFERROR(INDEX(Overrides!$B:$B,MATCH(A105,Overrides!$A:$A,0)),"")</f>
        <v/>
      </c>
      <c r="Q105" s="6">
        <f>IFERROR(INDEX(Overrides!$F:$F,MATCH(A105,Overrides!$A:$A,0)),"")</f>
        <v/>
      </c>
      <c r="R105" s="6">
        <f>ISNUMBER(MATCH(A105,Overrides!$A:$A,0))</f>
        <v/>
      </c>
      <c r="S105" s="6">
        <f>OR(ROUND(L105-ROUND(G105-T105,2),2)&lt;=0,AND(I105,K105&lt;&gt;"",(A105-D105+1)=K105))</f>
        <v/>
      </c>
      <c r="T105" s="21">
        <f>IF(M105&lt;&gt;"",M105,ROUND(L105*F105,2))</f>
        <v/>
      </c>
      <c r="U105" s="21">
        <f>IF(R105,IF(O105&lt;&gt;"",O105,IF(N105&lt;&gt;"",ROUND(L105-N105,2),ROUND((IF(P105&lt;&gt;"",P105,G105))-T105,2))),IF(H105,0,IF(S105,L105,ROUND(G105-T105,2))))</f>
        <v/>
      </c>
      <c r="V105" s="21">
        <f>IF(R105,IF(P105&lt;&gt;"",P105,ROUND(T105+U105,2)),IF(H105,T105,IF(S105,ROUND(T105+U105,2),G105)))</f>
        <v/>
      </c>
      <c r="W105" s="21">
        <f>IF(R105,IF(N105&lt;&gt;"",N105,ROUND(L105-U105,2)),IF(H105,L105,IF(S105,0,ROUND(L105-U105,2))))</f>
        <v/>
      </c>
      <c r="X105" s="21">
        <f>IFERROR(MIN(INDEX(LumpSums!$B:$B,MATCH(A105,LumpSums!$A:$A,0)),W105),0)</f>
        <v/>
      </c>
      <c r="Y105" s="21">
        <f>ROUND(U105+X105,2)</f>
        <v/>
      </c>
      <c r="Z105" s="21">
        <f>ROUND(V105+X105,2)</f>
        <v/>
      </c>
      <c r="AA105" s="21">
        <f>ROUND(W105-X105,2)</f>
        <v/>
      </c>
      <c r="AB105" s="6">
        <f>AND(AB104,L105&gt;0)</f>
        <v/>
      </c>
      <c r="AC105" s="21">
        <f>IF(PMI_Costs!$B$8=0,0,ROUND(PMI_Costs!$B$8*(1+PMI_Costs!$B$9/100)^INT((A105-1)/12)/12,2))</f>
        <v/>
      </c>
      <c r="AD105" s="21">
        <f>IF(PMI_Costs!$B$10=0,0,ROUND(PMI_Costs!$B$10*(1+PMI_Costs!$B$11/100)^INT((A105-1)/12)/12,2))</f>
        <v/>
      </c>
      <c r="AE105" s="21">
        <f>IF(PMI_Costs!$B$12=0,0,ROUND(PMI_Costs!$B$12*(1+PMI_Costs!$B$13/100)^INT((A105-1)/12)/12,2))</f>
        <v/>
      </c>
      <c r="AF105" s="22">
        <f>IF(PMI_Costs!$B$5=0,0,AA105/PMI_Costs!$B$5)</f>
        <v/>
      </c>
      <c r="AG105" s="6">
        <f>AND(PMI_Costs!$B$4&gt;0,AF105&gt;PMI_Costs!$B$6/100)</f>
        <v/>
      </c>
      <c r="AH105" s="21">
        <f>IF(AG105,ROUND(Segments!$G$5*PMI_Costs!$B$4/100/12,2),0)</f>
        <v/>
      </c>
      <c r="AI105" s="6">
        <f>AND(NOT(AG105),AG104)</f>
        <v/>
      </c>
    </row>
    <row r="106">
      <c r="A106" s="18" t="n">
        <v>102</v>
      </c>
      <c r="B106" s="18">
        <f>SUMPRODUCT((Segments!$J$5:$J$12&lt;&gt;"")*(Segments!$J$5:$J$12&lt;=A106))</f>
        <v/>
      </c>
      <c r="C106" s="19">
        <f>INDEX(Segments!$B$5:$B$12,B106)</f>
        <v/>
      </c>
      <c r="D106" s="18">
        <f>INDEX(Segments!$J$5:$J$12,B106)</f>
        <v/>
      </c>
      <c r="E106" s="19">
        <f>DATE(YEAR(C106)+INT((MONTH(C106)-1+(A106-D106))/12),MOD(MONTH(C106)-1+(A106-D106),12)+1,1)+(DAY(C106)-1)</f>
        <v/>
      </c>
      <c r="F106" s="20">
        <f>INDEX(Segments!$C$5:$C$12,B106)/100/12</f>
        <v/>
      </c>
      <c r="G106" s="21">
        <f>INDEX(Segments!$L$5:$L$12,B106)</f>
        <v/>
      </c>
      <c r="H106" s="6">
        <f>INDEX(Segments!$I$5:$I$12,B106)="Y"</f>
        <v/>
      </c>
      <c r="I106" s="6">
        <f>INDEX(Segments!$F$5:$F$12,B106)=""</f>
        <v/>
      </c>
      <c r="J106" s="18">
        <f>INDEX(Segments!$K$5:$K$12,B106)</f>
        <v/>
      </c>
      <c r="K106" s="18">
        <f>IF(INDEX(Segments!$F$5:$F$12,B106)&lt;&gt;"",INDEX(Segments!$F$5:$F$12,B106),IF(INDEX(Segments!$E$5:$E$12,B106)&lt;&gt;"",INDEX(Segments!$E$5:$E$12,B106),""))</f>
        <v/>
      </c>
      <c r="L106" s="21">
        <f>AA105</f>
        <v/>
      </c>
      <c r="M106" s="21">
        <f>IFERROR(INDEX(Overrides!$C:$C,MATCH(A106,Overrides!$A:$A,0)),"")</f>
        <v/>
      </c>
      <c r="N106" s="21">
        <f>IFERROR(INDEX(Overrides!$E:$E,MATCH(A106,Overrides!$A:$A,0)),"")</f>
        <v/>
      </c>
      <c r="O106" s="21">
        <f>IFERROR(INDEX(Overrides!$D:$D,MATCH(A106,Overrides!$A:$A,0)),"")</f>
        <v/>
      </c>
      <c r="P106" s="21">
        <f>IFERROR(INDEX(Overrides!$B:$B,MATCH(A106,Overrides!$A:$A,0)),"")</f>
        <v/>
      </c>
      <c r="Q106" s="6">
        <f>IFERROR(INDEX(Overrides!$F:$F,MATCH(A106,Overrides!$A:$A,0)),"")</f>
        <v/>
      </c>
      <c r="R106" s="6">
        <f>ISNUMBER(MATCH(A106,Overrides!$A:$A,0))</f>
        <v/>
      </c>
      <c r="S106" s="6">
        <f>OR(ROUND(L106-ROUND(G106-T106,2),2)&lt;=0,AND(I106,K106&lt;&gt;"",(A106-D106+1)=K106))</f>
        <v/>
      </c>
      <c r="T106" s="21">
        <f>IF(M106&lt;&gt;"",M106,ROUND(L106*F106,2))</f>
        <v/>
      </c>
      <c r="U106" s="21">
        <f>IF(R106,IF(O106&lt;&gt;"",O106,IF(N106&lt;&gt;"",ROUND(L106-N106,2),ROUND((IF(P106&lt;&gt;"",P106,G106))-T106,2))),IF(H106,0,IF(S106,L106,ROUND(G106-T106,2))))</f>
        <v/>
      </c>
      <c r="V106" s="21">
        <f>IF(R106,IF(P106&lt;&gt;"",P106,ROUND(T106+U106,2)),IF(H106,T106,IF(S106,ROUND(T106+U106,2),G106)))</f>
        <v/>
      </c>
      <c r="W106" s="21">
        <f>IF(R106,IF(N106&lt;&gt;"",N106,ROUND(L106-U106,2)),IF(H106,L106,IF(S106,0,ROUND(L106-U106,2))))</f>
        <v/>
      </c>
      <c r="X106" s="21">
        <f>IFERROR(MIN(INDEX(LumpSums!$B:$B,MATCH(A106,LumpSums!$A:$A,0)),W106),0)</f>
        <v/>
      </c>
      <c r="Y106" s="21">
        <f>ROUND(U106+X106,2)</f>
        <v/>
      </c>
      <c r="Z106" s="21">
        <f>ROUND(V106+X106,2)</f>
        <v/>
      </c>
      <c r="AA106" s="21">
        <f>ROUND(W106-X106,2)</f>
        <v/>
      </c>
      <c r="AB106" s="6">
        <f>AND(AB105,L106&gt;0)</f>
        <v/>
      </c>
      <c r="AC106" s="21">
        <f>IF(PMI_Costs!$B$8=0,0,ROUND(PMI_Costs!$B$8*(1+PMI_Costs!$B$9/100)^INT((A106-1)/12)/12,2))</f>
        <v/>
      </c>
      <c r="AD106" s="21">
        <f>IF(PMI_Costs!$B$10=0,0,ROUND(PMI_Costs!$B$10*(1+PMI_Costs!$B$11/100)^INT((A106-1)/12)/12,2))</f>
        <v/>
      </c>
      <c r="AE106" s="21">
        <f>IF(PMI_Costs!$B$12=0,0,ROUND(PMI_Costs!$B$12*(1+PMI_Costs!$B$13/100)^INT((A106-1)/12)/12,2))</f>
        <v/>
      </c>
      <c r="AF106" s="22">
        <f>IF(PMI_Costs!$B$5=0,0,AA106/PMI_Costs!$B$5)</f>
        <v/>
      </c>
      <c r="AG106" s="6">
        <f>AND(PMI_Costs!$B$4&gt;0,AF106&gt;PMI_Costs!$B$6/100)</f>
        <v/>
      </c>
      <c r="AH106" s="21">
        <f>IF(AG106,ROUND(Segments!$G$5*PMI_Costs!$B$4/100/12,2),0)</f>
        <v/>
      </c>
      <c r="AI106" s="6">
        <f>AND(NOT(AG106),AG105)</f>
        <v/>
      </c>
    </row>
    <row r="107">
      <c r="A107" s="18" t="n">
        <v>103</v>
      </c>
      <c r="B107" s="18">
        <f>SUMPRODUCT((Segments!$J$5:$J$12&lt;&gt;"")*(Segments!$J$5:$J$12&lt;=A107))</f>
        <v/>
      </c>
      <c r="C107" s="19">
        <f>INDEX(Segments!$B$5:$B$12,B107)</f>
        <v/>
      </c>
      <c r="D107" s="18">
        <f>INDEX(Segments!$J$5:$J$12,B107)</f>
        <v/>
      </c>
      <c r="E107" s="19">
        <f>DATE(YEAR(C107)+INT((MONTH(C107)-1+(A107-D107))/12),MOD(MONTH(C107)-1+(A107-D107),12)+1,1)+(DAY(C107)-1)</f>
        <v/>
      </c>
      <c r="F107" s="20">
        <f>INDEX(Segments!$C$5:$C$12,B107)/100/12</f>
        <v/>
      </c>
      <c r="G107" s="21">
        <f>INDEX(Segments!$L$5:$L$12,B107)</f>
        <v/>
      </c>
      <c r="H107" s="6">
        <f>INDEX(Segments!$I$5:$I$12,B107)="Y"</f>
        <v/>
      </c>
      <c r="I107" s="6">
        <f>INDEX(Segments!$F$5:$F$12,B107)=""</f>
        <v/>
      </c>
      <c r="J107" s="18">
        <f>INDEX(Segments!$K$5:$K$12,B107)</f>
        <v/>
      </c>
      <c r="K107" s="18">
        <f>IF(INDEX(Segments!$F$5:$F$12,B107)&lt;&gt;"",INDEX(Segments!$F$5:$F$12,B107),IF(INDEX(Segments!$E$5:$E$12,B107)&lt;&gt;"",INDEX(Segments!$E$5:$E$12,B107),""))</f>
        <v/>
      </c>
      <c r="L107" s="21">
        <f>AA106</f>
        <v/>
      </c>
      <c r="M107" s="21">
        <f>IFERROR(INDEX(Overrides!$C:$C,MATCH(A107,Overrides!$A:$A,0)),"")</f>
        <v/>
      </c>
      <c r="N107" s="21">
        <f>IFERROR(INDEX(Overrides!$E:$E,MATCH(A107,Overrides!$A:$A,0)),"")</f>
        <v/>
      </c>
      <c r="O107" s="21">
        <f>IFERROR(INDEX(Overrides!$D:$D,MATCH(A107,Overrides!$A:$A,0)),"")</f>
        <v/>
      </c>
      <c r="P107" s="21">
        <f>IFERROR(INDEX(Overrides!$B:$B,MATCH(A107,Overrides!$A:$A,0)),"")</f>
        <v/>
      </c>
      <c r="Q107" s="6">
        <f>IFERROR(INDEX(Overrides!$F:$F,MATCH(A107,Overrides!$A:$A,0)),"")</f>
        <v/>
      </c>
      <c r="R107" s="6">
        <f>ISNUMBER(MATCH(A107,Overrides!$A:$A,0))</f>
        <v/>
      </c>
      <c r="S107" s="6">
        <f>OR(ROUND(L107-ROUND(G107-T107,2),2)&lt;=0,AND(I107,K107&lt;&gt;"",(A107-D107+1)=K107))</f>
        <v/>
      </c>
      <c r="T107" s="21">
        <f>IF(M107&lt;&gt;"",M107,ROUND(L107*F107,2))</f>
        <v/>
      </c>
      <c r="U107" s="21">
        <f>IF(R107,IF(O107&lt;&gt;"",O107,IF(N107&lt;&gt;"",ROUND(L107-N107,2),ROUND((IF(P107&lt;&gt;"",P107,G107))-T107,2))),IF(H107,0,IF(S107,L107,ROUND(G107-T107,2))))</f>
        <v/>
      </c>
      <c r="V107" s="21">
        <f>IF(R107,IF(P107&lt;&gt;"",P107,ROUND(T107+U107,2)),IF(H107,T107,IF(S107,ROUND(T107+U107,2),G107)))</f>
        <v/>
      </c>
      <c r="W107" s="21">
        <f>IF(R107,IF(N107&lt;&gt;"",N107,ROUND(L107-U107,2)),IF(H107,L107,IF(S107,0,ROUND(L107-U107,2))))</f>
        <v/>
      </c>
      <c r="X107" s="21">
        <f>IFERROR(MIN(INDEX(LumpSums!$B:$B,MATCH(A107,LumpSums!$A:$A,0)),W107),0)</f>
        <v/>
      </c>
      <c r="Y107" s="21">
        <f>ROUND(U107+X107,2)</f>
        <v/>
      </c>
      <c r="Z107" s="21">
        <f>ROUND(V107+X107,2)</f>
        <v/>
      </c>
      <c r="AA107" s="21">
        <f>ROUND(W107-X107,2)</f>
        <v/>
      </c>
      <c r="AB107" s="6">
        <f>AND(AB106,L107&gt;0)</f>
        <v/>
      </c>
      <c r="AC107" s="21">
        <f>IF(PMI_Costs!$B$8=0,0,ROUND(PMI_Costs!$B$8*(1+PMI_Costs!$B$9/100)^INT((A107-1)/12)/12,2))</f>
        <v/>
      </c>
      <c r="AD107" s="21">
        <f>IF(PMI_Costs!$B$10=0,0,ROUND(PMI_Costs!$B$10*(1+PMI_Costs!$B$11/100)^INT((A107-1)/12)/12,2))</f>
        <v/>
      </c>
      <c r="AE107" s="21">
        <f>IF(PMI_Costs!$B$12=0,0,ROUND(PMI_Costs!$B$12*(1+PMI_Costs!$B$13/100)^INT((A107-1)/12)/12,2))</f>
        <v/>
      </c>
      <c r="AF107" s="22">
        <f>IF(PMI_Costs!$B$5=0,0,AA107/PMI_Costs!$B$5)</f>
        <v/>
      </c>
      <c r="AG107" s="6">
        <f>AND(PMI_Costs!$B$4&gt;0,AF107&gt;PMI_Costs!$B$6/100)</f>
        <v/>
      </c>
      <c r="AH107" s="21">
        <f>IF(AG107,ROUND(Segments!$G$5*PMI_Costs!$B$4/100/12,2),0)</f>
        <v/>
      </c>
      <c r="AI107" s="6">
        <f>AND(NOT(AG107),AG106)</f>
        <v/>
      </c>
    </row>
    <row r="108">
      <c r="A108" s="18" t="n">
        <v>104</v>
      </c>
      <c r="B108" s="18">
        <f>SUMPRODUCT((Segments!$J$5:$J$12&lt;&gt;"")*(Segments!$J$5:$J$12&lt;=A108))</f>
        <v/>
      </c>
      <c r="C108" s="19">
        <f>INDEX(Segments!$B$5:$B$12,B108)</f>
        <v/>
      </c>
      <c r="D108" s="18">
        <f>INDEX(Segments!$J$5:$J$12,B108)</f>
        <v/>
      </c>
      <c r="E108" s="19">
        <f>DATE(YEAR(C108)+INT((MONTH(C108)-1+(A108-D108))/12),MOD(MONTH(C108)-1+(A108-D108),12)+1,1)+(DAY(C108)-1)</f>
        <v/>
      </c>
      <c r="F108" s="20">
        <f>INDEX(Segments!$C$5:$C$12,B108)/100/12</f>
        <v/>
      </c>
      <c r="G108" s="21">
        <f>INDEX(Segments!$L$5:$L$12,B108)</f>
        <v/>
      </c>
      <c r="H108" s="6">
        <f>INDEX(Segments!$I$5:$I$12,B108)="Y"</f>
        <v/>
      </c>
      <c r="I108" s="6">
        <f>INDEX(Segments!$F$5:$F$12,B108)=""</f>
        <v/>
      </c>
      <c r="J108" s="18">
        <f>INDEX(Segments!$K$5:$K$12,B108)</f>
        <v/>
      </c>
      <c r="K108" s="18">
        <f>IF(INDEX(Segments!$F$5:$F$12,B108)&lt;&gt;"",INDEX(Segments!$F$5:$F$12,B108),IF(INDEX(Segments!$E$5:$E$12,B108)&lt;&gt;"",INDEX(Segments!$E$5:$E$12,B108),""))</f>
        <v/>
      </c>
      <c r="L108" s="21">
        <f>AA107</f>
        <v/>
      </c>
      <c r="M108" s="21">
        <f>IFERROR(INDEX(Overrides!$C:$C,MATCH(A108,Overrides!$A:$A,0)),"")</f>
        <v/>
      </c>
      <c r="N108" s="21">
        <f>IFERROR(INDEX(Overrides!$E:$E,MATCH(A108,Overrides!$A:$A,0)),"")</f>
        <v/>
      </c>
      <c r="O108" s="21">
        <f>IFERROR(INDEX(Overrides!$D:$D,MATCH(A108,Overrides!$A:$A,0)),"")</f>
        <v/>
      </c>
      <c r="P108" s="21">
        <f>IFERROR(INDEX(Overrides!$B:$B,MATCH(A108,Overrides!$A:$A,0)),"")</f>
        <v/>
      </c>
      <c r="Q108" s="6">
        <f>IFERROR(INDEX(Overrides!$F:$F,MATCH(A108,Overrides!$A:$A,0)),"")</f>
        <v/>
      </c>
      <c r="R108" s="6">
        <f>ISNUMBER(MATCH(A108,Overrides!$A:$A,0))</f>
        <v/>
      </c>
      <c r="S108" s="6">
        <f>OR(ROUND(L108-ROUND(G108-T108,2),2)&lt;=0,AND(I108,K108&lt;&gt;"",(A108-D108+1)=K108))</f>
        <v/>
      </c>
      <c r="T108" s="21">
        <f>IF(M108&lt;&gt;"",M108,ROUND(L108*F108,2))</f>
        <v/>
      </c>
      <c r="U108" s="21">
        <f>IF(R108,IF(O108&lt;&gt;"",O108,IF(N108&lt;&gt;"",ROUND(L108-N108,2),ROUND((IF(P108&lt;&gt;"",P108,G108))-T108,2))),IF(H108,0,IF(S108,L108,ROUND(G108-T108,2))))</f>
        <v/>
      </c>
      <c r="V108" s="21">
        <f>IF(R108,IF(P108&lt;&gt;"",P108,ROUND(T108+U108,2)),IF(H108,T108,IF(S108,ROUND(T108+U108,2),G108)))</f>
        <v/>
      </c>
      <c r="W108" s="21">
        <f>IF(R108,IF(N108&lt;&gt;"",N108,ROUND(L108-U108,2)),IF(H108,L108,IF(S108,0,ROUND(L108-U108,2))))</f>
        <v/>
      </c>
      <c r="X108" s="21">
        <f>IFERROR(MIN(INDEX(LumpSums!$B:$B,MATCH(A108,LumpSums!$A:$A,0)),W108),0)</f>
        <v/>
      </c>
      <c r="Y108" s="21">
        <f>ROUND(U108+X108,2)</f>
        <v/>
      </c>
      <c r="Z108" s="21">
        <f>ROUND(V108+X108,2)</f>
        <v/>
      </c>
      <c r="AA108" s="21">
        <f>ROUND(W108-X108,2)</f>
        <v/>
      </c>
      <c r="AB108" s="6">
        <f>AND(AB107,L108&gt;0)</f>
        <v/>
      </c>
      <c r="AC108" s="21">
        <f>IF(PMI_Costs!$B$8=0,0,ROUND(PMI_Costs!$B$8*(1+PMI_Costs!$B$9/100)^INT((A108-1)/12)/12,2))</f>
        <v/>
      </c>
      <c r="AD108" s="21">
        <f>IF(PMI_Costs!$B$10=0,0,ROUND(PMI_Costs!$B$10*(1+PMI_Costs!$B$11/100)^INT((A108-1)/12)/12,2))</f>
        <v/>
      </c>
      <c r="AE108" s="21">
        <f>IF(PMI_Costs!$B$12=0,0,ROUND(PMI_Costs!$B$12*(1+PMI_Costs!$B$13/100)^INT((A108-1)/12)/12,2))</f>
        <v/>
      </c>
      <c r="AF108" s="22">
        <f>IF(PMI_Costs!$B$5=0,0,AA108/PMI_Costs!$B$5)</f>
        <v/>
      </c>
      <c r="AG108" s="6">
        <f>AND(PMI_Costs!$B$4&gt;0,AF108&gt;PMI_Costs!$B$6/100)</f>
        <v/>
      </c>
      <c r="AH108" s="21">
        <f>IF(AG108,ROUND(Segments!$G$5*PMI_Costs!$B$4/100/12,2),0)</f>
        <v/>
      </c>
      <c r="AI108" s="6">
        <f>AND(NOT(AG108),AG107)</f>
        <v/>
      </c>
    </row>
    <row r="109">
      <c r="A109" s="18" t="n">
        <v>105</v>
      </c>
      <c r="B109" s="18">
        <f>SUMPRODUCT((Segments!$J$5:$J$12&lt;&gt;"")*(Segments!$J$5:$J$12&lt;=A109))</f>
        <v/>
      </c>
      <c r="C109" s="19">
        <f>INDEX(Segments!$B$5:$B$12,B109)</f>
        <v/>
      </c>
      <c r="D109" s="18">
        <f>INDEX(Segments!$J$5:$J$12,B109)</f>
        <v/>
      </c>
      <c r="E109" s="19">
        <f>DATE(YEAR(C109)+INT((MONTH(C109)-1+(A109-D109))/12),MOD(MONTH(C109)-1+(A109-D109),12)+1,1)+(DAY(C109)-1)</f>
        <v/>
      </c>
      <c r="F109" s="20">
        <f>INDEX(Segments!$C$5:$C$12,B109)/100/12</f>
        <v/>
      </c>
      <c r="G109" s="21">
        <f>INDEX(Segments!$L$5:$L$12,B109)</f>
        <v/>
      </c>
      <c r="H109" s="6">
        <f>INDEX(Segments!$I$5:$I$12,B109)="Y"</f>
        <v/>
      </c>
      <c r="I109" s="6">
        <f>INDEX(Segments!$F$5:$F$12,B109)=""</f>
        <v/>
      </c>
      <c r="J109" s="18">
        <f>INDEX(Segments!$K$5:$K$12,B109)</f>
        <v/>
      </c>
      <c r="K109" s="18">
        <f>IF(INDEX(Segments!$F$5:$F$12,B109)&lt;&gt;"",INDEX(Segments!$F$5:$F$12,B109),IF(INDEX(Segments!$E$5:$E$12,B109)&lt;&gt;"",INDEX(Segments!$E$5:$E$12,B109),""))</f>
        <v/>
      </c>
      <c r="L109" s="21">
        <f>AA108</f>
        <v/>
      </c>
      <c r="M109" s="21">
        <f>IFERROR(INDEX(Overrides!$C:$C,MATCH(A109,Overrides!$A:$A,0)),"")</f>
        <v/>
      </c>
      <c r="N109" s="21">
        <f>IFERROR(INDEX(Overrides!$E:$E,MATCH(A109,Overrides!$A:$A,0)),"")</f>
        <v/>
      </c>
      <c r="O109" s="21">
        <f>IFERROR(INDEX(Overrides!$D:$D,MATCH(A109,Overrides!$A:$A,0)),"")</f>
        <v/>
      </c>
      <c r="P109" s="21">
        <f>IFERROR(INDEX(Overrides!$B:$B,MATCH(A109,Overrides!$A:$A,0)),"")</f>
        <v/>
      </c>
      <c r="Q109" s="6">
        <f>IFERROR(INDEX(Overrides!$F:$F,MATCH(A109,Overrides!$A:$A,0)),"")</f>
        <v/>
      </c>
      <c r="R109" s="6">
        <f>ISNUMBER(MATCH(A109,Overrides!$A:$A,0))</f>
        <v/>
      </c>
      <c r="S109" s="6">
        <f>OR(ROUND(L109-ROUND(G109-T109,2),2)&lt;=0,AND(I109,K109&lt;&gt;"",(A109-D109+1)=K109))</f>
        <v/>
      </c>
      <c r="T109" s="21">
        <f>IF(M109&lt;&gt;"",M109,ROUND(L109*F109,2))</f>
        <v/>
      </c>
      <c r="U109" s="21">
        <f>IF(R109,IF(O109&lt;&gt;"",O109,IF(N109&lt;&gt;"",ROUND(L109-N109,2),ROUND((IF(P109&lt;&gt;"",P109,G109))-T109,2))),IF(H109,0,IF(S109,L109,ROUND(G109-T109,2))))</f>
        <v/>
      </c>
      <c r="V109" s="21">
        <f>IF(R109,IF(P109&lt;&gt;"",P109,ROUND(T109+U109,2)),IF(H109,T109,IF(S109,ROUND(T109+U109,2),G109)))</f>
        <v/>
      </c>
      <c r="W109" s="21">
        <f>IF(R109,IF(N109&lt;&gt;"",N109,ROUND(L109-U109,2)),IF(H109,L109,IF(S109,0,ROUND(L109-U109,2))))</f>
        <v/>
      </c>
      <c r="X109" s="21">
        <f>IFERROR(MIN(INDEX(LumpSums!$B:$B,MATCH(A109,LumpSums!$A:$A,0)),W109),0)</f>
        <v/>
      </c>
      <c r="Y109" s="21">
        <f>ROUND(U109+X109,2)</f>
        <v/>
      </c>
      <c r="Z109" s="21">
        <f>ROUND(V109+X109,2)</f>
        <v/>
      </c>
      <c r="AA109" s="21">
        <f>ROUND(W109-X109,2)</f>
        <v/>
      </c>
      <c r="AB109" s="6">
        <f>AND(AB108,L109&gt;0)</f>
        <v/>
      </c>
      <c r="AC109" s="21">
        <f>IF(PMI_Costs!$B$8=0,0,ROUND(PMI_Costs!$B$8*(1+PMI_Costs!$B$9/100)^INT((A109-1)/12)/12,2))</f>
        <v/>
      </c>
      <c r="AD109" s="21">
        <f>IF(PMI_Costs!$B$10=0,0,ROUND(PMI_Costs!$B$10*(1+PMI_Costs!$B$11/100)^INT((A109-1)/12)/12,2))</f>
        <v/>
      </c>
      <c r="AE109" s="21">
        <f>IF(PMI_Costs!$B$12=0,0,ROUND(PMI_Costs!$B$12*(1+PMI_Costs!$B$13/100)^INT((A109-1)/12)/12,2))</f>
        <v/>
      </c>
      <c r="AF109" s="22">
        <f>IF(PMI_Costs!$B$5=0,0,AA109/PMI_Costs!$B$5)</f>
        <v/>
      </c>
      <c r="AG109" s="6">
        <f>AND(PMI_Costs!$B$4&gt;0,AF109&gt;PMI_Costs!$B$6/100)</f>
        <v/>
      </c>
      <c r="AH109" s="21">
        <f>IF(AG109,ROUND(Segments!$G$5*PMI_Costs!$B$4/100/12,2),0)</f>
        <v/>
      </c>
      <c r="AI109" s="6">
        <f>AND(NOT(AG109),AG108)</f>
        <v/>
      </c>
    </row>
    <row r="110">
      <c r="A110" s="18" t="n">
        <v>106</v>
      </c>
      <c r="B110" s="18">
        <f>SUMPRODUCT((Segments!$J$5:$J$12&lt;&gt;"")*(Segments!$J$5:$J$12&lt;=A110))</f>
        <v/>
      </c>
      <c r="C110" s="19">
        <f>INDEX(Segments!$B$5:$B$12,B110)</f>
        <v/>
      </c>
      <c r="D110" s="18">
        <f>INDEX(Segments!$J$5:$J$12,B110)</f>
        <v/>
      </c>
      <c r="E110" s="19">
        <f>DATE(YEAR(C110)+INT((MONTH(C110)-1+(A110-D110))/12),MOD(MONTH(C110)-1+(A110-D110),12)+1,1)+(DAY(C110)-1)</f>
        <v/>
      </c>
      <c r="F110" s="20">
        <f>INDEX(Segments!$C$5:$C$12,B110)/100/12</f>
        <v/>
      </c>
      <c r="G110" s="21">
        <f>INDEX(Segments!$L$5:$L$12,B110)</f>
        <v/>
      </c>
      <c r="H110" s="6">
        <f>INDEX(Segments!$I$5:$I$12,B110)="Y"</f>
        <v/>
      </c>
      <c r="I110" s="6">
        <f>INDEX(Segments!$F$5:$F$12,B110)=""</f>
        <v/>
      </c>
      <c r="J110" s="18">
        <f>INDEX(Segments!$K$5:$K$12,B110)</f>
        <v/>
      </c>
      <c r="K110" s="18">
        <f>IF(INDEX(Segments!$F$5:$F$12,B110)&lt;&gt;"",INDEX(Segments!$F$5:$F$12,B110),IF(INDEX(Segments!$E$5:$E$12,B110)&lt;&gt;"",INDEX(Segments!$E$5:$E$12,B110),""))</f>
        <v/>
      </c>
      <c r="L110" s="21">
        <f>AA109</f>
        <v/>
      </c>
      <c r="M110" s="21">
        <f>IFERROR(INDEX(Overrides!$C:$C,MATCH(A110,Overrides!$A:$A,0)),"")</f>
        <v/>
      </c>
      <c r="N110" s="21">
        <f>IFERROR(INDEX(Overrides!$E:$E,MATCH(A110,Overrides!$A:$A,0)),"")</f>
        <v/>
      </c>
      <c r="O110" s="21">
        <f>IFERROR(INDEX(Overrides!$D:$D,MATCH(A110,Overrides!$A:$A,0)),"")</f>
        <v/>
      </c>
      <c r="P110" s="21">
        <f>IFERROR(INDEX(Overrides!$B:$B,MATCH(A110,Overrides!$A:$A,0)),"")</f>
        <v/>
      </c>
      <c r="Q110" s="6">
        <f>IFERROR(INDEX(Overrides!$F:$F,MATCH(A110,Overrides!$A:$A,0)),"")</f>
        <v/>
      </c>
      <c r="R110" s="6">
        <f>ISNUMBER(MATCH(A110,Overrides!$A:$A,0))</f>
        <v/>
      </c>
      <c r="S110" s="6">
        <f>OR(ROUND(L110-ROUND(G110-T110,2),2)&lt;=0,AND(I110,K110&lt;&gt;"",(A110-D110+1)=K110))</f>
        <v/>
      </c>
      <c r="T110" s="21">
        <f>IF(M110&lt;&gt;"",M110,ROUND(L110*F110,2))</f>
        <v/>
      </c>
      <c r="U110" s="21">
        <f>IF(R110,IF(O110&lt;&gt;"",O110,IF(N110&lt;&gt;"",ROUND(L110-N110,2),ROUND((IF(P110&lt;&gt;"",P110,G110))-T110,2))),IF(H110,0,IF(S110,L110,ROUND(G110-T110,2))))</f>
        <v/>
      </c>
      <c r="V110" s="21">
        <f>IF(R110,IF(P110&lt;&gt;"",P110,ROUND(T110+U110,2)),IF(H110,T110,IF(S110,ROUND(T110+U110,2),G110)))</f>
        <v/>
      </c>
      <c r="W110" s="21">
        <f>IF(R110,IF(N110&lt;&gt;"",N110,ROUND(L110-U110,2)),IF(H110,L110,IF(S110,0,ROUND(L110-U110,2))))</f>
        <v/>
      </c>
      <c r="X110" s="21">
        <f>IFERROR(MIN(INDEX(LumpSums!$B:$B,MATCH(A110,LumpSums!$A:$A,0)),W110),0)</f>
        <v/>
      </c>
      <c r="Y110" s="21">
        <f>ROUND(U110+X110,2)</f>
        <v/>
      </c>
      <c r="Z110" s="21">
        <f>ROUND(V110+X110,2)</f>
        <v/>
      </c>
      <c r="AA110" s="21">
        <f>ROUND(W110-X110,2)</f>
        <v/>
      </c>
      <c r="AB110" s="6">
        <f>AND(AB109,L110&gt;0)</f>
        <v/>
      </c>
      <c r="AC110" s="21">
        <f>IF(PMI_Costs!$B$8=0,0,ROUND(PMI_Costs!$B$8*(1+PMI_Costs!$B$9/100)^INT((A110-1)/12)/12,2))</f>
        <v/>
      </c>
      <c r="AD110" s="21">
        <f>IF(PMI_Costs!$B$10=0,0,ROUND(PMI_Costs!$B$10*(1+PMI_Costs!$B$11/100)^INT((A110-1)/12)/12,2))</f>
        <v/>
      </c>
      <c r="AE110" s="21">
        <f>IF(PMI_Costs!$B$12=0,0,ROUND(PMI_Costs!$B$12*(1+PMI_Costs!$B$13/100)^INT((A110-1)/12)/12,2))</f>
        <v/>
      </c>
      <c r="AF110" s="22">
        <f>IF(PMI_Costs!$B$5=0,0,AA110/PMI_Costs!$B$5)</f>
        <v/>
      </c>
      <c r="AG110" s="6">
        <f>AND(PMI_Costs!$B$4&gt;0,AF110&gt;PMI_Costs!$B$6/100)</f>
        <v/>
      </c>
      <c r="AH110" s="21">
        <f>IF(AG110,ROUND(Segments!$G$5*PMI_Costs!$B$4/100/12,2),0)</f>
        <v/>
      </c>
      <c r="AI110" s="6">
        <f>AND(NOT(AG110),AG109)</f>
        <v/>
      </c>
    </row>
    <row r="111">
      <c r="A111" s="18" t="n">
        <v>107</v>
      </c>
      <c r="B111" s="18">
        <f>SUMPRODUCT((Segments!$J$5:$J$12&lt;&gt;"")*(Segments!$J$5:$J$12&lt;=A111))</f>
        <v/>
      </c>
      <c r="C111" s="19">
        <f>INDEX(Segments!$B$5:$B$12,B111)</f>
        <v/>
      </c>
      <c r="D111" s="18">
        <f>INDEX(Segments!$J$5:$J$12,B111)</f>
        <v/>
      </c>
      <c r="E111" s="19">
        <f>DATE(YEAR(C111)+INT((MONTH(C111)-1+(A111-D111))/12),MOD(MONTH(C111)-1+(A111-D111),12)+1,1)+(DAY(C111)-1)</f>
        <v/>
      </c>
      <c r="F111" s="20">
        <f>INDEX(Segments!$C$5:$C$12,B111)/100/12</f>
        <v/>
      </c>
      <c r="G111" s="21">
        <f>INDEX(Segments!$L$5:$L$12,B111)</f>
        <v/>
      </c>
      <c r="H111" s="6">
        <f>INDEX(Segments!$I$5:$I$12,B111)="Y"</f>
        <v/>
      </c>
      <c r="I111" s="6">
        <f>INDEX(Segments!$F$5:$F$12,B111)=""</f>
        <v/>
      </c>
      <c r="J111" s="18">
        <f>INDEX(Segments!$K$5:$K$12,B111)</f>
        <v/>
      </c>
      <c r="K111" s="18">
        <f>IF(INDEX(Segments!$F$5:$F$12,B111)&lt;&gt;"",INDEX(Segments!$F$5:$F$12,B111),IF(INDEX(Segments!$E$5:$E$12,B111)&lt;&gt;"",INDEX(Segments!$E$5:$E$12,B111),""))</f>
        <v/>
      </c>
      <c r="L111" s="21">
        <f>AA110</f>
        <v/>
      </c>
      <c r="M111" s="21">
        <f>IFERROR(INDEX(Overrides!$C:$C,MATCH(A111,Overrides!$A:$A,0)),"")</f>
        <v/>
      </c>
      <c r="N111" s="21">
        <f>IFERROR(INDEX(Overrides!$E:$E,MATCH(A111,Overrides!$A:$A,0)),"")</f>
        <v/>
      </c>
      <c r="O111" s="21">
        <f>IFERROR(INDEX(Overrides!$D:$D,MATCH(A111,Overrides!$A:$A,0)),"")</f>
        <v/>
      </c>
      <c r="P111" s="21">
        <f>IFERROR(INDEX(Overrides!$B:$B,MATCH(A111,Overrides!$A:$A,0)),"")</f>
        <v/>
      </c>
      <c r="Q111" s="6">
        <f>IFERROR(INDEX(Overrides!$F:$F,MATCH(A111,Overrides!$A:$A,0)),"")</f>
        <v/>
      </c>
      <c r="R111" s="6">
        <f>ISNUMBER(MATCH(A111,Overrides!$A:$A,0))</f>
        <v/>
      </c>
      <c r="S111" s="6">
        <f>OR(ROUND(L111-ROUND(G111-T111,2),2)&lt;=0,AND(I111,K111&lt;&gt;"",(A111-D111+1)=K111))</f>
        <v/>
      </c>
      <c r="T111" s="21">
        <f>IF(M111&lt;&gt;"",M111,ROUND(L111*F111,2))</f>
        <v/>
      </c>
      <c r="U111" s="21">
        <f>IF(R111,IF(O111&lt;&gt;"",O111,IF(N111&lt;&gt;"",ROUND(L111-N111,2),ROUND((IF(P111&lt;&gt;"",P111,G111))-T111,2))),IF(H111,0,IF(S111,L111,ROUND(G111-T111,2))))</f>
        <v/>
      </c>
      <c r="V111" s="21">
        <f>IF(R111,IF(P111&lt;&gt;"",P111,ROUND(T111+U111,2)),IF(H111,T111,IF(S111,ROUND(T111+U111,2),G111)))</f>
        <v/>
      </c>
      <c r="W111" s="21">
        <f>IF(R111,IF(N111&lt;&gt;"",N111,ROUND(L111-U111,2)),IF(H111,L111,IF(S111,0,ROUND(L111-U111,2))))</f>
        <v/>
      </c>
      <c r="X111" s="21">
        <f>IFERROR(MIN(INDEX(LumpSums!$B:$B,MATCH(A111,LumpSums!$A:$A,0)),W111),0)</f>
        <v/>
      </c>
      <c r="Y111" s="21">
        <f>ROUND(U111+X111,2)</f>
        <v/>
      </c>
      <c r="Z111" s="21">
        <f>ROUND(V111+X111,2)</f>
        <v/>
      </c>
      <c r="AA111" s="21">
        <f>ROUND(W111-X111,2)</f>
        <v/>
      </c>
      <c r="AB111" s="6">
        <f>AND(AB110,L111&gt;0)</f>
        <v/>
      </c>
      <c r="AC111" s="21">
        <f>IF(PMI_Costs!$B$8=0,0,ROUND(PMI_Costs!$B$8*(1+PMI_Costs!$B$9/100)^INT((A111-1)/12)/12,2))</f>
        <v/>
      </c>
      <c r="AD111" s="21">
        <f>IF(PMI_Costs!$B$10=0,0,ROUND(PMI_Costs!$B$10*(1+PMI_Costs!$B$11/100)^INT((A111-1)/12)/12,2))</f>
        <v/>
      </c>
      <c r="AE111" s="21">
        <f>IF(PMI_Costs!$B$12=0,0,ROUND(PMI_Costs!$B$12*(1+PMI_Costs!$B$13/100)^INT((A111-1)/12)/12,2))</f>
        <v/>
      </c>
      <c r="AF111" s="22">
        <f>IF(PMI_Costs!$B$5=0,0,AA111/PMI_Costs!$B$5)</f>
        <v/>
      </c>
      <c r="AG111" s="6">
        <f>AND(PMI_Costs!$B$4&gt;0,AF111&gt;PMI_Costs!$B$6/100)</f>
        <v/>
      </c>
      <c r="AH111" s="21">
        <f>IF(AG111,ROUND(Segments!$G$5*PMI_Costs!$B$4/100/12,2),0)</f>
        <v/>
      </c>
      <c r="AI111" s="6">
        <f>AND(NOT(AG111),AG110)</f>
        <v/>
      </c>
    </row>
    <row r="112">
      <c r="A112" s="18" t="n">
        <v>108</v>
      </c>
      <c r="B112" s="18">
        <f>SUMPRODUCT((Segments!$J$5:$J$12&lt;&gt;"")*(Segments!$J$5:$J$12&lt;=A112))</f>
        <v/>
      </c>
      <c r="C112" s="19">
        <f>INDEX(Segments!$B$5:$B$12,B112)</f>
        <v/>
      </c>
      <c r="D112" s="18">
        <f>INDEX(Segments!$J$5:$J$12,B112)</f>
        <v/>
      </c>
      <c r="E112" s="19">
        <f>DATE(YEAR(C112)+INT((MONTH(C112)-1+(A112-D112))/12),MOD(MONTH(C112)-1+(A112-D112),12)+1,1)+(DAY(C112)-1)</f>
        <v/>
      </c>
      <c r="F112" s="20">
        <f>INDEX(Segments!$C$5:$C$12,B112)/100/12</f>
        <v/>
      </c>
      <c r="G112" s="21">
        <f>INDEX(Segments!$L$5:$L$12,B112)</f>
        <v/>
      </c>
      <c r="H112" s="6">
        <f>INDEX(Segments!$I$5:$I$12,B112)="Y"</f>
        <v/>
      </c>
      <c r="I112" s="6">
        <f>INDEX(Segments!$F$5:$F$12,B112)=""</f>
        <v/>
      </c>
      <c r="J112" s="18">
        <f>INDEX(Segments!$K$5:$K$12,B112)</f>
        <v/>
      </c>
      <c r="K112" s="18">
        <f>IF(INDEX(Segments!$F$5:$F$12,B112)&lt;&gt;"",INDEX(Segments!$F$5:$F$12,B112),IF(INDEX(Segments!$E$5:$E$12,B112)&lt;&gt;"",INDEX(Segments!$E$5:$E$12,B112),""))</f>
        <v/>
      </c>
      <c r="L112" s="21">
        <f>AA111</f>
        <v/>
      </c>
      <c r="M112" s="21">
        <f>IFERROR(INDEX(Overrides!$C:$C,MATCH(A112,Overrides!$A:$A,0)),"")</f>
        <v/>
      </c>
      <c r="N112" s="21">
        <f>IFERROR(INDEX(Overrides!$E:$E,MATCH(A112,Overrides!$A:$A,0)),"")</f>
        <v/>
      </c>
      <c r="O112" s="21">
        <f>IFERROR(INDEX(Overrides!$D:$D,MATCH(A112,Overrides!$A:$A,0)),"")</f>
        <v/>
      </c>
      <c r="P112" s="21">
        <f>IFERROR(INDEX(Overrides!$B:$B,MATCH(A112,Overrides!$A:$A,0)),"")</f>
        <v/>
      </c>
      <c r="Q112" s="6">
        <f>IFERROR(INDEX(Overrides!$F:$F,MATCH(A112,Overrides!$A:$A,0)),"")</f>
        <v/>
      </c>
      <c r="R112" s="6">
        <f>ISNUMBER(MATCH(A112,Overrides!$A:$A,0))</f>
        <v/>
      </c>
      <c r="S112" s="6">
        <f>OR(ROUND(L112-ROUND(G112-T112,2),2)&lt;=0,AND(I112,K112&lt;&gt;"",(A112-D112+1)=K112))</f>
        <v/>
      </c>
      <c r="T112" s="21">
        <f>IF(M112&lt;&gt;"",M112,ROUND(L112*F112,2))</f>
        <v/>
      </c>
      <c r="U112" s="21">
        <f>IF(R112,IF(O112&lt;&gt;"",O112,IF(N112&lt;&gt;"",ROUND(L112-N112,2),ROUND((IF(P112&lt;&gt;"",P112,G112))-T112,2))),IF(H112,0,IF(S112,L112,ROUND(G112-T112,2))))</f>
        <v/>
      </c>
      <c r="V112" s="21">
        <f>IF(R112,IF(P112&lt;&gt;"",P112,ROUND(T112+U112,2)),IF(H112,T112,IF(S112,ROUND(T112+U112,2),G112)))</f>
        <v/>
      </c>
      <c r="W112" s="21">
        <f>IF(R112,IF(N112&lt;&gt;"",N112,ROUND(L112-U112,2)),IF(H112,L112,IF(S112,0,ROUND(L112-U112,2))))</f>
        <v/>
      </c>
      <c r="X112" s="21">
        <f>IFERROR(MIN(INDEX(LumpSums!$B:$B,MATCH(A112,LumpSums!$A:$A,0)),W112),0)</f>
        <v/>
      </c>
      <c r="Y112" s="21">
        <f>ROUND(U112+X112,2)</f>
        <v/>
      </c>
      <c r="Z112" s="21">
        <f>ROUND(V112+X112,2)</f>
        <v/>
      </c>
      <c r="AA112" s="21">
        <f>ROUND(W112-X112,2)</f>
        <v/>
      </c>
      <c r="AB112" s="6">
        <f>AND(AB111,L112&gt;0)</f>
        <v/>
      </c>
      <c r="AC112" s="21">
        <f>IF(PMI_Costs!$B$8=0,0,ROUND(PMI_Costs!$B$8*(1+PMI_Costs!$B$9/100)^INT((A112-1)/12)/12,2))</f>
        <v/>
      </c>
      <c r="AD112" s="21">
        <f>IF(PMI_Costs!$B$10=0,0,ROUND(PMI_Costs!$B$10*(1+PMI_Costs!$B$11/100)^INT((A112-1)/12)/12,2))</f>
        <v/>
      </c>
      <c r="AE112" s="21">
        <f>IF(PMI_Costs!$B$12=0,0,ROUND(PMI_Costs!$B$12*(1+PMI_Costs!$B$13/100)^INT((A112-1)/12)/12,2))</f>
        <v/>
      </c>
      <c r="AF112" s="22">
        <f>IF(PMI_Costs!$B$5=0,0,AA112/PMI_Costs!$B$5)</f>
        <v/>
      </c>
      <c r="AG112" s="6">
        <f>AND(PMI_Costs!$B$4&gt;0,AF112&gt;PMI_Costs!$B$6/100)</f>
        <v/>
      </c>
      <c r="AH112" s="21">
        <f>IF(AG112,ROUND(Segments!$G$5*PMI_Costs!$B$4/100/12,2),0)</f>
        <v/>
      </c>
      <c r="AI112" s="6">
        <f>AND(NOT(AG112),AG111)</f>
        <v/>
      </c>
    </row>
    <row r="113">
      <c r="A113" s="18" t="n">
        <v>109</v>
      </c>
      <c r="B113" s="18">
        <f>SUMPRODUCT((Segments!$J$5:$J$12&lt;&gt;"")*(Segments!$J$5:$J$12&lt;=A113))</f>
        <v/>
      </c>
      <c r="C113" s="19">
        <f>INDEX(Segments!$B$5:$B$12,B113)</f>
        <v/>
      </c>
      <c r="D113" s="18">
        <f>INDEX(Segments!$J$5:$J$12,B113)</f>
        <v/>
      </c>
      <c r="E113" s="19">
        <f>DATE(YEAR(C113)+INT((MONTH(C113)-1+(A113-D113))/12),MOD(MONTH(C113)-1+(A113-D113),12)+1,1)+(DAY(C113)-1)</f>
        <v/>
      </c>
      <c r="F113" s="20">
        <f>INDEX(Segments!$C$5:$C$12,B113)/100/12</f>
        <v/>
      </c>
      <c r="G113" s="21">
        <f>INDEX(Segments!$L$5:$L$12,B113)</f>
        <v/>
      </c>
      <c r="H113" s="6">
        <f>INDEX(Segments!$I$5:$I$12,B113)="Y"</f>
        <v/>
      </c>
      <c r="I113" s="6">
        <f>INDEX(Segments!$F$5:$F$12,B113)=""</f>
        <v/>
      </c>
      <c r="J113" s="18">
        <f>INDEX(Segments!$K$5:$K$12,B113)</f>
        <v/>
      </c>
      <c r="K113" s="18">
        <f>IF(INDEX(Segments!$F$5:$F$12,B113)&lt;&gt;"",INDEX(Segments!$F$5:$F$12,B113),IF(INDEX(Segments!$E$5:$E$12,B113)&lt;&gt;"",INDEX(Segments!$E$5:$E$12,B113),""))</f>
        <v/>
      </c>
      <c r="L113" s="21">
        <f>AA112</f>
        <v/>
      </c>
      <c r="M113" s="21">
        <f>IFERROR(INDEX(Overrides!$C:$C,MATCH(A113,Overrides!$A:$A,0)),"")</f>
        <v/>
      </c>
      <c r="N113" s="21">
        <f>IFERROR(INDEX(Overrides!$E:$E,MATCH(A113,Overrides!$A:$A,0)),"")</f>
        <v/>
      </c>
      <c r="O113" s="21">
        <f>IFERROR(INDEX(Overrides!$D:$D,MATCH(A113,Overrides!$A:$A,0)),"")</f>
        <v/>
      </c>
      <c r="P113" s="21">
        <f>IFERROR(INDEX(Overrides!$B:$B,MATCH(A113,Overrides!$A:$A,0)),"")</f>
        <v/>
      </c>
      <c r="Q113" s="6">
        <f>IFERROR(INDEX(Overrides!$F:$F,MATCH(A113,Overrides!$A:$A,0)),"")</f>
        <v/>
      </c>
      <c r="R113" s="6">
        <f>ISNUMBER(MATCH(A113,Overrides!$A:$A,0))</f>
        <v/>
      </c>
      <c r="S113" s="6">
        <f>OR(ROUND(L113-ROUND(G113-T113,2),2)&lt;=0,AND(I113,K113&lt;&gt;"",(A113-D113+1)=K113))</f>
        <v/>
      </c>
      <c r="T113" s="21">
        <f>IF(M113&lt;&gt;"",M113,ROUND(L113*F113,2))</f>
        <v/>
      </c>
      <c r="U113" s="21">
        <f>IF(R113,IF(O113&lt;&gt;"",O113,IF(N113&lt;&gt;"",ROUND(L113-N113,2),ROUND((IF(P113&lt;&gt;"",P113,G113))-T113,2))),IF(H113,0,IF(S113,L113,ROUND(G113-T113,2))))</f>
        <v/>
      </c>
      <c r="V113" s="21">
        <f>IF(R113,IF(P113&lt;&gt;"",P113,ROUND(T113+U113,2)),IF(H113,T113,IF(S113,ROUND(T113+U113,2),G113)))</f>
        <v/>
      </c>
      <c r="W113" s="21">
        <f>IF(R113,IF(N113&lt;&gt;"",N113,ROUND(L113-U113,2)),IF(H113,L113,IF(S113,0,ROUND(L113-U113,2))))</f>
        <v/>
      </c>
      <c r="X113" s="21">
        <f>IFERROR(MIN(INDEX(LumpSums!$B:$B,MATCH(A113,LumpSums!$A:$A,0)),W113),0)</f>
        <v/>
      </c>
      <c r="Y113" s="21">
        <f>ROUND(U113+X113,2)</f>
        <v/>
      </c>
      <c r="Z113" s="21">
        <f>ROUND(V113+X113,2)</f>
        <v/>
      </c>
      <c r="AA113" s="21">
        <f>ROUND(W113-X113,2)</f>
        <v/>
      </c>
      <c r="AB113" s="6">
        <f>AND(AB112,L113&gt;0)</f>
        <v/>
      </c>
      <c r="AC113" s="21">
        <f>IF(PMI_Costs!$B$8=0,0,ROUND(PMI_Costs!$B$8*(1+PMI_Costs!$B$9/100)^INT((A113-1)/12)/12,2))</f>
        <v/>
      </c>
      <c r="AD113" s="21">
        <f>IF(PMI_Costs!$B$10=0,0,ROUND(PMI_Costs!$B$10*(1+PMI_Costs!$B$11/100)^INT((A113-1)/12)/12,2))</f>
        <v/>
      </c>
      <c r="AE113" s="21">
        <f>IF(PMI_Costs!$B$12=0,0,ROUND(PMI_Costs!$B$12*(1+PMI_Costs!$B$13/100)^INT((A113-1)/12)/12,2))</f>
        <v/>
      </c>
      <c r="AF113" s="22">
        <f>IF(PMI_Costs!$B$5=0,0,AA113/PMI_Costs!$B$5)</f>
        <v/>
      </c>
      <c r="AG113" s="6">
        <f>AND(PMI_Costs!$B$4&gt;0,AF113&gt;PMI_Costs!$B$6/100)</f>
        <v/>
      </c>
      <c r="AH113" s="21">
        <f>IF(AG113,ROUND(Segments!$G$5*PMI_Costs!$B$4/100/12,2),0)</f>
        <v/>
      </c>
      <c r="AI113" s="6">
        <f>AND(NOT(AG113),AG112)</f>
        <v/>
      </c>
    </row>
    <row r="114">
      <c r="A114" s="18" t="n">
        <v>110</v>
      </c>
      <c r="B114" s="18">
        <f>SUMPRODUCT((Segments!$J$5:$J$12&lt;&gt;"")*(Segments!$J$5:$J$12&lt;=A114))</f>
        <v/>
      </c>
      <c r="C114" s="19">
        <f>INDEX(Segments!$B$5:$B$12,B114)</f>
        <v/>
      </c>
      <c r="D114" s="18">
        <f>INDEX(Segments!$J$5:$J$12,B114)</f>
        <v/>
      </c>
      <c r="E114" s="19">
        <f>DATE(YEAR(C114)+INT((MONTH(C114)-1+(A114-D114))/12),MOD(MONTH(C114)-1+(A114-D114),12)+1,1)+(DAY(C114)-1)</f>
        <v/>
      </c>
      <c r="F114" s="20">
        <f>INDEX(Segments!$C$5:$C$12,B114)/100/12</f>
        <v/>
      </c>
      <c r="G114" s="21">
        <f>INDEX(Segments!$L$5:$L$12,B114)</f>
        <v/>
      </c>
      <c r="H114" s="6">
        <f>INDEX(Segments!$I$5:$I$12,B114)="Y"</f>
        <v/>
      </c>
      <c r="I114" s="6">
        <f>INDEX(Segments!$F$5:$F$12,B114)=""</f>
        <v/>
      </c>
      <c r="J114" s="18">
        <f>INDEX(Segments!$K$5:$K$12,B114)</f>
        <v/>
      </c>
      <c r="K114" s="18">
        <f>IF(INDEX(Segments!$F$5:$F$12,B114)&lt;&gt;"",INDEX(Segments!$F$5:$F$12,B114),IF(INDEX(Segments!$E$5:$E$12,B114)&lt;&gt;"",INDEX(Segments!$E$5:$E$12,B114),""))</f>
        <v/>
      </c>
      <c r="L114" s="21">
        <f>AA113</f>
        <v/>
      </c>
      <c r="M114" s="21">
        <f>IFERROR(INDEX(Overrides!$C:$C,MATCH(A114,Overrides!$A:$A,0)),"")</f>
        <v/>
      </c>
      <c r="N114" s="21">
        <f>IFERROR(INDEX(Overrides!$E:$E,MATCH(A114,Overrides!$A:$A,0)),"")</f>
        <v/>
      </c>
      <c r="O114" s="21">
        <f>IFERROR(INDEX(Overrides!$D:$D,MATCH(A114,Overrides!$A:$A,0)),"")</f>
        <v/>
      </c>
      <c r="P114" s="21">
        <f>IFERROR(INDEX(Overrides!$B:$B,MATCH(A114,Overrides!$A:$A,0)),"")</f>
        <v/>
      </c>
      <c r="Q114" s="6">
        <f>IFERROR(INDEX(Overrides!$F:$F,MATCH(A114,Overrides!$A:$A,0)),"")</f>
        <v/>
      </c>
      <c r="R114" s="6">
        <f>ISNUMBER(MATCH(A114,Overrides!$A:$A,0))</f>
        <v/>
      </c>
      <c r="S114" s="6">
        <f>OR(ROUND(L114-ROUND(G114-T114,2),2)&lt;=0,AND(I114,K114&lt;&gt;"",(A114-D114+1)=K114))</f>
        <v/>
      </c>
      <c r="T114" s="21">
        <f>IF(M114&lt;&gt;"",M114,ROUND(L114*F114,2))</f>
        <v/>
      </c>
      <c r="U114" s="21">
        <f>IF(R114,IF(O114&lt;&gt;"",O114,IF(N114&lt;&gt;"",ROUND(L114-N114,2),ROUND((IF(P114&lt;&gt;"",P114,G114))-T114,2))),IF(H114,0,IF(S114,L114,ROUND(G114-T114,2))))</f>
        <v/>
      </c>
      <c r="V114" s="21">
        <f>IF(R114,IF(P114&lt;&gt;"",P114,ROUND(T114+U114,2)),IF(H114,T114,IF(S114,ROUND(T114+U114,2),G114)))</f>
        <v/>
      </c>
      <c r="W114" s="21">
        <f>IF(R114,IF(N114&lt;&gt;"",N114,ROUND(L114-U114,2)),IF(H114,L114,IF(S114,0,ROUND(L114-U114,2))))</f>
        <v/>
      </c>
      <c r="X114" s="21">
        <f>IFERROR(MIN(INDEX(LumpSums!$B:$B,MATCH(A114,LumpSums!$A:$A,0)),W114),0)</f>
        <v/>
      </c>
      <c r="Y114" s="21">
        <f>ROUND(U114+X114,2)</f>
        <v/>
      </c>
      <c r="Z114" s="21">
        <f>ROUND(V114+X114,2)</f>
        <v/>
      </c>
      <c r="AA114" s="21">
        <f>ROUND(W114-X114,2)</f>
        <v/>
      </c>
      <c r="AB114" s="6">
        <f>AND(AB113,L114&gt;0)</f>
        <v/>
      </c>
      <c r="AC114" s="21">
        <f>IF(PMI_Costs!$B$8=0,0,ROUND(PMI_Costs!$B$8*(1+PMI_Costs!$B$9/100)^INT((A114-1)/12)/12,2))</f>
        <v/>
      </c>
      <c r="AD114" s="21">
        <f>IF(PMI_Costs!$B$10=0,0,ROUND(PMI_Costs!$B$10*(1+PMI_Costs!$B$11/100)^INT((A114-1)/12)/12,2))</f>
        <v/>
      </c>
      <c r="AE114" s="21">
        <f>IF(PMI_Costs!$B$12=0,0,ROUND(PMI_Costs!$B$12*(1+PMI_Costs!$B$13/100)^INT((A114-1)/12)/12,2))</f>
        <v/>
      </c>
      <c r="AF114" s="22">
        <f>IF(PMI_Costs!$B$5=0,0,AA114/PMI_Costs!$B$5)</f>
        <v/>
      </c>
      <c r="AG114" s="6">
        <f>AND(PMI_Costs!$B$4&gt;0,AF114&gt;PMI_Costs!$B$6/100)</f>
        <v/>
      </c>
      <c r="AH114" s="21">
        <f>IF(AG114,ROUND(Segments!$G$5*PMI_Costs!$B$4/100/12,2),0)</f>
        <v/>
      </c>
      <c r="AI114" s="6">
        <f>AND(NOT(AG114),AG113)</f>
        <v/>
      </c>
    </row>
    <row r="115">
      <c r="A115" s="18" t="n">
        <v>111</v>
      </c>
      <c r="B115" s="18">
        <f>SUMPRODUCT((Segments!$J$5:$J$12&lt;&gt;"")*(Segments!$J$5:$J$12&lt;=A115))</f>
        <v/>
      </c>
      <c r="C115" s="19">
        <f>INDEX(Segments!$B$5:$B$12,B115)</f>
        <v/>
      </c>
      <c r="D115" s="18">
        <f>INDEX(Segments!$J$5:$J$12,B115)</f>
        <v/>
      </c>
      <c r="E115" s="19">
        <f>DATE(YEAR(C115)+INT((MONTH(C115)-1+(A115-D115))/12),MOD(MONTH(C115)-1+(A115-D115),12)+1,1)+(DAY(C115)-1)</f>
        <v/>
      </c>
      <c r="F115" s="20">
        <f>INDEX(Segments!$C$5:$C$12,B115)/100/12</f>
        <v/>
      </c>
      <c r="G115" s="21">
        <f>INDEX(Segments!$L$5:$L$12,B115)</f>
        <v/>
      </c>
      <c r="H115" s="6">
        <f>INDEX(Segments!$I$5:$I$12,B115)="Y"</f>
        <v/>
      </c>
      <c r="I115" s="6">
        <f>INDEX(Segments!$F$5:$F$12,B115)=""</f>
        <v/>
      </c>
      <c r="J115" s="18">
        <f>INDEX(Segments!$K$5:$K$12,B115)</f>
        <v/>
      </c>
      <c r="K115" s="18">
        <f>IF(INDEX(Segments!$F$5:$F$12,B115)&lt;&gt;"",INDEX(Segments!$F$5:$F$12,B115),IF(INDEX(Segments!$E$5:$E$12,B115)&lt;&gt;"",INDEX(Segments!$E$5:$E$12,B115),""))</f>
        <v/>
      </c>
      <c r="L115" s="21">
        <f>AA114</f>
        <v/>
      </c>
      <c r="M115" s="21">
        <f>IFERROR(INDEX(Overrides!$C:$C,MATCH(A115,Overrides!$A:$A,0)),"")</f>
        <v/>
      </c>
      <c r="N115" s="21">
        <f>IFERROR(INDEX(Overrides!$E:$E,MATCH(A115,Overrides!$A:$A,0)),"")</f>
        <v/>
      </c>
      <c r="O115" s="21">
        <f>IFERROR(INDEX(Overrides!$D:$D,MATCH(A115,Overrides!$A:$A,0)),"")</f>
        <v/>
      </c>
      <c r="P115" s="21">
        <f>IFERROR(INDEX(Overrides!$B:$B,MATCH(A115,Overrides!$A:$A,0)),"")</f>
        <v/>
      </c>
      <c r="Q115" s="6">
        <f>IFERROR(INDEX(Overrides!$F:$F,MATCH(A115,Overrides!$A:$A,0)),"")</f>
        <v/>
      </c>
      <c r="R115" s="6">
        <f>ISNUMBER(MATCH(A115,Overrides!$A:$A,0))</f>
        <v/>
      </c>
      <c r="S115" s="6">
        <f>OR(ROUND(L115-ROUND(G115-T115,2),2)&lt;=0,AND(I115,K115&lt;&gt;"",(A115-D115+1)=K115))</f>
        <v/>
      </c>
      <c r="T115" s="21">
        <f>IF(M115&lt;&gt;"",M115,ROUND(L115*F115,2))</f>
        <v/>
      </c>
      <c r="U115" s="21">
        <f>IF(R115,IF(O115&lt;&gt;"",O115,IF(N115&lt;&gt;"",ROUND(L115-N115,2),ROUND((IF(P115&lt;&gt;"",P115,G115))-T115,2))),IF(H115,0,IF(S115,L115,ROUND(G115-T115,2))))</f>
        <v/>
      </c>
      <c r="V115" s="21">
        <f>IF(R115,IF(P115&lt;&gt;"",P115,ROUND(T115+U115,2)),IF(H115,T115,IF(S115,ROUND(T115+U115,2),G115)))</f>
        <v/>
      </c>
      <c r="W115" s="21">
        <f>IF(R115,IF(N115&lt;&gt;"",N115,ROUND(L115-U115,2)),IF(H115,L115,IF(S115,0,ROUND(L115-U115,2))))</f>
        <v/>
      </c>
      <c r="X115" s="21">
        <f>IFERROR(MIN(INDEX(LumpSums!$B:$B,MATCH(A115,LumpSums!$A:$A,0)),W115),0)</f>
        <v/>
      </c>
      <c r="Y115" s="21">
        <f>ROUND(U115+X115,2)</f>
        <v/>
      </c>
      <c r="Z115" s="21">
        <f>ROUND(V115+X115,2)</f>
        <v/>
      </c>
      <c r="AA115" s="21">
        <f>ROUND(W115-X115,2)</f>
        <v/>
      </c>
      <c r="AB115" s="6">
        <f>AND(AB114,L115&gt;0)</f>
        <v/>
      </c>
      <c r="AC115" s="21">
        <f>IF(PMI_Costs!$B$8=0,0,ROUND(PMI_Costs!$B$8*(1+PMI_Costs!$B$9/100)^INT((A115-1)/12)/12,2))</f>
        <v/>
      </c>
      <c r="AD115" s="21">
        <f>IF(PMI_Costs!$B$10=0,0,ROUND(PMI_Costs!$B$10*(1+PMI_Costs!$B$11/100)^INT((A115-1)/12)/12,2))</f>
        <v/>
      </c>
      <c r="AE115" s="21">
        <f>IF(PMI_Costs!$B$12=0,0,ROUND(PMI_Costs!$B$12*(1+PMI_Costs!$B$13/100)^INT((A115-1)/12)/12,2))</f>
        <v/>
      </c>
      <c r="AF115" s="22">
        <f>IF(PMI_Costs!$B$5=0,0,AA115/PMI_Costs!$B$5)</f>
        <v/>
      </c>
      <c r="AG115" s="6">
        <f>AND(PMI_Costs!$B$4&gt;0,AF115&gt;PMI_Costs!$B$6/100)</f>
        <v/>
      </c>
      <c r="AH115" s="21">
        <f>IF(AG115,ROUND(Segments!$G$5*PMI_Costs!$B$4/100/12,2),0)</f>
        <v/>
      </c>
      <c r="AI115" s="6">
        <f>AND(NOT(AG115),AG114)</f>
        <v/>
      </c>
    </row>
    <row r="116">
      <c r="A116" s="18" t="n">
        <v>112</v>
      </c>
      <c r="B116" s="18">
        <f>SUMPRODUCT((Segments!$J$5:$J$12&lt;&gt;"")*(Segments!$J$5:$J$12&lt;=A116))</f>
        <v/>
      </c>
      <c r="C116" s="19">
        <f>INDEX(Segments!$B$5:$B$12,B116)</f>
        <v/>
      </c>
      <c r="D116" s="18">
        <f>INDEX(Segments!$J$5:$J$12,B116)</f>
        <v/>
      </c>
      <c r="E116" s="19">
        <f>DATE(YEAR(C116)+INT((MONTH(C116)-1+(A116-D116))/12),MOD(MONTH(C116)-1+(A116-D116),12)+1,1)+(DAY(C116)-1)</f>
        <v/>
      </c>
      <c r="F116" s="20">
        <f>INDEX(Segments!$C$5:$C$12,B116)/100/12</f>
        <v/>
      </c>
      <c r="G116" s="21">
        <f>INDEX(Segments!$L$5:$L$12,B116)</f>
        <v/>
      </c>
      <c r="H116" s="6">
        <f>INDEX(Segments!$I$5:$I$12,B116)="Y"</f>
        <v/>
      </c>
      <c r="I116" s="6">
        <f>INDEX(Segments!$F$5:$F$12,B116)=""</f>
        <v/>
      </c>
      <c r="J116" s="18">
        <f>INDEX(Segments!$K$5:$K$12,B116)</f>
        <v/>
      </c>
      <c r="K116" s="18">
        <f>IF(INDEX(Segments!$F$5:$F$12,B116)&lt;&gt;"",INDEX(Segments!$F$5:$F$12,B116),IF(INDEX(Segments!$E$5:$E$12,B116)&lt;&gt;"",INDEX(Segments!$E$5:$E$12,B116),""))</f>
        <v/>
      </c>
      <c r="L116" s="21">
        <f>AA115</f>
        <v/>
      </c>
      <c r="M116" s="21">
        <f>IFERROR(INDEX(Overrides!$C:$C,MATCH(A116,Overrides!$A:$A,0)),"")</f>
        <v/>
      </c>
      <c r="N116" s="21">
        <f>IFERROR(INDEX(Overrides!$E:$E,MATCH(A116,Overrides!$A:$A,0)),"")</f>
        <v/>
      </c>
      <c r="O116" s="21">
        <f>IFERROR(INDEX(Overrides!$D:$D,MATCH(A116,Overrides!$A:$A,0)),"")</f>
        <v/>
      </c>
      <c r="P116" s="21">
        <f>IFERROR(INDEX(Overrides!$B:$B,MATCH(A116,Overrides!$A:$A,0)),"")</f>
        <v/>
      </c>
      <c r="Q116" s="6">
        <f>IFERROR(INDEX(Overrides!$F:$F,MATCH(A116,Overrides!$A:$A,0)),"")</f>
        <v/>
      </c>
      <c r="R116" s="6">
        <f>ISNUMBER(MATCH(A116,Overrides!$A:$A,0))</f>
        <v/>
      </c>
      <c r="S116" s="6">
        <f>OR(ROUND(L116-ROUND(G116-T116,2),2)&lt;=0,AND(I116,K116&lt;&gt;"",(A116-D116+1)=K116))</f>
        <v/>
      </c>
      <c r="T116" s="21">
        <f>IF(M116&lt;&gt;"",M116,ROUND(L116*F116,2))</f>
        <v/>
      </c>
      <c r="U116" s="21">
        <f>IF(R116,IF(O116&lt;&gt;"",O116,IF(N116&lt;&gt;"",ROUND(L116-N116,2),ROUND((IF(P116&lt;&gt;"",P116,G116))-T116,2))),IF(H116,0,IF(S116,L116,ROUND(G116-T116,2))))</f>
        <v/>
      </c>
      <c r="V116" s="21">
        <f>IF(R116,IF(P116&lt;&gt;"",P116,ROUND(T116+U116,2)),IF(H116,T116,IF(S116,ROUND(T116+U116,2),G116)))</f>
        <v/>
      </c>
      <c r="W116" s="21">
        <f>IF(R116,IF(N116&lt;&gt;"",N116,ROUND(L116-U116,2)),IF(H116,L116,IF(S116,0,ROUND(L116-U116,2))))</f>
        <v/>
      </c>
      <c r="X116" s="21">
        <f>IFERROR(MIN(INDEX(LumpSums!$B:$B,MATCH(A116,LumpSums!$A:$A,0)),W116),0)</f>
        <v/>
      </c>
      <c r="Y116" s="21">
        <f>ROUND(U116+X116,2)</f>
        <v/>
      </c>
      <c r="Z116" s="21">
        <f>ROUND(V116+X116,2)</f>
        <v/>
      </c>
      <c r="AA116" s="21">
        <f>ROUND(W116-X116,2)</f>
        <v/>
      </c>
      <c r="AB116" s="6">
        <f>AND(AB115,L116&gt;0)</f>
        <v/>
      </c>
      <c r="AC116" s="21">
        <f>IF(PMI_Costs!$B$8=0,0,ROUND(PMI_Costs!$B$8*(1+PMI_Costs!$B$9/100)^INT((A116-1)/12)/12,2))</f>
        <v/>
      </c>
      <c r="AD116" s="21">
        <f>IF(PMI_Costs!$B$10=0,0,ROUND(PMI_Costs!$B$10*(1+PMI_Costs!$B$11/100)^INT((A116-1)/12)/12,2))</f>
        <v/>
      </c>
      <c r="AE116" s="21">
        <f>IF(PMI_Costs!$B$12=0,0,ROUND(PMI_Costs!$B$12*(1+PMI_Costs!$B$13/100)^INT((A116-1)/12)/12,2))</f>
        <v/>
      </c>
      <c r="AF116" s="22">
        <f>IF(PMI_Costs!$B$5=0,0,AA116/PMI_Costs!$B$5)</f>
        <v/>
      </c>
      <c r="AG116" s="6">
        <f>AND(PMI_Costs!$B$4&gt;0,AF116&gt;PMI_Costs!$B$6/100)</f>
        <v/>
      </c>
      <c r="AH116" s="21">
        <f>IF(AG116,ROUND(Segments!$G$5*PMI_Costs!$B$4/100/12,2),0)</f>
        <v/>
      </c>
      <c r="AI116" s="6">
        <f>AND(NOT(AG116),AG115)</f>
        <v/>
      </c>
    </row>
    <row r="117">
      <c r="A117" s="18" t="n">
        <v>113</v>
      </c>
      <c r="B117" s="18">
        <f>SUMPRODUCT((Segments!$J$5:$J$12&lt;&gt;"")*(Segments!$J$5:$J$12&lt;=A117))</f>
        <v/>
      </c>
      <c r="C117" s="19">
        <f>INDEX(Segments!$B$5:$B$12,B117)</f>
        <v/>
      </c>
      <c r="D117" s="18">
        <f>INDEX(Segments!$J$5:$J$12,B117)</f>
        <v/>
      </c>
      <c r="E117" s="19">
        <f>DATE(YEAR(C117)+INT((MONTH(C117)-1+(A117-D117))/12),MOD(MONTH(C117)-1+(A117-D117),12)+1,1)+(DAY(C117)-1)</f>
        <v/>
      </c>
      <c r="F117" s="20">
        <f>INDEX(Segments!$C$5:$C$12,B117)/100/12</f>
        <v/>
      </c>
      <c r="G117" s="21">
        <f>INDEX(Segments!$L$5:$L$12,B117)</f>
        <v/>
      </c>
      <c r="H117" s="6">
        <f>INDEX(Segments!$I$5:$I$12,B117)="Y"</f>
        <v/>
      </c>
      <c r="I117" s="6">
        <f>INDEX(Segments!$F$5:$F$12,B117)=""</f>
        <v/>
      </c>
      <c r="J117" s="18">
        <f>INDEX(Segments!$K$5:$K$12,B117)</f>
        <v/>
      </c>
      <c r="K117" s="18">
        <f>IF(INDEX(Segments!$F$5:$F$12,B117)&lt;&gt;"",INDEX(Segments!$F$5:$F$12,B117),IF(INDEX(Segments!$E$5:$E$12,B117)&lt;&gt;"",INDEX(Segments!$E$5:$E$12,B117),""))</f>
        <v/>
      </c>
      <c r="L117" s="21">
        <f>AA116</f>
        <v/>
      </c>
      <c r="M117" s="21">
        <f>IFERROR(INDEX(Overrides!$C:$C,MATCH(A117,Overrides!$A:$A,0)),"")</f>
        <v/>
      </c>
      <c r="N117" s="21">
        <f>IFERROR(INDEX(Overrides!$E:$E,MATCH(A117,Overrides!$A:$A,0)),"")</f>
        <v/>
      </c>
      <c r="O117" s="21">
        <f>IFERROR(INDEX(Overrides!$D:$D,MATCH(A117,Overrides!$A:$A,0)),"")</f>
        <v/>
      </c>
      <c r="P117" s="21">
        <f>IFERROR(INDEX(Overrides!$B:$B,MATCH(A117,Overrides!$A:$A,0)),"")</f>
        <v/>
      </c>
      <c r="Q117" s="6">
        <f>IFERROR(INDEX(Overrides!$F:$F,MATCH(A117,Overrides!$A:$A,0)),"")</f>
        <v/>
      </c>
      <c r="R117" s="6">
        <f>ISNUMBER(MATCH(A117,Overrides!$A:$A,0))</f>
        <v/>
      </c>
      <c r="S117" s="6">
        <f>OR(ROUND(L117-ROUND(G117-T117,2),2)&lt;=0,AND(I117,K117&lt;&gt;"",(A117-D117+1)=K117))</f>
        <v/>
      </c>
      <c r="T117" s="21">
        <f>IF(M117&lt;&gt;"",M117,ROUND(L117*F117,2))</f>
        <v/>
      </c>
      <c r="U117" s="21">
        <f>IF(R117,IF(O117&lt;&gt;"",O117,IF(N117&lt;&gt;"",ROUND(L117-N117,2),ROUND((IF(P117&lt;&gt;"",P117,G117))-T117,2))),IF(H117,0,IF(S117,L117,ROUND(G117-T117,2))))</f>
        <v/>
      </c>
      <c r="V117" s="21">
        <f>IF(R117,IF(P117&lt;&gt;"",P117,ROUND(T117+U117,2)),IF(H117,T117,IF(S117,ROUND(T117+U117,2),G117)))</f>
        <v/>
      </c>
      <c r="W117" s="21">
        <f>IF(R117,IF(N117&lt;&gt;"",N117,ROUND(L117-U117,2)),IF(H117,L117,IF(S117,0,ROUND(L117-U117,2))))</f>
        <v/>
      </c>
      <c r="X117" s="21">
        <f>IFERROR(MIN(INDEX(LumpSums!$B:$B,MATCH(A117,LumpSums!$A:$A,0)),W117),0)</f>
        <v/>
      </c>
      <c r="Y117" s="21">
        <f>ROUND(U117+X117,2)</f>
        <v/>
      </c>
      <c r="Z117" s="21">
        <f>ROUND(V117+X117,2)</f>
        <v/>
      </c>
      <c r="AA117" s="21">
        <f>ROUND(W117-X117,2)</f>
        <v/>
      </c>
      <c r="AB117" s="6">
        <f>AND(AB116,L117&gt;0)</f>
        <v/>
      </c>
      <c r="AC117" s="21">
        <f>IF(PMI_Costs!$B$8=0,0,ROUND(PMI_Costs!$B$8*(1+PMI_Costs!$B$9/100)^INT((A117-1)/12)/12,2))</f>
        <v/>
      </c>
      <c r="AD117" s="21">
        <f>IF(PMI_Costs!$B$10=0,0,ROUND(PMI_Costs!$B$10*(1+PMI_Costs!$B$11/100)^INT((A117-1)/12)/12,2))</f>
        <v/>
      </c>
      <c r="AE117" s="21">
        <f>IF(PMI_Costs!$B$12=0,0,ROUND(PMI_Costs!$B$12*(1+PMI_Costs!$B$13/100)^INT((A117-1)/12)/12,2))</f>
        <v/>
      </c>
      <c r="AF117" s="22">
        <f>IF(PMI_Costs!$B$5=0,0,AA117/PMI_Costs!$B$5)</f>
        <v/>
      </c>
      <c r="AG117" s="6">
        <f>AND(PMI_Costs!$B$4&gt;0,AF117&gt;PMI_Costs!$B$6/100)</f>
        <v/>
      </c>
      <c r="AH117" s="21">
        <f>IF(AG117,ROUND(Segments!$G$5*PMI_Costs!$B$4/100/12,2),0)</f>
        <v/>
      </c>
      <c r="AI117" s="6">
        <f>AND(NOT(AG117),AG116)</f>
        <v/>
      </c>
    </row>
    <row r="118">
      <c r="A118" s="18" t="n">
        <v>114</v>
      </c>
      <c r="B118" s="18">
        <f>SUMPRODUCT((Segments!$J$5:$J$12&lt;&gt;"")*(Segments!$J$5:$J$12&lt;=A118))</f>
        <v/>
      </c>
      <c r="C118" s="19">
        <f>INDEX(Segments!$B$5:$B$12,B118)</f>
        <v/>
      </c>
      <c r="D118" s="18">
        <f>INDEX(Segments!$J$5:$J$12,B118)</f>
        <v/>
      </c>
      <c r="E118" s="19">
        <f>DATE(YEAR(C118)+INT((MONTH(C118)-1+(A118-D118))/12),MOD(MONTH(C118)-1+(A118-D118),12)+1,1)+(DAY(C118)-1)</f>
        <v/>
      </c>
      <c r="F118" s="20">
        <f>INDEX(Segments!$C$5:$C$12,B118)/100/12</f>
        <v/>
      </c>
      <c r="G118" s="21">
        <f>INDEX(Segments!$L$5:$L$12,B118)</f>
        <v/>
      </c>
      <c r="H118" s="6">
        <f>INDEX(Segments!$I$5:$I$12,B118)="Y"</f>
        <v/>
      </c>
      <c r="I118" s="6">
        <f>INDEX(Segments!$F$5:$F$12,B118)=""</f>
        <v/>
      </c>
      <c r="J118" s="18">
        <f>INDEX(Segments!$K$5:$K$12,B118)</f>
        <v/>
      </c>
      <c r="K118" s="18">
        <f>IF(INDEX(Segments!$F$5:$F$12,B118)&lt;&gt;"",INDEX(Segments!$F$5:$F$12,B118),IF(INDEX(Segments!$E$5:$E$12,B118)&lt;&gt;"",INDEX(Segments!$E$5:$E$12,B118),""))</f>
        <v/>
      </c>
      <c r="L118" s="21">
        <f>AA117</f>
        <v/>
      </c>
      <c r="M118" s="21">
        <f>IFERROR(INDEX(Overrides!$C:$C,MATCH(A118,Overrides!$A:$A,0)),"")</f>
        <v/>
      </c>
      <c r="N118" s="21">
        <f>IFERROR(INDEX(Overrides!$E:$E,MATCH(A118,Overrides!$A:$A,0)),"")</f>
        <v/>
      </c>
      <c r="O118" s="21">
        <f>IFERROR(INDEX(Overrides!$D:$D,MATCH(A118,Overrides!$A:$A,0)),"")</f>
        <v/>
      </c>
      <c r="P118" s="21">
        <f>IFERROR(INDEX(Overrides!$B:$B,MATCH(A118,Overrides!$A:$A,0)),"")</f>
        <v/>
      </c>
      <c r="Q118" s="6">
        <f>IFERROR(INDEX(Overrides!$F:$F,MATCH(A118,Overrides!$A:$A,0)),"")</f>
        <v/>
      </c>
      <c r="R118" s="6">
        <f>ISNUMBER(MATCH(A118,Overrides!$A:$A,0))</f>
        <v/>
      </c>
      <c r="S118" s="6">
        <f>OR(ROUND(L118-ROUND(G118-T118,2),2)&lt;=0,AND(I118,K118&lt;&gt;"",(A118-D118+1)=K118))</f>
        <v/>
      </c>
      <c r="T118" s="21">
        <f>IF(M118&lt;&gt;"",M118,ROUND(L118*F118,2))</f>
        <v/>
      </c>
      <c r="U118" s="21">
        <f>IF(R118,IF(O118&lt;&gt;"",O118,IF(N118&lt;&gt;"",ROUND(L118-N118,2),ROUND((IF(P118&lt;&gt;"",P118,G118))-T118,2))),IF(H118,0,IF(S118,L118,ROUND(G118-T118,2))))</f>
        <v/>
      </c>
      <c r="V118" s="21">
        <f>IF(R118,IF(P118&lt;&gt;"",P118,ROUND(T118+U118,2)),IF(H118,T118,IF(S118,ROUND(T118+U118,2),G118)))</f>
        <v/>
      </c>
      <c r="W118" s="21">
        <f>IF(R118,IF(N118&lt;&gt;"",N118,ROUND(L118-U118,2)),IF(H118,L118,IF(S118,0,ROUND(L118-U118,2))))</f>
        <v/>
      </c>
      <c r="X118" s="21">
        <f>IFERROR(MIN(INDEX(LumpSums!$B:$B,MATCH(A118,LumpSums!$A:$A,0)),W118),0)</f>
        <v/>
      </c>
      <c r="Y118" s="21">
        <f>ROUND(U118+X118,2)</f>
        <v/>
      </c>
      <c r="Z118" s="21">
        <f>ROUND(V118+X118,2)</f>
        <v/>
      </c>
      <c r="AA118" s="21">
        <f>ROUND(W118-X118,2)</f>
        <v/>
      </c>
      <c r="AB118" s="6">
        <f>AND(AB117,L118&gt;0)</f>
        <v/>
      </c>
      <c r="AC118" s="21">
        <f>IF(PMI_Costs!$B$8=0,0,ROUND(PMI_Costs!$B$8*(1+PMI_Costs!$B$9/100)^INT((A118-1)/12)/12,2))</f>
        <v/>
      </c>
      <c r="AD118" s="21">
        <f>IF(PMI_Costs!$B$10=0,0,ROUND(PMI_Costs!$B$10*(1+PMI_Costs!$B$11/100)^INT((A118-1)/12)/12,2))</f>
        <v/>
      </c>
      <c r="AE118" s="21">
        <f>IF(PMI_Costs!$B$12=0,0,ROUND(PMI_Costs!$B$12*(1+PMI_Costs!$B$13/100)^INT((A118-1)/12)/12,2))</f>
        <v/>
      </c>
      <c r="AF118" s="22">
        <f>IF(PMI_Costs!$B$5=0,0,AA118/PMI_Costs!$B$5)</f>
        <v/>
      </c>
      <c r="AG118" s="6">
        <f>AND(PMI_Costs!$B$4&gt;0,AF118&gt;PMI_Costs!$B$6/100)</f>
        <v/>
      </c>
      <c r="AH118" s="21">
        <f>IF(AG118,ROUND(Segments!$G$5*PMI_Costs!$B$4/100/12,2),0)</f>
        <v/>
      </c>
      <c r="AI118" s="6">
        <f>AND(NOT(AG118),AG117)</f>
        <v/>
      </c>
    </row>
    <row r="119">
      <c r="A119" s="18" t="n">
        <v>115</v>
      </c>
      <c r="B119" s="18">
        <f>SUMPRODUCT((Segments!$J$5:$J$12&lt;&gt;"")*(Segments!$J$5:$J$12&lt;=A119))</f>
        <v/>
      </c>
      <c r="C119" s="19">
        <f>INDEX(Segments!$B$5:$B$12,B119)</f>
        <v/>
      </c>
      <c r="D119" s="18">
        <f>INDEX(Segments!$J$5:$J$12,B119)</f>
        <v/>
      </c>
      <c r="E119" s="19">
        <f>DATE(YEAR(C119)+INT((MONTH(C119)-1+(A119-D119))/12),MOD(MONTH(C119)-1+(A119-D119),12)+1,1)+(DAY(C119)-1)</f>
        <v/>
      </c>
      <c r="F119" s="20">
        <f>INDEX(Segments!$C$5:$C$12,B119)/100/12</f>
        <v/>
      </c>
      <c r="G119" s="21">
        <f>INDEX(Segments!$L$5:$L$12,B119)</f>
        <v/>
      </c>
      <c r="H119" s="6">
        <f>INDEX(Segments!$I$5:$I$12,B119)="Y"</f>
        <v/>
      </c>
      <c r="I119" s="6">
        <f>INDEX(Segments!$F$5:$F$12,B119)=""</f>
        <v/>
      </c>
      <c r="J119" s="18">
        <f>INDEX(Segments!$K$5:$K$12,B119)</f>
        <v/>
      </c>
      <c r="K119" s="18">
        <f>IF(INDEX(Segments!$F$5:$F$12,B119)&lt;&gt;"",INDEX(Segments!$F$5:$F$12,B119),IF(INDEX(Segments!$E$5:$E$12,B119)&lt;&gt;"",INDEX(Segments!$E$5:$E$12,B119),""))</f>
        <v/>
      </c>
      <c r="L119" s="21">
        <f>AA118</f>
        <v/>
      </c>
      <c r="M119" s="21">
        <f>IFERROR(INDEX(Overrides!$C:$C,MATCH(A119,Overrides!$A:$A,0)),"")</f>
        <v/>
      </c>
      <c r="N119" s="21">
        <f>IFERROR(INDEX(Overrides!$E:$E,MATCH(A119,Overrides!$A:$A,0)),"")</f>
        <v/>
      </c>
      <c r="O119" s="21">
        <f>IFERROR(INDEX(Overrides!$D:$D,MATCH(A119,Overrides!$A:$A,0)),"")</f>
        <v/>
      </c>
      <c r="P119" s="21">
        <f>IFERROR(INDEX(Overrides!$B:$B,MATCH(A119,Overrides!$A:$A,0)),"")</f>
        <v/>
      </c>
      <c r="Q119" s="6">
        <f>IFERROR(INDEX(Overrides!$F:$F,MATCH(A119,Overrides!$A:$A,0)),"")</f>
        <v/>
      </c>
      <c r="R119" s="6">
        <f>ISNUMBER(MATCH(A119,Overrides!$A:$A,0))</f>
        <v/>
      </c>
      <c r="S119" s="6">
        <f>OR(ROUND(L119-ROUND(G119-T119,2),2)&lt;=0,AND(I119,K119&lt;&gt;"",(A119-D119+1)=K119))</f>
        <v/>
      </c>
      <c r="T119" s="21">
        <f>IF(M119&lt;&gt;"",M119,ROUND(L119*F119,2))</f>
        <v/>
      </c>
      <c r="U119" s="21">
        <f>IF(R119,IF(O119&lt;&gt;"",O119,IF(N119&lt;&gt;"",ROUND(L119-N119,2),ROUND((IF(P119&lt;&gt;"",P119,G119))-T119,2))),IF(H119,0,IF(S119,L119,ROUND(G119-T119,2))))</f>
        <v/>
      </c>
      <c r="V119" s="21">
        <f>IF(R119,IF(P119&lt;&gt;"",P119,ROUND(T119+U119,2)),IF(H119,T119,IF(S119,ROUND(T119+U119,2),G119)))</f>
        <v/>
      </c>
      <c r="W119" s="21">
        <f>IF(R119,IF(N119&lt;&gt;"",N119,ROUND(L119-U119,2)),IF(H119,L119,IF(S119,0,ROUND(L119-U119,2))))</f>
        <v/>
      </c>
      <c r="X119" s="21">
        <f>IFERROR(MIN(INDEX(LumpSums!$B:$B,MATCH(A119,LumpSums!$A:$A,0)),W119),0)</f>
        <v/>
      </c>
      <c r="Y119" s="21">
        <f>ROUND(U119+X119,2)</f>
        <v/>
      </c>
      <c r="Z119" s="21">
        <f>ROUND(V119+X119,2)</f>
        <v/>
      </c>
      <c r="AA119" s="21">
        <f>ROUND(W119-X119,2)</f>
        <v/>
      </c>
      <c r="AB119" s="6">
        <f>AND(AB118,L119&gt;0)</f>
        <v/>
      </c>
      <c r="AC119" s="21">
        <f>IF(PMI_Costs!$B$8=0,0,ROUND(PMI_Costs!$B$8*(1+PMI_Costs!$B$9/100)^INT((A119-1)/12)/12,2))</f>
        <v/>
      </c>
      <c r="AD119" s="21">
        <f>IF(PMI_Costs!$B$10=0,0,ROUND(PMI_Costs!$B$10*(1+PMI_Costs!$B$11/100)^INT((A119-1)/12)/12,2))</f>
        <v/>
      </c>
      <c r="AE119" s="21">
        <f>IF(PMI_Costs!$B$12=0,0,ROUND(PMI_Costs!$B$12*(1+PMI_Costs!$B$13/100)^INT((A119-1)/12)/12,2))</f>
        <v/>
      </c>
      <c r="AF119" s="22">
        <f>IF(PMI_Costs!$B$5=0,0,AA119/PMI_Costs!$B$5)</f>
        <v/>
      </c>
      <c r="AG119" s="6">
        <f>AND(PMI_Costs!$B$4&gt;0,AF119&gt;PMI_Costs!$B$6/100)</f>
        <v/>
      </c>
      <c r="AH119" s="21">
        <f>IF(AG119,ROUND(Segments!$G$5*PMI_Costs!$B$4/100/12,2),0)</f>
        <v/>
      </c>
      <c r="AI119" s="6">
        <f>AND(NOT(AG119),AG118)</f>
        <v/>
      </c>
    </row>
    <row r="120">
      <c r="A120" s="18" t="n">
        <v>116</v>
      </c>
      <c r="B120" s="18">
        <f>SUMPRODUCT((Segments!$J$5:$J$12&lt;&gt;"")*(Segments!$J$5:$J$12&lt;=A120))</f>
        <v/>
      </c>
      <c r="C120" s="19">
        <f>INDEX(Segments!$B$5:$B$12,B120)</f>
        <v/>
      </c>
      <c r="D120" s="18">
        <f>INDEX(Segments!$J$5:$J$12,B120)</f>
        <v/>
      </c>
      <c r="E120" s="19">
        <f>DATE(YEAR(C120)+INT((MONTH(C120)-1+(A120-D120))/12),MOD(MONTH(C120)-1+(A120-D120),12)+1,1)+(DAY(C120)-1)</f>
        <v/>
      </c>
      <c r="F120" s="20">
        <f>INDEX(Segments!$C$5:$C$12,B120)/100/12</f>
        <v/>
      </c>
      <c r="G120" s="21">
        <f>INDEX(Segments!$L$5:$L$12,B120)</f>
        <v/>
      </c>
      <c r="H120" s="6">
        <f>INDEX(Segments!$I$5:$I$12,B120)="Y"</f>
        <v/>
      </c>
      <c r="I120" s="6">
        <f>INDEX(Segments!$F$5:$F$12,B120)=""</f>
        <v/>
      </c>
      <c r="J120" s="18">
        <f>INDEX(Segments!$K$5:$K$12,B120)</f>
        <v/>
      </c>
      <c r="K120" s="18">
        <f>IF(INDEX(Segments!$F$5:$F$12,B120)&lt;&gt;"",INDEX(Segments!$F$5:$F$12,B120),IF(INDEX(Segments!$E$5:$E$12,B120)&lt;&gt;"",INDEX(Segments!$E$5:$E$12,B120),""))</f>
        <v/>
      </c>
      <c r="L120" s="21">
        <f>AA119</f>
        <v/>
      </c>
      <c r="M120" s="21">
        <f>IFERROR(INDEX(Overrides!$C:$C,MATCH(A120,Overrides!$A:$A,0)),"")</f>
        <v/>
      </c>
      <c r="N120" s="21">
        <f>IFERROR(INDEX(Overrides!$E:$E,MATCH(A120,Overrides!$A:$A,0)),"")</f>
        <v/>
      </c>
      <c r="O120" s="21">
        <f>IFERROR(INDEX(Overrides!$D:$D,MATCH(A120,Overrides!$A:$A,0)),"")</f>
        <v/>
      </c>
      <c r="P120" s="21">
        <f>IFERROR(INDEX(Overrides!$B:$B,MATCH(A120,Overrides!$A:$A,0)),"")</f>
        <v/>
      </c>
      <c r="Q120" s="6">
        <f>IFERROR(INDEX(Overrides!$F:$F,MATCH(A120,Overrides!$A:$A,0)),"")</f>
        <v/>
      </c>
      <c r="R120" s="6">
        <f>ISNUMBER(MATCH(A120,Overrides!$A:$A,0))</f>
        <v/>
      </c>
      <c r="S120" s="6">
        <f>OR(ROUND(L120-ROUND(G120-T120,2),2)&lt;=0,AND(I120,K120&lt;&gt;"",(A120-D120+1)=K120))</f>
        <v/>
      </c>
      <c r="T120" s="21">
        <f>IF(M120&lt;&gt;"",M120,ROUND(L120*F120,2))</f>
        <v/>
      </c>
      <c r="U120" s="21">
        <f>IF(R120,IF(O120&lt;&gt;"",O120,IF(N120&lt;&gt;"",ROUND(L120-N120,2),ROUND((IF(P120&lt;&gt;"",P120,G120))-T120,2))),IF(H120,0,IF(S120,L120,ROUND(G120-T120,2))))</f>
        <v/>
      </c>
      <c r="V120" s="21">
        <f>IF(R120,IF(P120&lt;&gt;"",P120,ROUND(T120+U120,2)),IF(H120,T120,IF(S120,ROUND(T120+U120,2),G120)))</f>
        <v/>
      </c>
      <c r="W120" s="21">
        <f>IF(R120,IF(N120&lt;&gt;"",N120,ROUND(L120-U120,2)),IF(H120,L120,IF(S120,0,ROUND(L120-U120,2))))</f>
        <v/>
      </c>
      <c r="X120" s="21">
        <f>IFERROR(MIN(INDEX(LumpSums!$B:$B,MATCH(A120,LumpSums!$A:$A,0)),W120),0)</f>
        <v/>
      </c>
      <c r="Y120" s="21">
        <f>ROUND(U120+X120,2)</f>
        <v/>
      </c>
      <c r="Z120" s="21">
        <f>ROUND(V120+X120,2)</f>
        <v/>
      </c>
      <c r="AA120" s="21">
        <f>ROUND(W120-X120,2)</f>
        <v/>
      </c>
      <c r="AB120" s="6">
        <f>AND(AB119,L120&gt;0)</f>
        <v/>
      </c>
      <c r="AC120" s="21">
        <f>IF(PMI_Costs!$B$8=0,0,ROUND(PMI_Costs!$B$8*(1+PMI_Costs!$B$9/100)^INT((A120-1)/12)/12,2))</f>
        <v/>
      </c>
      <c r="AD120" s="21">
        <f>IF(PMI_Costs!$B$10=0,0,ROUND(PMI_Costs!$B$10*(1+PMI_Costs!$B$11/100)^INT((A120-1)/12)/12,2))</f>
        <v/>
      </c>
      <c r="AE120" s="21">
        <f>IF(PMI_Costs!$B$12=0,0,ROUND(PMI_Costs!$B$12*(1+PMI_Costs!$B$13/100)^INT((A120-1)/12)/12,2))</f>
        <v/>
      </c>
      <c r="AF120" s="22">
        <f>IF(PMI_Costs!$B$5=0,0,AA120/PMI_Costs!$B$5)</f>
        <v/>
      </c>
      <c r="AG120" s="6">
        <f>AND(PMI_Costs!$B$4&gt;0,AF120&gt;PMI_Costs!$B$6/100)</f>
        <v/>
      </c>
      <c r="AH120" s="21">
        <f>IF(AG120,ROUND(Segments!$G$5*PMI_Costs!$B$4/100/12,2),0)</f>
        <v/>
      </c>
      <c r="AI120" s="6">
        <f>AND(NOT(AG120),AG119)</f>
        <v/>
      </c>
    </row>
    <row r="121">
      <c r="A121" s="18" t="n">
        <v>117</v>
      </c>
      <c r="B121" s="18">
        <f>SUMPRODUCT((Segments!$J$5:$J$12&lt;&gt;"")*(Segments!$J$5:$J$12&lt;=A121))</f>
        <v/>
      </c>
      <c r="C121" s="19">
        <f>INDEX(Segments!$B$5:$B$12,B121)</f>
        <v/>
      </c>
      <c r="D121" s="18">
        <f>INDEX(Segments!$J$5:$J$12,B121)</f>
        <v/>
      </c>
      <c r="E121" s="19">
        <f>DATE(YEAR(C121)+INT((MONTH(C121)-1+(A121-D121))/12),MOD(MONTH(C121)-1+(A121-D121),12)+1,1)+(DAY(C121)-1)</f>
        <v/>
      </c>
      <c r="F121" s="20">
        <f>INDEX(Segments!$C$5:$C$12,B121)/100/12</f>
        <v/>
      </c>
      <c r="G121" s="21">
        <f>INDEX(Segments!$L$5:$L$12,B121)</f>
        <v/>
      </c>
      <c r="H121" s="6">
        <f>INDEX(Segments!$I$5:$I$12,B121)="Y"</f>
        <v/>
      </c>
      <c r="I121" s="6">
        <f>INDEX(Segments!$F$5:$F$12,B121)=""</f>
        <v/>
      </c>
      <c r="J121" s="18">
        <f>INDEX(Segments!$K$5:$K$12,B121)</f>
        <v/>
      </c>
      <c r="K121" s="18">
        <f>IF(INDEX(Segments!$F$5:$F$12,B121)&lt;&gt;"",INDEX(Segments!$F$5:$F$12,B121),IF(INDEX(Segments!$E$5:$E$12,B121)&lt;&gt;"",INDEX(Segments!$E$5:$E$12,B121),""))</f>
        <v/>
      </c>
      <c r="L121" s="21">
        <f>AA120</f>
        <v/>
      </c>
      <c r="M121" s="21">
        <f>IFERROR(INDEX(Overrides!$C:$C,MATCH(A121,Overrides!$A:$A,0)),"")</f>
        <v/>
      </c>
      <c r="N121" s="21">
        <f>IFERROR(INDEX(Overrides!$E:$E,MATCH(A121,Overrides!$A:$A,0)),"")</f>
        <v/>
      </c>
      <c r="O121" s="21">
        <f>IFERROR(INDEX(Overrides!$D:$D,MATCH(A121,Overrides!$A:$A,0)),"")</f>
        <v/>
      </c>
      <c r="P121" s="21">
        <f>IFERROR(INDEX(Overrides!$B:$B,MATCH(A121,Overrides!$A:$A,0)),"")</f>
        <v/>
      </c>
      <c r="Q121" s="6">
        <f>IFERROR(INDEX(Overrides!$F:$F,MATCH(A121,Overrides!$A:$A,0)),"")</f>
        <v/>
      </c>
      <c r="R121" s="6">
        <f>ISNUMBER(MATCH(A121,Overrides!$A:$A,0))</f>
        <v/>
      </c>
      <c r="S121" s="6">
        <f>OR(ROUND(L121-ROUND(G121-T121,2),2)&lt;=0,AND(I121,K121&lt;&gt;"",(A121-D121+1)=K121))</f>
        <v/>
      </c>
      <c r="T121" s="21">
        <f>IF(M121&lt;&gt;"",M121,ROUND(L121*F121,2))</f>
        <v/>
      </c>
      <c r="U121" s="21">
        <f>IF(R121,IF(O121&lt;&gt;"",O121,IF(N121&lt;&gt;"",ROUND(L121-N121,2),ROUND((IF(P121&lt;&gt;"",P121,G121))-T121,2))),IF(H121,0,IF(S121,L121,ROUND(G121-T121,2))))</f>
        <v/>
      </c>
      <c r="V121" s="21">
        <f>IF(R121,IF(P121&lt;&gt;"",P121,ROUND(T121+U121,2)),IF(H121,T121,IF(S121,ROUND(T121+U121,2),G121)))</f>
        <v/>
      </c>
      <c r="W121" s="21">
        <f>IF(R121,IF(N121&lt;&gt;"",N121,ROUND(L121-U121,2)),IF(H121,L121,IF(S121,0,ROUND(L121-U121,2))))</f>
        <v/>
      </c>
      <c r="X121" s="21">
        <f>IFERROR(MIN(INDEX(LumpSums!$B:$B,MATCH(A121,LumpSums!$A:$A,0)),W121),0)</f>
        <v/>
      </c>
      <c r="Y121" s="21">
        <f>ROUND(U121+X121,2)</f>
        <v/>
      </c>
      <c r="Z121" s="21">
        <f>ROUND(V121+X121,2)</f>
        <v/>
      </c>
      <c r="AA121" s="21">
        <f>ROUND(W121-X121,2)</f>
        <v/>
      </c>
      <c r="AB121" s="6">
        <f>AND(AB120,L121&gt;0)</f>
        <v/>
      </c>
      <c r="AC121" s="21">
        <f>IF(PMI_Costs!$B$8=0,0,ROUND(PMI_Costs!$B$8*(1+PMI_Costs!$B$9/100)^INT((A121-1)/12)/12,2))</f>
        <v/>
      </c>
      <c r="AD121" s="21">
        <f>IF(PMI_Costs!$B$10=0,0,ROUND(PMI_Costs!$B$10*(1+PMI_Costs!$B$11/100)^INT((A121-1)/12)/12,2))</f>
        <v/>
      </c>
      <c r="AE121" s="21">
        <f>IF(PMI_Costs!$B$12=0,0,ROUND(PMI_Costs!$B$12*(1+PMI_Costs!$B$13/100)^INT((A121-1)/12)/12,2))</f>
        <v/>
      </c>
      <c r="AF121" s="22">
        <f>IF(PMI_Costs!$B$5=0,0,AA121/PMI_Costs!$B$5)</f>
        <v/>
      </c>
      <c r="AG121" s="6">
        <f>AND(PMI_Costs!$B$4&gt;0,AF121&gt;PMI_Costs!$B$6/100)</f>
        <v/>
      </c>
      <c r="AH121" s="21">
        <f>IF(AG121,ROUND(Segments!$G$5*PMI_Costs!$B$4/100/12,2),0)</f>
        <v/>
      </c>
      <c r="AI121" s="6">
        <f>AND(NOT(AG121),AG120)</f>
        <v/>
      </c>
    </row>
    <row r="122">
      <c r="A122" s="18" t="n">
        <v>118</v>
      </c>
      <c r="B122" s="18">
        <f>SUMPRODUCT((Segments!$J$5:$J$12&lt;&gt;"")*(Segments!$J$5:$J$12&lt;=A122))</f>
        <v/>
      </c>
      <c r="C122" s="19">
        <f>INDEX(Segments!$B$5:$B$12,B122)</f>
        <v/>
      </c>
      <c r="D122" s="18">
        <f>INDEX(Segments!$J$5:$J$12,B122)</f>
        <v/>
      </c>
      <c r="E122" s="19">
        <f>DATE(YEAR(C122)+INT((MONTH(C122)-1+(A122-D122))/12),MOD(MONTH(C122)-1+(A122-D122),12)+1,1)+(DAY(C122)-1)</f>
        <v/>
      </c>
      <c r="F122" s="20">
        <f>INDEX(Segments!$C$5:$C$12,B122)/100/12</f>
        <v/>
      </c>
      <c r="G122" s="21">
        <f>INDEX(Segments!$L$5:$L$12,B122)</f>
        <v/>
      </c>
      <c r="H122" s="6">
        <f>INDEX(Segments!$I$5:$I$12,B122)="Y"</f>
        <v/>
      </c>
      <c r="I122" s="6">
        <f>INDEX(Segments!$F$5:$F$12,B122)=""</f>
        <v/>
      </c>
      <c r="J122" s="18">
        <f>INDEX(Segments!$K$5:$K$12,B122)</f>
        <v/>
      </c>
      <c r="K122" s="18">
        <f>IF(INDEX(Segments!$F$5:$F$12,B122)&lt;&gt;"",INDEX(Segments!$F$5:$F$12,B122),IF(INDEX(Segments!$E$5:$E$12,B122)&lt;&gt;"",INDEX(Segments!$E$5:$E$12,B122),""))</f>
        <v/>
      </c>
      <c r="L122" s="21">
        <f>AA121</f>
        <v/>
      </c>
      <c r="M122" s="21">
        <f>IFERROR(INDEX(Overrides!$C:$C,MATCH(A122,Overrides!$A:$A,0)),"")</f>
        <v/>
      </c>
      <c r="N122" s="21">
        <f>IFERROR(INDEX(Overrides!$E:$E,MATCH(A122,Overrides!$A:$A,0)),"")</f>
        <v/>
      </c>
      <c r="O122" s="21">
        <f>IFERROR(INDEX(Overrides!$D:$D,MATCH(A122,Overrides!$A:$A,0)),"")</f>
        <v/>
      </c>
      <c r="P122" s="21">
        <f>IFERROR(INDEX(Overrides!$B:$B,MATCH(A122,Overrides!$A:$A,0)),"")</f>
        <v/>
      </c>
      <c r="Q122" s="6">
        <f>IFERROR(INDEX(Overrides!$F:$F,MATCH(A122,Overrides!$A:$A,0)),"")</f>
        <v/>
      </c>
      <c r="R122" s="6">
        <f>ISNUMBER(MATCH(A122,Overrides!$A:$A,0))</f>
        <v/>
      </c>
      <c r="S122" s="6">
        <f>OR(ROUND(L122-ROUND(G122-T122,2),2)&lt;=0,AND(I122,K122&lt;&gt;"",(A122-D122+1)=K122))</f>
        <v/>
      </c>
      <c r="T122" s="21">
        <f>IF(M122&lt;&gt;"",M122,ROUND(L122*F122,2))</f>
        <v/>
      </c>
      <c r="U122" s="21">
        <f>IF(R122,IF(O122&lt;&gt;"",O122,IF(N122&lt;&gt;"",ROUND(L122-N122,2),ROUND((IF(P122&lt;&gt;"",P122,G122))-T122,2))),IF(H122,0,IF(S122,L122,ROUND(G122-T122,2))))</f>
        <v/>
      </c>
      <c r="V122" s="21">
        <f>IF(R122,IF(P122&lt;&gt;"",P122,ROUND(T122+U122,2)),IF(H122,T122,IF(S122,ROUND(T122+U122,2),G122)))</f>
        <v/>
      </c>
      <c r="W122" s="21">
        <f>IF(R122,IF(N122&lt;&gt;"",N122,ROUND(L122-U122,2)),IF(H122,L122,IF(S122,0,ROUND(L122-U122,2))))</f>
        <v/>
      </c>
      <c r="X122" s="21">
        <f>IFERROR(MIN(INDEX(LumpSums!$B:$B,MATCH(A122,LumpSums!$A:$A,0)),W122),0)</f>
        <v/>
      </c>
      <c r="Y122" s="21">
        <f>ROUND(U122+X122,2)</f>
        <v/>
      </c>
      <c r="Z122" s="21">
        <f>ROUND(V122+X122,2)</f>
        <v/>
      </c>
      <c r="AA122" s="21">
        <f>ROUND(W122-X122,2)</f>
        <v/>
      </c>
      <c r="AB122" s="6">
        <f>AND(AB121,L122&gt;0)</f>
        <v/>
      </c>
      <c r="AC122" s="21">
        <f>IF(PMI_Costs!$B$8=0,0,ROUND(PMI_Costs!$B$8*(1+PMI_Costs!$B$9/100)^INT((A122-1)/12)/12,2))</f>
        <v/>
      </c>
      <c r="AD122" s="21">
        <f>IF(PMI_Costs!$B$10=0,0,ROUND(PMI_Costs!$B$10*(1+PMI_Costs!$B$11/100)^INT((A122-1)/12)/12,2))</f>
        <v/>
      </c>
      <c r="AE122" s="21">
        <f>IF(PMI_Costs!$B$12=0,0,ROUND(PMI_Costs!$B$12*(1+PMI_Costs!$B$13/100)^INT((A122-1)/12)/12,2))</f>
        <v/>
      </c>
      <c r="AF122" s="22">
        <f>IF(PMI_Costs!$B$5=0,0,AA122/PMI_Costs!$B$5)</f>
        <v/>
      </c>
      <c r="AG122" s="6">
        <f>AND(PMI_Costs!$B$4&gt;0,AF122&gt;PMI_Costs!$B$6/100)</f>
        <v/>
      </c>
      <c r="AH122" s="21">
        <f>IF(AG122,ROUND(Segments!$G$5*PMI_Costs!$B$4/100/12,2),0)</f>
        <v/>
      </c>
      <c r="AI122" s="6">
        <f>AND(NOT(AG122),AG121)</f>
        <v/>
      </c>
    </row>
    <row r="123">
      <c r="A123" s="18" t="n">
        <v>119</v>
      </c>
      <c r="B123" s="18">
        <f>SUMPRODUCT((Segments!$J$5:$J$12&lt;&gt;"")*(Segments!$J$5:$J$12&lt;=A123))</f>
        <v/>
      </c>
      <c r="C123" s="19">
        <f>INDEX(Segments!$B$5:$B$12,B123)</f>
        <v/>
      </c>
      <c r="D123" s="18">
        <f>INDEX(Segments!$J$5:$J$12,B123)</f>
        <v/>
      </c>
      <c r="E123" s="19">
        <f>DATE(YEAR(C123)+INT((MONTH(C123)-1+(A123-D123))/12),MOD(MONTH(C123)-1+(A123-D123),12)+1,1)+(DAY(C123)-1)</f>
        <v/>
      </c>
      <c r="F123" s="20">
        <f>INDEX(Segments!$C$5:$C$12,B123)/100/12</f>
        <v/>
      </c>
      <c r="G123" s="21">
        <f>INDEX(Segments!$L$5:$L$12,B123)</f>
        <v/>
      </c>
      <c r="H123" s="6">
        <f>INDEX(Segments!$I$5:$I$12,B123)="Y"</f>
        <v/>
      </c>
      <c r="I123" s="6">
        <f>INDEX(Segments!$F$5:$F$12,B123)=""</f>
        <v/>
      </c>
      <c r="J123" s="18">
        <f>INDEX(Segments!$K$5:$K$12,B123)</f>
        <v/>
      </c>
      <c r="K123" s="18">
        <f>IF(INDEX(Segments!$F$5:$F$12,B123)&lt;&gt;"",INDEX(Segments!$F$5:$F$12,B123),IF(INDEX(Segments!$E$5:$E$12,B123)&lt;&gt;"",INDEX(Segments!$E$5:$E$12,B123),""))</f>
        <v/>
      </c>
      <c r="L123" s="21">
        <f>AA122</f>
        <v/>
      </c>
      <c r="M123" s="21">
        <f>IFERROR(INDEX(Overrides!$C:$C,MATCH(A123,Overrides!$A:$A,0)),"")</f>
        <v/>
      </c>
      <c r="N123" s="21">
        <f>IFERROR(INDEX(Overrides!$E:$E,MATCH(A123,Overrides!$A:$A,0)),"")</f>
        <v/>
      </c>
      <c r="O123" s="21">
        <f>IFERROR(INDEX(Overrides!$D:$D,MATCH(A123,Overrides!$A:$A,0)),"")</f>
        <v/>
      </c>
      <c r="P123" s="21">
        <f>IFERROR(INDEX(Overrides!$B:$B,MATCH(A123,Overrides!$A:$A,0)),"")</f>
        <v/>
      </c>
      <c r="Q123" s="6">
        <f>IFERROR(INDEX(Overrides!$F:$F,MATCH(A123,Overrides!$A:$A,0)),"")</f>
        <v/>
      </c>
      <c r="R123" s="6">
        <f>ISNUMBER(MATCH(A123,Overrides!$A:$A,0))</f>
        <v/>
      </c>
      <c r="S123" s="6">
        <f>OR(ROUND(L123-ROUND(G123-T123,2),2)&lt;=0,AND(I123,K123&lt;&gt;"",(A123-D123+1)=K123))</f>
        <v/>
      </c>
      <c r="T123" s="21">
        <f>IF(M123&lt;&gt;"",M123,ROUND(L123*F123,2))</f>
        <v/>
      </c>
      <c r="U123" s="21">
        <f>IF(R123,IF(O123&lt;&gt;"",O123,IF(N123&lt;&gt;"",ROUND(L123-N123,2),ROUND((IF(P123&lt;&gt;"",P123,G123))-T123,2))),IF(H123,0,IF(S123,L123,ROUND(G123-T123,2))))</f>
        <v/>
      </c>
      <c r="V123" s="21">
        <f>IF(R123,IF(P123&lt;&gt;"",P123,ROUND(T123+U123,2)),IF(H123,T123,IF(S123,ROUND(T123+U123,2),G123)))</f>
        <v/>
      </c>
      <c r="W123" s="21">
        <f>IF(R123,IF(N123&lt;&gt;"",N123,ROUND(L123-U123,2)),IF(H123,L123,IF(S123,0,ROUND(L123-U123,2))))</f>
        <v/>
      </c>
      <c r="X123" s="21">
        <f>IFERROR(MIN(INDEX(LumpSums!$B:$B,MATCH(A123,LumpSums!$A:$A,0)),W123),0)</f>
        <v/>
      </c>
      <c r="Y123" s="21">
        <f>ROUND(U123+X123,2)</f>
        <v/>
      </c>
      <c r="Z123" s="21">
        <f>ROUND(V123+X123,2)</f>
        <v/>
      </c>
      <c r="AA123" s="21">
        <f>ROUND(W123-X123,2)</f>
        <v/>
      </c>
      <c r="AB123" s="6">
        <f>AND(AB122,L123&gt;0)</f>
        <v/>
      </c>
      <c r="AC123" s="21">
        <f>IF(PMI_Costs!$B$8=0,0,ROUND(PMI_Costs!$B$8*(1+PMI_Costs!$B$9/100)^INT((A123-1)/12)/12,2))</f>
        <v/>
      </c>
      <c r="AD123" s="21">
        <f>IF(PMI_Costs!$B$10=0,0,ROUND(PMI_Costs!$B$10*(1+PMI_Costs!$B$11/100)^INT((A123-1)/12)/12,2))</f>
        <v/>
      </c>
      <c r="AE123" s="21">
        <f>IF(PMI_Costs!$B$12=0,0,ROUND(PMI_Costs!$B$12*(1+PMI_Costs!$B$13/100)^INT((A123-1)/12)/12,2))</f>
        <v/>
      </c>
      <c r="AF123" s="22">
        <f>IF(PMI_Costs!$B$5=0,0,AA123/PMI_Costs!$B$5)</f>
        <v/>
      </c>
      <c r="AG123" s="6">
        <f>AND(PMI_Costs!$B$4&gt;0,AF123&gt;PMI_Costs!$B$6/100)</f>
        <v/>
      </c>
      <c r="AH123" s="21">
        <f>IF(AG123,ROUND(Segments!$G$5*PMI_Costs!$B$4/100/12,2),0)</f>
        <v/>
      </c>
      <c r="AI123" s="6">
        <f>AND(NOT(AG123),AG122)</f>
        <v/>
      </c>
    </row>
    <row r="124">
      <c r="A124" s="18" t="n">
        <v>120</v>
      </c>
      <c r="B124" s="18">
        <f>SUMPRODUCT((Segments!$J$5:$J$12&lt;&gt;"")*(Segments!$J$5:$J$12&lt;=A124))</f>
        <v/>
      </c>
      <c r="C124" s="19">
        <f>INDEX(Segments!$B$5:$B$12,B124)</f>
        <v/>
      </c>
      <c r="D124" s="18">
        <f>INDEX(Segments!$J$5:$J$12,B124)</f>
        <v/>
      </c>
      <c r="E124" s="19">
        <f>DATE(YEAR(C124)+INT((MONTH(C124)-1+(A124-D124))/12),MOD(MONTH(C124)-1+(A124-D124),12)+1,1)+(DAY(C124)-1)</f>
        <v/>
      </c>
      <c r="F124" s="20">
        <f>INDEX(Segments!$C$5:$C$12,B124)/100/12</f>
        <v/>
      </c>
      <c r="G124" s="21">
        <f>INDEX(Segments!$L$5:$L$12,B124)</f>
        <v/>
      </c>
      <c r="H124" s="6">
        <f>INDEX(Segments!$I$5:$I$12,B124)="Y"</f>
        <v/>
      </c>
      <c r="I124" s="6">
        <f>INDEX(Segments!$F$5:$F$12,B124)=""</f>
        <v/>
      </c>
      <c r="J124" s="18">
        <f>INDEX(Segments!$K$5:$K$12,B124)</f>
        <v/>
      </c>
      <c r="K124" s="18">
        <f>IF(INDEX(Segments!$F$5:$F$12,B124)&lt;&gt;"",INDEX(Segments!$F$5:$F$12,B124),IF(INDEX(Segments!$E$5:$E$12,B124)&lt;&gt;"",INDEX(Segments!$E$5:$E$12,B124),""))</f>
        <v/>
      </c>
      <c r="L124" s="21">
        <f>AA123</f>
        <v/>
      </c>
      <c r="M124" s="21">
        <f>IFERROR(INDEX(Overrides!$C:$C,MATCH(A124,Overrides!$A:$A,0)),"")</f>
        <v/>
      </c>
      <c r="N124" s="21">
        <f>IFERROR(INDEX(Overrides!$E:$E,MATCH(A124,Overrides!$A:$A,0)),"")</f>
        <v/>
      </c>
      <c r="O124" s="21">
        <f>IFERROR(INDEX(Overrides!$D:$D,MATCH(A124,Overrides!$A:$A,0)),"")</f>
        <v/>
      </c>
      <c r="P124" s="21">
        <f>IFERROR(INDEX(Overrides!$B:$B,MATCH(A124,Overrides!$A:$A,0)),"")</f>
        <v/>
      </c>
      <c r="Q124" s="6">
        <f>IFERROR(INDEX(Overrides!$F:$F,MATCH(A124,Overrides!$A:$A,0)),"")</f>
        <v/>
      </c>
      <c r="R124" s="6">
        <f>ISNUMBER(MATCH(A124,Overrides!$A:$A,0))</f>
        <v/>
      </c>
      <c r="S124" s="6">
        <f>OR(ROUND(L124-ROUND(G124-T124,2),2)&lt;=0,AND(I124,K124&lt;&gt;"",(A124-D124+1)=K124))</f>
        <v/>
      </c>
      <c r="T124" s="21">
        <f>IF(M124&lt;&gt;"",M124,ROUND(L124*F124,2))</f>
        <v/>
      </c>
      <c r="U124" s="21">
        <f>IF(R124,IF(O124&lt;&gt;"",O124,IF(N124&lt;&gt;"",ROUND(L124-N124,2),ROUND((IF(P124&lt;&gt;"",P124,G124))-T124,2))),IF(H124,0,IF(S124,L124,ROUND(G124-T124,2))))</f>
        <v/>
      </c>
      <c r="V124" s="21">
        <f>IF(R124,IF(P124&lt;&gt;"",P124,ROUND(T124+U124,2)),IF(H124,T124,IF(S124,ROUND(T124+U124,2),G124)))</f>
        <v/>
      </c>
      <c r="W124" s="21">
        <f>IF(R124,IF(N124&lt;&gt;"",N124,ROUND(L124-U124,2)),IF(H124,L124,IF(S124,0,ROUND(L124-U124,2))))</f>
        <v/>
      </c>
      <c r="X124" s="21">
        <f>IFERROR(MIN(INDEX(LumpSums!$B:$B,MATCH(A124,LumpSums!$A:$A,0)),W124),0)</f>
        <v/>
      </c>
      <c r="Y124" s="21">
        <f>ROUND(U124+X124,2)</f>
        <v/>
      </c>
      <c r="Z124" s="21">
        <f>ROUND(V124+X124,2)</f>
        <v/>
      </c>
      <c r="AA124" s="21">
        <f>ROUND(W124-X124,2)</f>
        <v/>
      </c>
      <c r="AB124" s="6">
        <f>AND(AB123,L124&gt;0)</f>
        <v/>
      </c>
      <c r="AC124" s="21">
        <f>IF(PMI_Costs!$B$8=0,0,ROUND(PMI_Costs!$B$8*(1+PMI_Costs!$B$9/100)^INT((A124-1)/12)/12,2))</f>
        <v/>
      </c>
      <c r="AD124" s="21">
        <f>IF(PMI_Costs!$B$10=0,0,ROUND(PMI_Costs!$B$10*(1+PMI_Costs!$B$11/100)^INT((A124-1)/12)/12,2))</f>
        <v/>
      </c>
      <c r="AE124" s="21">
        <f>IF(PMI_Costs!$B$12=0,0,ROUND(PMI_Costs!$B$12*(1+PMI_Costs!$B$13/100)^INT((A124-1)/12)/12,2))</f>
        <v/>
      </c>
      <c r="AF124" s="22">
        <f>IF(PMI_Costs!$B$5=0,0,AA124/PMI_Costs!$B$5)</f>
        <v/>
      </c>
      <c r="AG124" s="6">
        <f>AND(PMI_Costs!$B$4&gt;0,AF124&gt;PMI_Costs!$B$6/100)</f>
        <v/>
      </c>
      <c r="AH124" s="21">
        <f>IF(AG124,ROUND(Segments!$G$5*PMI_Costs!$B$4/100/12,2),0)</f>
        <v/>
      </c>
      <c r="AI124" s="6">
        <f>AND(NOT(AG124),AG123)</f>
        <v/>
      </c>
    </row>
    <row r="125">
      <c r="A125" s="18" t="n">
        <v>121</v>
      </c>
      <c r="B125" s="18">
        <f>SUMPRODUCT((Segments!$J$5:$J$12&lt;&gt;"")*(Segments!$J$5:$J$12&lt;=A125))</f>
        <v/>
      </c>
      <c r="C125" s="19">
        <f>INDEX(Segments!$B$5:$B$12,B125)</f>
        <v/>
      </c>
      <c r="D125" s="18">
        <f>INDEX(Segments!$J$5:$J$12,B125)</f>
        <v/>
      </c>
      <c r="E125" s="19">
        <f>DATE(YEAR(C125)+INT((MONTH(C125)-1+(A125-D125))/12),MOD(MONTH(C125)-1+(A125-D125),12)+1,1)+(DAY(C125)-1)</f>
        <v/>
      </c>
      <c r="F125" s="20">
        <f>INDEX(Segments!$C$5:$C$12,B125)/100/12</f>
        <v/>
      </c>
      <c r="G125" s="21">
        <f>INDEX(Segments!$L$5:$L$12,B125)</f>
        <v/>
      </c>
      <c r="H125" s="6">
        <f>INDEX(Segments!$I$5:$I$12,B125)="Y"</f>
        <v/>
      </c>
      <c r="I125" s="6">
        <f>INDEX(Segments!$F$5:$F$12,B125)=""</f>
        <v/>
      </c>
      <c r="J125" s="18">
        <f>INDEX(Segments!$K$5:$K$12,B125)</f>
        <v/>
      </c>
      <c r="K125" s="18">
        <f>IF(INDEX(Segments!$F$5:$F$12,B125)&lt;&gt;"",INDEX(Segments!$F$5:$F$12,B125),IF(INDEX(Segments!$E$5:$E$12,B125)&lt;&gt;"",INDEX(Segments!$E$5:$E$12,B125),""))</f>
        <v/>
      </c>
      <c r="L125" s="21">
        <f>AA124</f>
        <v/>
      </c>
      <c r="M125" s="21">
        <f>IFERROR(INDEX(Overrides!$C:$C,MATCH(A125,Overrides!$A:$A,0)),"")</f>
        <v/>
      </c>
      <c r="N125" s="21">
        <f>IFERROR(INDEX(Overrides!$E:$E,MATCH(A125,Overrides!$A:$A,0)),"")</f>
        <v/>
      </c>
      <c r="O125" s="21">
        <f>IFERROR(INDEX(Overrides!$D:$D,MATCH(A125,Overrides!$A:$A,0)),"")</f>
        <v/>
      </c>
      <c r="P125" s="21">
        <f>IFERROR(INDEX(Overrides!$B:$B,MATCH(A125,Overrides!$A:$A,0)),"")</f>
        <v/>
      </c>
      <c r="Q125" s="6">
        <f>IFERROR(INDEX(Overrides!$F:$F,MATCH(A125,Overrides!$A:$A,0)),"")</f>
        <v/>
      </c>
      <c r="R125" s="6">
        <f>ISNUMBER(MATCH(A125,Overrides!$A:$A,0))</f>
        <v/>
      </c>
      <c r="S125" s="6">
        <f>OR(ROUND(L125-ROUND(G125-T125,2),2)&lt;=0,AND(I125,K125&lt;&gt;"",(A125-D125+1)=K125))</f>
        <v/>
      </c>
      <c r="T125" s="21">
        <f>IF(M125&lt;&gt;"",M125,ROUND(L125*F125,2))</f>
        <v/>
      </c>
      <c r="U125" s="21">
        <f>IF(R125,IF(O125&lt;&gt;"",O125,IF(N125&lt;&gt;"",ROUND(L125-N125,2),ROUND((IF(P125&lt;&gt;"",P125,G125))-T125,2))),IF(H125,0,IF(S125,L125,ROUND(G125-T125,2))))</f>
        <v/>
      </c>
      <c r="V125" s="21">
        <f>IF(R125,IF(P125&lt;&gt;"",P125,ROUND(T125+U125,2)),IF(H125,T125,IF(S125,ROUND(T125+U125,2),G125)))</f>
        <v/>
      </c>
      <c r="W125" s="21">
        <f>IF(R125,IF(N125&lt;&gt;"",N125,ROUND(L125-U125,2)),IF(H125,L125,IF(S125,0,ROUND(L125-U125,2))))</f>
        <v/>
      </c>
      <c r="X125" s="21">
        <f>IFERROR(MIN(INDEX(LumpSums!$B:$B,MATCH(A125,LumpSums!$A:$A,0)),W125),0)</f>
        <v/>
      </c>
      <c r="Y125" s="21">
        <f>ROUND(U125+X125,2)</f>
        <v/>
      </c>
      <c r="Z125" s="21">
        <f>ROUND(V125+X125,2)</f>
        <v/>
      </c>
      <c r="AA125" s="21">
        <f>ROUND(W125-X125,2)</f>
        <v/>
      </c>
      <c r="AB125" s="6">
        <f>AND(AB124,L125&gt;0)</f>
        <v/>
      </c>
      <c r="AC125" s="21">
        <f>IF(PMI_Costs!$B$8=0,0,ROUND(PMI_Costs!$B$8*(1+PMI_Costs!$B$9/100)^INT((A125-1)/12)/12,2))</f>
        <v/>
      </c>
      <c r="AD125" s="21">
        <f>IF(PMI_Costs!$B$10=0,0,ROUND(PMI_Costs!$B$10*(1+PMI_Costs!$B$11/100)^INT((A125-1)/12)/12,2))</f>
        <v/>
      </c>
      <c r="AE125" s="21">
        <f>IF(PMI_Costs!$B$12=0,0,ROUND(PMI_Costs!$B$12*(1+PMI_Costs!$B$13/100)^INT((A125-1)/12)/12,2))</f>
        <v/>
      </c>
      <c r="AF125" s="22">
        <f>IF(PMI_Costs!$B$5=0,0,AA125/PMI_Costs!$B$5)</f>
        <v/>
      </c>
      <c r="AG125" s="6">
        <f>AND(PMI_Costs!$B$4&gt;0,AF125&gt;PMI_Costs!$B$6/100)</f>
        <v/>
      </c>
      <c r="AH125" s="21">
        <f>IF(AG125,ROUND(Segments!$G$5*PMI_Costs!$B$4/100/12,2),0)</f>
        <v/>
      </c>
      <c r="AI125" s="6">
        <f>AND(NOT(AG125),AG124)</f>
        <v/>
      </c>
    </row>
    <row r="126">
      <c r="A126" s="18" t="n">
        <v>122</v>
      </c>
      <c r="B126" s="18">
        <f>SUMPRODUCT((Segments!$J$5:$J$12&lt;&gt;"")*(Segments!$J$5:$J$12&lt;=A126))</f>
        <v/>
      </c>
      <c r="C126" s="19">
        <f>INDEX(Segments!$B$5:$B$12,B126)</f>
        <v/>
      </c>
      <c r="D126" s="18">
        <f>INDEX(Segments!$J$5:$J$12,B126)</f>
        <v/>
      </c>
      <c r="E126" s="19">
        <f>DATE(YEAR(C126)+INT((MONTH(C126)-1+(A126-D126))/12),MOD(MONTH(C126)-1+(A126-D126),12)+1,1)+(DAY(C126)-1)</f>
        <v/>
      </c>
      <c r="F126" s="20">
        <f>INDEX(Segments!$C$5:$C$12,B126)/100/12</f>
        <v/>
      </c>
      <c r="G126" s="21">
        <f>INDEX(Segments!$L$5:$L$12,B126)</f>
        <v/>
      </c>
      <c r="H126" s="6">
        <f>INDEX(Segments!$I$5:$I$12,B126)="Y"</f>
        <v/>
      </c>
      <c r="I126" s="6">
        <f>INDEX(Segments!$F$5:$F$12,B126)=""</f>
        <v/>
      </c>
      <c r="J126" s="18">
        <f>INDEX(Segments!$K$5:$K$12,B126)</f>
        <v/>
      </c>
      <c r="K126" s="18">
        <f>IF(INDEX(Segments!$F$5:$F$12,B126)&lt;&gt;"",INDEX(Segments!$F$5:$F$12,B126),IF(INDEX(Segments!$E$5:$E$12,B126)&lt;&gt;"",INDEX(Segments!$E$5:$E$12,B126),""))</f>
        <v/>
      </c>
      <c r="L126" s="21">
        <f>AA125</f>
        <v/>
      </c>
      <c r="M126" s="21">
        <f>IFERROR(INDEX(Overrides!$C:$C,MATCH(A126,Overrides!$A:$A,0)),"")</f>
        <v/>
      </c>
      <c r="N126" s="21">
        <f>IFERROR(INDEX(Overrides!$E:$E,MATCH(A126,Overrides!$A:$A,0)),"")</f>
        <v/>
      </c>
      <c r="O126" s="21">
        <f>IFERROR(INDEX(Overrides!$D:$D,MATCH(A126,Overrides!$A:$A,0)),"")</f>
        <v/>
      </c>
      <c r="P126" s="21">
        <f>IFERROR(INDEX(Overrides!$B:$B,MATCH(A126,Overrides!$A:$A,0)),"")</f>
        <v/>
      </c>
      <c r="Q126" s="6">
        <f>IFERROR(INDEX(Overrides!$F:$F,MATCH(A126,Overrides!$A:$A,0)),"")</f>
        <v/>
      </c>
      <c r="R126" s="6">
        <f>ISNUMBER(MATCH(A126,Overrides!$A:$A,0))</f>
        <v/>
      </c>
      <c r="S126" s="6">
        <f>OR(ROUND(L126-ROUND(G126-T126,2),2)&lt;=0,AND(I126,K126&lt;&gt;"",(A126-D126+1)=K126))</f>
        <v/>
      </c>
      <c r="T126" s="21">
        <f>IF(M126&lt;&gt;"",M126,ROUND(L126*F126,2))</f>
        <v/>
      </c>
      <c r="U126" s="21">
        <f>IF(R126,IF(O126&lt;&gt;"",O126,IF(N126&lt;&gt;"",ROUND(L126-N126,2),ROUND((IF(P126&lt;&gt;"",P126,G126))-T126,2))),IF(H126,0,IF(S126,L126,ROUND(G126-T126,2))))</f>
        <v/>
      </c>
      <c r="V126" s="21">
        <f>IF(R126,IF(P126&lt;&gt;"",P126,ROUND(T126+U126,2)),IF(H126,T126,IF(S126,ROUND(T126+U126,2),G126)))</f>
        <v/>
      </c>
      <c r="W126" s="21">
        <f>IF(R126,IF(N126&lt;&gt;"",N126,ROUND(L126-U126,2)),IF(H126,L126,IF(S126,0,ROUND(L126-U126,2))))</f>
        <v/>
      </c>
      <c r="X126" s="21">
        <f>IFERROR(MIN(INDEX(LumpSums!$B:$B,MATCH(A126,LumpSums!$A:$A,0)),W126),0)</f>
        <v/>
      </c>
      <c r="Y126" s="21">
        <f>ROUND(U126+X126,2)</f>
        <v/>
      </c>
      <c r="Z126" s="21">
        <f>ROUND(V126+X126,2)</f>
        <v/>
      </c>
      <c r="AA126" s="21">
        <f>ROUND(W126-X126,2)</f>
        <v/>
      </c>
      <c r="AB126" s="6">
        <f>AND(AB125,L126&gt;0)</f>
        <v/>
      </c>
      <c r="AC126" s="21">
        <f>IF(PMI_Costs!$B$8=0,0,ROUND(PMI_Costs!$B$8*(1+PMI_Costs!$B$9/100)^INT((A126-1)/12)/12,2))</f>
        <v/>
      </c>
      <c r="AD126" s="21">
        <f>IF(PMI_Costs!$B$10=0,0,ROUND(PMI_Costs!$B$10*(1+PMI_Costs!$B$11/100)^INT((A126-1)/12)/12,2))</f>
        <v/>
      </c>
      <c r="AE126" s="21">
        <f>IF(PMI_Costs!$B$12=0,0,ROUND(PMI_Costs!$B$12*(1+PMI_Costs!$B$13/100)^INT((A126-1)/12)/12,2))</f>
        <v/>
      </c>
      <c r="AF126" s="22">
        <f>IF(PMI_Costs!$B$5=0,0,AA126/PMI_Costs!$B$5)</f>
        <v/>
      </c>
      <c r="AG126" s="6">
        <f>AND(PMI_Costs!$B$4&gt;0,AF126&gt;PMI_Costs!$B$6/100)</f>
        <v/>
      </c>
      <c r="AH126" s="21">
        <f>IF(AG126,ROUND(Segments!$G$5*PMI_Costs!$B$4/100/12,2),0)</f>
        <v/>
      </c>
      <c r="AI126" s="6">
        <f>AND(NOT(AG126),AG125)</f>
        <v/>
      </c>
    </row>
    <row r="127">
      <c r="A127" s="18" t="n">
        <v>123</v>
      </c>
      <c r="B127" s="18">
        <f>SUMPRODUCT((Segments!$J$5:$J$12&lt;&gt;"")*(Segments!$J$5:$J$12&lt;=A127))</f>
        <v/>
      </c>
      <c r="C127" s="19">
        <f>INDEX(Segments!$B$5:$B$12,B127)</f>
        <v/>
      </c>
      <c r="D127" s="18">
        <f>INDEX(Segments!$J$5:$J$12,B127)</f>
        <v/>
      </c>
      <c r="E127" s="19">
        <f>DATE(YEAR(C127)+INT((MONTH(C127)-1+(A127-D127))/12),MOD(MONTH(C127)-1+(A127-D127),12)+1,1)+(DAY(C127)-1)</f>
        <v/>
      </c>
      <c r="F127" s="20">
        <f>INDEX(Segments!$C$5:$C$12,B127)/100/12</f>
        <v/>
      </c>
      <c r="G127" s="21">
        <f>INDEX(Segments!$L$5:$L$12,B127)</f>
        <v/>
      </c>
      <c r="H127" s="6">
        <f>INDEX(Segments!$I$5:$I$12,B127)="Y"</f>
        <v/>
      </c>
      <c r="I127" s="6">
        <f>INDEX(Segments!$F$5:$F$12,B127)=""</f>
        <v/>
      </c>
      <c r="J127" s="18">
        <f>INDEX(Segments!$K$5:$K$12,B127)</f>
        <v/>
      </c>
      <c r="K127" s="18">
        <f>IF(INDEX(Segments!$F$5:$F$12,B127)&lt;&gt;"",INDEX(Segments!$F$5:$F$12,B127),IF(INDEX(Segments!$E$5:$E$12,B127)&lt;&gt;"",INDEX(Segments!$E$5:$E$12,B127),""))</f>
        <v/>
      </c>
      <c r="L127" s="21">
        <f>AA126</f>
        <v/>
      </c>
      <c r="M127" s="21">
        <f>IFERROR(INDEX(Overrides!$C:$C,MATCH(A127,Overrides!$A:$A,0)),"")</f>
        <v/>
      </c>
      <c r="N127" s="21">
        <f>IFERROR(INDEX(Overrides!$E:$E,MATCH(A127,Overrides!$A:$A,0)),"")</f>
        <v/>
      </c>
      <c r="O127" s="21">
        <f>IFERROR(INDEX(Overrides!$D:$D,MATCH(A127,Overrides!$A:$A,0)),"")</f>
        <v/>
      </c>
      <c r="P127" s="21">
        <f>IFERROR(INDEX(Overrides!$B:$B,MATCH(A127,Overrides!$A:$A,0)),"")</f>
        <v/>
      </c>
      <c r="Q127" s="6">
        <f>IFERROR(INDEX(Overrides!$F:$F,MATCH(A127,Overrides!$A:$A,0)),"")</f>
        <v/>
      </c>
      <c r="R127" s="6">
        <f>ISNUMBER(MATCH(A127,Overrides!$A:$A,0))</f>
        <v/>
      </c>
      <c r="S127" s="6">
        <f>OR(ROUND(L127-ROUND(G127-T127,2),2)&lt;=0,AND(I127,K127&lt;&gt;"",(A127-D127+1)=K127))</f>
        <v/>
      </c>
      <c r="T127" s="21">
        <f>IF(M127&lt;&gt;"",M127,ROUND(L127*F127,2))</f>
        <v/>
      </c>
      <c r="U127" s="21">
        <f>IF(R127,IF(O127&lt;&gt;"",O127,IF(N127&lt;&gt;"",ROUND(L127-N127,2),ROUND((IF(P127&lt;&gt;"",P127,G127))-T127,2))),IF(H127,0,IF(S127,L127,ROUND(G127-T127,2))))</f>
        <v/>
      </c>
      <c r="V127" s="21">
        <f>IF(R127,IF(P127&lt;&gt;"",P127,ROUND(T127+U127,2)),IF(H127,T127,IF(S127,ROUND(T127+U127,2),G127)))</f>
        <v/>
      </c>
      <c r="W127" s="21">
        <f>IF(R127,IF(N127&lt;&gt;"",N127,ROUND(L127-U127,2)),IF(H127,L127,IF(S127,0,ROUND(L127-U127,2))))</f>
        <v/>
      </c>
      <c r="X127" s="21">
        <f>IFERROR(MIN(INDEX(LumpSums!$B:$B,MATCH(A127,LumpSums!$A:$A,0)),W127),0)</f>
        <v/>
      </c>
      <c r="Y127" s="21">
        <f>ROUND(U127+X127,2)</f>
        <v/>
      </c>
      <c r="Z127" s="21">
        <f>ROUND(V127+X127,2)</f>
        <v/>
      </c>
      <c r="AA127" s="21">
        <f>ROUND(W127-X127,2)</f>
        <v/>
      </c>
      <c r="AB127" s="6">
        <f>AND(AB126,L127&gt;0)</f>
        <v/>
      </c>
      <c r="AC127" s="21">
        <f>IF(PMI_Costs!$B$8=0,0,ROUND(PMI_Costs!$B$8*(1+PMI_Costs!$B$9/100)^INT((A127-1)/12)/12,2))</f>
        <v/>
      </c>
      <c r="AD127" s="21">
        <f>IF(PMI_Costs!$B$10=0,0,ROUND(PMI_Costs!$B$10*(1+PMI_Costs!$B$11/100)^INT((A127-1)/12)/12,2))</f>
        <v/>
      </c>
      <c r="AE127" s="21">
        <f>IF(PMI_Costs!$B$12=0,0,ROUND(PMI_Costs!$B$12*(1+PMI_Costs!$B$13/100)^INT((A127-1)/12)/12,2))</f>
        <v/>
      </c>
      <c r="AF127" s="22">
        <f>IF(PMI_Costs!$B$5=0,0,AA127/PMI_Costs!$B$5)</f>
        <v/>
      </c>
      <c r="AG127" s="6">
        <f>AND(PMI_Costs!$B$4&gt;0,AF127&gt;PMI_Costs!$B$6/100)</f>
        <v/>
      </c>
      <c r="AH127" s="21">
        <f>IF(AG127,ROUND(Segments!$G$5*PMI_Costs!$B$4/100/12,2),0)</f>
        <v/>
      </c>
      <c r="AI127" s="6">
        <f>AND(NOT(AG127),AG126)</f>
        <v/>
      </c>
    </row>
    <row r="128">
      <c r="A128" s="18" t="n">
        <v>124</v>
      </c>
      <c r="B128" s="18">
        <f>SUMPRODUCT((Segments!$J$5:$J$12&lt;&gt;"")*(Segments!$J$5:$J$12&lt;=A128))</f>
        <v/>
      </c>
      <c r="C128" s="19">
        <f>INDEX(Segments!$B$5:$B$12,B128)</f>
        <v/>
      </c>
      <c r="D128" s="18">
        <f>INDEX(Segments!$J$5:$J$12,B128)</f>
        <v/>
      </c>
      <c r="E128" s="19">
        <f>DATE(YEAR(C128)+INT((MONTH(C128)-1+(A128-D128))/12),MOD(MONTH(C128)-1+(A128-D128),12)+1,1)+(DAY(C128)-1)</f>
        <v/>
      </c>
      <c r="F128" s="20">
        <f>INDEX(Segments!$C$5:$C$12,B128)/100/12</f>
        <v/>
      </c>
      <c r="G128" s="21">
        <f>INDEX(Segments!$L$5:$L$12,B128)</f>
        <v/>
      </c>
      <c r="H128" s="6">
        <f>INDEX(Segments!$I$5:$I$12,B128)="Y"</f>
        <v/>
      </c>
      <c r="I128" s="6">
        <f>INDEX(Segments!$F$5:$F$12,B128)=""</f>
        <v/>
      </c>
      <c r="J128" s="18">
        <f>INDEX(Segments!$K$5:$K$12,B128)</f>
        <v/>
      </c>
      <c r="K128" s="18">
        <f>IF(INDEX(Segments!$F$5:$F$12,B128)&lt;&gt;"",INDEX(Segments!$F$5:$F$12,B128),IF(INDEX(Segments!$E$5:$E$12,B128)&lt;&gt;"",INDEX(Segments!$E$5:$E$12,B128),""))</f>
        <v/>
      </c>
      <c r="L128" s="21">
        <f>AA127</f>
        <v/>
      </c>
      <c r="M128" s="21">
        <f>IFERROR(INDEX(Overrides!$C:$C,MATCH(A128,Overrides!$A:$A,0)),"")</f>
        <v/>
      </c>
      <c r="N128" s="21">
        <f>IFERROR(INDEX(Overrides!$E:$E,MATCH(A128,Overrides!$A:$A,0)),"")</f>
        <v/>
      </c>
      <c r="O128" s="21">
        <f>IFERROR(INDEX(Overrides!$D:$D,MATCH(A128,Overrides!$A:$A,0)),"")</f>
        <v/>
      </c>
      <c r="P128" s="21">
        <f>IFERROR(INDEX(Overrides!$B:$B,MATCH(A128,Overrides!$A:$A,0)),"")</f>
        <v/>
      </c>
      <c r="Q128" s="6">
        <f>IFERROR(INDEX(Overrides!$F:$F,MATCH(A128,Overrides!$A:$A,0)),"")</f>
        <v/>
      </c>
      <c r="R128" s="6">
        <f>ISNUMBER(MATCH(A128,Overrides!$A:$A,0))</f>
        <v/>
      </c>
      <c r="S128" s="6">
        <f>OR(ROUND(L128-ROUND(G128-T128,2),2)&lt;=0,AND(I128,K128&lt;&gt;"",(A128-D128+1)=K128))</f>
        <v/>
      </c>
      <c r="T128" s="21">
        <f>IF(M128&lt;&gt;"",M128,ROUND(L128*F128,2))</f>
        <v/>
      </c>
      <c r="U128" s="21">
        <f>IF(R128,IF(O128&lt;&gt;"",O128,IF(N128&lt;&gt;"",ROUND(L128-N128,2),ROUND((IF(P128&lt;&gt;"",P128,G128))-T128,2))),IF(H128,0,IF(S128,L128,ROUND(G128-T128,2))))</f>
        <v/>
      </c>
      <c r="V128" s="21">
        <f>IF(R128,IF(P128&lt;&gt;"",P128,ROUND(T128+U128,2)),IF(H128,T128,IF(S128,ROUND(T128+U128,2),G128)))</f>
        <v/>
      </c>
      <c r="W128" s="21">
        <f>IF(R128,IF(N128&lt;&gt;"",N128,ROUND(L128-U128,2)),IF(H128,L128,IF(S128,0,ROUND(L128-U128,2))))</f>
        <v/>
      </c>
      <c r="X128" s="21">
        <f>IFERROR(MIN(INDEX(LumpSums!$B:$B,MATCH(A128,LumpSums!$A:$A,0)),W128),0)</f>
        <v/>
      </c>
      <c r="Y128" s="21">
        <f>ROUND(U128+X128,2)</f>
        <v/>
      </c>
      <c r="Z128" s="21">
        <f>ROUND(V128+X128,2)</f>
        <v/>
      </c>
      <c r="AA128" s="21">
        <f>ROUND(W128-X128,2)</f>
        <v/>
      </c>
      <c r="AB128" s="6">
        <f>AND(AB127,L128&gt;0)</f>
        <v/>
      </c>
      <c r="AC128" s="21">
        <f>IF(PMI_Costs!$B$8=0,0,ROUND(PMI_Costs!$B$8*(1+PMI_Costs!$B$9/100)^INT((A128-1)/12)/12,2))</f>
        <v/>
      </c>
      <c r="AD128" s="21">
        <f>IF(PMI_Costs!$B$10=0,0,ROUND(PMI_Costs!$B$10*(1+PMI_Costs!$B$11/100)^INT((A128-1)/12)/12,2))</f>
        <v/>
      </c>
      <c r="AE128" s="21">
        <f>IF(PMI_Costs!$B$12=0,0,ROUND(PMI_Costs!$B$12*(1+PMI_Costs!$B$13/100)^INT((A128-1)/12)/12,2))</f>
        <v/>
      </c>
      <c r="AF128" s="22">
        <f>IF(PMI_Costs!$B$5=0,0,AA128/PMI_Costs!$B$5)</f>
        <v/>
      </c>
      <c r="AG128" s="6">
        <f>AND(PMI_Costs!$B$4&gt;0,AF128&gt;PMI_Costs!$B$6/100)</f>
        <v/>
      </c>
      <c r="AH128" s="21">
        <f>IF(AG128,ROUND(Segments!$G$5*PMI_Costs!$B$4/100/12,2),0)</f>
        <v/>
      </c>
      <c r="AI128" s="6">
        <f>AND(NOT(AG128),AG127)</f>
        <v/>
      </c>
    </row>
    <row r="129">
      <c r="A129" s="18" t="n">
        <v>125</v>
      </c>
      <c r="B129" s="18">
        <f>SUMPRODUCT((Segments!$J$5:$J$12&lt;&gt;"")*(Segments!$J$5:$J$12&lt;=A129))</f>
        <v/>
      </c>
      <c r="C129" s="19">
        <f>INDEX(Segments!$B$5:$B$12,B129)</f>
        <v/>
      </c>
      <c r="D129" s="18">
        <f>INDEX(Segments!$J$5:$J$12,B129)</f>
        <v/>
      </c>
      <c r="E129" s="19">
        <f>DATE(YEAR(C129)+INT((MONTH(C129)-1+(A129-D129))/12),MOD(MONTH(C129)-1+(A129-D129),12)+1,1)+(DAY(C129)-1)</f>
        <v/>
      </c>
      <c r="F129" s="20">
        <f>INDEX(Segments!$C$5:$C$12,B129)/100/12</f>
        <v/>
      </c>
      <c r="G129" s="21">
        <f>INDEX(Segments!$L$5:$L$12,B129)</f>
        <v/>
      </c>
      <c r="H129" s="6">
        <f>INDEX(Segments!$I$5:$I$12,B129)="Y"</f>
        <v/>
      </c>
      <c r="I129" s="6">
        <f>INDEX(Segments!$F$5:$F$12,B129)=""</f>
        <v/>
      </c>
      <c r="J129" s="18">
        <f>INDEX(Segments!$K$5:$K$12,B129)</f>
        <v/>
      </c>
      <c r="K129" s="18">
        <f>IF(INDEX(Segments!$F$5:$F$12,B129)&lt;&gt;"",INDEX(Segments!$F$5:$F$12,B129),IF(INDEX(Segments!$E$5:$E$12,B129)&lt;&gt;"",INDEX(Segments!$E$5:$E$12,B129),""))</f>
        <v/>
      </c>
      <c r="L129" s="21">
        <f>AA128</f>
        <v/>
      </c>
      <c r="M129" s="21">
        <f>IFERROR(INDEX(Overrides!$C:$C,MATCH(A129,Overrides!$A:$A,0)),"")</f>
        <v/>
      </c>
      <c r="N129" s="21">
        <f>IFERROR(INDEX(Overrides!$E:$E,MATCH(A129,Overrides!$A:$A,0)),"")</f>
        <v/>
      </c>
      <c r="O129" s="21">
        <f>IFERROR(INDEX(Overrides!$D:$D,MATCH(A129,Overrides!$A:$A,0)),"")</f>
        <v/>
      </c>
      <c r="P129" s="21">
        <f>IFERROR(INDEX(Overrides!$B:$B,MATCH(A129,Overrides!$A:$A,0)),"")</f>
        <v/>
      </c>
      <c r="Q129" s="6">
        <f>IFERROR(INDEX(Overrides!$F:$F,MATCH(A129,Overrides!$A:$A,0)),"")</f>
        <v/>
      </c>
      <c r="R129" s="6">
        <f>ISNUMBER(MATCH(A129,Overrides!$A:$A,0))</f>
        <v/>
      </c>
      <c r="S129" s="6">
        <f>OR(ROUND(L129-ROUND(G129-T129,2),2)&lt;=0,AND(I129,K129&lt;&gt;"",(A129-D129+1)=K129))</f>
        <v/>
      </c>
      <c r="T129" s="21">
        <f>IF(M129&lt;&gt;"",M129,ROUND(L129*F129,2))</f>
        <v/>
      </c>
      <c r="U129" s="21">
        <f>IF(R129,IF(O129&lt;&gt;"",O129,IF(N129&lt;&gt;"",ROUND(L129-N129,2),ROUND((IF(P129&lt;&gt;"",P129,G129))-T129,2))),IF(H129,0,IF(S129,L129,ROUND(G129-T129,2))))</f>
        <v/>
      </c>
      <c r="V129" s="21">
        <f>IF(R129,IF(P129&lt;&gt;"",P129,ROUND(T129+U129,2)),IF(H129,T129,IF(S129,ROUND(T129+U129,2),G129)))</f>
        <v/>
      </c>
      <c r="W129" s="21">
        <f>IF(R129,IF(N129&lt;&gt;"",N129,ROUND(L129-U129,2)),IF(H129,L129,IF(S129,0,ROUND(L129-U129,2))))</f>
        <v/>
      </c>
      <c r="X129" s="21">
        <f>IFERROR(MIN(INDEX(LumpSums!$B:$B,MATCH(A129,LumpSums!$A:$A,0)),W129),0)</f>
        <v/>
      </c>
      <c r="Y129" s="21">
        <f>ROUND(U129+X129,2)</f>
        <v/>
      </c>
      <c r="Z129" s="21">
        <f>ROUND(V129+X129,2)</f>
        <v/>
      </c>
      <c r="AA129" s="21">
        <f>ROUND(W129-X129,2)</f>
        <v/>
      </c>
      <c r="AB129" s="6">
        <f>AND(AB128,L129&gt;0)</f>
        <v/>
      </c>
      <c r="AC129" s="21">
        <f>IF(PMI_Costs!$B$8=0,0,ROUND(PMI_Costs!$B$8*(1+PMI_Costs!$B$9/100)^INT((A129-1)/12)/12,2))</f>
        <v/>
      </c>
      <c r="AD129" s="21">
        <f>IF(PMI_Costs!$B$10=0,0,ROUND(PMI_Costs!$B$10*(1+PMI_Costs!$B$11/100)^INT((A129-1)/12)/12,2))</f>
        <v/>
      </c>
      <c r="AE129" s="21">
        <f>IF(PMI_Costs!$B$12=0,0,ROUND(PMI_Costs!$B$12*(1+PMI_Costs!$B$13/100)^INT((A129-1)/12)/12,2))</f>
        <v/>
      </c>
      <c r="AF129" s="22">
        <f>IF(PMI_Costs!$B$5=0,0,AA129/PMI_Costs!$B$5)</f>
        <v/>
      </c>
      <c r="AG129" s="6">
        <f>AND(PMI_Costs!$B$4&gt;0,AF129&gt;PMI_Costs!$B$6/100)</f>
        <v/>
      </c>
      <c r="AH129" s="21">
        <f>IF(AG129,ROUND(Segments!$G$5*PMI_Costs!$B$4/100/12,2),0)</f>
        <v/>
      </c>
      <c r="AI129" s="6">
        <f>AND(NOT(AG129),AG128)</f>
        <v/>
      </c>
    </row>
    <row r="130">
      <c r="A130" s="18" t="n">
        <v>126</v>
      </c>
      <c r="B130" s="18">
        <f>SUMPRODUCT((Segments!$J$5:$J$12&lt;&gt;"")*(Segments!$J$5:$J$12&lt;=A130))</f>
        <v/>
      </c>
      <c r="C130" s="19">
        <f>INDEX(Segments!$B$5:$B$12,B130)</f>
        <v/>
      </c>
      <c r="D130" s="18">
        <f>INDEX(Segments!$J$5:$J$12,B130)</f>
        <v/>
      </c>
      <c r="E130" s="19">
        <f>DATE(YEAR(C130)+INT((MONTH(C130)-1+(A130-D130))/12),MOD(MONTH(C130)-1+(A130-D130),12)+1,1)+(DAY(C130)-1)</f>
        <v/>
      </c>
      <c r="F130" s="20">
        <f>INDEX(Segments!$C$5:$C$12,B130)/100/12</f>
        <v/>
      </c>
      <c r="G130" s="21">
        <f>INDEX(Segments!$L$5:$L$12,B130)</f>
        <v/>
      </c>
      <c r="H130" s="6">
        <f>INDEX(Segments!$I$5:$I$12,B130)="Y"</f>
        <v/>
      </c>
      <c r="I130" s="6">
        <f>INDEX(Segments!$F$5:$F$12,B130)=""</f>
        <v/>
      </c>
      <c r="J130" s="18">
        <f>INDEX(Segments!$K$5:$K$12,B130)</f>
        <v/>
      </c>
      <c r="K130" s="18">
        <f>IF(INDEX(Segments!$F$5:$F$12,B130)&lt;&gt;"",INDEX(Segments!$F$5:$F$12,B130),IF(INDEX(Segments!$E$5:$E$12,B130)&lt;&gt;"",INDEX(Segments!$E$5:$E$12,B130),""))</f>
        <v/>
      </c>
      <c r="L130" s="21">
        <f>AA129</f>
        <v/>
      </c>
      <c r="M130" s="21">
        <f>IFERROR(INDEX(Overrides!$C:$C,MATCH(A130,Overrides!$A:$A,0)),"")</f>
        <v/>
      </c>
      <c r="N130" s="21">
        <f>IFERROR(INDEX(Overrides!$E:$E,MATCH(A130,Overrides!$A:$A,0)),"")</f>
        <v/>
      </c>
      <c r="O130" s="21">
        <f>IFERROR(INDEX(Overrides!$D:$D,MATCH(A130,Overrides!$A:$A,0)),"")</f>
        <v/>
      </c>
      <c r="P130" s="21">
        <f>IFERROR(INDEX(Overrides!$B:$B,MATCH(A130,Overrides!$A:$A,0)),"")</f>
        <v/>
      </c>
      <c r="Q130" s="6">
        <f>IFERROR(INDEX(Overrides!$F:$F,MATCH(A130,Overrides!$A:$A,0)),"")</f>
        <v/>
      </c>
      <c r="R130" s="6">
        <f>ISNUMBER(MATCH(A130,Overrides!$A:$A,0))</f>
        <v/>
      </c>
      <c r="S130" s="6">
        <f>OR(ROUND(L130-ROUND(G130-T130,2),2)&lt;=0,AND(I130,K130&lt;&gt;"",(A130-D130+1)=K130))</f>
        <v/>
      </c>
      <c r="T130" s="21">
        <f>IF(M130&lt;&gt;"",M130,ROUND(L130*F130,2))</f>
        <v/>
      </c>
      <c r="U130" s="21">
        <f>IF(R130,IF(O130&lt;&gt;"",O130,IF(N130&lt;&gt;"",ROUND(L130-N130,2),ROUND((IF(P130&lt;&gt;"",P130,G130))-T130,2))),IF(H130,0,IF(S130,L130,ROUND(G130-T130,2))))</f>
        <v/>
      </c>
      <c r="V130" s="21">
        <f>IF(R130,IF(P130&lt;&gt;"",P130,ROUND(T130+U130,2)),IF(H130,T130,IF(S130,ROUND(T130+U130,2),G130)))</f>
        <v/>
      </c>
      <c r="W130" s="21">
        <f>IF(R130,IF(N130&lt;&gt;"",N130,ROUND(L130-U130,2)),IF(H130,L130,IF(S130,0,ROUND(L130-U130,2))))</f>
        <v/>
      </c>
      <c r="X130" s="21">
        <f>IFERROR(MIN(INDEX(LumpSums!$B:$B,MATCH(A130,LumpSums!$A:$A,0)),W130),0)</f>
        <v/>
      </c>
      <c r="Y130" s="21">
        <f>ROUND(U130+X130,2)</f>
        <v/>
      </c>
      <c r="Z130" s="21">
        <f>ROUND(V130+X130,2)</f>
        <v/>
      </c>
      <c r="AA130" s="21">
        <f>ROUND(W130-X130,2)</f>
        <v/>
      </c>
      <c r="AB130" s="6">
        <f>AND(AB129,L130&gt;0)</f>
        <v/>
      </c>
      <c r="AC130" s="21">
        <f>IF(PMI_Costs!$B$8=0,0,ROUND(PMI_Costs!$B$8*(1+PMI_Costs!$B$9/100)^INT((A130-1)/12)/12,2))</f>
        <v/>
      </c>
      <c r="AD130" s="21">
        <f>IF(PMI_Costs!$B$10=0,0,ROUND(PMI_Costs!$B$10*(1+PMI_Costs!$B$11/100)^INT((A130-1)/12)/12,2))</f>
        <v/>
      </c>
      <c r="AE130" s="21">
        <f>IF(PMI_Costs!$B$12=0,0,ROUND(PMI_Costs!$B$12*(1+PMI_Costs!$B$13/100)^INT((A130-1)/12)/12,2))</f>
        <v/>
      </c>
      <c r="AF130" s="22">
        <f>IF(PMI_Costs!$B$5=0,0,AA130/PMI_Costs!$B$5)</f>
        <v/>
      </c>
      <c r="AG130" s="6">
        <f>AND(PMI_Costs!$B$4&gt;0,AF130&gt;PMI_Costs!$B$6/100)</f>
        <v/>
      </c>
      <c r="AH130" s="21">
        <f>IF(AG130,ROUND(Segments!$G$5*PMI_Costs!$B$4/100/12,2),0)</f>
        <v/>
      </c>
      <c r="AI130" s="6">
        <f>AND(NOT(AG130),AG129)</f>
        <v/>
      </c>
    </row>
    <row r="131">
      <c r="A131" s="18" t="n">
        <v>127</v>
      </c>
      <c r="B131" s="18">
        <f>SUMPRODUCT((Segments!$J$5:$J$12&lt;&gt;"")*(Segments!$J$5:$J$12&lt;=A131))</f>
        <v/>
      </c>
      <c r="C131" s="19">
        <f>INDEX(Segments!$B$5:$B$12,B131)</f>
        <v/>
      </c>
      <c r="D131" s="18">
        <f>INDEX(Segments!$J$5:$J$12,B131)</f>
        <v/>
      </c>
      <c r="E131" s="19">
        <f>DATE(YEAR(C131)+INT((MONTH(C131)-1+(A131-D131))/12),MOD(MONTH(C131)-1+(A131-D131),12)+1,1)+(DAY(C131)-1)</f>
        <v/>
      </c>
      <c r="F131" s="20">
        <f>INDEX(Segments!$C$5:$C$12,B131)/100/12</f>
        <v/>
      </c>
      <c r="G131" s="21">
        <f>INDEX(Segments!$L$5:$L$12,B131)</f>
        <v/>
      </c>
      <c r="H131" s="6">
        <f>INDEX(Segments!$I$5:$I$12,B131)="Y"</f>
        <v/>
      </c>
      <c r="I131" s="6">
        <f>INDEX(Segments!$F$5:$F$12,B131)=""</f>
        <v/>
      </c>
      <c r="J131" s="18">
        <f>INDEX(Segments!$K$5:$K$12,B131)</f>
        <v/>
      </c>
      <c r="K131" s="18">
        <f>IF(INDEX(Segments!$F$5:$F$12,B131)&lt;&gt;"",INDEX(Segments!$F$5:$F$12,B131),IF(INDEX(Segments!$E$5:$E$12,B131)&lt;&gt;"",INDEX(Segments!$E$5:$E$12,B131),""))</f>
        <v/>
      </c>
      <c r="L131" s="21">
        <f>AA130</f>
        <v/>
      </c>
      <c r="M131" s="21">
        <f>IFERROR(INDEX(Overrides!$C:$C,MATCH(A131,Overrides!$A:$A,0)),"")</f>
        <v/>
      </c>
      <c r="N131" s="21">
        <f>IFERROR(INDEX(Overrides!$E:$E,MATCH(A131,Overrides!$A:$A,0)),"")</f>
        <v/>
      </c>
      <c r="O131" s="21">
        <f>IFERROR(INDEX(Overrides!$D:$D,MATCH(A131,Overrides!$A:$A,0)),"")</f>
        <v/>
      </c>
      <c r="P131" s="21">
        <f>IFERROR(INDEX(Overrides!$B:$B,MATCH(A131,Overrides!$A:$A,0)),"")</f>
        <v/>
      </c>
      <c r="Q131" s="6">
        <f>IFERROR(INDEX(Overrides!$F:$F,MATCH(A131,Overrides!$A:$A,0)),"")</f>
        <v/>
      </c>
      <c r="R131" s="6">
        <f>ISNUMBER(MATCH(A131,Overrides!$A:$A,0))</f>
        <v/>
      </c>
      <c r="S131" s="6">
        <f>OR(ROUND(L131-ROUND(G131-T131,2),2)&lt;=0,AND(I131,K131&lt;&gt;"",(A131-D131+1)=K131))</f>
        <v/>
      </c>
      <c r="T131" s="21">
        <f>IF(M131&lt;&gt;"",M131,ROUND(L131*F131,2))</f>
        <v/>
      </c>
      <c r="U131" s="21">
        <f>IF(R131,IF(O131&lt;&gt;"",O131,IF(N131&lt;&gt;"",ROUND(L131-N131,2),ROUND((IF(P131&lt;&gt;"",P131,G131))-T131,2))),IF(H131,0,IF(S131,L131,ROUND(G131-T131,2))))</f>
        <v/>
      </c>
      <c r="V131" s="21">
        <f>IF(R131,IF(P131&lt;&gt;"",P131,ROUND(T131+U131,2)),IF(H131,T131,IF(S131,ROUND(T131+U131,2),G131)))</f>
        <v/>
      </c>
      <c r="W131" s="21">
        <f>IF(R131,IF(N131&lt;&gt;"",N131,ROUND(L131-U131,2)),IF(H131,L131,IF(S131,0,ROUND(L131-U131,2))))</f>
        <v/>
      </c>
      <c r="X131" s="21">
        <f>IFERROR(MIN(INDEX(LumpSums!$B:$B,MATCH(A131,LumpSums!$A:$A,0)),W131),0)</f>
        <v/>
      </c>
      <c r="Y131" s="21">
        <f>ROUND(U131+X131,2)</f>
        <v/>
      </c>
      <c r="Z131" s="21">
        <f>ROUND(V131+X131,2)</f>
        <v/>
      </c>
      <c r="AA131" s="21">
        <f>ROUND(W131-X131,2)</f>
        <v/>
      </c>
      <c r="AB131" s="6">
        <f>AND(AB130,L131&gt;0)</f>
        <v/>
      </c>
      <c r="AC131" s="21">
        <f>IF(PMI_Costs!$B$8=0,0,ROUND(PMI_Costs!$B$8*(1+PMI_Costs!$B$9/100)^INT((A131-1)/12)/12,2))</f>
        <v/>
      </c>
      <c r="AD131" s="21">
        <f>IF(PMI_Costs!$B$10=0,0,ROUND(PMI_Costs!$B$10*(1+PMI_Costs!$B$11/100)^INT((A131-1)/12)/12,2))</f>
        <v/>
      </c>
      <c r="AE131" s="21">
        <f>IF(PMI_Costs!$B$12=0,0,ROUND(PMI_Costs!$B$12*(1+PMI_Costs!$B$13/100)^INT((A131-1)/12)/12,2))</f>
        <v/>
      </c>
      <c r="AF131" s="22">
        <f>IF(PMI_Costs!$B$5=0,0,AA131/PMI_Costs!$B$5)</f>
        <v/>
      </c>
      <c r="AG131" s="6">
        <f>AND(PMI_Costs!$B$4&gt;0,AF131&gt;PMI_Costs!$B$6/100)</f>
        <v/>
      </c>
      <c r="AH131" s="21">
        <f>IF(AG131,ROUND(Segments!$G$5*PMI_Costs!$B$4/100/12,2),0)</f>
        <v/>
      </c>
      <c r="AI131" s="6">
        <f>AND(NOT(AG131),AG130)</f>
        <v/>
      </c>
    </row>
    <row r="132">
      <c r="A132" s="18" t="n">
        <v>128</v>
      </c>
      <c r="B132" s="18">
        <f>SUMPRODUCT((Segments!$J$5:$J$12&lt;&gt;"")*(Segments!$J$5:$J$12&lt;=A132))</f>
        <v/>
      </c>
      <c r="C132" s="19">
        <f>INDEX(Segments!$B$5:$B$12,B132)</f>
        <v/>
      </c>
      <c r="D132" s="18">
        <f>INDEX(Segments!$J$5:$J$12,B132)</f>
        <v/>
      </c>
      <c r="E132" s="19">
        <f>DATE(YEAR(C132)+INT((MONTH(C132)-1+(A132-D132))/12),MOD(MONTH(C132)-1+(A132-D132),12)+1,1)+(DAY(C132)-1)</f>
        <v/>
      </c>
      <c r="F132" s="20">
        <f>INDEX(Segments!$C$5:$C$12,B132)/100/12</f>
        <v/>
      </c>
      <c r="G132" s="21">
        <f>INDEX(Segments!$L$5:$L$12,B132)</f>
        <v/>
      </c>
      <c r="H132" s="6">
        <f>INDEX(Segments!$I$5:$I$12,B132)="Y"</f>
        <v/>
      </c>
      <c r="I132" s="6">
        <f>INDEX(Segments!$F$5:$F$12,B132)=""</f>
        <v/>
      </c>
      <c r="J132" s="18">
        <f>INDEX(Segments!$K$5:$K$12,B132)</f>
        <v/>
      </c>
      <c r="K132" s="18">
        <f>IF(INDEX(Segments!$F$5:$F$12,B132)&lt;&gt;"",INDEX(Segments!$F$5:$F$12,B132),IF(INDEX(Segments!$E$5:$E$12,B132)&lt;&gt;"",INDEX(Segments!$E$5:$E$12,B132),""))</f>
        <v/>
      </c>
      <c r="L132" s="21">
        <f>AA131</f>
        <v/>
      </c>
      <c r="M132" s="21">
        <f>IFERROR(INDEX(Overrides!$C:$C,MATCH(A132,Overrides!$A:$A,0)),"")</f>
        <v/>
      </c>
      <c r="N132" s="21">
        <f>IFERROR(INDEX(Overrides!$E:$E,MATCH(A132,Overrides!$A:$A,0)),"")</f>
        <v/>
      </c>
      <c r="O132" s="21">
        <f>IFERROR(INDEX(Overrides!$D:$D,MATCH(A132,Overrides!$A:$A,0)),"")</f>
        <v/>
      </c>
      <c r="P132" s="21">
        <f>IFERROR(INDEX(Overrides!$B:$B,MATCH(A132,Overrides!$A:$A,0)),"")</f>
        <v/>
      </c>
      <c r="Q132" s="6">
        <f>IFERROR(INDEX(Overrides!$F:$F,MATCH(A132,Overrides!$A:$A,0)),"")</f>
        <v/>
      </c>
      <c r="R132" s="6">
        <f>ISNUMBER(MATCH(A132,Overrides!$A:$A,0))</f>
        <v/>
      </c>
      <c r="S132" s="6">
        <f>OR(ROUND(L132-ROUND(G132-T132,2),2)&lt;=0,AND(I132,K132&lt;&gt;"",(A132-D132+1)=K132))</f>
        <v/>
      </c>
      <c r="T132" s="21">
        <f>IF(M132&lt;&gt;"",M132,ROUND(L132*F132,2))</f>
        <v/>
      </c>
      <c r="U132" s="21">
        <f>IF(R132,IF(O132&lt;&gt;"",O132,IF(N132&lt;&gt;"",ROUND(L132-N132,2),ROUND((IF(P132&lt;&gt;"",P132,G132))-T132,2))),IF(H132,0,IF(S132,L132,ROUND(G132-T132,2))))</f>
        <v/>
      </c>
      <c r="V132" s="21">
        <f>IF(R132,IF(P132&lt;&gt;"",P132,ROUND(T132+U132,2)),IF(H132,T132,IF(S132,ROUND(T132+U132,2),G132)))</f>
        <v/>
      </c>
      <c r="W132" s="21">
        <f>IF(R132,IF(N132&lt;&gt;"",N132,ROUND(L132-U132,2)),IF(H132,L132,IF(S132,0,ROUND(L132-U132,2))))</f>
        <v/>
      </c>
      <c r="X132" s="21">
        <f>IFERROR(MIN(INDEX(LumpSums!$B:$B,MATCH(A132,LumpSums!$A:$A,0)),W132),0)</f>
        <v/>
      </c>
      <c r="Y132" s="21">
        <f>ROUND(U132+X132,2)</f>
        <v/>
      </c>
      <c r="Z132" s="21">
        <f>ROUND(V132+X132,2)</f>
        <v/>
      </c>
      <c r="AA132" s="21">
        <f>ROUND(W132-X132,2)</f>
        <v/>
      </c>
      <c r="AB132" s="6">
        <f>AND(AB131,L132&gt;0)</f>
        <v/>
      </c>
      <c r="AC132" s="21">
        <f>IF(PMI_Costs!$B$8=0,0,ROUND(PMI_Costs!$B$8*(1+PMI_Costs!$B$9/100)^INT((A132-1)/12)/12,2))</f>
        <v/>
      </c>
      <c r="AD132" s="21">
        <f>IF(PMI_Costs!$B$10=0,0,ROUND(PMI_Costs!$B$10*(1+PMI_Costs!$B$11/100)^INT((A132-1)/12)/12,2))</f>
        <v/>
      </c>
      <c r="AE132" s="21">
        <f>IF(PMI_Costs!$B$12=0,0,ROUND(PMI_Costs!$B$12*(1+PMI_Costs!$B$13/100)^INT((A132-1)/12)/12,2))</f>
        <v/>
      </c>
      <c r="AF132" s="22">
        <f>IF(PMI_Costs!$B$5=0,0,AA132/PMI_Costs!$B$5)</f>
        <v/>
      </c>
      <c r="AG132" s="6">
        <f>AND(PMI_Costs!$B$4&gt;0,AF132&gt;PMI_Costs!$B$6/100)</f>
        <v/>
      </c>
      <c r="AH132" s="21">
        <f>IF(AG132,ROUND(Segments!$G$5*PMI_Costs!$B$4/100/12,2),0)</f>
        <v/>
      </c>
      <c r="AI132" s="6">
        <f>AND(NOT(AG132),AG131)</f>
        <v/>
      </c>
    </row>
    <row r="133">
      <c r="A133" s="18" t="n">
        <v>129</v>
      </c>
      <c r="B133" s="18">
        <f>SUMPRODUCT((Segments!$J$5:$J$12&lt;&gt;"")*(Segments!$J$5:$J$12&lt;=A133))</f>
        <v/>
      </c>
      <c r="C133" s="19">
        <f>INDEX(Segments!$B$5:$B$12,B133)</f>
        <v/>
      </c>
      <c r="D133" s="18">
        <f>INDEX(Segments!$J$5:$J$12,B133)</f>
        <v/>
      </c>
      <c r="E133" s="19">
        <f>DATE(YEAR(C133)+INT((MONTH(C133)-1+(A133-D133))/12),MOD(MONTH(C133)-1+(A133-D133),12)+1,1)+(DAY(C133)-1)</f>
        <v/>
      </c>
      <c r="F133" s="20">
        <f>INDEX(Segments!$C$5:$C$12,B133)/100/12</f>
        <v/>
      </c>
      <c r="G133" s="21">
        <f>INDEX(Segments!$L$5:$L$12,B133)</f>
        <v/>
      </c>
      <c r="H133" s="6">
        <f>INDEX(Segments!$I$5:$I$12,B133)="Y"</f>
        <v/>
      </c>
      <c r="I133" s="6">
        <f>INDEX(Segments!$F$5:$F$12,B133)=""</f>
        <v/>
      </c>
      <c r="J133" s="18">
        <f>INDEX(Segments!$K$5:$K$12,B133)</f>
        <v/>
      </c>
      <c r="K133" s="18">
        <f>IF(INDEX(Segments!$F$5:$F$12,B133)&lt;&gt;"",INDEX(Segments!$F$5:$F$12,B133),IF(INDEX(Segments!$E$5:$E$12,B133)&lt;&gt;"",INDEX(Segments!$E$5:$E$12,B133),""))</f>
        <v/>
      </c>
      <c r="L133" s="21">
        <f>AA132</f>
        <v/>
      </c>
      <c r="M133" s="21">
        <f>IFERROR(INDEX(Overrides!$C:$C,MATCH(A133,Overrides!$A:$A,0)),"")</f>
        <v/>
      </c>
      <c r="N133" s="21">
        <f>IFERROR(INDEX(Overrides!$E:$E,MATCH(A133,Overrides!$A:$A,0)),"")</f>
        <v/>
      </c>
      <c r="O133" s="21">
        <f>IFERROR(INDEX(Overrides!$D:$D,MATCH(A133,Overrides!$A:$A,0)),"")</f>
        <v/>
      </c>
      <c r="P133" s="21">
        <f>IFERROR(INDEX(Overrides!$B:$B,MATCH(A133,Overrides!$A:$A,0)),"")</f>
        <v/>
      </c>
      <c r="Q133" s="6">
        <f>IFERROR(INDEX(Overrides!$F:$F,MATCH(A133,Overrides!$A:$A,0)),"")</f>
        <v/>
      </c>
      <c r="R133" s="6">
        <f>ISNUMBER(MATCH(A133,Overrides!$A:$A,0))</f>
        <v/>
      </c>
      <c r="S133" s="6">
        <f>OR(ROUND(L133-ROUND(G133-T133,2),2)&lt;=0,AND(I133,K133&lt;&gt;"",(A133-D133+1)=K133))</f>
        <v/>
      </c>
      <c r="T133" s="21">
        <f>IF(M133&lt;&gt;"",M133,ROUND(L133*F133,2))</f>
        <v/>
      </c>
      <c r="U133" s="21">
        <f>IF(R133,IF(O133&lt;&gt;"",O133,IF(N133&lt;&gt;"",ROUND(L133-N133,2),ROUND((IF(P133&lt;&gt;"",P133,G133))-T133,2))),IF(H133,0,IF(S133,L133,ROUND(G133-T133,2))))</f>
        <v/>
      </c>
      <c r="V133" s="21">
        <f>IF(R133,IF(P133&lt;&gt;"",P133,ROUND(T133+U133,2)),IF(H133,T133,IF(S133,ROUND(T133+U133,2),G133)))</f>
        <v/>
      </c>
      <c r="W133" s="21">
        <f>IF(R133,IF(N133&lt;&gt;"",N133,ROUND(L133-U133,2)),IF(H133,L133,IF(S133,0,ROUND(L133-U133,2))))</f>
        <v/>
      </c>
      <c r="X133" s="21">
        <f>IFERROR(MIN(INDEX(LumpSums!$B:$B,MATCH(A133,LumpSums!$A:$A,0)),W133),0)</f>
        <v/>
      </c>
      <c r="Y133" s="21">
        <f>ROUND(U133+X133,2)</f>
        <v/>
      </c>
      <c r="Z133" s="21">
        <f>ROUND(V133+X133,2)</f>
        <v/>
      </c>
      <c r="AA133" s="21">
        <f>ROUND(W133-X133,2)</f>
        <v/>
      </c>
      <c r="AB133" s="6">
        <f>AND(AB132,L133&gt;0)</f>
        <v/>
      </c>
      <c r="AC133" s="21">
        <f>IF(PMI_Costs!$B$8=0,0,ROUND(PMI_Costs!$B$8*(1+PMI_Costs!$B$9/100)^INT((A133-1)/12)/12,2))</f>
        <v/>
      </c>
      <c r="AD133" s="21">
        <f>IF(PMI_Costs!$B$10=0,0,ROUND(PMI_Costs!$B$10*(1+PMI_Costs!$B$11/100)^INT((A133-1)/12)/12,2))</f>
        <v/>
      </c>
      <c r="AE133" s="21">
        <f>IF(PMI_Costs!$B$12=0,0,ROUND(PMI_Costs!$B$12*(1+PMI_Costs!$B$13/100)^INT((A133-1)/12)/12,2))</f>
        <v/>
      </c>
      <c r="AF133" s="22">
        <f>IF(PMI_Costs!$B$5=0,0,AA133/PMI_Costs!$B$5)</f>
        <v/>
      </c>
      <c r="AG133" s="6">
        <f>AND(PMI_Costs!$B$4&gt;0,AF133&gt;PMI_Costs!$B$6/100)</f>
        <v/>
      </c>
      <c r="AH133" s="21">
        <f>IF(AG133,ROUND(Segments!$G$5*PMI_Costs!$B$4/100/12,2),0)</f>
        <v/>
      </c>
      <c r="AI133" s="6">
        <f>AND(NOT(AG133),AG132)</f>
        <v/>
      </c>
    </row>
    <row r="134">
      <c r="A134" s="18" t="n">
        <v>130</v>
      </c>
      <c r="B134" s="18">
        <f>SUMPRODUCT((Segments!$J$5:$J$12&lt;&gt;"")*(Segments!$J$5:$J$12&lt;=A134))</f>
        <v/>
      </c>
      <c r="C134" s="19">
        <f>INDEX(Segments!$B$5:$B$12,B134)</f>
        <v/>
      </c>
      <c r="D134" s="18">
        <f>INDEX(Segments!$J$5:$J$12,B134)</f>
        <v/>
      </c>
      <c r="E134" s="19">
        <f>DATE(YEAR(C134)+INT((MONTH(C134)-1+(A134-D134))/12),MOD(MONTH(C134)-1+(A134-D134),12)+1,1)+(DAY(C134)-1)</f>
        <v/>
      </c>
      <c r="F134" s="20">
        <f>INDEX(Segments!$C$5:$C$12,B134)/100/12</f>
        <v/>
      </c>
      <c r="G134" s="21">
        <f>INDEX(Segments!$L$5:$L$12,B134)</f>
        <v/>
      </c>
      <c r="H134" s="6">
        <f>INDEX(Segments!$I$5:$I$12,B134)="Y"</f>
        <v/>
      </c>
      <c r="I134" s="6">
        <f>INDEX(Segments!$F$5:$F$12,B134)=""</f>
        <v/>
      </c>
      <c r="J134" s="18">
        <f>INDEX(Segments!$K$5:$K$12,B134)</f>
        <v/>
      </c>
      <c r="K134" s="18">
        <f>IF(INDEX(Segments!$F$5:$F$12,B134)&lt;&gt;"",INDEX(Segments!$F$5:$F$12,B134),IF(INDEX(Segments!$E$5:$E$12,B134)&lt;&gt;"",INDEX(Segments!$E$5:$E$12,B134),""))</f>
        <v/>
      </c>
      <c r="L134" s="21">
        <f>AA133</f>
        <v/>
      </c>
      <c r="M134" s="21">
        <f>IFERROR(INDEX(Overrides!$C:$C,MATCH(A134,Overrides!$A:$A,0)),"")</f>
        <v/>
      </c>
      <c r="N134" s="21">
        <f>IFERROR(INDEX(Overrides!$E:$E,MATCH(A134,Overrides!$A:$A,0)),"")</f>
        <v/>
      </c>
      <c r="O134" s="21">
        <f>IFERROR(INDEX(Overrides!$D:$D,MATCH(A134,Overrides!$A:$A,0)),"")</f>
        <v/>
      </c>
      <c r="P134" s="21">
        <f>IFERROR(INDEX(Overrides!$B:$B,MATCH(A134,Overrides!$A:$A,0)),"")</f>
        <v/>
      </c>
      <c r="Q134" s="6">
        <f>IFERROR(INDEX(Overrides!$F:$F,MATCH(A134,Overrides!$A:$A,0)),"")</f>
        <v/>
      </c>
      <c r="R134" s="6">
        <f>ISNUMBER(MATCH(A134,Overrides!$A:$A,0))</f>
        <v/>
      </c>
      <c r="S134" s="6">
        <f>OR(ROUND(L134-ROUND(G134-T134,2),2)&lt;=0,AND(I134,K134&lt;&gt;"",(A134-D134+1)=K134))</f>
        <v/>
      </c>
      <c r="T134" s="21">
        <f>IF(M134&lt;&gt;"",M134,ROUND(L134*F134,2))</f>
        <v/>
      </c>
      <c r="U134" s="21">
        <f>IF(R134,IF(O134&lt;&gt;"",O134,IF(N134&lt;&gt;"",ROUND(L134-N134,2),ROUND((IF(P134&lt;&gt;"",P134,G134))-T134,2))),IF(H134,0,IF(S134,L134,ROUND(G134-T134,2))))</f>
        <v/>
      </c>
      <c r="V134" s="21">
        <f>IF(R134,IF(P134&lt;&gt;"",P134,ROUND(T134+U134,2)),IF(H134,T134,IF(S134,ROUND(T134+U134,2),G134)))</f>
        <v/>
      </c>
      <c r="W134" s="21">
        <f>IF(R134,IF(N134&lt;&gt;"",N134,ROUND(L134-U134,2)),IF(H134,L134,IF(S134,0,ROUND(L134-U134,2))))</f>
        <v/>
      </c>
      <c r="X134" s="21">
        <f>IFERROR(MIN(INDEX(LumpSums!$B:$B,MATCH(A134,LumpSums!$A:$A,0)),W134),0)</f>
        <v/>
      </c>
      <c r="Y134" s="21">
        <f>ROUND(U134+X134,2)</f>
        <v/>
      </c>
      <c r="Z134" s="21">
        <f>ROUND(V134+X134,2)</f>
        <v/>
      </c>
      <c r="AA134" s="21">
        <f>ROUND(W134-X134,2)</f>
        <v/>
      </c>
      <c r="AB134" s="6">
        <f>AND(AB133,L134&gt;0)</f>
        <v/>
      </c>
      <c r="AC134" s="21">
        <f>IF(PMI_Costs!$B$8=0,0,ROUND(PMI_Costs!$B$8*(1+PMI_Costs!$B$9/100)^INT((A134-1)/12)/12,2))</f>
        <v/>
      </c>
      <c r="AD134" s="21">
        <f>IF(PMI_Costs!$B$10=0,0,ROUND(PMI_Costs!$B$10*(1+PMI_Costs!$B$11/100)^INT((A134-1)/12)/12,2))</f>
        <v/>
      </c>
      <c r="AE134" s="21">
        <f>IF(PMI_Costs!$B$12=0,0,ROUND(PMI_Costs!$B$12*(1+PMI_Costs!$B$13/100)^INT((A134-1)/12)/12,2))</f>
        <v/>
      </c>
      <c r="AF134" s="22">
        <f>IF(PMI_Costs!$B$5=0,0,AA134/PMI_Costs!$B$5)</f>
        <v/>
      </c>
      <c r="AG134" s="6">
        <f>AND(PMI_Costs!$B$4&gt;0,AF134&gt;PMI_Costs!$B$6/100)</f>
        <v/>
      </c>
      <c r="AH134" s="21">
        <f>IF(AG134,ROUND(Segments!$G$5*PMI_Costs!$B$4/100/12,2),0)</f>
        <v/>
      </c>
      <c r="AI134" s="6">
        <f>AND(NOT(AG134),AG133)</f>
        <v/>
      </c>
    </row>
    <row r="135">
      <c r="A135" s="18" t="n">
        <v>131</v>
      </c>
      <c r="B135" s="18">
        <f>SUMPRODUCT((Segments!$J$5:$J$12&lt;&gt;"")*(Segments!$J$5:$J$12&lt;=A135))</f>
        <v/>
      </c>
      <c r="C135" s="19">
        <f>INDEX(Segments!$B$5:$B$12,B135)</f>
        <v/>
      </c>
      <c r="D135" s="18">
        <f>INDEX(Segments!$J$5:$J$12,B135)</f>
        <v/>
      </c>
      <c r="E135" s="19">
        <f>DATE(YEAR(C135)+INT((MONTH(C135)-1+(A135-D135))/12),MOD(MONTH(C135)-1+(A135-D135),12)+1,1)+(DAY(C135)-1)</f>
        <v/>
      </c>
      <c r="F135" s="20">
        <f>INDEX(Segments!$C$5:$C$12,B135)/100/12</f>
        <v/>
      </c>
      <c r="G135" s="21">
        <f>INDEX(Segments!$L$5:$L$12,B135)</f>
        <v/>
      </c>
      <c r="H135" s="6">
        <f>INDEX(Segments!$I$5:$I$12,B135)="Y"</f>
        <v/>
      </c>
      <c r="I135" s="6">
        <f>INDEX(Segments!$F$5:$F$12,B135)=""</f>
        <v/>
      </c>
      <c r="J135" s="18">
        <f>INDEX(Segments!$K$5:$K$12,B135)</f>
        <v/>
      </c>
      <c r="K135" s="18">
        <f>IF(INDEX(Segments!$F$5:$F$12,B135)&lt;&gt;"",INDEX(Segments!$F$5:$F$12,B135),IF(INDEX(Segments!$E$5:$E$12,B135)&lt;&gt;"",INDEX(Segments!$E$5:$E$12,B135),""))</f>
        <v/>
      </c>
      <c r="L135" s="21">
        <f>AA134</f>
        <v/>
      </c>
      <c r="M135" s="21">
        <f>IFERROR(INDEX(Overrides!$C:$C,MATCH(A135,Overrides!$A:$A,0)),"")</f>
        <v/>
      </c>
      <c r="N135" s="21">
        <f>IFERROR(INDEX(Overrides!$E:$E,MATCH(A135,Overrides!$A:$A,0)),"")</f>
        <v/>
      </c>
      <c r="O135" s="21">
        <f>IFERROR(INDEX(Overrides!$D:$D,MATCH(A135,Overrides!$A:$A,0)),"")</f>
        <v/>
      </c>
      <c r="P135" s="21">
        <f>IFERROR(INDEX(Overrides!$B:$B,MATCH(A135,Overrides!$A:$A,0)),"")</f>
        <v/>
      </c>
      <c r="Q135" s="6">
        <f>IFERROR(INDEX(Overrides!$F:$F,MATCH(A135,Overrides!$A:$A,0)),"")</f>
        <v/>
      </c>
      <c r="R135" s="6">
        <f>ISNUMBER(MATCH(A135,Overrides!$A:$A,0))</f>
        <v/>
      </c>
      <c r="S135" s="6">
        <f>OR(ROUND(L135-ROUND(G135-T135,2),2)&lt;=0,AND(I135,K135&lt;&gt;"",(A135-D135+1)=K135))</f>
        <v/>
      </c>
      <c r="T135" s="21">
        <f>IF(M135&lt;&gt;"",M135,ROUND(L135*F135,2))</f>
        <v/>
      </c>
      <c r="U135" s="21">
        <f>IF(R135,IF(O135&lt;&gt;"",O135,IF(N135&lt;&gt;"",ROUND(L135-N135,2),ROUND((IF(P135&lt;&gt;"",P135,G135))-T135,2))),IF(H135,0,IF(S135,L135,ROUND(G135-T135,2))))</f>
        <v/>
      </c>
      <c r="V135" s="21">
        <f>IF(R135,IF(P135&lt;&gt;"",P135,ROUND(T135+U135,2)),IF(H135,T135,IF(S135,ROUND(T135+U135,2),G135)))</f>
        <v/>
      </c>
      <c r="W135" s="21">
        <f>IF(R135,IF(N135&lt;&gt;"",N135,ROUND(L135-U135,2)),IF(H135,L135,IF(S135,0,ROUND(L135-U135,2))))</f>
        <v/>
      </c>
      <c r="X135" s="21">
        <f>IFERROR(MIN(INDEX(LumpSums!$B:$B,MATCH(A135,LumpSums!$A:$A,0)),W135),0)</f>
        <v/>
      </c>
      <c r="Y135" s="21">
        <f>ROUND(U135+X135,2)</f>
        <v/>
      </c>
      <c r="Z135" s="21">
        <f>ROUND(V135+X135,2)</f>
        <v/>
      </c>
      <c r="AA135" s="21">
        <f>ROUND(W135-X135,2)</f>
        <v/>
      </c>
      <c r="AB135" s="6">
        <f>AND(AB134,L135&gt;0)</f>
        <v/>
      </c>
      <c r="AC135" s="21">
        <f>IF(PMI_Costs!$B$8=0,0,ROUND(PMI_Costs!$B$8*(1+PMI_Costs!$B$9/100)^INT((A135-1)/12)/12,2))</f>
        <v/>
      </c>
      <c r="AD135" s="21">
        <f>IF(PMI_Costs!$B$10=0,0,ROUND(PMI_Costs!$B$10*(1+PMI_Costs!$B$11/100)^INT((A135-1)/12)/12,2))</f>
        <v/>
      </c>
      <c r="AE135" s="21">
        <f>IF(PMI_Costs!$B$12=0,0,ROUND(PMI_Costs!$B$12*(1+PMI_Costs!$B$13/100)^INT((A135-1)/12)/12,2))</f>
        <v/>
      </c>
      <c r="AF135" s="22">
        <f>IF(PMI_Costs!$B$5=0,0,AA135/PMI_Costs!$B$5)</f>
        <v/>
      </c>
      <c r="AG135" s="6">
        <f>AND(PMI_Costs!$B$4&gt;0,AF135&gt;PMI_Costs!$B$6/100)</f>
        <v/>
      </c>
      <c r="AH135" s="21">
        <f>IF(AG135,ROUND(Segments!$G$5*PMI_Costs!$B$4/100/12,2),0)</f>
        <v/>
      </c>
      <c r="AI135" s="6">
        <f>AND(NOT(AG135),AG134)</f>
        <v/>
      </c>
    </row>
    <row r="136">
      <c r="A136" s="18" t="n">
        <v>132</v>
      </c>
      <c r="B136" s="18">
        <f>SUMPRODUCT((Segments!$J$5:$J$12&lt;&gt;"")*(Segments!$J$5:$J$12&lt;=A136))</f>
        <v/>
      </c>
      <c r="C136" s="19">
        <f>INDEX(Segments!$B$5:$B$12,B136)</f>
        <v/>
      </c>
      <c r="D136" s="18">
        <f>INDEX(Segments!$J$5:$J$12,B136)</f>
        <v/>
      </c>
      <c r="E136" s="19">
        <f>DATE(YEAR(C136)+INT((MONTH(C136)-1+(A136-D136))/12),MOD(MONTH(C136)-1+(A136-D136),12)+1,1)+(DAY(C136)-1)</f>
        <v/>
      </c>
      <c r="F136" s="20">
        <f>INDEX(Segments!$C$5:$C$12,B136)/100/12</f>
        <v/>
      </c>
      <c r="G136" s="21">
        <f>INDEX(Segments!$L$5:$L$12,B136)</f>
        <v/>
      </c>
      <c r="H136" s="6">
        <f>INDEX(Segments!$I$5:$I$12,B136)="Y"</f>
        <v/>
      </c>
      <c r="I136" s="6">
        <f>INDEX(Segments!$F$5:$F$12,B136)=""</f>
        <v/>
      </c>
      <c r="J136" s="18">
        <f>INDEX(Segments!$K$5:$K$12,B136)</f>
        <v/>
      </c>
      <c r="K136" s="18">
        <f>IF(INDEX(Segments!$F$5:$F$12,B136)&lt;&gt;"",INDEX(Segments!$F$5:$F$12,B136),IF(INDEX(Segments!$E$5:$E$12,B136)&lt;&gt;"",INDEX(Segments!$E$5:$E$12,B136),""))</f>
        <v/>
      </c>
      <c r="L136" s="21">
        <f>AA135</f>
        <v/>
      </c>
      <c r="M136" s="21">
        <f>IFERROR(INDEX(Overrides!$C:$C,MATCH(A136,Overrides!$A:$A,0)),"")</f>
        <v/>
      </c>
      <c r="N136" s="21">
        <f>IFERROR(INDEX(Overrides!$E:$E,MATCH(A136,Overrides!$A:$A,0)),"")</f>
        <v/>
      </c>
      <c r="O136" s="21">
        <f>IFERROR(INDEX(Overrides!$D:$D,MATCH(A136,Overrides!$A:$A,0)),"")</f>
        <v/>
      </c>
      <c r="P136" s="21">
        <f>IFERROR(INDEX(Overrides!$B:$B,MATCH(A136,Overrides!$A:$A,0)),"")</f>
        <v/>
      </c>
      <c r="Q136" s="6">
        <f>IFERROR(INDEX(Overrides!$F:$F,MATCH(A136,Overrides!$A:$A,0)),"")</f>
        <v/>
      </c>
      <c r="R136" s="6">
        <f>ISNUMBER(MATCH(A136,Overrides!$A:$A,0))</f>
        <v/>
      </c>
      <c r="S136" s="6">
        <f>OR(ROUND(L136-ROUND(G136-T136,2),2)&lt;=0,AND(I136,K136&lt;&gt;"",(A136-D136+1)=K136))</f>
        <v/>
      </c>
      <c r="T136" s="21">
        <f>IF(M136&lt;&gt;"",M136,ROUND(L136*F136,2))</f>
        <v/>
      </c>
      <c r="U136" s="21">
        <f>IF(R136,IF(O136&lt;&gt;"",O136,IF(N136&lt;&gt;"",ROUND(L136-N136,2),ROUND((IF(P136&lt;&gt;"",P136,G136))-T136,2))),IF(H136,0,IF(S136,L136,ROUND(G136-T136,2))))</f>
        <v/>
      </c>
      <c r="V136" s="21">
        <f>IF(R136,IF(P136&lt;&gt;"",P136,ROUND(T136+U136,2)),IF(H136,T136,IF(S136,ROUND(T136+U136,2),G136)))</f>
        <v/>
      </c>
      <c r="W136" s="21">
        <f>IF(R136,IF(N136&lt;&gt;"",N136,ROUND(L136-U136,2)),IF(H136,L136,IF(S136,0,ROUND(L136-U136,2))))</f>
        <v/>
      </c>
      <c r="X136" s="21">
        <f>IFERROR(MIN(INDEX(LumpSums!$B:$B,MATCH(A136,LumpSums!$A:$A,0)),W136),0)</f>
        <v/>
      </c>
      <c r="Y136" s="21">
        <f>ROUND(U136+X136,2)</f>
        <v/>
      </c>
      <c r="Z136" s="21">
        <f>ROUND(V136+X136,2)</f>
        <v/>
      </c>
      <c r="AA136" s="21">
        <f>ROUND(W136-X136,2)</f>
        <v/>
      </c>
      <c r="AB136" s="6">
        <f>AND(AB135,L136&gt;0)</f>
        <v/>
      </c>
      <c r="AC136" s="21">
        <f>IF(PMI_Costs!$B$8=0,0,ROUND(PMI_Costs!$B$8*(1+PMI_Costs!$B$9/100)^INT((A136-1)/12)/12,2))</f>
        <v/>
      </c>
      <c r="AD136" s="21">
        <f>IF(PMI_Costs!$B$10=0,0,ROUND(PMI_Costs!$B$10*(1+PMI_Costs!$B$11/100)^INT((A136-1)/12)/12,2))</f>
        <v/>
      </c>
      <c r="AE136" s="21">
        <f>IF(PMI_Costs!$B$12=0,0,ROUND(PMI_Costs!$B$12*(1+PMI_Costs!$B$13/100)^INT((A136-1)/12)/12,2))</f>
        <v/>
      </c>
      <c r="AF136" s="22">
        <f>IF(PMI_Costs!$B$5=0,0,AA136/PMI_Costs!$B$5)</f>
        <v/>
      </c>
      <c r="AG136" s="6">
        <f>AND(PMI_Costs!$B$4&gt;0,AF136&gt;PMI_Costs!$B$6/100)</f>
        <v/>
      </c>
      <c r="AH136" s="21">
        <f>IF(AG136,ROUND(Segments!$G$5*PMI_Costs!$B$4/100/12,2),0)</f>
        <v/>
      </c>
      <c r="AI136" s="6">
        <f>AND(NOT(AG136),AG135)</f>
        <v/>
      </c>
    </row>
    <row r="137">
      <c r="A137" s="18" t="n">
        <v>133</v>
      </c>
      <c r="B137" s="18">
        <f>SUMPRODUCT((Segments!$J$5:$J$12&lt;&gt;"")*(Segments!$J$5:$J$12&lt;=A137))</f>
        <v/>
      </c>
      <c r="C137" s="19">
        <f>INDEX(Segments!$B$5:$B$12,B137)</f>
        <v/>
      </c>
      <c r="D137" s="18">
        <f>INDEX(Segments!$J$5:$J$12,B137)</f>
        <v/>
      </c>
      <c r="E137" s="19">
        <f>DATE(YEAR(C137)+INT((MONTH(C137)-1+(A137-D137))/12),MOD(MONTH(C137)-1+(A137-D137),12)+1,1)+(DAY(C137)-1)</f>
        <v/>
      </c>
      <c r="F137" s="20">
        <f>INDEX(Segments!$C$5:$C$12,B137)/100/12</f>
        <v/>
      </c>
      <c r="G137" s="21">
        <f>INDEX(Segments!$L$5:$L$12,B137)</f>
        <v/>
      </c>
      <c r="H137" s="6">
        <f>INDEX(Segments!$I$5:$I$12,B137)="Y"</f>
        <v/>
      </c>
      <c r="I137" s="6">
        <f>INDEX(Segments!$F$5:$F$12,B137)=""</f>
        <v/>
      </c>
      <c r="J137" s="18">
        <f>INDEX(Segments!$K$5:$K$12,B137)</f>
        <v/>
      </c>
      <c r="K137" s="18">
        <f>IF(INDEX(Segments!$F$5:$F$12,B137)&lt;&gt;"",INDEX(Segments!$F$5:$F$12,B137),IF(INDEX(Segments!$E$5:$E$12,B137)&lt;&gt;"",INDEX(Segments!$E$5:$E$12,B137),""))</f>
        <v/>
      </c>
      <c r="L137" s="21">
        <f>AA136</f>
        <v/>
      </c>
      <c r="M137" s="21">
        <f>IFERROR(INDEX(Overrides!$C:$C,MATCH(A137,Overrides!$A:$A,0)),"")</f>
        <v/>
      </c>
      <c r="N137" s="21">
        <f>IFERROR(INDEX(Overrides!$E:$E,MATCH(A137,Overrides!$A:$A,0)),"")</f>
        <v/>
      </c>
      <c r="O137" s="21">
        <f>IFERROR(INDEX(Overrides!$D:$D,MATCH(A137,Overrides!$A:$A,0)),"")</f>
        <v/>
      </c>
      <c r="P137" s="21">
        <f>IFERROR(INDEX(Overrides!$B:$B,MATCH(A137,Overrides!$A:$A,0)),"")</f>
        <v/>
      </c>
      <c r="Q137" s="6">
        <f>IFERROR(INDEX(Overrides!$F:$F,MATCH(A137,Overrides!$A:$A,0)),"")</f>
        <v/>
      </c>
      <c r="R137" s="6">
        <f>ISNUMBER(MATCH(A137,Overrides!$A:$A,0))</f>
        <v/>
      </c>
      <c r="S137" s="6">
        <f>OR(ROUND(L137-ROUND(G137-T137,2),2)&lt;=0,AND(I137,K137&lt;&gt;"",(A137-D137+1)=K137))</f>
        <v/>
      </c>
      <c r="T137" s="21">
        <f>IF(M137&lt;&gt;"",M137,ROUND(L137*F137,2))</f>
        <v/>
      </c>
      <c r="U137" s="21">
        <f>IF(R137,IF(O137&lt;&gt;"",O137,IF(N137&lt;&gt;"",ROUND(L137-N137,2),ROUND((IF(P137&lt;&gt;"",P137,G137))-T137,2))),IF(H137,0,IF(S137,L137,ROUND(G137-T137,2))))</f>
        <v/>
      </c>
      <c r="V137" s="21">
        <f>IF(R137,IF(P137&lt;&gt;"",P137,ROUND(T137+U137,2)),IF(H137,T137,IF(S137,ROUND(T137+U137,2),G137)))</f>
        <v/>
      </c>
      <c r="W137" s="21">
        <f>IF(R137,IF(N137&lt;&gt;"",N137,ROUND(L137-U137,2)),IF(H137,L137,IF(S137,0,ROUND(L137-U137,2))))</f>
        <v/>
      </c>
      <c r="X137" s="21">
        <f>IFERROR(MIN(INDEX(LumpSums!$B:$B,MATCH(A137,LumpSums!$A:$A,0)),W137),0)</f>
        <v/>
      </c>
      <c r="Y137" s="21">
        <f>ROUND(U137+X137,2)</f>
        <v/>
      </c>
      <c r="Z137" s="21">
        <f>ROUND(V137+X137,2)</f>
        <v/>
      </c>
      <c r="AA137" s="21">
        <f>ROUND(W137-X137,2)</f>
        <v/>
      </c>
      <c r="AB137" s="6">
        <f>AND(AB136,L137&gt;0)</f>
        <v/>
      </c>
      <c r="AC137" s="21">
        <f>IF(PMI_Costs!$B$8=0,0,ROUND(PMI_Costs!$B$8*(1+PMI_Costs!$B$9/100)^INT((A137-1)/12)/12,2))</f>
        <v/>
      </c>
      <c r="AD137" s="21">
        <f>IF(PMI_Costs!$B$10=0,0,ROUND(PMI_Costs!$B$10*(1+PMI_Costs!$B$11/100)^INT((A137-1)/12)/12,2))</f>
        <v/>
      </c>
      <c r="AE137" s="21">
        <f>IF(PMI_Costs!$B$12=0,0,ROUND(PMI_Costs!$B$12*(1+PMI_Costs!$B$13/100)^INT((A137-1)/12)/12,2))</f>
        <v/>
      </c>
      <c r="AF137" s="22">
        <f>IF(PMI_Costs!$B$5=0,0,AA137/PMI_Costs!$B$5)</f>
        <v/>
      </c>
      <c r="AG137" s="6">
        <f>AND(PMI_Costs!$B$4&gt;0,AF137&gt;PMI_Costs!$B$6/100)</f>
        <v/>
      </c>
      <c r="AH137" s="21">
        <f>IF(AG137,ROUND(Segments!$G$5*PMI_Costs!$B$4/100/12,2),0)</f>
        <v/>
      </c>
      <c r="AI137" s="6">
        <f>AND(NOT(AG137),AG136)</f>
        <v/>
      </c>
    </row>
    <row r="138">
      <c r="A138" s="18" t="n">
        <v>134</v>
      </c>
      <c r="B138" s="18">
        <f>SUMPRODUCT((Segments!$J$5:$J$12&lt;&gt;"")*(Segments!$J$5:$J$12&lt;=A138))</f>
        <v/>
      </c>
      <c r="C138" s="19">
        <f>INDEX(Segments!$B$5:$B$12,B138)</f>
        <v/>
      </c>
      <c r="D138" s="18">
        <f>INDEX(Segments!$J$5:$J$12,B138)</f>
        <v/>
      </c>
      <c r="E138" s="19">
        <f>DATE(YEAR(C138)+INT((MONTH(C138)-1+(A138-D138))/12),MOD(MONTH(C138)-1+(A138-D138),12)+1,1)+(DAY(C138)-1)</f>
        <v/>
      </c>
      <c r="F138" s="20">
        <f>INDEX(Segments!$C$5:$C$12,B138)/100/12</f>
        <v/>
      </c>
      <c r="G138" s="21">
        <f>INDEX(Segments!$L$5:$L$12,B138)</f>
        <v/>
      </c>
      <c r="H138" s="6">
        <f>INDEX(Segments!$I$5:$I$12,B138)="Y"</f>
        <v/>
      </c>
      <c r="I138" s="6">
        <f>INDEX(Segments!$F$5:$F$12,B138)=""</f>
        <v/>
      </c>
      <c r="J138" s="18">
        <f>INDEX(Segments!$K$5:$K$12,B138)</f>
        <v/>
      </c>
      <c r="K138" s="18">
        <f>IF(INDEX(Segments!$F$5:$F$12,B138)&lt;&gt;"",INDEX(Segments!$F$5:$F$12,B138),IF(INDEX(Segments!$E$5:$E$12,B138)&lt;&gt;"",INDEX(Segments!$E$5:$E$12,B138),""))</f>
        <v/>
      </c>
      <c r="L138" s="21">
        <f>AA137</f>
        <v/>
      </c>
      <c r="M138" s="21">
        <f>IFERROR(INDEX(Overrides!$C:$C,MATCH(A138,Overrides!$A:$A,0)),"")</f>
        <v/>
      </c>
      <c r="N138" s="21">
        <f>IFERROR(INDEX(Overrides!$E:$E,MATCH(A138,Overrides!$A:$A,0)),"")</f>
        <v/>
      </c>
      <c r="O138" s="21">
        <f>IFERROR(INDEX(Overrides!$D:$D,MATCH(A138,Overrides!$A:$A,0)),"")</f>
        <v/>
      </c>
      <c r="P138" s="21">
        <f>IFERROR(INDEX(Overrides!$B:$B,MATCH(A138,Overrides!$A:$A,0)),"")</f>
        <v/>
      </c>
      <c r="Q138" s="6">
        <f>IFERROR(INDEX(Overrides!$F:$F,MATCH(A138,Overrides!$A:$A,0)),"")</f>
        <v/>
      </c>
      <c r="R138" s="6">
        <f>ISNUMBER(MATCH(A138,Overrides!$A:$A,0))</f>
        <v/>
      </c>
      <c r="S138" s="6">
        <f>OR(ROUND(L138-ROUND(G138-T138,2),2)&lt;=0,AND(I138,K138&lt;&gt;"",(A138-D138+1)=K138))</f>
        <v/>
      </c>
      <c r="T138" s="21">
        <f>IF(M138&lt;&gt;"",M138,ROUND(L138*F138,2))</f>
        <v/>
      </c>
      <c r="U138" s="21">
        <f>IF(R138,IF(O138&lt;&gt;"",O138,IF(N138&lt;&gt;"",ROUND(L138-N138,2),ROUND((IF(P138&lt;&gt;"",P138,G138))-T138,2))),IF(H138,0,IF(S138,L138,ROUND(G138-T138,2))))</f>
        <v/>
      </c>
      <c r="V138" s="21">
        <f>IF(R138,IF(P138&lt;&gt;"",P138,ROUND(T138+U138,2)),IF(H138,T138,IF(S138,ROUND(T138+U138,2),G138)))</f>
        <v/>
      </c>
      <c r="W138" s="21">
        <f>IF(R138,IF(N138&lt;&gt;"",N138,ROUND(L138-U138,2)),IF(H138,L138,IF(S138,0,ROUND(L138-U138,2))))</f>
        <v/>
      </c>
      <c r="X138" s="21">
        <f>IFERROR(MIN(INDEX(LumpSums!$B:$B,MATCH(A138,LumpSums!$A:$A,0)),W138),0)</f>
        <v/>
      </c>
      <c r="Y138" s="21">
        <f>ROUND(U138+X138,2)</f>
        <v/>
      </c>
      <c r="Z138" s="21">
        <f>ROUND(V138+X138,2)</f>
        <v/>
      </c>
      <c r="AA138" s="21">
        <f>ROUND(W138-X138,2)</f>
        <v/>
      </c>
      <c r="AB138" s="6">
        <f>AND(AB137,L138&gt;0)</f>
        <v/>
      </c>
      <c r="AC138" s="21">
        <f>IF(PMI_Costs!$B$8=0,0,ROUND(PMI_Costs!$B$8*(1+PMI_Costs!$B$9/100)^INT((A138-1)/12)/12,2))</f>
        <v/>
      </c>
      <c r="AD138" s="21">
        <f>IF(PMI_Costs!$B$10=0,0,ROUND(PMI_Costs!$B$10*(1+PMI_Costs!$B$11/100)^INT((A138-1)/12)/12,2))</f>
        <v/>
      </c>
      <c r="AE138" s="21">
        <f>IF(PMI_Costs!$B$12=0,0,ROUND(PMI_Costs!$B$12*(1+PMI_Costs!$B$13/100)^INT((A138-1)/12)/12,2))</f>
        <v/>
      </c>
      <c r="AF138" s="22">
        <f>IF(PMI_Costs!$B$5=0,0,AA138/PMI_Costs!$B$5)</f>
        <v/>
      </c>
      <c r="AG138" s="6">
        <f>AND(PMI_Costs!$B$4&gt;0,AF138&gt;PMI_Costs!$B$6/100)</f>
        <v/>
      </c>
      <c r="AH138" s="21">
        <f>IF(AG138,ROUND(Segments!$G$5*PMI_Costs!$B$4/100/12,2),0)</f>
        <v/>
      </c>
      <c r="AI138" s="6">
        <f>AND(NOT(AG138),AG137)</f>
        <v/>
      </c>
    </row>
    <row r="139">
      <c r="A139" s="18" t="n">
        <v>135</v>
      </c>
      <c r="B139" s="18">
        <f>SUMPRODUCT((Segments!$J$5:$J$12&lt;&gt;"")*(Segments!$J$5:$J$12&lt;=A139))</f>
        <v/>
      </c>
      <c r="C139" s="19">
        <f>INDEX(Segments!$B$5:$B$12,B139)</f>
        <v/>
      </c>
      <c r="D139" s="18">
        <f>INDEX(Segments!$J$5:$J$12,B139)</f>
        <v/>
      </c>
      <c r="E139" s="19">
        <f>DATE(YEAR(C139)+INT((MONTH(C139)-1+(A139-D139))/12),MOD(MONTH(C139)-1+(A139-D139),12)+1,1)+(DAY(C139)-1)</f>
        <v/>
      </c>
      <c r="F139" s="20">
        <f>INDEX(Segments!$C$5:$C$12,B139)/100/12</f>
        <v/>
      </c>
      <c r="G139" s="21">
        <f>INDEX(Segments!$L$5:$L$12,B139)</f>
        <v/>
      </c>
      <c r="H139" s="6">
        <f>INDEX(Segments!$I$5:$I$12,B139)="Y"</f>
        <v/>
      </c>
      <c r="I139" s="6">
        <f>INDEX(Segments!$F$5:$F$12,B139)=""</f>
        <v/>
      </c>
      <c r="J139" s="18">
        <f>INDEX(Segments!$K$5:$K$12,B139)</f>
        <v/>
      </c>
      <c r="K139" s="18">
        <f>IF(INDEX(Segments!$F$5:$F$12,B139)&lt;&gt;"",INDEX(Segments!$F$5:$F$12,B139),IF(INDEX(Segments!$E$5:$E$12,B139)&lt;&gt;"",INDEX(Segments!$E$5:$E$12,B139),""))</f>
        <v/>
      </c>
      <c r="L139" s="21">
        <f>AA138</f>
        <v/>
      </c>
      <c r="M139" s="21">
        <f>IFERROR(INDEX(Overrides!$C:$C,MATCH(A139,Overrides!$A:$A,0)),"")</f>
        <v/>
      </c>
      <c r="N139" s="21">
        <f>IFERROR(INDEX(Overrides!$E:$E,MATCH(A139,Overrides!$A:$A,0)),"")</f>
        <v/>
      </c>
      <c r="O139" s="21">
        <f>IFERROR(INDEX(Overrides!$D:$D,MATCH(A139,Overrides!$A:$A,0)),"")</f>
        <v/>
      </c>
      <c r="P139" s="21">
        <f>IFERROR(INDEX(Overrides!$B:$B,MATCH(A139,Overrides!$A:$A,0)),"")</f>
        <v/>
      </c>
      <c r="Q139" s="6">
        <f>IFERROR(INDEX(Overrides!$F:$F,MATCH(A139,Overrides!$A:$A,0)),"")</f>
        <v/>
      </c>
      <c r="R139" s="6">
        <f>ISNUMBER(MATCH(A139,Overrides!$A:$A,0))</f>
        <v/>
      </c>
      <c r="S139" s="6">
        <f>OR(ROUND(L139-ROUND(G139-T139,2),2)&lt;=0,AND(I139,K139&lt;&gt;"",(A139-D139+1)=K139))</f>
        <v/>
      </c>
      <c r="T139" s="21">
        <f>IF(M139&lt;&gt;"",M139,ROUND(L139*F139,2))</f>
        <v/>
      </c>
      <c r="U139" s="21">
        <f>IF(R139,IF(O139&lt;&gt;"",O139,IF(N139&lt;&gt;"",ROUND(L139-N139,2),ROUND((IF(P139&lt;&gt;"",P139,G139))-T139,2))),IF(H139,0,IF(S139,L139,ROUND(G139-T139,2))))</f>
        <v/>
      </c>
      <c r="V139" s="21">
        <f>IF(R139,IF(P139&lt;&gt;"",P139,ROUND(T139+U139,2)),IF(H139,T139,IF(S139,ROUND(T139+U139,2),G139)))</f>
        <v/>
      </c>
      <c r="W139" s="21">
        <f>IF(R139,IF(N139&lt;&gt;"",N139,ROUND(L139-U139,2)),IF(H139,L139,IF(S139,0,ROUND(L139-U139,2))))</f>
        <v/>
      </c>
      <c r="X139" s="21">
        <f>IFERROR(MIN(INDEX(LumpSums!$B:$B,MATCH(A139,LumpSums!$A:$A,0)),W139),0)</f>
        <v/>
      </c>
      <c r="Y139" s="21">
        <f>ROUND(U139+X139,2)</f>
        <v/>
      </c>
      <c r="Z139" s="21">
        <f>ROUND(V139+X139,2)</f>
        <v/>
      </c>
      <c r="AA139" s="21">
        <f>ROUND(W139-X139,2)</f>
        <v/>
      </c>
      <c r="AB139" s="6">
        <f>AND(AB138,L139&gt;0)</f>
        <v/>
      </c>
      <c r="AC139" s="21">
        <f>IF(PMI_Costs!$B$8=0,0,ROUND(PMI_Costs!$B$8*(1+PMI_Costs!$B$9/100)^INT((A139-1)/12)/12,2))</f>
        <v/>
      </c>
      <c r="AD139" s="21">
        <f>IF(PMI_Costs!$B$10=0,0,ROUND(PMI_Costs!$B$10*(1+PMI_Costs!$B$11/100)^INT((A139-1)/12)/12,2))</f>
        <v/>
      </c>
      <c r="AE139" s="21">
        <f>IF(PMI_Costs!$B$12=0,0,ROUND(PMI_Costs!$B$12*(1+PMI_Costs!$B$13/100)^INT((A139-1)/12)/12,2))</f>
        <v/>
      </c>
      <c r="AF139" s="22">
        <f>IF(PMI_Costs!$B$5=0,0,AA139/PMI_Costs!$B$5)</f>
        <v/>
      </c>
      <c r="AG139" s="6">
        <f>AND(PMI_Costs!$B$4&gt;0,AF139&gt;PMI_Costs!$B$6/100)</f>
        <v/>
      </c>
      <c r="AH139" s="21">
        <f>IF(AG139,ROUND(Segments!$G$5*PMI_Costs!$B$4/100/12,2),0)</f>
        <v/>
      </c>
      <c r="AI139" s="6">
        <f>AND(NOT(AG139),AG138)</f>
        <v/>
      </c>
    </row>
    <row r="140">
      <c r="A140" s="18" t="n">
        <v>136</v>
      </c>
      <c r="B140" s="18">
        <f>SUMPRODUCT((Segments!$J$5:$J$12&lt;&gt;"")*(Segments!$J$5:$J$12&lt;=A140))</f>
        <v/>
      </c>
      <c r="C140" s="19">
        <f>INDEX(Segments!$B$5:$B$12,B140)</f>
        <v/>
      </c>
      <c r="D140" s="18">
        <f>INDEX(Segments!$J$5:$J$12,B140)</f>
        <v/>
      </c>
      <c r="E140" s="19">
        <f>DATE(YEAR(C140)+INT((MONTH(C140)-1+(A140-D140))/12),MOD(MONTH(C140)-1+(A140-D140),12)+1,1)+(DAY(C140)-1)</f>
        <v/>
      </c>
      <c r="F140" s="20">
        <f>INDEX(Segments!$C$5:$C$12,B140)/100/12</f>
        <v/>
      </c>
      <c r="G140" s="21">
        <f>INDEX(Segments!$L$5:$L$12,B140)</f>
        <v/>
      </c>
      <c r="H140" s="6">
        <f>INDEX(Segments!$I$5:$I$12,B140)="Y"</f>
        <v/>
      </c>
      <c r="I140" s="6">
        <f>INDEX(Segments!$F$5:$F$12,B140)=""</f>
        <v/>
      </c>
      <c r="J140" s="18">
        <f>INDEX(Segments!$K$5:$K$12,B140)</f>
        <v/>
      </c>
      <c r="K140" s="18">
        <f>IF(INDEX(Segments!$F$5:$F$12,B140)&lt;&gt;"",INDEX(Segments!$F$5:$F$12,B140),IF(INDEX(Segments!$E$5:$E$12,B140)&lt;&gt;"",INDEX(Segments!$E$5:$E$12,B140),""))</f>
        <v/>
      </c>
      <c r="L140" s="21">
        <f>AA139</f>
        <v/>
      </c>
      <c r="M140" s="21">
        <f>IFERROR(INDEX(Overrides!$C:$C,MATCH(A140,Overrides!$A:$A,0)),"")</f>
        <v/>
      </c>
      <c r="N140" s="21">
        <f>IFERROR(INDEX(Overrides!$E:$E,MATCH(A140,Overrides!$A:$A,0)),"")</f>
        <v/>
      </c>
      <c r="O140" s="21">
        <f>IFERROR(INDEX(Overrides!$D:$D,MATCH(A140,Overrides!$A:$A,0)),"")</f>
        <v/>
      </c>
      <c r="P140" s="21">
        <f>IFERROR(INDEX(Overrides!$B:$B,MATCH(A140,Overrides!$A:$A,0)),"")</f>
        <v/>
      </c>
      <c r="Q140" s="6">
        <f>IFERROR(INDEX(Overrides!$F:$F,MATCH(A140,Overrides!$A:$A,0)),"")</f>
        <v/>
      </c>
      <c r="R140" s="6">
        <f>ISNUMBER(MATCH(A140,Overrides!$A:$A,0))</f>
        <v/>
      </c>
      <c r="S140" s="6">
        <f>OR(ROUND(L140-ROUND(G140-T140,2),2)&lt;=0,AND(I140,K140&lt;&gt;"",(A140-D140+1)=K140))</f>
        <v/>
      </c>
      <c r="T140" s="21">
        <f>IF(M140&lt;&gt;"",M140,ROUND(L140*F140,2))</f>
        <v/>
      </c>
      <c r="U140" s="21">
        <f>IF(R140,IF(O140&lt;&gt;"",O140,IF(N140&lt;&gt;"",ROUND(L140-N140,2),ROUND((IF(P140&lt;&gt;"",P140,G140))-T140,2))),IF(H140,0,IF(S140,L140,ROUND(G140-T140,2))))</f>
        <v/>
      </c>
      <c r="V140" s="21">
        <f>IF(R140,IF(P140&lt;&gt;"",P140,ROUND(T140+U140,2)),IF(H140,T140,IF(S140,ROUND(T140+U140,2),G140)))</f>
        <v/>
      </c>
      <c r="W140" s="21">
        <f>IF(R140,IF(N140&lt;&gt;"",N140,ROUND(L140-U140,2)),IF(H140,L140,IF(S140,0,ROUND(L140-U140,2))))</f>
        <v/>
      </c>
      <c r="X140" s="21">
        <f>IFERROR(MIN(INDEX(LumpSums!$B:$B,MATCH(A140,LumpSums!$A:$A,0)),W140),0)</f>
        <v/>
      </c>
      <c r="Y140" s="21">
        <f>ROUND(U140+X140,2)</f>
        <v/>
      </c>
      <c r="Z140" s="21">
        <f>ROUND(V140+X140,2)</f>
        <v/>
      </c>
      <c r="AA140" s="21">
        <f>ROUND(W140-X140,2)</f>
        <v/>
      </c>
      <c r="AB140" s="6">
        <f>AND(AB139,L140&gt;0)</f>
        <v/>
      </c>
      <c r="AC140" s="21">
        <f>IF(PMI_Costs!$B$8=0,0,ROUND(PMI_Costs!$B$8*(1+PMI_Costs!$B$9/100)^INT((A140-1)/12)/12,2))</f>
        <v/>
      </c>
      <c r="AD140" s="21">
        <f>IF(PMI_Costs!$B$10=0,0,ROUND(PMI_Costs!$B$10*(1+PMI_Costs!$B$11/100)^INT((A140-1)/12)/12,2))</f>
        <v/>
      </c>
      <c r="AE140" s="21">
        <f>IF(PMI_Costs!$B$12=0,0,ROUND(PMI_Costs!$B$12*(1+PMI_Costs!$B$13/100)^INT((A140-1)/12)/12,2))</f>
        <v/>
      </c>
      <c r="AF140" s="22">
        <f>IF(PMI_Costs!$B$5=0,0,AA140/PMI_Costs!$B$5)</f>
        <v/>
      </c>
      <c r="AG140" s="6">
        <f>AND(PMI_Costs!$B$4&gt;0,AF140&gt;PMI_Costs!$B$6/100)</f>
        <v/>
      </c>
      <c r="AH140" s="21">
        <f>IF(AG140,ROUND(Segments!$G$5*PMI_Costs!$B$4/100/12,2),0)</f>
        <v/>
      </c>
      <c r="AI140" s="6">
        <f>AND(NOT(AG140),AG139)</f>
        <v/>
      </c>
    </row>
    <row r="141">
      <c r="A141" s="18" t="n">
        <v>137</v>
      </c>
      <c r="B141" s="18">
        <f>SUMPRODUCT((Segments!$J$5:$J$12&lt;&gt;"")*(Segments!$J$5:$J$12&lt;=A141))</f>
        <v/>
      </c>
      <c r="C141" s="19">
        <f>INDEX(Segments!$B$5:$B$12,B141)</f>
        <v/>
      </c>
      <c r="D141" s="18">
        <f>INDEX(Segments!$J$5:$J$12,B141)</f>
        <v/>
      </c>
      <c r="E141" s="19">
        <f>DATE(YEAR(C141)+INT((MONTH(C141)-1+(A141-D141))/12),MOD(MONTH(C141)-1+(A141-D141),12)+1,1)+(DAY(C141)-1)</f>
        <v/>
      </c>
      <c r="F141" s="20">
        <f>INDEX(Segments!$C$5:$C$12,B141)/100/12</f>
        <v/>
      </c>
      <c r="G141" s="21">
        <f>INDEX(Segments!$L$5:$L$12,B141)</f>
        <v/>
      </c>
      <c r="H141" s="6">
        <f>INDEX(Segments!$I$5:$I$12,B141)="Y"</f>
        <v/>
      </c>
      <c r="I141" s="6">
        <f>INDEX(Segments!$F$5:$F$12,B141)=""</f>
        <v/>
      </c>
      <c r="J141" s="18">
        <f>INDEX(Segments!$K$5:$K$12,B141)</f>
        <v/>
      </c>
      <c r="K141" s="18">
        <f>IF(INDEX(Segments!$F$5:$F$12,B141)&lt;&gt;"",INDEX(Segments!$F$5:$F$12,B141),IF(INDEX(Segments!$E$5:$E$12,B141)&lt;&gt;"",INDEX(Segments!$E$5:$E$12,B141),""))</f>
        <v/>
      </c>
      <c r="L141" s="21">
        <f>AA140</f>
        <v/>
      </c>
      <c r="M141" s="21">
        <f>IFERROR(INDEX(Overrides!$C:$C,MATCH(A141,Overrides!$A:$A,0)),"")</f>
        <v/>
      </c>
      <c r="N141" s="21">
        <f>IFERROR(INDEX(Overrides!$E:$E,MATCH(A141,Overrides!$A:$A,0)),"")</f>
        <v/>
      </c>
      <c r="O141" s="21">
        <f>IFERROR(INDEX(Overrides!$D:$D,MATCH(A141,Overrides!$A:$A,0)),"")</f>
        <v/>
      </c>
      <c r="P141" s="21">
        <f>IFERROR(INDEX(Overrides!$B:$B,MATCH(A141,Overrides!$A:$A,0)),"")</f>
        <v/>
      </c>
      <c r="Q141" s="6">
        <f>IFERROR(INDEX(Overrides!$F:$F,MATCH(A141,Overrides!$A:$A,0)),"")</f>
        <v/>
      </c>
      <c r="R141" s="6">
        <f>ISNUMBER(MATCH(A141,Overrides!$A:$A,0))</f>
        <v/>
      </c>
      <c r="S141" s="6">
        <f>OR(ROUND(L141-ROUND(G141-T141,2),2)&lt;=0,AND(I141,K141&lt;&gt;"",(A141-D141+1)=K141))</f>
        <v/>
      </c>
      <c r="T141" s="21">
        <f>IF(M141&lt;&gt;"",M141,ROUND(L141*F141,2))</f>
        <v/>
      </c>
      <c r="U141" s="21">
        <f>IF(R141,IF(O141&lt;&gt;"",O141,IF(N141&lt;&gt;"",ROUND(L141-N141,2),ROUND((IF(P141&lt;&gt;"",P141,G141))-T141,2))),IF(H141,0,IF(S141,L141,ROUND(G141-T141,2))))</f>
        <v/>
      </c>
      <c r="V141" s="21">
        <f>IF(R141,IF(P141&lt;&gt;"",P141,ROUND(T141+U141,2)),IF(H141,T141,IF(S141,ROUND(T141+U141,2),G141)))</f>
        <v/>
      </c>
      <c r="W141" s="21">
        <f>IF(R141,IF(N141&lt;&gt;"",N141,ROUND(L141-U141,2)),IF(H141,L141,IF(S141,0,ROUND(L141-U141,2))))</f>
        <v/>
      </c>
      <c r="X141" s="21">
        <f>IFERROR(MIN(INDEX(LumpSums!$B:$B,MATCH(A141,LumpSums!$A:$A,0)),W141),0)</f>
        <v/>
      </c>
      <c r="Y141" s="21">
        <f>ROUND(U141+X141,2)</f>
        <v/>
      </c>
      <c r="Z141" s="21">
        <f>ROUND(V141+X141,2)</f>
        <v/>
      </c>
      <c r="AA141" s="21">
        <f>ROUND(W141-X141,2)</f>
        <v/>
      </c>
      <c r="AB141" s="6">
        <f>AND(AB140,L141&gt;0)</f>
        <v/>
      </c>
      <c r="AC141" s="21">
        <f>IF(PMI_Costs!$B$8=0,0,ROUND(PMI_Costs!$B$8*(1+PMI_Costs!$B$9/100)^INT((A141-1)/12)/12,2))</f>
        <v/>
      </c>
      <c r="AD141" s="21">
        <f>IF(PMI_Costs!$B$10=0,0,ROUND(PMI_Costs!$B$10*(1+PMI_Costs!$B$11/100)^INT((A141-1)/12)/12,2))</f>
        <v/>
      </c>
      <c r="AE141" s="21">
        <f>IF(PMI_Costs!$B$12=0,0,ROUND(PMI_Costs!$B$12*(1+PMI_Costs!$B$13/100)^INT((A141-1)/12)/12,2))</f>
        <v/>
      </c>
      <c r="AF141" s="22">
        <f>IF(PMI_Costs!$B$5=0,0,AA141/PMI_Costs!$B$5)</f>
        <v/>
      </c>
      <c r="AG141" s="6">
        <f>AND(PMI_Costs!$B$4&gt;0,AF141&gt;PMI_Costs!$B$6/100)</f>
        <v/>
      </c>
      <c r="AH141" s="21">
        <f>IF(AG141,ROUND(Segments!$G$5*PMI_Costs!$B$4/100/12,2),0)</f>
        <v/>
      </c>
      <c r="AI141" s="6">
        <f>AND(NOT(AG141),AG140)</f>
        <v/>
      </c>
    </row>
    <row r="142">
      <c r="A142" s="18" t="n">
        <v>138</v>
      </c>
      <c r="B142" s="18">
        <f>SUMPRODUCT((Segments!$J$5:$J$12&lt;&gt;"")*(Segments!$J$5:$J$12&lt;=A142))</f>
        <v/>
      </c>
      <c r="C142" s="19">
        <f>INDEX(Segments!$B$5:$B$12,B142)</f>
        <v/>
      </c>
      <c r="D142" s="18">
        <f>INDEX(Segments!$J$5:$J$12,B142)</f>
        <v/>
      </c>
      <c r="E142" s="19">
        <f>DATE(YEAR(C142)+INT((MONTH(C142)-1+(A142-D142))/12),MOD(MONTH(C142)-1+(A142-D142),12)+1,1)+(DAY(C142)-1)</f>
        <v/>
      </c>
      <c r="F142" s="20">
        <f>INDEX(Segments!$C$5:$C$12,B142)/100/12</f>
        <v/>
      </c>
      <c r="G142" s="21">
        <f>INDEX(Segments!$L$5:$L$12,B142)</f>
        <v/>
      </c>
      <c r="H142" s="6">
        <f>INDEX(Segments!$I$5:$I$12,B142)="Y"</f>
        <v/>
      </c>
      <c r="I142" s="6">
        <f>INDEX(Segments!$F$5:$F$12,B142)=""</f>
        <v/>
      </c>
      <c r="J142" s="18">
        <f>INDEX(Segments!$K$5:$K$12,B142)</f>
        <v/>
      </c>
      <c r="K142" s="18">
        <f>IF(INDEX(Segments!$F$5:$F$12,B142)&lt;&gt;"",INDEX(Segments!$F$5:$F$12,B142),IF(INDEX(Segments!$E$5:$E$12,B142)&lt;&gt;"",INDEX(Segments!$E$5:$E$12,B142),""))</f>
        <v/>
      </c>
      <c r="L142" s="21">
        <f>AA141</f>
        <v/>
      </c>
      <c r="M142" s="21">
        <f>IFERROR(INDEX(Overrides!$C:$C,MATCH(A142,Overrides!$A:$A,0)),"")</f>
        <v/>
      </c>
      <c r="N142" s="21">
        <f>IFERROR(INDEX(Overrides!$E:$E,MATCH(A142,Overrides!$A:$A,0)),"")</f>
        <v/>
      </c>
      <c r="O142" s="21">
        <f>IFERROR(INDEX(Overrides!$D:$D,MATCH(A142,Overrides!$A:$A,0)),"")</f>
        <v/>
      </c>
      <c r="P142" s="21">
        <f>IFERROR(INDEX(Overrides!$B:$B,MATCH(A142,Overrides!$A:$A,0)),"")</f>
        <v/>
      </c>
      <c r="Q142" s="6">
        <f>IFERROR(INDEX(Overrides!$F:$F,MATCH(A142,Overrides!$A:$A,0)),"")</f>
        <v/>
      </c>
      <c r="R142" s="6">
        <f>ISNUMBER(MATCH(A142,Overrides!$A:$A,0))</f>
        <v/>
      </c>
      <c r="S142" s="6">
        <f>OR(ROUND(L142-ROUND(G142-T142,2),2)&lt;=0,AND(I142,K142&lt;&gt;"",(A142-D142+1)=K142))</f>
        <v/>
      </c>
      <c r="T142" s="21">
        <f>IF(M142&lt;&gt;"",M142,ROUND(L142*F142,2))</f>
        <v/>
      </c>
      <c r="U142" s="21">
        <f>IF(R142,IF(O142&lt;&gt;"",O142,IF(N142&lt;&gt;"",ROUND(L142-N142,2),ROUND((IF(P142&lt;&gt;"",P142,G142))-T142,2))),IF(H142,0,IF(S142,L142,ROUND(G142-T142,2))))</f>
        <v/>
      </c>
      <c r="V142" s="21">
        <f>IF(R142,IF(P142&lt;&gt;"",P142,ROUND(T142+U142,2)),IF(H142,T142,IF(S142,ROUND(T142+U142,2),G142)))</f>
        <v/>
      </c>
      <c r="W142" s="21">
        <f>IF(R142,IF(N142&lt;&gt;"",N142,ROUND(L142-U142,2)),IF(H142,L142,IF(S142,0,ROUND(L142-U142,2))))</f>
        <v/>
      </c>
      <c r="X142" s="21">
        <f>IFERROR(MIN(INDEX(LumpSums!$B:$B,MATCH(A142,LumpSums!$A:$A,0)),W142),0)</f>
        <v/>
      </c>
      <c r="Y142" s="21">
        <f>ROUND(U142+X142,2)</f>
        <v/>
      </c>
      <c r="Z142" s="21">
        <f>ROUND(V142+X142,2)</f>
        <v/>
      </c>
      <c r="AA142" s="21">
        <f>ROUND(W142-X142,2)</f>
        <v/>
      </c>
      <c r="AB142" s="6">
        <f>AND(AB141,L142&gt;0)</f>
        <v/>
      </c>
      <c r="AC142" s="21">
        <f>IF(PMI_Costs!$B$8=0,0,ROUND(PMI_Costs!$B$8*(1+PMI_Costs!$B$9/100)^INT((A142-1)/12)/12,2))</f>
        <v/>
      </c>
      <c r="AD142" s="21">
        <f>IF(PMI_Costs!$B$10=0,0,ROUND(PMI_Costs!$B$10*(1+PMI_Costs!$B$11/100)^INT((A142-1)/12)/12,2))</f>
        <v/>
      </c>
      <c r="AE142" s="21">
        <f>IF(PMI_Costs!$B$12=0,0,ROUND(PMI_Costs!$B$12*(1+PMI_Costs!$B$13/100)^INT((A142-1)/12)/12,2))</f>
        <v/>
      </c>
      <c r="AF142" s="22">
        <f>IF(PMI_Costs!$B$5=0,0,AA142/PMI_Costs!$B$5)</f>
        <v/>
      </c>
      <c r="AG142" s="6">
        <f>AND(PMI_Costs!$B$4&gt;0,AF142&gt;PMI_Costs!$B$6/100)</f>
        <v/>
      </c>
      <c r="AH142" s="21">
        <f>IF(AG142,ROUND(Segments!$G$5*PMI_Costs!$B$4/100/12,2),0)</f>
        <v/>
      </c>
      <c r="AI142" s="6">
        <f>AND(NOT(AG142),AG141)</f>
        <v/>
      </c>
    </row>
    <row r="143">
      <c r="A143" s="18" t="n">
        <v>139</v>
      </c>
      <c r="B143" s="18">
        <f>SUMPRODUCT((Segments!$J$5:$J$12&lt;&gt;"")*(Segments!$J$5:$J$12&lt;=A143))</f>
        <v/>
      </c>
      <c r="C143" s="19">
        <f>INDEX(Segments!$B$5:$B$12,B143)</f>
        <v/>
      </c>
      <c r="D143" s="18">
        <f>INDEX(Segments!$J$5:$J$12,B143)</f>
        <v/>
      </c>
      <c r="E143" s="19">
        <f>DATE(YEAR(C143)+INT((MONTH(C143)-1+(A143-D143))/12),MOD(MONTH(C143)-1+(A143-D143),12)+1,1)+(DAY(C143)-1)</f>
        <v/>
      </c>
      <c r="F143" s="20">
        <f>INDEX(Segments!$C$5:$C$12,B143)/100/12</f>
        <v/>
      </c>
      <c r="G143" s="21">
        <f>INDEX(Segments!$L$5:$L$12,B143)</f>
        <v/>
      </c>
      <c r="H143" s="6">
        <f>INDEX(Segments!$I$5:$I$12,B143)="Y"</f>
        <v/>
      </c>
      <c r="I143" s="6">
        <f>INDEX(Segments!$F$5:$F$12,B143)=""</f>
        <v/>
      </c>
      <c r="J143" s="18">
        <f>INDEX(Segments!$K$5:$K$12,B143)</f>
        <v/>
      </c>
      <c r="K143" s="18">
        <f>IF(INDEX(Segments!$F$5:$F$12,B143)&lt;&gt;"",INDEX(Segments!$F$5:$F$12,B143),IF(INDEX(Segments!$E$5:$E$12,B143)&lt;&gt;"",INDEX(Segments!$E$5:$E$12,B143),""))</f>
        <v/>
      </c>
      <c r="L143" s="21">
        <f>AA142</f>
        <v/>
      </c>
      <c r="M143" s="21">
        <f>IFERROR(INDEX(Overrides!$C:$C,MATCH(A143,Overrides!$A:$A,0)),"")</f>
        <v/>
      </c>
      <c r="N143" s="21">
        <f>IFERROR(INDEX(Overrides!$E:$E,MATCH(A143,Overrides!$A:$A,0)),"")</f>
        <v/>
      </c>
      <c r="O143" s="21">
        <f>IFERROR(INDEX(Overrides!$D:$D,MATCH(A143,Overrides!$A:$A,0)),"")</f>
        <v/>
      </c>
      <c r="P143" s="21">
        <f>IFERROR(INDEX(Overrides!$B:$B,MATCH(A143,Overrides!$A:$A,0)),"")</f>
        <v/>
      </c>
      <c r="Q143" s="6">
        <f>IFERROR(INDEX(Overrides!$F:$F,MATCH(A143,Overrides!$A:$A,0)),"")</f>
        <v/>
      </c>
      <c r="R143" s="6">
        <f>ISNUMBER(MATCH(A143,Overrides!$A:$A,0))</f>
        <v/>
      </c>
      <c r="S143" s="6">
        <f>OR(ROUND(L143-ROUND(G143-T143,2),2)&lt;=0,AND(I143,K143&lt;&gt;"",(A143-D143+1)=K143))</f>
        <v/>
      </c>
      <c r="T143" s="21">
        <f>IF(M143&lt;&gt;"",M143,ROUND(L143*F143,2))</f>
        <v/>
      </c>
      <c r="U143" s="21">
        <f>IF(R143,IF(O143&lt;&gt;"",O143,IF(N143&lt;&gt;"",ROUND(L143-N143,2),ROUND((IF(P143&lt;&gt;"",P143,G143))-T143,2))),IF(H143,0,IF(S143,L143,ROUND(G143-T143,2))))</f>
        <v/>
      </c>
      <c r="V143" s="21">
        <f>IF(R143,IF(P143&lt;&gt;"",P143,ROUND(T143+U143,2)),IF(H143,T143,IF(S143,ROUND(T143+U143,2),G143)))</f>
        <v/>
      </c>
      <c r="W143" s="21">
        <f>IF(R143,IF(N143&lt;&gt;"",N143,ROUND(L143-U143,2)),IF(H143,L143,IF(S143,0,ROUND(L143-U143,2))))</f>
        <v/>
      </c>
      <c r="X143" s="21">
        <f>IFERROR(MIN(INDEX(LumpSums!$B:$B,MATCH(A143,LumpSums!$A:$A,0)),W143),0)</f>
        <v/>
      </c>
      <c r="Y143" s="21">
        <f>ROUND(U143+X143,2)</f>
        <v/>
      </c>
      <c r="Z143" s="21">
        <f>ROUND(V143+X143,2)</f>
        <v/>
      </c>
      <c r="AA143" s="21">
        <f>ROUND(W143-X143,2)</f>
        <v/>
      </c>
      <c r="AB143" s="6">
        <f>AND(AB142,L143&gt;0)</f>
        <v/>
      </c>
      <c r="AC143" s="21">
        <f>IF(PMI_Costs!$B$8=0,0,ROUND(PMI_Costs!$B$8*(1+PMI_Costs!$B$9/100)^INT((A143-1)/12)/12,2))</f>
        <v/>
      </c>
      <c r="AD143" s="21">
        <f>IF(PMI_Costs!$B$10=0,0,ROUND(PMI_Costs!$B$10*(1+PMI_Costs!$B$11/100)^INT((A143-1)/12)/12,2))</f>
        <v/>
      </c>
      <c r="AE143" s="21">
        <f>IF(PMI_Costs!$B$12=0,0,ROUND(PMI_Costs!$B$12*(1+PMI_Costs!$B$13/100)^INT((A143-1)/12)/12,2))</f>
        <v/>
      </c>
      <c r="AF143" s="22">
        <f>IF(PMI_Costs!$B$5=0,0,AA143/PMI_Costs!$B$5)</f>
        <v/>
      </c>
      <c r="AG143" s="6">
        <f>AND(PMI_Costs!$B$4&gt;0,AF143&gt;PMI_Costs!$B$6/100)</f>
        <v/>
      </c>
      <c r="AH143" s="21">
        <f>IF(AG143,ROUND(Segments!$G$5*PMI_Costs!$B$4/100/12,2),0)</f>
        <v/>
      </c>
      <c r="AI143" s="6">
        <f>AND(NOT(AG143),AG142)</f>
        <v/>
      </c>
    </row>
    <row r="144">
      <c r="A144" s="18" t="n">
        <v>140</v>
      </c>
      <c r="B144" s="18">
        <f>SUMPRODUCT((Segments!$J$5:$J$12&lt;&gt;"")*(Segments!$J$5:$J$12&lt;=A144))</f>
        <v/>
      </c>
      <c r="C144" s="19">
        <f>INDEX(Segments!$B$5:$B$12,B144)</f>
        <v/>
      </c>
      <c r="D144" s="18">
        <f>INDEX(Segments!$J$5:$J$12,B144)</f>
        <v/>
      </c>
      <c r="E144" s="19">
        <f>DATE(YEAR(C144)+INT((MONTH(C144)-1+(A144-D144))/12),MOD(MONTH(C144)-1+(A144-D144),12)+1,1)+(DAY(C144)-1)</f>
        <v/>
      </c>
      <c r="F144" s="20">
        <f>INDEX(Segments!$C$5:$C$12,B144)/100/12</f>
        <v/>
      </c>
      <c r="G144" s="21">
        <f>INDEX(Segments!$L$5:$L$12,B144)</f>
        <v/>
      </c>
      <c r="H144" s="6">
        <f>INDEX(Segments!$I$5:$I$12,B144)="Y"</f>
        <v/>
      </c>
      <c r="I144" s="6">
        <f>INDEX(Segments!$F$5:$F$12,B144)=""</f>
        <v/>
      </c>
      <c r="J144" s="18">
        <f>INDEX(Segments!$K$5:$K$12,B144)</f>
        <v/>
      </c>
      <c r="K144" s="18">
        <f>IF(INDEX(Segments!$F$5:$F$12,B144)&lt;&gt;"",INDEX(Segments!$F$5:$F$12,B144),IF(INDEX(Segments!$E$5:$E$12,B144)&lt;&gt;"",INDEX(Segments!$E$5:$E$12,B144),""))</f>
        <v/>
      </c>
      <c r="L144" s="21">
        <f>AA143</f>
        <v/>
      </c>
      <c r="M144" s="21">
        <f>IFERROR(INDEX(Overrides!$C:$C,MATCH(A144,Overrides!$A:$A,0)),"")</f>
        <v/>
      </c>
      <c r="N144" s="21">
        <f>IFERROR(INDEX(Overrides!$E:$E,MATCH(A144,Overrides!$A:$A,0)),"")</f>
        <v/>
      </c>
      <c r="O144" s="21">
        <f>IFERROR(INDEX(Overrides!$D:$D,MATCH(A144,Overrides!$A:$A,0)),"")</f>
        <v/>
      </c>
      <c r="P144" s="21">
        <f>IFERROR(INDEX(Overrides!$B:$B,MATCH(A144,Overrides!$A:$A,0)),"")</f>
        <v/>
      </c>
      <c r="Q144" s="6">
        <f>IFERROR(INDEX(Overrides!$F:$F,MATCH(A144,Overrides!$A:$A,0)),"")</f>
        <v/>
      </c>
      <c r="R144" s="6">
        <f>ISNUMBER(MATCH(A144,Overrides!$A:$A,0))</f>
        <v/>
      </c>
      <c r="S144" s="6">
        <f>OR(ROUND(L144-ROUND(G144-T144,2),2)&lt;=0,AND(I144,K144&lt;&gt;"",(A144-D144+1)=K144))</f>
        <v/>
      </c>
      <c r="T144" s="21">
        <f>IF(M144&lt;&gt;"",M144,ROUND(L144*F144,2))</f>
        <v/>
      </c>
      <c r="U144" s="21">
        <f>IF(R144,IF(O144&lt;&gt;"",O144,IF(N144&lt;&gt;"",ROUND(L144-N144,2),ROUND((IF(P144&lt;&gt;"",P144,G144))-T144,2))),IF(H144,0,IF(S144,L144,ROUND(G144-T144,2))))</f>
        <v/>
      </c>
      <c r="V144" s="21">
        <f>IF(R144,IF(P144&lt;&gt;"",P144,ROUND(T144+U144,2)),IF(H144,T144,IF(S144,ROUND(T144+U144,2),G144)))</f>
        <v/>
      </c>
      <c r="W144" s="21">
        <f>IF(R144,IF(N144&lt;&gt;"",N144,ROUND(L144-U144,2)),IF(H144,L144,IF(S144,0,ROUND(L144-U144,2))))</f>
        <v/>
      </c>
      <c r="X144" s="21">
        <f>IFERROR(MIN(INDEX(LumpSums!$B:$B,MATCH(A144,LumpSums!$A:$A,0)),W144),0)</f>
        <v/>
      </c>
      <c r="Y144" s="21">
        <f>ROUND(U144+X144,2)</f>
        <v/>
      </c>
      <c r="Z144" s="21">
        <f>ROUND(V144+X144,2)</f>
        <v/>
      </c>
      <c r="AA144" s="21">
        <f>ROUND(W144-X144,2)</f>
        <v/>
      </c>
      <c r="AB144" s="6">
        <f>AND(AB143,L144&gt;0)</f>
        <v/>
      </c>
      <c r="AC144" s="21">
        <f>IF(PMI_Costs!$B$8=0,0,ROUND(PMI_Costs!$B$8*(1+PMI_Costs!$B$9/100)^INT((A144-1)/12)/12,2))</f>
        <v/>
      </c>
      <c r="AD144" s="21">
        <f>IF(PMI_Costs!$B$10=0,0,ROUND(PMI_Costs!$B$10*(1+PMI_Costs!$B$11/100)^INT((A144-1)/12)/12,2))</f>
        <v/>
      </c>
      <c r="AE144" s="21">
        <f>IF(PMI_Costs!$B$12=0,0,ROUND(PMI_Costs!$B$12*(1+PMI_Costs!$B$13/100)^INT((A144-1)/12)/12,2))</f>
        <v/>
      </c>
      <c r="AF144" s="22">
        <f>IF(PMI_Costs!$B$5=0,0,AA144/PMI_Costs!$B$5)</f>
        <v/>
      </c>
      <c r="AG144" s="6">
        <f>AND(PMI_Costs!$B$4&gt;0,AF144&gt;PMI_Costs!$B$6/100)</f>
        <v/>
      </c>
      <c r="AH144" s="21">
        <f>IF(AG144,ROUND(Segments!$G$5*PMI_Costs!$B$4/100/12,2),0)</f>
        <v/>
      </c>
      <c r="AI144" s="6">
        <f>AND(NOT(AG144),AG143)</f>
        <v/>
      </c>
    </row>
    <row r="145">
      <c r="A145" s="18" t="n">
        <v>141</v>
      </c>
      <c r="B145" s="18">
        <f>SUMPRODUCT((Segments!$J$5:$J$12&lt;&gt;"")*(Segments!$J$5:$J$12&lt;=A145))</f>
        <v/>
      </c>
      <c r="C145" s="19">
        <f>INDEX(Segments!$B$5:$B$12,B145)</f>
        <v/>
      </c>
      <c r="D145" s="18">
        <f>INDEX(Segments!$J$5:$J$12,B145)</f>
        <v/>
      </c>
      <c r="E145" s="19">
        <f>DATE(YEAR(C145)+INT((MONTH(C145)-1+(A145-D145))/12),MOD(MONTH(C145)-1+(A145-D145),12)+1,1)+(DAY(C145)-1)</f>
        <v/>
      </c>
      <c r="F145" s="20">
        <f>INDEX(Segments!$C$5:$C$12,B145)/100/12</f>
        <v/>
      </c>
      <c r="G145" s="21">
        <f>INDEX(Segments!$L$5:$L$12,B145)</f>
        <v/>
      </c>
      <c r="H145" s="6">
        <f>INDEX(Segments!$I$5:$I$12,B145)="Y"</f>
        <v/>
      </c>
      <c r="I145" s="6">
        <f>INDEX(Segments!$F$5:$F$12,B145)=""</f>
        <v/>
      </c>
      <c r="J145" s="18">
        <f>INDEX(Segments!$K$5:$K$12,B145)</f>
        <v/>
      </c>
      <c r="K145" s="18">
        <f>IF(INDEX(Segments!$F$5:$F$12,B145)&lt;&gt;"",INDEX(Segments!$F$5:$F$12,B145),IF(INDEX(Segments!$E$5:$E$12,B145)&lt;&gt;"",INDEX(Segments!$E$5:$E$12,B145),""))</f>
        <v/>
      </c>
      <c r="L145" s="21">
        <f>AA144</f>
        <v/>
      </c>
      <c r="M145" s="21">
        <f>IFERROR(INDEX(Overrides!$C:$C,MATCH(A145,Overrides!$A:$A,0)),"")</f>
        <v/>
      </c>
      <c r="N145" s="21">
        <f>IFERROR(INDEX(Overrides!$E:$E,MATCH(A145,Overrides!$A:$A,0)),"")</f>
        <v/>
      </c>
      <c r="O145" s="21">
        <f>IFERROR(INDEX(Overrides!$D:$D,MATCH(A145,Overrides!$A:$A,0)),"")</f>
        <v/>
      </c>
      <c r="P145" s="21">
        <f>IFERROR(INDEX(Overrides!$B:$B,MATCH(A145,Overrides!$A:$A,0)),"")</f>
        <v/>
      </c>
      <c r="Q145" s="6">
        <f>IFERROR(INDEX(Overrides!$F:$F,MATCH(A145,Overrides!$A:$A,0)),"")</f>
        <v/>
      </c>
      <c r="R145" s="6">
        <f>ISNUMBER(MATCH(A145,Overrides!$A:$A,0))</f>
        <v/>
      </c>
      <c r="S145" s="6">
        <f>OR(ROUND(L145-ROUND(G145-T145,2),2)&lt;=0,AND(I145,K145&lt;&gt;"",(A145-D145+1)=K145))</f>
        <v/>
      </c>
      <c r="T145" s="21">
        <f>IF(M145&lt;&gt;"",M145,ROUND(L145*F145,2))</f>
        <v/>
      </c>
      <c r="U145" s="21">
        <f>IF(R145,IF(O145&lt;&gt;"",O145,IF(N145&lt;&gt;"",ROUND(L145-N145,2),ROUND((IF(P145&lt;&gt;"",P145,G145))-T145,2))),IF(H145,0,IF(S145,L145,ROUND(G145-T145,2))))</f>
        <v/>
      </c>
      <c r="V145" s="21">
        <f>IF(R145,IF(P145&lt;&gt;"",P145,ROUND(T145+U145,2)),IF(H145,T145,IF(S145,ROUND(T145+U145,2),G145)))</f>
        <v/>
      </c>
      <c r="W145" s="21">
        <f>IF(R145,IF(N145&lt;&gt;"",N145,ROUND(L145-U145,2)),IF(H145,L145,IF(S145,0,ROUND(L145-U145,2))))</f>
        <v/>
      </c>
      <c r="X145" s="21">
        <f>IFERROR(MIN(INDEX(LumpSums!$B:$B,MATCH(A145,LumpSums!$A:$A,0)),W145),0)</f>
        <v/>
      </c>
      <c r="Y145" s="21">
        <f>ROUND(U145+X145,2)</f>
        <v/>
      </c>
      <c r="Z145" s="21">
        <f>ROUND(V145+X145,2)</f>
        <v/>
      </c>
      <c r="AA145" s="21">
        <f>ROUND(W145-X145,2)</f>
        <v/>
      </c>
      <c r="AB145" s="6">
        <f>AND(AB144,L145&gt;0)</f>
        <v/>
      </c>
      <c r="AC145" s="21">
        <f>IF(PMI_Costs!$B$8=0,0,ROUND(PMI_Costs!$B$8*(1+PMI_Costs!$B$9/100)^INT((A145-1)/12)/12,2))</f>
        <v/>
      </c>
      <c r="AD145" s="21">
        <f>IF(PMI_Costs!$B$10=0,0,ROUND(PMI_Costs!$B$10*(1+PMI_Costs!$B$11/100)^INT((A145-1)/12)/12,2))</f>
        <v/>
      </c>
      <c r="AE145" s="21">
        <f>IF(PMI_Costs!$B$12=0,0,ROUND(PMI_Costs!$B$12*(1+PMI_Costs!$B$13/100)^INT((A145-1)/12)/12,2))</f>
        <v/>
      </c>
      <c r="AF145" s="22">
        <f>IF(PMI_Costs!$B$5=0,0,AA145/PMI_Costs!$B$5)</f>
        <v/>
      </c>
      <c r="AG145" s="6">
        <f>AND(PMI_Costs!$B$4&gt;0,AF145&gt;PMI_Costs!$B$6/100)</f>
        <v/>
      </c>
      <c r="AH145" s="21">
        <f>IF(AG145,ROUND(Segments!$G$5*PMI_Costs!$B$4/100/12,2),0)</f>
        <v/>
      </c>
      <c r="AI145" s="6">
        <f>AND(NOT(AG145),AG144)</f>
        <v/>
      </c>
    </row>
    <row r="146">
      <c r="A146" s="18" t="n">
        <v>142</v>
      </c>
      <c r="B146" s="18">
        <f>SUMPRODUCT((Segments!$J$5:$J$12&lt;&gt;"")*(Segments!$J$5:$J$12&lt;=A146))</f>
        <v/>
      </c>
      <c r="C146" s="19">
        <f>INDEX(Segments!$B$5:$B$12,B146)</f>
        <v/>
      </c>
      <c r="D146" s="18">
        <f>INDEX(Segments!$J$5:$J$12,B146)</f>
        <v/>
      </c>
      <c r="E146" s="19">
        <f>DATE(YEAR(C146)+INT((MONTH(C146)-1+(A146-D146))/12),MOD(MONTH(C146)-1+(A146-D146),12)+1,1)+(DAY(C146)-1)</f>
        <v/>
      </c>
      <c r="F146" s="20">
        <f>INDEX(Segments!$C$5:$C$12,B146)/100/12</f>
        <v/>
      </c>
      <c r="G146" s="21">
        <f>INDEX(Segments!$L$5:$L$12,B146)</f>
        <v/>
      </c>
      <c r="H146" s="6">
        <f>INDEX(Segments!$I$5:$I$12,B146)="Y"</f>
        <v/>
      </c>
      <c r="I146" s="6">
        <f>INDEX(Segments!$F$5:$F$12,B146)=""</f>
        <v/>
      </c>
      <c r="J146" s="18">
        <f>INDEX(Segments!$K$5:$K$12,B146)</f>
        <v/>
      </c>
      <c r="K146" s="18">
        <f>IF(INDEX(Segments!$F$5:$F$12,B146)&lt;&gt;"",INDEX(Segments!$F$5:$F$12,B146),IF(INDEX(Segments!$E$5:$E$12,B146)&lt;&gt;"",INDEX(Segments!$E$5:$E$12,B146),""))</f>
        <v/>
      </c>
      <c r="L146" s="21">
        <f>AA145</f>
        <v/>
      </c>
      <c r="M146" s="21">
        <f>IFERROR(INDEX(Overrides!$C:$C,MATCH(A146,Overrides!$A:$A,0)),"")</f>
        <v/>
      </c>
      <c r="N146" s="21">
        <f>IFERROR(INDEX(Overrides!$E:$E,MATCH(A146,Overrides!$A:$A,0)),"")</f>
        <v/>
      </c>
      <c r="O146" s="21">
        <f>IFERROR(INDEX(Overrides!$D:$D,MATCH(A146,Overrides!$A:$A,0)),"")</f>
        <v/>
      </c>
      <c r="P146" s="21">
        <f>IFERROR(INDEX(Overrides!$B:$B,MATCH(A146,Overrides!$A:$A,0)),"")</f>
        <v/>
      </c>
      <c r="Q146" s="6">
        <f>IFERROR(INDEX(Overrides!$F:$F,MATCH(A146,Overrides!$A:$A,0)),"")</f>
        <v/>
      </c>
      <c r="R146" s="6">
        <f>ISNUMBER(MATCH(A146,Overrides!$A:$A,0))</f>
        <v/>
      </c>
      <c r="S146" s="6">
        <f>OR(ROUND(L146-ROUND(G146-T146,2),2)&lt;=0,AND(I146,K146&lt;&gt;"",(A146-D146+1)=K146))</f>
        <v/>
      </c>
      <c r="T146" s="21">
        <f>IF(M146&lt;&gt;"",M146,ROUND(L146*F146,2))</f>
        <v/>
      </c>
      <c r="U146" s="21">
        <f>IF(R146,IF(O146&lt;&gt;"",O146,IF(N146&lt;&gt;"",ROUND(L146-N146,2),ROUND((IF(P146&lt;&gt;"",P146,G146))-T146,2))),IF(H146,0,IF(S146,L146,ROUND(G146-T146,2))))</f>
        <v/>
      </c>
      <c r="V146" s="21">
        <f>IF(R146,IF(P146&lt;&gt;"",P146,ROUND(T146+U146,2)),IF(H146,T146,IF(S146,ROUND(T146+U146,2),G146)))</f>
        <v/>
      </c>
      <c r="W146" s="21">
        <f>IF(R146,IF(N146&lt;&gt;"",N146,ROUND(L146-U146,2)),IF(H146,L146,IF(S146,0,ROUND(L146-U146,2))))</f>
        <v/>
      </c>
      <c r="X146" s="21">
        <f>IFERROR(MIN(INDEX(LumpSums!$B:$B,MATCH(A146,LumpSums!$A:$A,0)),W146),0)</f>
        <v/>
      </c>
      <c r="Y146" s="21">
        <f>ROUND(U146+X146,2)</f>
        <v/>
      </c>
      <c r="Z146" s="21">
        <f>ROUND(V146+X146,2)</f>
        <v/>
      </c>
      <c r="AA146" s="21">
        <f>ROUND(W146-X146,2)</f>
        <v/>
      </c>
      <c r="AB146" s="6">
        <f>AND(AB145,L146&gt;0)</f>
        <v/>
      </c>
      <c r="AC146" s="21">
        <f>IF(PMI_Costs!$B$8=0,0,ROUND(PMI_Costs!$B$8*(1+PMI_Costs!$B$9/100)^INT((A146-1)/12)/12,2))</f>
        <v/>
      </c>
      <c r="AD146" s="21">
        <f>IF(PMI_Costs!$B$10=0,0,ROUND(PMI_Costs!$B$10*(1+PMI_Costs!$B$11/100)^INT((A146-1)/12)/12,2))</f>
        <v/>
      </c>
      <c r="AE146" s="21">
        <f>IF(PMI_Costs!$B$12=0,0,ROUND(PMI_Costs!$B$12*(1+PMI_Costs!$B$13/100)^INT((A146-1)/12)/12,2))</f>
        <v/>
      </c>
      <c r="AF146" s="22">
        <f>IF(PMI_Costs!$B$5=0,0,AA146/PMI_Costs!$B$5)</f>
        <v/>
      </c>
      <c r="AG146" s="6">
        <f>AND(PMI_Costs!$B$4&gt;0,AF146&gt;PMI_Costs!$B$6/100)</f>
        <v/>
      </c>
      <c r="AH146" s="21">
        <f>IF(AG146,ROUND(Segments!$G$5*PMI_Costs!$B$4/100/12,2),0)</f>
        <v/>
      </c>
      <c r="AI146" s="6">
        <f>AND(NOT(AG146),AG145)</f>
        <v/>
      </c>
    </row>
    <row r="147">
      <c r="A147" s="18" t="n">
        <v>143</v>
      </c>
      <c r="B147" s="18">
        <f>SUMPRODUCT((Segments!$J$5:$J$12&lt;&gt;"")*(Segments!$J$5:$J$12&lt;=A147))</f>
        <v/>
      </c>
      <c r="C147" s="19">
        <f>INDEX(Segments!$B$5:$B$12,B147)</f>
        <v/>
      </c>
      <c r="D147" s="18">
        <f>INDEX(Segments!$J$5:$J$12,B147)</f>
        <v/>
      </c>
      <c r="E147" s="19">
        <f>DATE(YEAR(C147)+INT((MONTH(C147)-1+(A147-D147))/12),MOD(MONTH(C147)-1+(A147-D147),12)+1,1)+(DAY(C147)-1)</f>
        <v/>
      </c>
      <c r="F147" s="20">
        <f>INDEX(Segments!$C$5:$C$12,B147)/100/12</f>
        <v/>
      </c>
      <c r="G147" s="21">
        <f>INDEX(Segments!$L$5:$L$12,B147)</f>
        <v/>
      </c>
      <c r="H147" s="6">
        <f>INDEX(Segments!$I$5:$I$12,B147)="Y"</f>
        <v/>
      </c>
      <c r="I147" s="6">
        <f>INDEX(Segments!$F$5:$F$12,B147)=""</f>
        <v/>
      </c>
      <c r="J147" s="18">
        <f>INDEX(Segments!$K$5:$K$12,B147)</f>
        <v/>
      </c>
      <c r="K147" s="18">
        <f>IF(INDEX(Segments!$F$5:$F$12,B147)&lt;&gt;"",INDEX(Segments!$F$5:$F$12,B147),IF(INDEX(Segments!$E$5:$E$12,B147)&lt;&gt;"",INDEX(Segments!$E$5:$E$12,B147),""))</f>
        <v/>
      </c>
      <c r="L147" s="21">
        <f>AA146</f>
        <v/>
      </c>
      <c r="M147" s="21">
        <f>IFERROR(INDEX(Overrides!$C:$C,MATCH(A147,Overrides!$A:$A,0)),"")</f>
        <v/>
      </c>
      <c r="N147" s="21">
        <f>IFERROR(INDEX(Overrides!$E:$E,MATCH(A147,Overrides!$A:$A,0)),"")</f>
        <v/>
      </c>
      <c r="O147" s="21">
        <f>IFERROR(INDEX(Overrides!$D:$D,MATCH(A147,Overrides!$A:$A,0)),"")</f>
        <v/>
      </c>
      <c r="P147" s="21">
        <f>IFERROR(INDEX(Overrides!$B:$B,MATCH(A147,Overrides!$A:$A,0)),"")</f>
        <v/>
      </c>
      <c r="Q147" s="6">
        <f>IFERROR(INDEX(Overrides!$F:$F,MATCH(A147,Overrides!$A:$A,0)),"")</f>
        <v/>
      </c>
      <c r="R147" s="6">
        <f>ISNUMBER(MATCH(A147,Overrides!$A:$A,0))</f>
        <v/>
      </c>
      <c r="S147" s="6">
        <f>OR(ROUND(L147-ROUND(G147-T147,2),2)&lt;=0,AND(I147,K147&lt;&gt;"",(A147-D147+1)=K147))</f>
        <v/>
      </c>
      <c r="T147" s="21">
        <f>IF(M147&lt;&gt;"",M147,ROUND(L147*F147,2))</f>
        <v/>
      </c>
      <c r="U147" s="21">
        <f>IF(R147,IF(O147&lt;&gt;"",O147,IF(N147&lt;&gt;"",ROUND(L147-N147,2),ROUND((IF(P147&lt;&gt;"",P147,G147))-T147,2))),IF(H147,0,IF(S147,L147,ROUND(G147-T147,2))))</f>
        <v/>
      </c>
      <c r="V147" s="21">
        <f>IF(R147,IF(P147&lt;&gt;"",P147,ROUND(T147+U147,2)),IF(H147,T147,IF(S147,ROUND(T147+U147,2),G147)))</f>
        <v/>
      </c>
      <c r="W147" s="21">
        <f>IF(R147,IF(N147&lt;&gt;"",N147,ROUND(L147-U147,2)),IF(H147,L147,IF(S147,0,ROUND(L147-U147,2))))</f>
        <v/>
      </c>
      <c r="X147" s="21">
        <f>IFERROR(MIN(INDEX(LumpSums!$B:$B,MATCH(A147,LumpSums!$A:$A,0)),W147),0)</f>
        <v/>
      </c>
      <c r="Y147" s="21">
        <f>ROUND(U147+X147,2)</f>
        <v/>
      </c>
      <c r="Z147" s="21">
        <f>ROUND(V147+X147,2)</f>
        <v/>
      </c>
      <c r="AA147" s="21">
        <f>ROUND(W147-X147,2)</f>
        <v/>
      </c>
      <c r="AB147" s="6">
        <f>AND(AB146,L147&gt;0)</f>
        <v/>
      </c>
      <c r="AC147" s="21">
        <f>IF(PMI_Costs!$B$8=0,0,ROUND(PMI_Costs!$B$8*(1+PMI_Costs!$B$9/100)^INT((A147-1)/12)/12,2))</f>
        <v/>
      </c>
      <c r="AD147" s="21">
        <f>IF(PMI_Costs!$B$10=0,0,ROUND(PMI_Costs!$B$10*(1+PMI_Costs!$B$11/100)^INT((A147-1)/12)/12,2))</f>
        <v/>
      </c>
      <c r="AE147" s="21">
        <f>IF(PMI_Costs!$B$12=0,0,ROUND(PMI_Costs!$B$12*(1+PMI_Costs!$B$13/100)^INT((A147-1)/12)/12,2))</f>
        <v/>
      </c>
      <c r="AF147" s="22">
        <f>IF(PMI_Costs!$B$5=0,0,AA147/PMI_Costs!$B$5)</f>
        <v/>
      </c>
      <c r="AG147" s="6">
        <f>AND(PMI_Costs!$B$4&gt;0,AF147&gt;PMI_Costs!$B$6/100)</f>
        <v/>
      </c>
      <c r="AH147" s="21">
        <f>IF(AG147,ROUND(Segments!$G$5*PMI_Costs!$B$4/100/12,2),0)</f>
        <v/>
      </c>
      <c r="AI147" s="6">
        <f>AND(NOT(AG147),AG146)</f>
        <v/>
      </c>
    </row>
    <row r="148">
      <c r="A148" s="18" t="n">
        <v>144</v>
      </c>
      <c r="B148" s="18">
        <f>SUMPRODUCT((Segments!$J$5:$J$12&lt;&gt;"")*(Segments!$J$5:$J$12&lt;=A148))</f>
        <v/>
      </c>
      <c r="C148" s="19">
        <f>INDEX(Segments!$B$5:$B$12,B148)</f>
        <v/>
      </c>
      <c r="D148" s="18">
        <f>INDEX(Segments!$J$5:$J$12,B148)</f>
        <v/>
      </c>
      <c r="E148" s="19">
        <f>DATE(YEAR(C148)+INT((MONTH(C148)-1+(A148-D148))/12),MOD(MONTH(C148)-1+(A148-D148),12)+1,1)+(DAY(C148)-1)</f>
        <v/>
      </c>
      <c r="F148" s="20">
        <f>INDEX(Segments!$C$5:$C$12,B148)/100/12</f>
        <v/>
      </c>
      <c r="G148" s="21">
        <f>INDEX(Segments!$L$5:$L$12,B148)</f>
        <v/>
      </c>
      <c r="H148" s="6">
        <f>INDEX(Segments!$I$5:$I$12,B148)="Y"</f>
        <v/>
      </c>
      <c r="I148" s="6">
        <f>INDEX(Segments!$F$5:$F$12,B148)=""</f>
        <v/>
      </c>
      <c r="J148" s="18">
        <f>INDEX(Segments!$K$5:$K$12,B148)</f>
        <v/>
      </c>
      <c r="K148" s="18">
        <f>IF(INDEX(Segments!$F$5:$F$12,B148)&lt;&gt;"",INDEX(Segments!$F$5:$F$12,B148),IF(INDEX(Segments!$E$5:$E$12,B148)&lt;&gt;"",INDEX(Segments!$E$5:$E$12,B148),""))</f>
        <v/>
      </c>
      <c r="L148" s="21">
        <f>AA147</f>
        <v/>
      </c>
      <c r="M148" s="21">
        <f>IFERROR(INDEX(Overrides!$C:$C,MATCH(A148,Overrides!$A:$A,0)),"")</f>
        <v/>
      </c>
      <c r="N148" s="21">
        <f>IFERROR(INDEX(Overrides!$E:$E,MATCH(A148,Overrides!$A:$A,0)),"")</f>
        <v/>
      </c>
      <c r="O148" s="21">
        <f>IFERROR(INDEX(Overrides!$D:$D,MATCH(A148,Overrides!$A:$A,0)),"")</f>
        <v/>
      </c>
      <c r="P148" s="21">
        <f>IFERROR(INDEX(Overrides!$B:$B,MATCH(A148,Overrides!$A:$A,0)),"")</f>
        <v/>
      </c>
      <c r="Q148" s="6">
        <f>IFERROR(INDEX(Overrides!$F:$F,MATCH(A148,Overrides!$A:$A,0)),"")</f>
        <v/>
      </c>
      <c r="R148" s="6">
        <f>ISNUMBER(MATCH(A148,Overrides!$A:$A,0))</f>
        <v/>
      </c>
      <c r="S148" s="6">
        <f>OR(ROUND(L148-ROUND(G148-T148,2),2)&lt;=0,AND(I148,K148&lt;&gt;"",(A148-D148+1)=K148))</f>
        <v/>
      </c>
      <c r="T148" s="21">
        <f>IF(M148&lt;&gt;"",M148,ROUND(L148*F148,2))</f>
        <v/>
      </c>
      <c r="U148" s="21">
        <f>IF(R148,IF(O148&lt;&gt;"",O148,IF(N148&lt;&gt;"",ROUND(L148-N148,2),ROUND((IF(P148&lt;&gt;"",P148,G148))-T148,2))),IF(H148,0,IF(S148,L148,ROUND(G148-T148,2))))</f>
        <v/>
      </c>
      <c r="V148" s="21">
        <f>IF(R148,IF(P148&lt;&gt;"",P148,ROUND(T148+U148,2)),IF(H148,T148,IF(S148,ROUND(T148+U148,2),G148)))</f>
        <v/>
      </c>
      <c r="W148" s="21">
        <f>IF(R148,IF(N148&lt;&gt;"",N148,ROUND(L148-U148,2)),IF(H148,L148,IF(S148,0,ROUND(L148-U148,2))))</f>
        <v/>
      </c>
      <c r="X148" s="21">
        <f>IFERROR(MIN(INDEX(LumpSums!$B:$B,MATCH(A148,LumpSums!$A:$A,0)),W148),0)</f>
        <v/>
      </c>
      <c r="Y148" s="21">
        <f>ROUND(U148+X148,2)</f>
        <v/>
      </c>
      <c r="Z148" s="21">
        <f>ROUND(V148+X148,2)</f>
        <v/>
      </c>
      <c r="AA148" s="21">
        <f>ROUND(W148-X148,2)</f>
        <v/>
      </c>
      <c r="AB148" s="6">
        <f>AND(AB147,L148&gt;0)</f>
        <v/>
      </c>
      <c r="AC148" s="21">
        <f>IF(PMI_Costs!$B$8=0,0,ROUND(PMI_Costs!$B$8*(1+PMI_Costs!$B$9/100)^INT((A148-1)/12)/12,2))</f>
        <v/>
      </c>
      <c r="AD148" s="21">
        <f>IF(PMI_Costs!$B$10=0,0,ROUND(PMI_Costs!$B$10*(1+PMI_Costs!$B$11/100)^INT((A148-1)/12)/12,2))</f>
        <v/>
      </c>
      <c r="AE148" s="21">
        <f>IF(PMI_Costs!$B$12=0,0,ROUND(PMI_Costs!$B$12*(1+PMI_Costs!$B$13/100)^INT((A148-1)/12)/12,2))</f>
        <v/>
      </c>
      <c r="AF148" s="22">
        <f>IF(PMI_Costs!$B$5=0,0,AA148/PMI_Costs!$B$5)</f>
        <v/>
      </c>
      <c r="AG148" s="6">
        <f>AND(PMI_Costs!$B$4&gt;0,AF148&gt;PMI_Costs!$B$6/100)</f>
        <v/>
      </c>
      <c r="AH148" s="21">
        <f>IF(AG148,ROUND(Segments!$G$5*PMI_Costs!$B$4/100/12,2),0)</f>
        <v/>
      </c>
      <c r="AI148" s="6">
        <f>AND(NOT(AG148),AG147)</f>
        <v/>
      </c>
    </row>
    <row r="149">
      <c r="A149" s="18" t="n">
        <v>145</v>
      </c>
      <c r="B149" s="18">
        <f>SUMPRODUCT((Segments!$J$5:$J$12&lt;&gt;"")*(Segments!$J$5:$J$12&lt;=A149))</f>
        <v/>
      </c>
      <c r="C149" s="19">
        <f>INDEX(Segments!$B$5:$B$12,B149)</f>
        <v/>
      </c>
      <c r="D149" s="18">
        <f>INDEX(Segments!$J$5:$J$12,B149)</f>
        <v/>
      </c>
      <c r="E149" s="19">
        <f>DATE(YEAR(C149)+INT((MONTH(C149)-1+(A149-D149))/12),MOD(MONTH(C149)-1+(A149-D149),12)+1,1)+(DAY(C149)-1)</f>
        <v/>
      </c>
      <c r="F149" s="20">
        <f>INDEX(Segments!$C$5:$C$12,B149)/100/12</f>
        <v/>
      </c>
      <c r="G149" s="21">
        <f>INDEX(Segments!$L$5:$L$12,B149)</f>
        <v/>
      </c>
      <c r="H149" s="6">
        <f>INDEX(Segments!$I$5:$I$12,B149)="Y"</f>
        <v/>
      </c>
      <c r="I149" s="6">
        <f>INDEX(Segments!$F$5:$F$12,B149)=""</f>
        <v/>
      </c>
      <c r="J149" s="18">
        <f>INDEX(Segments!$K$5:$K$12,B149)</f>
        <v/>
      </c>
      <c r="K149" s="18">
        <f>IF(INDEX(Segments!$F$5:$F$12,B149)&lt;&gt;"",INDEX(Segments!$F$5:$F$12,B149),IF(INDEX(Segments!$E$5:$E$12,B149)&lt;&gt;"",INDEX(Segments!$E$5:$E$12,B149),""))</f>
        <v/>
      </c>
      <c r="L149" s="21">
        <f>AA148</f>
        <v/>
      </c>
      <c r="M149" s="21">
        <f>IFERROR(INDEX(Overrides!$C:$C,MATCH(A149,Overrides!$A:$A,0)),"")</f>
        <v/>
      </c>
      <c r="N149" s="21">
        <f>IFERROR(INDEX(Overrides!$E:$E,MATCH(A149,Overrides!$A:$A,0)),"")</f>
        <v/>
      </c>
      <c r="O149" s="21">
        <f>IFERROR(INDEX(Overrides!$D:$D,MATCH(A149,Overrides!$A:$A,0)),"")</f>
        <v/>
      </c>
      <c r="P149" s="21">
        <f>IFERROR(INDEX(Overrides!$B:$B,MATCH(A149,Overrides!$A:$A,0)),"")</f>
        <v/>
      </c>
      <c r="Q149" s="6">
        <f>IFERROR(INDEX(Overrides!$F:$F,MATCH(A149,Overrides!$A:$A,0)),"")</f>
        <v/>
      </c>
      <c r="R149" s="6">
        <f>ISNUMBER(MATCH(A149,Overrides!$A:$A,0))</f>
        <v/>
      </c>
      <c r="S149" s="6">
        <f>OR(ROUND(L149-ROUND(G149-T149,2),2)&lt;=0,AND(I149,K149&lt;&gt;"",(A149-D149+1)=K149))</f>
        <v/>
      </c>
      <c r="T149" s="21">
        <f>IF(M149&lt;&gt;"",M149,ROUND(L149*F149,2))</f>
        <v/>
      </c>
      <c r="U149" s="21">
        <f>IF(R149,IF(O149&lt;&gt;"",O149,IF(N149&lt;&gt;"",ROUND(L149-N149,2),ROUND((IF(P149&lt;&gt;"",P149,G149))-T149,2))),IF(H149,0,IF(S149,L149,ROUND(G149-T149,2))))</f>
        <v/>
      </c>
      <c r="V149" s="21">
        <f>IF(R149,IF(P149&lt;&gt;"",P149,ROUND(T149+U149,2)),IF(H149,T149,IF(S149,ROUND(T149+U149,2),G149)))</f>
        <v/>
      </c>
      <c r="W149" s="21">
        <f>IF(R149,IF(N149&lt;&gt;"",N149,ROUND(L149-U149,2)),IF(H149,L149,IF(S149,0,ROUND(L149-U149,2))))</f>
        <v/>
      </c>
      <c r="X149" s="21">
        <f>IFERROR(MIN(INDEX(LumpSums!$B:$B,MATCH(A149,LumpSums!$A:$A,0)),W149),0)</f>
        <v/>
      </c>
      <c r="Y149" s="21">
        <f>ROUND(U149+X149,2)</f>
        <v/>
      </c>
      <c r="Z149" s="21">
        <f>ROUND(V149+X149,2)</f>
        <v/>
      </c>
      <c r="AA149" s="21">
        <f>ROUND(W149-X149,2)</f>
        <v/>
      </c>
      <c r="AB149" s="6">
        <f>AND(AB148,L149&gt;0)</f>
        <v/>
      </c>
      <c r="AC149" s="21">
        <f>IF(PMI_Costs!$B$8=0,0,ROUND(PMI_Costs!$B$8*(1+PMI_Costs!$B$9/100)^INT((A149-1)/12)/12,2))</f>
        <v/>
      </c>
      <c r="AD149" s="21">
        <f>IF(PMI_Costs!$B$10=0,0,ROUND(PMI_Costs!$B$10*(1+PMI_Costs!$B$11/100)^INT((A149-1)/12)/12,2))</f>
        <v/>
      </c>
      <c r="AE149" s="21">
        <f>IF(PMI_Costs!$B$12=0,0,ROUND(PMI_Costs!$B$12*(1+PMI_Costs!$B$13/100)^INT((A149-1)/12)/12,2))</f>
        <v/>
      </c>
      <c r="AF149" s="22">
        <f>IF(PMI_Costs!$B$5=0,0,AA149/PMI_Costs!$B$5)</f>
        <v/>
      </c>
      <c r="AG149" s="6">
        <f>AND(PMI_Costs!$B$4&gt;0,AF149&gt;PMI_Costs!$B$6/100)</f>
        <v/>
      </c>
      <c r="AH149" s="21">
        <f>IF(AG149,ROUND(Segments!$G$5*PMI_Costs!$B$4/100/12,2),0)</f>
        <v/>
      </c>
      <c r="AI149" s="6">
        <f>AND(NOT(AG149),AG148)</f>
        <v/>
      </c>
    </row>
    <row r="150">
      <c r="A150" s="18" t="n">
        <v>146</v>
      </c>
      <c r="B150" s="18">
        <f>SUMPRODUCT((Segments!$J$5:$J$12&lt;&gt;"")*(Segments!$J$5:$J$12&lt;=A150))</f>
        <v/>
      </c>
      <c r="C150" s="19">
        <f>INDEX(Segments!$B$5:$B$12,B150)</f>
        <v/>
      </c>
      <c r="D150" s="18">
        <f>INDEX(Segments!$J$5:$J$12,B150)</f>
        <v/>
      </c>
      <c r="E150" s="19">
        <f>DATE(YEAR(C150)+INT((MONTH(C150)-1+(A150-D150))/12),MOD(MONTH(C150)-1+(A150-D150),12)+1,1)+(DAY(C150)-1)</f>
        <v/>
      </c>
      <c r="F150" s="20">
        <f>INDEX(Segments!$C$5:$C$12,B150)/100/12</f>
        <v/>
      </c>
      <c r="G150" s="21">
        <f>INDEX(Segments!$L$5:$L$12,B150)</f>
        <v/>
      </c>
      <c r="H150" s="6">
        <f>INDEX(Segments!$I$5:$I$12,B150)="Y"</f>
        <v/>
      </c>
      <c r="I150" s="6">
        <f>INDEX(Segments!$F$5:$F$12,B150)=""</f>
        <v/>
      </c>
      <c r="J150" s="18">
        <f>INDEX(Segments!$K$5:$K$12,B150)</f>
        <v/>
      </c>
      <c r="K150" s="18">
        <f>IF(INDEX(Segments!$F$5:$F$12,B150)&lt;&gt;"",INDEX(Segments!$F$5:$F$12,B150),IF(INDEX(Segments!$E$5:$E$12,B150)&lt;&gt;"",INDEX(Segments!$E$5:$E$12,B150),""))</f>
        <v/>
      </c>
      <c r="L150" s="21">
        <f>AA149</f>
        <v/>
      </c>
      <c r="M150" s="21">
        <f>IFERROR(INDEX(Overrides!$C:$C,MATCH(A150,Overrides!$A:$A,0)),"")</f>
        <v/>
      </c>
      <c r="N150" s="21">
        <f>IFERROR(INDEX(Overrides!$E:$E,MATCH(A150,Overrides!$A:$A,0)),"")</f>
        <v/>
      </c>
      <c r="O150" s="21">
        <f>IFERROR(INDEX(Overrides!$D:$D,MATCH(A150,Overrides!$A:$A,0)),"")</f>
        <v/>
      </c>
      <c r="P150" s="21">
        <f>IFERROR(INDEX(Overrides!$B:$B,MATCH(A150,Overrides!$A:$A,0)),"")</f>
        <v/>
      </c>
      <c r="Q150" s="6">
        <f>IFERROR(INDEX(Overrides!$F:$F,MATCH(A150,Overrides!$A:$A,0)),"")</f>
        <v/>
      </c>
      <c r="R150" s="6">
        <f>ISNUMBER(MATCH(A150,Overrides!$A:$A,0))</f>
        <v/>
      </c>
      <c r="S150" s="6">
        <f>OR(ROUND(L150-ROUND(G150-T150,2),2)&lt;=0,AND(I150,K150&lt;&gt;"",(A150-D150+1)=K150))</f>
        <v/>
      </c>
      <c r="T150" s="21">
        <f>IF(M150&lt;&gt;"",M150,ROUND(L150*F150,2))</f>
        <v/>
      </c>
      <c r="U150" s="21">
        <f>IF(R150,IF(O150&lt;&gt;"",O150,IF(N150&lt;&gt;"",ROUND(L150-N150,2),ROUND((IF(P150&lt;&gt;"",P150,G150))-T150,2))),IF(H150,0,IF(S150,L150,ROUND(G150-T150,2))))</f>
        <v/>
      </c>
      <c r="V150" s="21">
        <f>IF(R150,IF(P150&lt;&gt;"",P150,ROUND(T150+U150,2)),IF(H150,T150,IF(S150,ROUND(T150+U150,2),G150)))</f>
        <v/>
      </c>
      <c r="W150" s="21">
        <f>IF(R150,IF(N150&lt;&gt;"",N150,ROUND(L150-U150,2)),IF(H150,L150,IF(S150,0,ROUND(L150-U150,2))))</f>
        <v/>
      </c>
      <c r="X150" s="21">
        <f>IFERROR(MIN(INDEX(LumpSums!$B:$B,MATCH(A150,LumpSums!$A:$A,0)),W150),0)</f>
        <v/>
      </c>
      <c r="Y150" s="21">
        <f>ROUND(U150+X150,2)</f>
        <v/>
      </c>
      <c r="Z150" s="21">
        <f>ROUND(V150+X150,2)</f>
        <v/>
      </c>
      <c r="AA150" s="21">
        <f>ROUND(W150-X150,2)</f>
        <v/>
      </c>
      <c r="AB150" s="6">
        <f>AND(AB149,L150&gt;0)</f>
        <v/>
      </c>
      <c r="AC150" s="21">
        <f>IF(PMI_Costs!$B$8=0,0,ROUND(PMI_Costs!$B$8*(1+PMI_Costs!$B$9/100)^INT((A150-1)/12)/12,2))</f>
        <v/>
      </c>
      <c r="AD150" s="21">
        <f>IF(PMI_Costs!$B$10=0,0,ROUND(PMI_Costs!$B$10*(1+PMI_Costs!$B$11/100)^INT((A150-1)/12)/12,2))</f>
        <v/>
      </c>
      <c r="AE150" s="21">
        <f>IF(PMI_Costs!$B$12=0,0,ROUND(PMI_Costs!$B$12*(1+PMI_Costs!$B$13/100)^INT((A150-1)/12)/12,2))</f>
        <v/>
      </c>
      <c r="AF150" s="22">
        <f>IF(PMI_Costs!$B$5=0,0,AA150/PMI_Costs!$B$5)</f>
        <v/>
      </c>
      <c r="AG150" s="6">
        <f>AND(PMI_Costs!$B$4&gt;0,AF150&gt;PMI_Costs!$B$6/100)</f>
        <v/>
      </c>
      <c r="AH150" s="21">
        <f>IF(AG150,ROUND(Segments!$G$5*PMI_Costs!$B$4/100/12,2),0)</f>
        <v/>
      </c>
      <c r="AI150" s="6">
        <f>AND(NOT(AG150),AG149)</f>
        <v/>
      </c>
    </row>
    <row r="151">
      <c r="A151" s="18" t="n">
        <v>147</v>
      </c>
      <c r="B151" s="18">
        <f>SUMPRODUCT((Segments!$J$5:$J$12&lt;&gt;"")*(Segments!$J$5:$J$12&lt;=A151))</f>
        <v/>
      </c>
      <c r="C151" s="19">
        <f>INDEX(Segments!$B$5:$B$12,B151)</f>
        <v/>
      </c>
      <c r="D151" s="18">
        <f>INDEX(Segments!$J$5:$J$12,B151)</f>
        <v/>
      </c>
      <c r="E151" s="19">
        <f>DATE(YEAR(C151)+INT((MONTH(C151)-1+(A151-D151))/12),MOD(MONTH(C151)-1+(A151-D151),12)+1,1)+(DAY(C151)-1)</f>
        <v/>
      </c>
      <c r="F151" s="20">
        <f>INDEX(Segments!$C$5:$C$12,B151)/100/12</f>
        <v/>
      </c>
      <c r="G151" s="21">
        <f>INDEX(Segments!$L$5:$L$12,B151)</f>
        <v/>
      </c>
      <c r="H151" s="6">
        <f>INDEX(Segments!$I$5:$I$12,B151)="Y"</f>
        <v/>
      </c>
      <c r="I151" s="6">
        <f>INDEX(Segments!$F$5:$F$12,B151)=""</f>
        <v/>
      </c>
      <c r="J151" s="18">
        <f>INDEX(Segments!$K$5:$K$12,B151)</f>
        <v/>
      </c>
      <c r="K151" s="18">
        <f>IF(INDEX(Segments!$F$5:$F$12,B151)&lt;&gt;"",INDEX(Segments!$F$5:$F$12,B151),IF(INDEX(Segments!$E$5:$E$12,B151)&lt;&gt;"",INDEX(Segments!$E$5:$E$12,B151),""))</f>
        <v/>
      </c>
      <c r="L151" s="21">
        <f>AA150</f>
        <v/>
      </c>
      <c r="M151" s="21">
        <f>IFERROR(INDEX(Overrides!$C:$C,MATCH(A151,Overrides!$A:$A,0)),"")</f>
        <v/>
      </c>
      <c r="N151" s="21">
        <f>IFERROR(INDEX(Overrides!$E:$E,MATCH(A151,Overrides!$A:$A,0)),"")</f>
        <v/>
      </c>
      <c r="O151" s="21">
        <f>IFERROR(INDEX(Overrides!$D:$D,MATCH(A151,Overrides!$A:$A,0)),"")</f>
        <v/>
      </c>
      <c r="P151" s="21">
        <f>IFERROR(INDEX(Overrides!$B:$B,MATCH(A151,Overrides!$A:$A,0)),"")</f>
        <v/>
      </c>
      <c r="Q151" s="6">
        <f>IFERROR(INDEX(Overrides!$F:$F,MATCH(A151,Overrides!$A:$A,0)),"")</f>
        <v/>
      </c>
      <c r="R151" s="6">
        <f>ISNUMBER(MATCH(A151,Overrides!$A:$A,0))</f>
        <v/>
      </c>
      <c r="S151" s="6">
        <f>OR(ROUND(L151-ROUND(G151-T151,2),2)&lt;=0,AND(I151,K151&lt;&gt;"",(A151-D151+1)=K151))</f>
        <v/>
      </c>
      <c r="T151" s="21">
        <f>IF(M151&lt;&gt;"",M151,ROUND(L151*F151,2))</f>
        <v/>
      </c>
      <c r="U151" s="21">
        <f>IF(R151,IF(O151&lt;&gt;"",O151,IF(N151&lt;&gt;"",ROUND(L151-N151,2),ROUND((IF(P151&lt;&gt;"",P151,G151))-T151,2))),IF(H151,0,IF(S151,L151,ROUND(G151-T151,2))))</f>
        <v/>
      </c>
      <c r="V151" s="21">
        <f>IF(R151,IF(P151&lt;&gt;"",P151,ROUND(T151+U151,2)),IF(H151,T151,IF(S151,ROUND(T151+U151,2),G151)))</f>
        <v/>
      </c>
      <c r="W151" s="21">
        <f>IF(R151,IF(N151&lt;&gt;"",N151,ROUND(L151-U151,2)),IF(H151,L151,IF(S151,0,ROUND(L151-U151,2))))</f>
        <v/>
      </c>
      <c r="X151" s="21">
        <f>IFERROR(MIN(INDEX(LumpSums!$B:$B,MATCH(A151,LumpSums!$A:$A,0)),W151),0)</f>
        <v/>
      </c>
      <c r="Y151" s="21">
        <f>ROUND(U151+X151,2)</f>
        <v/>
      </c>
      <c r="Z151" s="21">
        <f>ROUND(V151+X151,2)</f>
        <v/>
      </c>
      <c r="AA151" s="21">
        <f>ROUND(W151-X151,2)</f>
        <v/>
      </c>
      <c r="AB151" s="6">
        <f>AND(AB150,L151&gt;0)</f>
        <v/>
      </c>
      <c r="AC151" s="21">
        <f>IF(PMI_Costs!$B$8=0,0,ROUND(PMI_Costs!$B$8*(1+PMI_Costs!$B$9/100)^INT((A151-1)/12)/12,2))</f>
        <v/>
      </c>
      <c r="AD151" s="21">
        <f>IF(PMI_Costs!$B$10=0,0,ROUND(PMI_Costs!$B$10*(1+PMI_Costs!$B$11/100)^INT((A151-1)/12)/12,2))</f>
        <v/>
      </c>
      <c r="AE151" s="21">
        <f>IF(PMI_Costs!$B$12=0,0,ROUND(PMI_Costs!$B$12*(1+PMI_Costs!$B$13/100)^INT((A151-1)/12)/12,2))</f>
        <v/>
      </c>
      <c r="AF151" s="22">
        <f>IF(PMI_Costs!$B$5=0,0,AA151/PMI_Costs!$B$5)</f>
        <v/>
      </c>
      <c r="AG151" s="6">
        <f>AND(PMI_Costs!$B$4&gt;0,AF151&gt;PMI_Costs!$B$6/100)</f>
        <v/>
      </c>
      <c r="AH151" s="21">
        <f>IF(AG151,ROUND(Segments!$G$5*PMI_Costs!$B$4/100/12,2),0)</f>
        <v/>
      </c>
      <c r="AI151" s="6">
        <f>AND(NOT(AG151),AG150)</f>
        <v/>
      </c>
    </row>
    <row r="152">
      <c r="A152" s="18" t="n">
        <v>148</v>
      </c>
      <c r="B152" s="18">
        <f>SUMPRODUCT((Segments!$J$5:$J$12&lt;&gt;"")*(Segments!$J$5:$J$12&lt;=A152))</f>
        <v/>
      </c>
      <c r="C152" s="19">
        <f>INDEX(Segments!$B$5:$B$12,B152)</f>
        <v/>
      </c>
      <c r="D152" s="18">
        <f>INDEX(Segments!$J$5:$J$12,B152)</f>
        <v/>
      </c>
      <c r="E152" s="19">
        <f>DATE(YEAR(C152)+INT((MONTH(C152)-1+(A152-D152))/12),MOD(MONTH(C152)-1+(A152-D152),12)+1,1)+(DAY(C152)-1)</f>
        <v/>
      </c>
      <c r="F152" s="20">
        <f>INDEX(Segments!$C$5:$C$12,B152)/100/12</f>
        <v/>
      </c>
      <c r="G152" s="21">
        <f>INDEX(Segments!$L$5:$L$12,B152)</f>
        <v/>
      </c>
      <c r="H152" s="6">
        <f>INDEX(Segments!$I$5:$I$12,B152)="Y"</f>
        <v/>
      </c>
      <c r="I152" s="6">
        <f>INDEX(Segments!$F$5:$F$12,B152)=""</f>
        <v/>
      </c>
      <c r="J152" s="18">
        <f>INDEX(Segments!$K$5:$K$12,B152)</f>
        <v/>
      </c>
      <c r="K152" s="18">
        <f>IF(INDEX(Segments!$F$5:$F$12,B152)&lt;&gt;"",INDEX(Segments!$F$5:$F$12,B152),IF(INDEX(Segments!$E$5:$E$12,B152)&lt;&gt;"",INDEX(Segments!$E$5:$E$12,B152),""))</f>
        <v/>
      </c>
      <c r="L152" s="21">
        <f>AA151</f>
        <v/>
      </c>
      <c r="M152" s="21">
        <f>IFERROR(INDEX(Overrides!$C:$C,MATCH(A152,Overrides!$A:$A,0)),"")</f>
        <v/>
      </c>
      <c r="N152" s="21">
        <f>IFERROR(INDEX(Overrides!$E:$E,MATCH(A152,Overrides!$A:$A,0)),"")</f>
        <v/>
      </c>
      <c r="O152" s="21">
        <f>IFERROR(INDEX(Overrides!$D:$D,MATCH(A152,Overrides!$A:$A,0)),"")</f>
        <v/>
      </c>
      <c r="P152" s="21">
        <f>IFERROR(INDEX(Overrides!$B:$B,MATCH(A152,Overrides!$A:$A,0)),"")</f>
        <v/>
      </c>
      <c r="Q152" s="6">
        <f>IFERROR(INDEX(Overrides!$F:$F,MATCH(A152,Overrides!$A:$A,0)),"")</f>
        <v/>
      </c>
      <c r="R152" s="6">
        <f>ISNUMBER(MATCH(A152,Overrides!$A:$A,0))</f>
        <v/>
      </c>
      <c r="S152" s="6">
        <f>OR(ROUND(L152-ROUND(G152-T152,2),2)&lt;=0,AND(I152,K152&lt;&gt;"",(A152-D152+1)=K152))</f>
        <v/>
      </c>
      <c r="T152" s="21">
        <f>IF(M152&lt;&gt;"",M152,ROUND(L152*F152,2))</f>
        <v/>
      </c>
      <c r="U152" s="21">
        <f>IF(R152,IF(O152&lt;&gt;"",O152,IF(N152&lt;&gt;"",ROUND(L152-N152,2),ROUND((IF(P152&lt;&gt;"",P152,G152))-T152,2))),IF(H152,0,IF(S152,L152,ROUND(G152-T152,2))))</f>
        <v/>
      </c>
      <c r="V152" s="21">
        <f>IF(R152,IF(P152&lt;&gt;"",P152,ROUND(T152+U152,2)),IF(H152,T152,IF(S152,ROUND(T152+U152,2),G152)))</f>
        <v/>
      </c>
      <c r="W152" s="21">
        <f>IF(R152,IF(N152&lt;&gt;"",N152,ROUND(L152-U152,2)),IF(H152,L152,IF(S152,0,ROUND(L152-U152,2))))</f>
        <v/>
      </c>
      <c r="X152" s="21">
        <f>IFERROR(MIN(INDEX(LumpSums!$B:$B,MATCH(A152,LumpSums!$A:$A,0)),W152),0)</f>
        <v/>
      </c>
      <c r="Y152" s="21">
        <f>ROUND(U152+X152,2)</f>
        <v/>
      </c>
      <c r="Z152" s="21">
        <f>ROUND(V152+X152,2)</f>
        <v/>
      </c>
      <c r="AA152" s="21">
        <f>ROUND(W152-X152,2)</f>
        <v/>
      </c>
      <c r="AB152" s="6">
        <f>AND(AB151,L152&gt;0)</f>
        <v/>
      </c>
      <c r="AC152" s="21">
        <f>IF(PMI_Costs!$B$8=0,0,ROUND(PMI_Costs!$B$8*(1+PMI_Costs!$B$9/100)^INT((A152-1)/12)/12,2))</f>
        <v/>
      </c>
      <c r="AD152" s="21">
        <f>IF(PMI_Costs!$B$10=0,0,ROUND(PMI_Costs!$B$10*(1+PMI_Costs!$B$11/100)^INT((A152-1)/12)/12,2))</f>
        <v/>
      </c>
      <c r="AE152" s="21">
        <f>IF(PMI_Costs!$B$12=0,0,ROUND(PMI_Costs!$B$12*(1+PMI_Costs!$B$13/100)^INT((A152-1)/12)/12,2))</f>
        <v/>
      </c>
      <c r="AF152" s="22">
        <f>IF(PMI_Costs!$B$5=0,0,AA152/PMI_Costs!$B$5)</f>
        <v/>
      </c>
      <c r="AG152" s="6">
        <f>AND(PMI_Costs!$B$4&gt;0,AF152&gt;PMI_Costs!$B$6/100)</f>
        <v/>
      </c>
      <c r="AH152" s="21">
        <f>IF(AG152,ROUND(Segments!$G$5*PMI_Costs!$B$4/100/12,2),0)</f>
        <v/>
      </c>
      <c r="AI152" s="6">
        <f>AND(NOT(AG152),AG151)</f>
        <v/>
      </c>
    </row>
    <row r="153">
      <c r="A153" s="18" t="n">
        <v>149</v>
      </c>
      <c r="B153" s="18">
        <f>SUMPRODUCT((Segments!$J$5:$J$12&lt;&gt;"")*(Segments!$J$5:$J$12&lt;=A153))</f>
        <v/>
      </c>
      <c r="C153" s="19">
        <f>INDEX(Segments!$B$5:$B$12,B153)</f>
        <v/>
      </c>
      <c r="D153" s="18">
        <f>INDEX(Segments!$J$5:$J$12,B153)</f>
        <v/>
      </c>
      <c r="E153" s="19">
        <f>DATE(YEAR(C153)+INT((MONTH(C153)-1+(A153-D153))/12),MOD(MONTH(C153)-1+(A153-D153),12)+1,1)+(DAY(C153)-1)</f>
        <v/>
      </c>
      <c r="F153" s="20">
        <f>INDEX(Segments!$C$5:$C$12,B153)/100/12</f>
        <v/>
      </c>
      <c r="G153" s="21">
        <f>INDEX(Segments!$L$5:$L$12,B153)</f>
        <v/>
      </c>
      <c r="H153" s="6">
        <f>INDEX(Segments!$I$5:$I$12,B153)="Y"</f>
        <v/>
      </c>
      <c r="I153" s="6">
        <f>INDEX(Segments!$F$5:$F$12,B153)=""</f>
        <v/>
      </c>
      <c r="J153" s="18">
        <f>INDEX(Segments!$K$5:$K$12,B153)</f>
        <v/>
      </c>
      <c r="K153" s="18">
        <f>IF(INDEX(Segments!$F$5:$F$12,B153)&lt;&gt;"",INDEX(Segments!$F$5:$F$12,B153),IF(INDEX(Segments!$E$5:$E$12,B153)&lt;&gt;"",INDEX(Segments!$E$5:$E$12,B153),""))</f>
        <v/>
      </c>
      <c r="L153" s="21">
        <f>AA152</f>
        <v/>
      </c>
      <c r="M153" s="21">
        <f>IFERROR(INDEX(Overrides!$C:$C,MATCH(A153,Overrides!$A:$A,0)),"")</f>
        <v/>
      </c>
      <c r="N153" s="21">
        <f>IFERROR(INDEX(Overrides!$E:$E,MATCH(A153,Overrides!$A:$A,0)),"")</f>
        <v/>
      </c>
      <c r="O153" s="21">
        <f>IFERROR(INDEX(Overrides!$D:$D,MATCH(A153,Overrides!$A:$A,0)),"")</f>
        <v/>
      </c>
      <c r="P153" s="21">
        <f>IFERROR(INDEX(Overrides!$B:$B,MATCH(A153,Overrides!$A:$A,0)),"")</f>
        <v/>
      </c>
      <c r="Q153" s="6">
        <f>IFERROR(INDEX(Overrides!$F:$F,MATCH(A153,Overrides!$A:$A,0)),"")</f>
        <v/>
      </c>
      <c r="R153" s="6">
        <f>ISNUMBER(MATCH(A153,Overrides!$A:$A,0))</f>
        <v/>
      </c>
      <c r="S153" s="6">
        <f>OR(ROUND(L153-ROUND(G153-T153,2),2)&lt;=0,AND(I153,K153&lt;&gt;"",(A153-D153+1)=K153))</f>
        <v/>
      </c>
      <c r="T153" s="21">
        <f>IF(M153&lt;&gt;"",M153,ROUND(L153*F153,2))</f>
        <v/>
      </c>
      <c r="U153" s="21">
        <f>IF(R153,IF(O153&lt;&gt;"",O153,IF(N153&lt;&gt;"",ROUND(L153-N153,2),ROUND((IF(P153&lt;&gt;"",P153,G153))-T153,2))),IF(H153,0,IF(S153,L153,ROUND(G153-T153,2))))</f>
        <v/>
      </c>
      <c r="V153" s="21">
        <f>IF(R153,IF(P153&lt;&gt;"",P153,ROUND(T153+U153,2)),IF(H153,T153,IF(S153,ROUND(T153+U153,2),G153)))</f>
        <v/>
      </c>
      <c r="W153" s="21">
        <f>IF(R153,IF(N153&lt;&gt;"",N153,ROUND(L153-U153,2)),IF(H153,L153,IF(S153,0,ROUND(L153-U153,2))))</f>
        <v/>
      </c>
      <c r="X153" s="21">
        <f>IFERROR(MIN(INDEX(LumpSums!$B:$B,MATCH(A153,LumpSums!$A:$A,0)),W153),0)</f>
        <v/>
      </c>
      <c r="Y153" s="21">
        <f>ROUND(U153+X153,2)</f>
        <v/>
      </c>
      <c r="Z153" s="21">
        <f>ROUND(V153+X153,2)</f>
        <v/>
      </c>
      <c r="AA153" s="21">
        <f>ROUND(W153-X153,2)</f>
        <v/>
      </c>
      <c r="AB153" s="6">
        <f>AND(AB152,L153&gt;0)</f>
        <v/>
      </c>
      <c r="AC153" s="21">
        <f>IF(PMI_Costs!$B$8=0,0,ROUND(PMI_Costs!$B$8*(1+PMI_Costs!$B$9/100)^INT((A153-1)/12)/12,2))</f>
        <v/>
      </c>
      <c r="AD153" s="21">
        <f>IF(PMI_Costs!$B$10=0,0,ROUND(PMI_Costs!$B$10*(1+PMI_Costs!$B$11/100)^INT((A153-1)/12)/12,2))</f>
        <v/>
      </c>
      <c r="AE153" s="21">
        <f>IF(PMI_Costs!$B$12=0,0,ROUND(PMI_Costs!$B$12*(1+PMI_Costs!$B$13/100)^INT((A153-1)/12)/12,2))</f>
        <v/>
      </c>
      <c r="AF153" s="22">
        <f>IF(PMI_Costs!$B$5=0,0,AA153/PMI_Costs!$B$5)</f>
        <v/>
      </c>
      <c r="AG153" s="6">
        <f>AND(PMI_Costs!$B$4&gt;0,AF153&gt;PMI_Costs!$B$6/100)</f>
        <v/>
      </c>
      <c r="AH153" s="21">
        <f>IF(AG153,ROUND(Segments!$G$5*PMI_Costs!$B$4/100/12,2),0)</f>
        <v/>
      </c>
      <c r="AI153" s="6">
        <f>AND(NOT(AG153),AG152)</f>
        <v/>
      </c>
    </row>
    <row r="154">
      <c r="A154" s="18" t="n">
        <v>150</v>
      </c>
      <c r="B154" s="18">
        <f>SUMPRODUCT((Segments!$J$5:$J$12&lt;&gt;"")*(Segments!$J$5:$J$12&lt;=A154))</f>
        <v/>
      </c>
      <c r="C154" s="19">
        <f>INDEX(Segments!$B$5:$B$12,B154)</f>
        <v/>
      </c>
      <c r="D154" s="18">
        <f>INDEX(Segments!$J$5:$J$12,B154)</f>
        <v/>
      </c>
      <c r="E154" s="19">
        <f>DATE(YEAR(C154)+INT((MONTH(C154)-1+(A154-D154))/12),MOD(MONTH(C154)-1+(A154-D154),12)+1,1)+(DAY(C154)-1)</f>
        <v/>
      </c>
      <c r="F154" s="20">
        <f>INDEX(Segments!$C$5:$C$12,B154)/100/12</f>
        <v/>
      </c>
      <c r="G154" s="21">
        <f>INDEX(Segments!$L$5:$L$12,B154)</f>
        <v/>
      </c>
      <c r="H154" s="6">
        <f>INDEX(Segments!$I$5:$I$12,B154)="Y"</f>
        <v/>
      </c>
      <c r="I154" s="6">
        <f>INDEX(Segments!$F$5:$F$12,B154)=""</f>
        <v/>
      </c>
      <c r="J154" s="18">
        <f>INDEX(Segments!$K$5:$K$12,B154)</f>
        <v/>
      </c>
      <c r="K154" s="18">
        <f>IF(INDEX(Segments!$F$5:$F$12,B154)&lt;&gt;"",INDEX(Segments!$F$5:$F$12,B154),IF(INDEX(Segments!$E$5:$E$12,B154)&lt;&gt;"",INDEX(Segments!$E$5:$E$12,B154),""))</f>
        <v/>
      </c>
      <c r="L154" s="21">
        <f>AA153</f>
        <v/>
      </c>
      <c r="M154" s="21">
        <f>IFERROR(INDEX(Overrides!$C:$C,MATCH(A154,Overrides!$A:$A,0)),"")</f>
        <v/>
      </c>
      <c r="N154" s="21">
        <f>IFERROR(INDEX(Overrides!$E:$E,MATCH(A154,Overrides!$A:$A,0)),"")</f>
        <v/>
      </c>
      <c r="O154" s="21">
        <f>IFERROR(INDEX(Overrides!$D:$D,MATCH(A154,Overrides!$A:$A,0)),"")</f>
        <v/>
      </c>
      <c r="P154" s="21">
        <f>IFERROR(INDEX(Overrides!$B:$B,MATCH(A154,Overrides!$A:$A,0)),"")</f>
        <v/>
      </c>
      <c r="Q154" s="6">
        <f>IFERROR(INDEX(Overrides!$F:$F,MATCH(A154,Overrides!$A:$A,0)),"")</f>
        <v/>
      </c>
      <c r="R154" s="6">
        <f>ISNUMBER(MATCH(A154,Overrides!$A:$A,0))</f>
        <v/>
      </c>
      <c r="S154" s="6">
        <f>OR(ROUND(L154-ROUND(G154-T154,2),2)&lt;=0,AND(I154,K154&lt;&gt;"",(A154-D154+1)=K154))</f>
        <v/>
      </c>
      <c r="T154" s="21">
        <f>IF(M154&lt;&gt;"",M154,ROUND(L154*F154,2))</f>
        <v/>
      </c>
      <c r="U154" s="21">
        <f>IF(R154,IF(O154&lt;&gt;"",O154,IF(N154&lt;&gt;"",ROUND(L154-N154,2),ROUND((IF(P154&lt;&gt;"",P154,G154))-T154,2))),IF(H154,0,IF(S154,L154,ROUND(G154-T154,2))))</f>
        <v/>
      </c>
      <c r="V154" s="21">
        <f>IF(R154,IF(P154&lt;&gt;"",P154,ROUND(T154+U154,2)),IF(H154,T154,IF(S154,ROUND(T154+U154,2),G154)))</f>
        <v/>
      </c>
      <c r="W154" s="21">
        <f>IF(R154,IF(N154&lt;&gt;"",N154,ROUND(L154-U154,2)),IF(H154,L154,IF(S154,0,ROUND(L154-U154,2))))</f>
        <v/>
      </c>
      <c r="X154" s="21">
        <f>IFERROR(MIN(INDEX(LumpSums!$B:$B,MATCH(A154,LumpSums!$A:$A,0)),W154),0)</f>
        <v/>
      </c>
      <c r="Y154" s="21">
        <f>ROUND(U154+X154,2)</f>
        <v/>
      </c>
      <c r="Z154" s="21">
        <f>ROUND(V154+X154,2)</f>
        <v/>
      </c>
      <c r="AA154" s="21">
        <f>ROUND(W154-X154,2)</f>
        <v/>
      </c>
      <c r="AB154" s="6">
        <f>AND(AB153,L154&gt;0)</f>
        <v/>
      </c>
      <c r="AC154" s="21">
        <f>IF(PMI_Costs!$B$8=0,0,ROUND(PMI_Costs!$B$8*(1+PMI_Costs!$B$9/100)^INT((A154-1)/12)/12,2))</f>
        <v/>
      </c>
      <c r="AD154" s="21">
        <f>IF(PMI_Costs!$B$10=0,0,ROUND(PMI_Costs!$B$10*(1+PMI_Costs!$B$11/100)^INT((A154-1)/12)/12,2))</f>
        <v/>
      </c>
      <c r="AE154" s="21">
        <f>IF(PMI_Costs!$B$12=0,0,ROUND(PMI_Costs!$B$12*(1+PMI_Costs!$B$13/100)^INT((A154-1)/12)/12,2))</f>
        <v/>
      </c>
      <c r="AF154" s="22">
        <f>IF(PMI_Costs!$B$5=0,0,AA154/PMI_Costs!$B$5)</f>
        <v/>
      </c>
      <c r="AG154" s="6">
        <f>AND(PMI_Costs!$B$4&gt;0,AF154&gt;PMI_Costs!$B$6/100)</f>
        <v/>
      </c>
      <c r="AH154" s="21">
        <f>IF(AG154,ROUND(Segments!$G$5*PMI_Costs!$B$4/100/12,2),0)</f>
        <v/>
      </c>
      <c r="AI154" s="6">
        <f>AND(NOT(AG154),AG153)</f>
        <v/>
      </c>
    </row>
    <row r="155">
      <c r="A155" s="18" t="n">
        <v>151</v>
      </c>
      <c r="B155" s="18">
        <f>SUMPRODUCT((Segments!$J$5:$J$12&lt;&gt;"")*(Segments!$J$5:$J$12&lt;=A155))</f>
        <v/>
      </c>
      <c r="C155" s="19">
        <f>INDEX(Segments!$B$5:$B$12,B155)</f>
        <v/>
      </c>
      <c r="D155" s="18">
        <f>INDEX(Segments!$J$5:$J$12,B155)</f>
        <v/>
      </c>
      <c r="E155" s="19">
        <f>DATE(YEAR(C155)+INT((MONTH(C155)-1+(A155-D155))/12),MOD(MONTH(C155)-1+(A155-D155),12)+1,1)+(DAY(C155)-1)</f>
        <v/>
      </c>
      <c r="F155" s="20">
        <f>INDEX(Segments!$C$5:$C$12,B155)/100/12</f>
        <v/>
      </c>
      <c r="G155" s="21">
        <f>INDEX(Segments!$L$5:$L$12,B155)</f>
        <v/>
      </c>
      <c r="H155" s="6">
        <f>INDEX(Segments!$I$5:$I$12,B155)="Y"</f>
        <v/>
      </c>
      <c r="I155" s="6">
        <f>INDEX(Segments!$F$5:$F$12,B155)=""</f>
        <v/>
      </c>
      <c r="J155" s="18">
        <f>INDEX(Segments!$K$5:$K$12,B155)</f>
        <v/>
      </c>
      <c r="K155" s="18">
        <f>IF(INDEX(Segments!$F$5:$F$12,B155)&lt;&gt;"",INDEX(Segments!$F$5:$F$12,B155),IF(INDEX(Segments!$E$5:$E$12,B155)&lt;&gt;"",INDEX(Segments!$E$5:$E$12,B155),""))</f>
        <v/>
      </c>
      <c r="L155" s="21">
        <f>AA154</f>
        <v/>
      </c>
      <c r="M155" s="21">
        <f>IFERROR(INDEX(Overrides!$C:$C,MATCH(A155,Overrides!$A:$A,0)),"")</f>
        <v/>
      </c>
      <c r="N155" s="21">
        <f>IFERROR(INDEX(Overrides!$E:$E,MATCH(A155,Overrides!$A:$A,0)),"")</f>
        <v/>
      </c>
      <c r="O155" s="21">
        <f>IFERROR(INDEX(Overrides!$D:$D,MATCH(A155,Overrides!$A:$A,0)),"")</f>
        <v/>
      </c>
      <c r="P155" s="21">
        <f>IFERROR(INDEX(Overrides!$B:$B,MATCH(A155,Overrides!$A:$A,0)),"")</f>
        <v/>
      </c>
      <c r="Q155" s="6">
        <f>IFERROR(INDEX(Overrides!$F:$F,MATCH(A155,Overrides!$A:$A,0)),"")</f>
        <v/>
      </c>
      <c r="R155" s="6">
        <f>ISNUMBER(MATCH(A155,Overrides!$A:$A,0))</f>
        <v/>
      </c>
      <c r="S155" s="6">
        <f>OR(ROUND(L155-ROUND(G155-T155,2),2)&lt;=0,AND(I155,K155&lt;&gt;"",(A155-D155+1)=K155))</f>
        <v/>
      </c>
      <c r="T155" s="21">
        <f>IF(M155&lt;&gt;"",M155,ROUND(L155*F155,2))</f>
        <v/>
      </c>
      <c r="U155" s="21">
        <f>IF(R155,IF(O155&lt;&gt;"",O155,IF(N155&lt;&gt;"",ROUND(L155-N155,2),ROUND((IF(P155&lt;&gt;"",P155,G155))-T155,2))),IF(H155,0,IF(S155,L155,ROUND(G155-T155,2))))</f>
        <v/>
      </c>
      <c r="V155" s="21">
        <f>IF(R155,IF(P155&lt;&gt;"",P155,ROUND(T155+U155,2)),IF(H155,T155,IF(S155,ROUND(T155+U155,2),G155)))</f>
        <v/>
      </c>
      <c r="W155" s="21">
        <f>IF(R155,IF(N155&lt;&gt;"",N155,ROUND(L155-U155,2)),IF(H155,L155,IF(S155,0,ROUND(L155-U155,2))))</f>
        <v/>
      </c>
      <c r="X155" s="21">
        <f>IFERROR(MIN(INDEX(LumpSums!$B:$B,MATCH(A155,LumpSums!$A:$A,0)),W155),0)</f>
        <v/>
      </c>
      <c r="Y155" s="21">
        <f>ROUND(U155+X155,2)</f>
        <v/>
      </c>
      <c r="Z155" s="21">
        <f>ROUND(V155+X155,2)</f>
        <v/>
      </c>
      <c r="AA155" s="21">
        <f>ROUND(W155-X155,2)</f>
        <v/>
      </c>
      <c r="AB155" s="6">
        <f>AND(AB154,L155&gt;0)</f>
        <v/>
      </c>
      <c r="AC155" s="21">
        <f>IF(PMI_Costs!$B$8=0,0,ROUND(PMI_Costs!$B$8*(1+PMI_Costs!$B$9/100)^INT((A155-1)/12)/12,2))</f>
        <v/>
      </c>
      <c r="AD155" s="21">
        <f>IF(PMI_Costs!$B$10=0,0,ROUND(PMI_Costs!$B$10*(1+PMI_Costs!$B$11/100)^INT((A155-1)/12)/12,2))</f>
        <v/>
      </c>
      <c r="AE155" s="21">
        <f>IF(PMI_Costs!$B$12=0,0,ROUND(PMI_Costs!$B$12*(1+PMI_Costs!$B$13/100)^INT((A155-1)/12)/12,2))</f>
        <v/>
      </c>
      <c r="AF155" s="22">
        <f>IF(PMI_Costs!$B$5=0,0,AA155/PMI_Costs!$B$5)</f>
        <v/>
      </c>
      <c r="AG155" s="6">
        <f>AND(PMI_Costs!$B$4&gt;0,AF155&gt;PMI_Costs!$B$6/100)</f>
        <v/>
      </c>
      <c r="AH155" s="21">
        <f>IF(AG155,ROUND(Segments!$G$5*PMI_Costs!$B$4/100/12,2),0)</f>
        <v/>
      </c>
      <c r="AI155" s="6">
        <f>AND(NOT(AG155),AG154)</f>
        <v/>
      </c>
    </row>
    <row r="156">
      <c r="A156" s="18" t="n">
        <v>152</v>
      </c>
      <c r="B156" s="18">
        <f>SUMPRODUCT((Segments!$J$5:$J$12&lt;&gt;"")*(Segments!$J$5:$J$12&lt;=A156))</f>
        <v/>
      </c>
      <c r="C156" s="19">
        <f>INDEX(Segments!$B$5:$B$12,B156)</f>
        <v/>
      </c>
      <c r="D156" s="18">
        <f>INDEX(Segments!$J$5:$J$12,B156)</f>
        <v/>
      </c>
      <c r="E156" s="19">
        <f>DATE(YEAR(C156)+INT((MONTH(C156)-1+(A156-D156))/12),MOD(MONTH(C156)-1+(A156-D156),12)+1,1)+(DAY(C156)-1)</f>
        <v/>
      </c>
      <c r="F156" s="20">
        <f>INDEX(Segments!$C$5:$C$12,B156)/100/12</f>
        <v/>
      </c>
      <c r="G156" s="21">
        <f>INDEX(Segments!$L$5:$L$12,B156)</f>
        <v/>
      </c>
      <c r="H156" s="6">
        <f>INDEX(Segments!$I$5:$I$12,B156)="Y"</f>
        <v/>
      </c>
      <c r="I156" s="6">
        <f>INDEX(Segments!$F$5:$F$12,B156)=""</f>
        <v/>
      </c>
      <c r="J156" s="18">
        <f>INDEX(Segments!$K$5:$K$12,B156)</f>
        <v/>
      </c>
      <c r="K156" s="18">
        <f>IF(INDEX(Segments!$F$5:$F$12,B156)&lt;&gt;"",INDEX(Segments!$F$5:$F$12,B156),IF(INDEX(Segments!$E$5:$E$12,B156)&lt;&gt;"",INDEX(Segments!$E$5:$E$12,B156),""))</f>
        <v/>
      </c>
      <c r="L156" s="21">
        <f>AA155</f>
        <v/>
      </c>
      <c r="M156" s="21">
        <f>IFERROR(INDEX(Overrides!$C:$C,MATCH(A156,Overrides!$A:$A,0)),"")</f>
        <v/>
      </c>
      <c r="N156" s="21">
        <f>IFERROR(INDEX(Overrides!$E:$E,MATCH(A156,Overrides!$A:$A,0)),"")</f>
        <v/>
      </c>
      <c r="O156" s="21">
        <f>IFERROR(INDEX(Overrides!$D:$D,MATCH(A156,Overrides!$A:$A,0)),"")</f>
        <v/>
      </c>
      <c r="P156" s="21">
        <f>IFERROR(INDEX(Overrides!$B:$B,MATCH(A156,Overrides!$A:$A,0)),"")</f>
        <v/>
      </c>
      <c r="Q156" s="6">
        <f>IFERROR(INDEX(Overrides!$F:$F,MATCH(A156,Overrides!$A:$A,0)),"")</f>
        <v/>
      </c>
      <c r="R156" s="6">
        <f>ISNUMBER(MATCH(A156,Overrides!$A:$A,0))</f>
        <v/>
      </c>
      <c r="S156" s="6">
        <f>OR(ROUND(L156-ROUND(G156-T156,2),2)&lt;=0,AND(I156,K156&lt;&gt;"",(A156-D156+1)=K156))</f>
        <v/>
      </c>
      <c r="T156" s="21">
        <f>IF(M156&lt;&gt;"",M156,ROUND(L156*F156,2))</f>
        <v/>
      </c>
      <c r="U156" s="21">
        <f>IF(R156,IF(O156&lt;&gt;"",O156,IF(N156&lt;&gt;"",ROUND(L156-N156,2),ROUND((IF(P156&lt;&gt;"",P156,G156))-T156,2))),IF(H156,0,IF(S156,L156,ROUND(G156-T156,2))))</f>
        <v/>
      </c>
      <c r="V156" s="21">
        <f>IF(R156,IF(P156&lt;&gt;"",P156,ROUND(T156+U156,2)),IF(H156,T156,IF(S156,ROUND(T156+U156,2),G156)))</f>
        <v/>
      </c>
      <c r="W156" s="21">
        <f>IF(R156,IF(N156&lt;&gt;"",N156,ROUND(L156-U156,2)),IF(H156,L156,IF(S156,0,ROUND(L156-U156,2))))</f>
        <v/>
      </c>
      <c r="X156" s="21">
        <f>IFERROR(MIN(INDEX(LumpSums!$B:$B,MATCH(A156,LumpSums!$A:$A,0)),W156),0)</f>
        <v/>
      </c>
      <c r="Y156" s="21">
        <f>ROUND(U156+X156,2)</f>
        <v/>
      </c>
      <c r="Z156" s="21">
        <f>ROUND(V156+X156,2)</f>
        <v/>
      </c>
      <c r="AA156" s="21">
        <f>ROUND(W156-X156,2)</f>
        <v/>
      </c>
      <c r="AB156" s="6">
        <f>AND(AB155,L156&gt;0)</f>
        <v/>
      </c>
      <c r="AC156" s="21">
        <f>IF(PMI_Costs!$B$8=0,0,ROUND(PMI_Costs!$B$8*(1+PMI_Costs!$B$9/100)^INT((A156-1)/12)/12,2))</f>
        <v/>
      </c>
      <c r="AD156" s="21">
        <f>IF(PMI_Costs!$B$10=0,0,ROUND(PMI_Costs!$B$10*(1+PMI_Costs!$B$11/100)^INT((A156-1)/12)/12,2))</f>
        <v/>
      </c>
      <c r="AE156" s="21">
        <f>IF(PMI_Costs!$B$12=0,0,ROUND(PMI_Costs!$B$12*(1+PMI_Costs!$B$13/100)^INT((A156-1)/12)/12,2))</f>
        <v/>
      </c>
      <c r="AF156" s="22">
        <f>IF(PMI_Costs!$B$5=0,0,AA156/PMI_Costs!$B$5)</f>
        <v/>
      </c>
      <c r="AG156" s="6">
        <f>AND(PMI_Costs!$B$4&gt;0,AF156&gt;PMI_Costs!$B$6/100)</f>
        <v/>
      </c>
      <c r="AH156" s="21">
        <f>IF(AG156,ROUND(Segments!$G$5*PMI_Costs!$B$4/100/12,2),0)</f>
        <v/>
      </c>
      <c r="AI156" s="6">
        <f>AND(NOT(AG156),AG155)</f>
        <v/>
      </c>
    </row>
    <row r="157">
      <c r="A157" s="18" t="n">
        <v>153</v>
      </c>
      <c r="B157" s="18">
        <f>SUMPRODUCT((Segments!$J$5:$J$12&lt;&gt;"")*(Segments!$J$5:$J$12&lt;=A157))</f>
        <v/>
      </c>
      <c r="C157" s="19">
        <f>INDEX(Segments!$B$5:$B$12,B157)</f>
        <v/>
      </c>
      <c r="D157" s="18">
        <f>INDEX(Segments!$J$5:$J$12,B157)</f>
        <v/>
      </c>
      <c r="E157" s="19">
        <f>DATE(YEAR(C157)+INT((MONTH(C157)-1+(A157-D157))/12),MOD(MONTH(C157)-1+(A157-D157),12)+1,1)+(DAY(C157)-1)</f>
        <v/>
      </c>
      <c r="F157" s="20">
        <f>INDEX(Segments!$C$5:$C$12,B157)/100/12</f>
        <v/>
      </c>
      <c r="G157" s="21">
        <f>INDEX(Segments!$L$5:$L$12,B157)</f>
        <v/>
      </c>
      <c r="H157" s="6">
        <f>INDEX(Segments!$I$5:$I$12,B157)="Y"</f>
        <v/>
      </c>
      <c r="I157" s="6">
        <f>INDEX(Segments!$F$5:$F$12,B157)=""</f>
        <v/>
      </c>
      <c r="J157" s="18">
        <f>INDEX(Segments!$K$5:$K$12,B157)</f>
        <v/>
      </c>
      <c r="K157" s="18">
        <f>IF(INDEX(Segments!$F$5:$F$12,B157)&lt;&gt;"",INDEX(Segments!$F$5:$F$12,B157),IF(INDEX(Segments!$E$5:$E$12,B157)&lt;&gt;"",INDEX(Segments!$E$5:$E$12,B157),""))</f>
        <v/>
      </c>
      <c r="L157" s="21">
        <f>AA156</f>
        <v/>
      </c>
      <c r="M157" s="21">
        <f>IFERROR(INDEX(Overrides!$C:$C,MATCH(A157,Overrides!$A:$A,0)),"")</f>
        <v/>
      </c>
      <c r="N157" s="21">
        <f>IFERROR(INDEX(Overrides!$E:$E,MATCH(A157,Overrides!$A:$A,0)),"")</f>
        <v/>
      </c>
      <c r="O157" s="21">
        <f>IFERROR(INDEX(Overrides!$D:$D,MATCH(A157,Overrides!$A:$A,0)),"")</f>
        <v/>
      </c>
      <c r="P157" s="21">
        <f>IFERROR(INDEX(Overrides!$B:$B,MATCH(A157,Overrides!$A:$A,0)),"")</f>
        <v/>
      </c>
      <c r="Q157" s="6">
        <f>IFERROR(INDEX(Overrides!$F:$F,MATCH(A157,Overrides!$A:$A,0)),"")</f>
        <v/>
      </c>
      <c r="R157" s="6">
        <f>ISNUMBER(MATCH(A157,Overrides!$A:$A,0))</f>
        <v/>
      </c>
      <c r="S157" s="6">
        <f>OR(ROUND(L157-ROUND(G157-T157,2),2)&lt;=0,AND(I157,K157&lt;&gt;"",(A157-D157+1)=K157))</f>
        <v/>
      </c>
      <c r="T157" s="21">
        <f>IF(M157&lt;&gt;"",M157,ROUND(L157*F157,2))</f>
        <v/>
      </c>
      <c r="U157" s="21">
        <f>IF(R157,IF(O157&lt;&gt;"",O157,IF(N157&lt;&gt;"",ROUND(L157-N157,2),ROUND((IF(P157&lt;&gt;"",P157,G157))-T157,2))),IF(H157,0,IF(S157,L157,ROUND(G157-T157,2))))</f>
        <v/>
      </c>
      <c r="V157" s="21">
        <f>IF(R157,IF(P157&lt;&gt;"",P157,ROUND(T157+U157,2)),IF(H157,T157,IF(S157,ROUND(T157+U157,2),G157)))</f>
        <v/>
      </c>
      <c r="W157" s="21">
        <f>IF(R157,IF(N157&lt;&gt;"",N157,ROUND(L157-U157,2)),IF(H157,L157,IF(S157,0,ROUND(L157-U157,2))))</f>
        <v/>
      </c>
      <c r="X157" s="21">
        <f>IFERROR(MIN(INDEX(LumpSums!$B:$B,MATCH(A157,LumpSums!$A:$A,0)),W157),0)</f>
        <v/>
      </c>
      <c r="Y157" s="21">
        <f>ROUND(U157+X157,2)</f>
        <v/>
      </c>
      <c r="Z157" s="21">
        <f>ROUND(V157+X157,2)</f>
        <v/>
      </c>
      <c r="AA157" s="21">
        <f>ROUND(W157-X157,2)</f>
        <v/>
      </c>
      <c r="AB157" s="6">
        <f>AND(AB156,L157&gt;0)</f>
        <v/>
      </c>
      <c r="AC157" s="21">
        <f>IF(PMI_Costs!$B$8=0,0,ROUND(PMI_Costs!$B$8*(1+PMI_Costs!$B$9/100)^INT((A157-1)/12)/12,2))</f>
        <v/>
      </c>
      <c r="AD157" s="21">
        <f>IF(PMI_Costs!$B$10=0,0,ROUND(PMI_Costs!$B$10*(1+PMI_Costs!$B$11/100)^INT((A157-1)/12)/12,2))</f>
        <v/>
      </c>
      <c r="AE157" s="21">
        <f>IF(PMI_Costs!$B$12=0,0,ROUND(PMI_Costs!$B$12*(1+PMI_Costs!$B$13/100)^INT((A157-1)/12)/12,2))</f>
        <v/>
      </c>
      <c r="AF157" s="22">
        <f>IF(PMI_Costs!$B$5=0,0,AA157/PMI_Costs!$B$5)</f>
        <v/>
      </c>
      <c r="AG157" s="6">
        <f>AND(PMI_Costs!$B$4&gt;0,AF157&gt;PMI_Costs!$B$6/100)</f>
        <v/>
      </c>
      <c r="AH157" s="21">
        <f>IF(AG157,ROUND(Segments!$G$5*PMI_Costs!$B$4/100/12,2),0)</f>
        <v/>
      </c>
      <c r="AI157" s="6">
        <f>AND(NOT(AG157),AG156)</f>
        <v/>
      </c>
    </row>
    <row r="158">
      <c r="A158" s="18" t="n">
        <v>154</v>
      </c>
      <c r="B158" s="18">
        <f>SUMPRODUCT((Segments!$J$5:$J$12&lt;&gt;"")*(Segments!$J$5:$J$12&lt;=A158))</f>
        <v/>
      </c>
      <c r="C158" s="19">
        <f>INDEX(Segments!$B$5:$B$12,B158)</f>
        <v/>
      </c>
      <c r="D158" s="18">
        <f>INDEX(Segments!$J$5:$J$12,B158)</f>
        <v/>
      </c>
      <c r="E158" s="19">
        <f>DATE(YEAR(C158)+INT((MONTH(C158)-1+(A158-D158))/12),MOD(MONTH(C158)-1+(A158-D158),12)+1,1)+(DAY(C158)-1)</f>
        <v/>
      </c>
      <c r="F158" s="20">
        <f>INDEX(Segments!$C$5:$C$12,B158)/100/12</f>
        <v/>
      </c>
      <c r="G158" s="21">
        <f>INDEX(Segments!$L$5:$L$12,B158)</f>
        <v/>
      </c>
      <c r="H158" s="6">
        <f>INDEX(Segments!$I$5:$I$12,B158)="Y"</f>
        <v/>
      </c>
      <c r="I158" s="6">
        <f>INDEX(Segments!$F$5:$F$12,B158)=""</f>
        <v/>
      </c>
      <c r="J158" s="18">
        <f>INDEX(Segments!$K$5:$K$12,B158)</f>
        <v/>
      </c>
      <c r="K158" s="18">
        <f>IF(INDEX(Segments!$F$5:$F$12,B158)&lt;&gt;"",INDEX(Segments!$F$5:$F$12,B158),IF(INDEX(Segments!$E$5:$E$12,B158)&lt;&gt;"",INDEX(Segments!$E$5:$E$12,B158),""))</f>
        <v/>
      </c>
      <c r="L158" s="21">
        <f>AA157</f>
        <v/>
      </c>
      <c r="M158" s="21">
        <f>IFERROR(INDEX(Overrides!$C:$C,MATCH(A158,Overrides!$A:$A,0)),"")</f>
        <v/>
      </c>
      <c r="N158" s="21">
        <f>IFERROR(INDEX(Overrides!$E:$E,MATCH(A158,Overrides!$A:$A,0)),"")</f>
        <v/>
      </c>
      <c r="O158" s="21">
        <f>IFERROR(INDEX(Overrides!$D:$D,MATCH(A158,Overrides!$A:$A,0)),"")</f>
        <v/>
      </c>
      <c r="P158" s="21">
        <f>IFERROR(INDEX(Overrides!$B:$B,MATCH(A158,Overrides!$A:$A,0)),"")</f>
        <v/>
      </c>
      <c r="Q158" s="6">
        <f>IFERROR(INDEX(Overrides!$F:$F,MATCH(A158,Overrides!$A:$A,0)),"")</f>
        <v/>
      </c>
      <c r="R158" s="6">
        <f>ISNUMBER(MATCH(A158,Overrides!$A:$A,0))</f>
        <v/>
      </c>
      <c r="S158" s="6">
        <f>OR(ROUND(L158-ROUND(G158-T158,2),2)&lt;=0,AND(I158,K158&lt;&gt;"",(A158-D158+1)=K158))</f>
        <v/>
      </c>
      <c r="T158" s="21">
        <f>IF(M158&lt;&gt;"",M158,ROUND(L158*F158,2))</f>
        <v/>
      </c>
      <c r="U158" s="21">
        <f>IF(R158,IF(O158&lt;&gt;"",O158,IF(N158&lt;&gt;"",ROUND(L158-N158,2),ROUND((IF(P158&lt;&gt;"",P158,G158))-T158,2))),IF(H158,0,IF(S158,L158,ROUND(G158-T158,2))))</f>
        <v/>
      </c>
      <c r="V158" s="21">
        <f>IF(R158,IF(P158&lt;&gt;"",P158,ROUND(T158+U158,2)),IF(H158,T158,IF(S158,ROUND(T158+U158,2),G158)))</f>
        <v/>
      </c>
      <c r="W158" s="21">
        <f>IF(R158,IF(N158&lt;&gt;"",N158,ROUND(L158-U158,2)),IF(H158,L158,IF(S158,0,ROUND(L158-U158,2))))</f>
        <v/>
      </c>
      <c r="X158" s="21">
        <f>IFERROR(MIN(INDEX(LumpSums!$B:$B,MATCH(A158,LumpSums!$A:$A,0)),W158),0)</f>
        <v/>
      </c>
      <c r="Y158" s="21">
        <f>ROUND(U158+X158,2)</f>
        <v/>
      </c>
      <c r="Z158" s="21">
        <f>ROUND(V158+X158,2)</f>
        <v/>
      </c>
      <c r="AA158" s="21">
        <f>ROUND(W158-X158,2)</f>
        <v/>
      </c>
      <c r="AB158" s="6">
        <f>AND(AB157,L158&gt;0)</f>
        <v/>
      </c>
      <c r="AC158" s="21">
        <f>IF(PMI_Costs!$B$8=0,0,ROUND(PMI_Costs!$B$8*(1+PMI_Costs!$B$9/100)^INT((A158-1)/12)/12,2))</f>
        <v/>
      </c>
      <c r="AD158" s="21">
        <f>IF(PMI_Costs!$B$10=0,0,ROUND(PMI_Costs!$B$10*(1+PMI_Costs!$B$11/100)^INT((A158-1)/12)/12,2))</f>
        <v/>
      </c>
      <c r="AE158" s="21">
        <f>IF(PMI_Costs!$B$12=0,0,ROUND(PMI_Costs!$B$12*(1+PMI_Costs!$B$13/100)^INT((A158-1)/12)/12,2))</f>
        <v/>
      </c>
      <c r="AF158" s="22">
        <f>IF(PMI_Costs!$B$5=0,0,AA158/PMI_Costs!$B$5)</f>
        <v/>
      </c>
      <c r="AG158" s="6">
        <f>AND(PMI_Costs!$B$4&gt;0,AF158&gt;PMI_Costs!$B$6/100)</f>
        <v/>
      </c>
      <c r="AH158" s="21">
        <f>IF(AG158,ROUND(Segments!$G$5*PMI_Costs!$B$4/100/12,2),0)</f>
        <v/>
      </c>
      <c r="AI158" s="6">
        <f>AND(NOT(AG158),AG157)</f>
        <v/>
      </c>
    </row>
    <row r="159">
      <c r="A159" s="18" t="n">
        <v>155</v>
      </c>
      <c r="B159" s="18">
        <f>SUMPRODUCT((Segments!$J$5:$J$12&lt;&gt;"")*(Segments!$J$5:$J$12&lt;=A159))</f>
        <v/>
      </c>
      <c r="C159" s="19">
        <f>INDEX(Segments!$B$5:$B$12,B159)</f>
        <v/>
      </c>
      <c r="D159" s="18">
        <f>INDEX(Segments!$J$5:$J$12,B159)</f>
        <v/>
      </c>
      <c r="E159" s="19">
        <f>DATE(YEAR(C159)+INT((MONTH(C159)-1+(A159-D159))/12),MOD(MONTH(C159)-1+(A159-D159),12)+1,1)+(DAY(C159)-1)</f>
        <v/>
      </c>
      <c r="F159" s="20">
        <f>INDEX(Segments!$C$5:$C$12,B159)/100/12</f>
        <v/>
      </c>
      <c r="G159" s="21">
        <f>INDEX(Segments!$L$5:$L$12,B159)</f>
        <v/>
      </c>
      <c r="H159" s="6">
        <f>INDEX(Segments!$I$5:$I$12,B159)="Y"</f>
        <v/>
      </c>
      <c r="I159" s="6">
        <f>INDEX(Segments!$F$5:$F$12,B159)=""</f>
        <v/>
      </c>
      <c r="J159" s="18">
        <f>INDEX(Segments!$K$5:$K$12,B159)</f>
        <v/>
      </c>
      <c r="K159" s="18">
        <f>IF(INDEX(Segments!$F$5:$F$12,B159)&lt;&gt;"",INDEX(Segments!$F$5:$F$12,B159),IF(INDEX(Segments!$E$5:$E$12,B159)&lt;&gt;"",INDEX(Segments!$E$5:$E$12,B159),""))</f>
        <v/>
      </c>
      <c r="L159" s="21">
        <f>AA158</f>
        <v/>
      </c>
      <c r="M159" s="21">
        <f>IFERROR(INDEX(Overrides!$C:$C,MATCH(A159,Overrides!$A:$A,0)),"")</f>
        <v/>
      </c>
      <c r="N159" s="21">
        <f>IFERROR(INDEX(Overrides!$E:$E,MATCH(A159,Overrides!$A:$A,0)),"")</f>
        <v/>
      </c>
      <c r="O159" s="21">
        <f>IFERROR(INDEX(Overrides!$D:$D,MATCH(A159,Overrides!$A:$A,0)),"")</f>
        <v/>
      </c>
      <c r="P159" s="21">
        <f>IFERROR(INDEX(Overrides!$B:$B,MATCH(A159,Overrides!$A:$A,0)),"")</f>
        <v/>
      </c>
      <c r="Q159" s="6">
        <f>IFERROR(INDEX(Overrides!$F:$F,MATCH(A159,Overrides!$A:$A,0)),"")</f>
        <v/>
      </c>
      <c r="R159" s="6">
        <f>ISNUMBER(MATCH(A159,Overrides!$A:$A,0))</f>
        <v/>
      </c>
      <c r="S159" s="6">
        <f>OR(ROUND(L159-ROUND(G159-T159,2),2)&lt;=0,AND(I159,K159&lt;&gt;"",(A159-D159+1)=K159))</f>
        <v/>
      </c>
      <c r="T159" s="21">
        <f>IF(M159&lt;&gt;"",M159,ROUND(L159*F159,2))</f>
        <v/>
      </c>
      <c r="U159" s="21">
        <f>IF(R159,IF(O159&lt;&gt;"",O159,IF(N159&lt;&gt;"",ROUND(L159-N159,2),ROUND((IF(P159&lt;&gt;"",P159,G159))-T159,2))),IF(H159,0,IF(S159,L159,ROUND(G159-T159,2))))</f>
        <v/>
      </c>
      <c r="V159" s="21">
        <f>IF(R159,IF(P159&lt;&gt;"",P159,ROUND(T159+U159,2)),IF(H159,T159,IF(S159,ROUND(T159+U159,2),G159)))</f>
        <v/>
      </c>
      <c r="W159" s="21">
        <f>IF(R159,IF(N159&lt;&gt;"",N159,ROUND(L159-U159,2)),IF(H159,L159,IF(S159,0,ROUND(L159-U159,2))))</f>
        <v/>
      </c>
      <c r="X159" s="21">
        <f>IFERROR(MIN(INDEX(LumpSums!$B:$B,MATCH(A159,LumpSums!$A:$A,0)),W159),0)</f>
        <v/>
      </c>
      <c r="Y159" s="21">
        <f>ROUND(U159+X159,2)</f>
        <v/>
      </c>
      <c r="Z159" s="21">
        <f>ROUND(V159+X159,2)</f>
        <v/>
      </c>
      <c r="AA159" s="21">
        <f>ROUND(W159-X159,2)</f>
        <v/>
      </c>
      <c r="AB159" s="6">
        <f>AND(AB158,L159&gt;0)</f>
        <v/>
      </c>
      <c r="AC159" s="21">
        <f>IF(PMI_Costs!$B$8=0,0,ROUND(PMI_Costs!$B$8*(1+PMI_Costs!$B$9/100)^INT((A159-1)/12)/12,2))</f>
        <v/>
      </c>
      <c r="AD159" s="21">
        <f>IF(PMI_Costs!$B$10=0,0,ROUND(PMI_Costs!$B$10*(1+PMI_Costs!$B$11/100)^INT((A159-1)/12)/12,2))</f>
        <v/>
      </c>
      <c r="AE159" s="21">
        <f>IF(PMI_Costs!$B$12=0,0,ROUND(PMI_Costs!$B$12*(1+PMI_Costs!$B$13/100)^INT((A159-1)/12)/12,2))</f>
        <v/>
      </c>
      <c r="AF159" s="22">
        <f>IF(PMI_Costs!$B$5=0,0,AA159/PMI_Costs!$B$5)</f>
        <v/>
      </c>
      <c r="AG159" s="6">
        <f>AND(PMI_Costs!$B$4&gt;0,AF159&gt;PMI_Costs!$B$6/100)</f>
        <v/>
      </c>
      <c r="AH159" s="21">
        <f>IF(AG159,ROUND(Segments!$G$5*PMI_Costs!$B$4/100/12,2),0)</f>
        <v/>
      </c>
      <c r="AI159" s="6">
        <f>AND(NOT(AG159),AG158)</f>
        <v/>
      </c>
    </row>
    <row r="160">
      <c r="A160" s="18" t="n">
        <v>156</v>
      </c>
      <c r="B160" s="18">
        <f>SUMPRODUCT((Segments!$J$5:$J$12&lt;&gt;"")*(Segments!$J$5:$J$12&lt;=A160))</f>
        <v/>
      </c>
      <c r="C160" s="19">
        <f>INDEX(Segments!$B$5:$B$12,B160)</f>
        <v/>
      </c>
      <c r="D160" s="18">
        <f>INDEX(Segments!$J$5:$J$12,B160)</f>
        <v/>
      </c>
      <c r="E160" s="19">
        <f>DATE(YEAR(C160)+INT((MONTH(C160)-1+(A160-D160))/12),MOD(MONTH(C160)-1+(A160-D160),12)+1,1)+(DAY(C160)-1)</f>
        <v/>
      </c>
      <c r="F160" s="20">
        <f>INDEX(Segments!$C$5:$C$12,B160)/100/12</f>
        <v/>
      </c>
      <c r="G160" s="21">
        <f>INDEX(Segments!$L$5:$L$12,B160)</f>
        <v/>
      </c>
      <c r="H160" s="6">
        <f>INDEX(Segments!$I$5:$I$12,B160)="Y"</f>
        <v/>
      </c>
      <c r="I160" s="6">
        <f>INDEX(Segments!$F$5:$F$12,B160)=""</f>
        <v/>
      </c>
      <c r="J160" s="18">
        <f>INDEX(Segments!$K$5:$K$12,B160)</f>
        <v/>
      </c>
      <c r="K160" s="18">
        <f>IF(INDEX(Segments!$F$5:$F$12,B160)&lt;&gt;"",INDEX(Segments!$F$5:$F$12,B160),IF(INDEX(Segments!$E$5:$E$12,B160)&lt;&gt;"",INDEX(Segments!$E$5:$E$12,B160),""))</f>
        <v/>
      </c>
      <c r="L160" s="21">
        <f>AA159</f>
        <v/>
      </c>
      <c r="M160" s="21">
        <f>IFERROR(INDEX(Overrides!$C:$C,MATCH(A160,Overrides!$A:$A,0)),"")</f>
        <v/>
      </c>
      <c r="N160" s="21">
        <f>IFERROR(INDEX(Overrides!$E:$E,MATCH(A160,Overrides!$A:$A,0)),"")</f>
        <v/>
      </c>
      <c r="O160" s="21">
        <f>IFERROR(INDEX(Overrides!$D:$D,MATCH(A160,Overrides!$A:$A,0)),"")</f>
        <v/>
      </c>
      <c r="P160" s="21">
        <f>IFERROR(INDEX(Overrides!$B:$B,MATCH(A160,Overrides!$A:$A,0)),"")</f>
        <v/>
      </c>
      <c r="Q160" s="6">
        <f>IFERROR(INDEX(Overrides!$F:$F,MATCH(A160,Overrides!$A:$A,0)),"")</f>
        <v/>
      </c>
      <c r="R160" s="6">
        <f>ISNUMBER(MATCH(A160,Overrides!$A:$A,0))</f>
        <v/>
      </c>
      <c r="S160" s="6">
        <f>OR(ROUND(L160-ROUND(G160-T160,2),2)&lt;=0,AND(I160,K160&lt;&gt;"",(A160-D160+1)=K160))</f>
        <v/>
      </c>
      <c r="T160" s="21">
        <f>IF(M160&lt;&gt;"",M160,ROUND(L160*F160,2))</f>
        <v/>
      </c>
      <c r="U160" s="21">
        <f>IF(R160,IF(O160&lt;&gt;"",O160,IF(N160&lt;&gt;"",ROUND(L160-N160,2),ROUND((IF(P160&lt;&gt;"",P160,G160))-T160,2))),IF(H160,0,IF(S160,L160,ROUND(G160-T160,2))))</f>
        <v/>
      </c>
      <c r="V160" s="21">
        <f>IF(R160,IF(P160&lt;&gt;"",P160,ROUND(T160+U160,2)),IF(H160,T160,IF(S160,ROUND(T160+U160,2),G160)))</f>
        <v/>
      </c>
      <c r="W160" s="21">
        <f>IF(R160,IF(N160&lt;&gt;"",N160,ROUND(L160-U160,2)),IF(H160,L160,IF(S160,0,ROUND(L160-U160,2))))</f>
        <v/>
      </c>
      <c r="X160" s="21">
        <f>IFERROR(MIN(INDEX(LumpSums!$B:$B,MATCH(A160,LumpSums!$A:$A,0)),W160),0)</f>
        <v/>
      </c>
      <c r="Y160" s="21">
        <f>ROUND(U160+X160,2)</f>
        <v/>
      </c>
      <c r="Z160" s="21">
        <f>ROUND(V160+X160,2)</f>
        <v/>
      </c>
      <c r="AA160" s="21">
        <f>ROUND(W160-X160,2)</f>
        <v/>
      </c>
      <c r="AB160" s="6">
        <f>AND(AB159,L160&gt;0)</f>
        <v/>
      </c>
      <c r="AC160" s="21">
        <f>IF(PMI_Costs!$B$8=0,0,ROUND(PMI_Costs!$B$8*(1+PMI_Costs!$B$9/100)^INT((A160-1)/12)/12,2))</f>
        <v/>
      </c>
      <c r="AD160" s="21">
        <f>IF(PMI_Costs!$B$10=0,0,ROUND(PMI_Costs!$B$10*(1+PMI_Costs!$B$11/100)^INT((A160-1)/12)/12,2))</f>
        <v/>
      </c>
      <c r="AE160" s="21">
        <f>IF(PMI_Costs!$B$12=0,0,ROUND(PMI_Costs!$B$12*(1+PMI_Costs!$B$13/100)^INT((A160-1)/12)/12,2))</f>
        <v/>
      </c>
      <c r="AF160" s="22">
        <f>IF(PMI_Costs!$B$5=0,0,AA160/PMI_Costs!$B$5)</f>
        <v/>
      </c>
      <c r="AG160" s="6">
        <f>AND(PMI_Costs!$B$4&gt;0,AF160&gt;PMI_Costs!$B$6/100)</f>
        <v/>
      </c>
      <c r="AH160" s="21">
        <f>IF(AG160,ROUND(Segments!$G$5*PMI_Costs!$B$4/100/12,2),0)</f>
        <v/>
      </c>
      <c r="AI160" s="6">
        <f>AND(NOT(AG160),AG159)</f>
        <v/>
      </c>
    </row>
    <row r="161">
      <c r="A161" s="18" t="n">
        <v>157</v>
      </c>
      <c r="B161" s="18">
        <f>SUMPRODUCT((Segments!$J$5:$J$12&lt;&gt;"")*(Segments!$J$5:$J$12&lt;=A161))</f>
        <v/>
      </c>
      <c r="C161" s="19">
        <f>INDEX(Segments!$B$5:$B$12,B161)</f>
        <v/>
      </c>
      <c r="D161" s="18">
        <f>INDEX(Segments!$J$5:$J$12,B161)</f>
        <v/>
      </c>
      <c r="E161" s="19">
        <f>DATE(YEAR(C161)+INT((MONTH(C161)-1+(A161-D161))/12),MOD(MONTH(C161)-1+(A161-D161),12)+1,1)+(DAY(C161)-1)</f>
        <v/>
      </c>
      <c r="F161" s="20">
        <f>INDEX(Segments!$C$5:$C$12,B161)/100/12</f>
        <v/>
      </c>
      <c r="G161" s="21">
        <f>INDEX(Segments!$L$5:$L$12,B161)</f>
        <v/>
      </c>
      <c r="H161" s="6">
        <f>INDEX(Segments!$I$5:$I$12,B161)="Y"</f>
        <v/>
      </c>
      <c r="I161" s="6">
        <f>INDEX(Segments!$F$5:$F$12,B161)=""</f>
        <v/>
      </c>
      <c r="J161" s="18">
        <f>INDEX(Segments!$K$5:$K$12,B161)</f>
        <v/>
      </c>
      <c r="K161" s="18">
        <f>IF(INDEX(Segments!$F$5:$F$12,B161)&lt;&gt;"",INDEX(Segments!$F$5:$F$12,B161),IF(INDEX(Segments!$E$5:$E$12,B161)&lt;&gt;"",INDEX(Segments!$E$5:$E$12,B161),""))</f>
        <v/>
      </c>
      <c r="L161" s="21">
        <f>AA160</f>
        <v/>
      </c>
      <c r="M161" s="21">
        <f>IFERROR(INDEX(Overrides!$C:$C,MATCH(A161,Overrides!$A:$A,0)),"")</f>
        <v/>
      </c>
      <c r="N161" s="21">
        <f>IFERROR(INDEX(Overrides!$E:$E,MATCH(A161,Overrides!$A:$A,0)),"")</f>
        <v/>
      </c>
      <c r="O161" s="21">
        <f>IFERROR(INDEX(Overrides!$D:$D,MATCH(A161,Overrides!$A:$A,0)),"")</f>
        <v/>
      </c>
      <c r="P161" s="21">
        <f>IFERROR(INDEX(Overrides!$B:$B,MATCH(A161,Overrides!$A:$A,0)),"")</f>
        <v/>
      </c>
      <c r="Q161" s="6">
        <f>IFERROR(INDEX(Overrides!$F:$F,MATCH(A161,Overrides!$A:$A,0)),"")</f>
        <v/>
      </c>
      <c r="R161" s="6">
        <f>ISNUMBER(MATCH(A161,Overrides!$A:$A,0))</f>
        <v/>
      </c>
      <c r="S161" s="6">
        <f>OR(ROUND(L161-ROUND(G161-T161,2),2)&lt;=0,AND(I161,K161&lt;&gt;"",(A161-D161+1)=K161))</f>
        <v/>
      </c>
      <c r="T161" s="21">
        <f>IF(M161&lt;&gt;"",M161,ROUND(L161*F161,2))</f>
        <v/>
      </c>
      <c r="U161" s="21">
        <f>IF(R161,IF(O161&lt;&gt;"",O161,IF(N161&lt;&gt;"",ROUND(L161-N161,2),ROUND((IF(P161&lt;&gt;"",P161,G161))-T161,2))),IF(H161,0,IF(S161,L161,ROUND(G161-T161,2))))</f>
        <v/>
      </c>
      <c r="V161" s="21">
        <f>IF(R161,IF(P161&lt;&gt;"",P161,ROUND(T161+U161,2)),IF(H161,T161,IF(S161,ROUND(T161+U161,2),G161)))</f>
        <v/>
      </c>
      <c r="W161" s="21">
        <f>IF(R161,IF(N161&lt;&gt;"",N161,ROUND(L161-U161,2)),IF(H161,L161,IF(S161,0,ROUND(L161-U161,2))))</f>
        <v/>
      </c>
      <c r="X161" s="21">
        <f>IFERROR(MIN(INDEX(LumpSums!$B:$B,MATCH(A161,LumpSums!$A:$A,0)),W161),0)</f>
        <v/>
      </c>
      <c r="Y161" s="21">
        <f>ROUND(U161+X161,2)</f>
        <v/>
      </c>
      <c r="Z161" s="21">
        <f>ROUND(V161+X161,2)</f>
        <v/>
      </c>
      <c r="AA161" s="21">
        <f>ROUND(W161-X161,2)</f>
        <v/>
      </c>
      <c r="AB161" s="6">
        <f>AND(AB160,L161&gt;0)</f>
        <v/>
      </c>
      <c r="AC161" s="21">
        <f>IF(PMI_Costs!$B$8=0,0,ROUND(PMI_Costs!$B$8*(1+PMI_Costs!$B$9/100)^INT((A161-1)/12)/12,2))</f>
        <v/>
      </c>
      <c r="AD161" s="21">
        <f>IF(PMI_Costs!$B$10=0,0,ROUND(PMI_Costs!$B$10*(1+PMI_Costs!$B$11/100)^INT((A161-1)/12)/12,2))</f>
        <v/>
      </c>
      <c r="AE161" s="21">
        <f>IF(PMI_Costs!$B$12=0,0,ROUND(PMI_Costs!$B$12*(1+PMI_Costs!$B$13/100)^INT((A161-1)/12)/12,2))</f>
        <v/>
      </c>
      <c r="AF161" s="22">
        <f>IF(PMI_Costs!$B$5=0,0,AA161/PMI_Costs!$B$5)</f>
        <v/>
      </c>
      <c r="AG161" s="6">
        <f>AND(PMI_Costs!$B$4&gt;0,AF161&gt;PMI_Costs!$B$6/100)</f>
        <v/>
      </c>
      <c r="AH161" s="21">
        <f>IF(AG161,ROUND(Segments!$G$5*PMI_Costs!$B$4/100/12,2),0)</f>
        <v/>
      </c>
      <c r="AI161" s="6">
        <f>AND(NOT(AG161),AG160)</f>
        <v/>
      </c>
    </row>
    <row r="162">
      <c r="A162" s="18" t="n">
        <v>158</v>
      </c>
      <c r="B162" s="18">
        <f>SUMPRODUCT((Segments!$J$5:$J$12&lt;&gt;"")*(Segments!$J$5:$J$12&lt;=A162))</f>
        <v/>
      </c>
      <c r="C162" s="19">
        <f>INDEX(Segments!$B$5:$B$12,B162)</f>
        <v/>
      </c>
      <c r="D162" s="18">
        <f>INDEX(Segments!$J$5:$J$12,B162)</f>
        <v/>
      </c>
      <c r="E162" s="19">
        <f>DATE(YEAR(C162)+INT((MONTH(C162)-1+(A162-D162))/12),MOD(MONTH(C162)-1+(A162-D162),12)+1,1)+(DAY(C162)-1)</f>
        <v/>
      </c>
      <c r="F162" s="20">
        <f>INDEX(Segments!$C$5:$C$12,B162)/100/12</f>
        <v/>
      </c>
      <c r="G162" s="21">
        <f>INDEX(Segments!$L$5:$L$12,B162)</f>
        <v/>
      </c>
      <c r="H162" s="6">
        <f>INDEX(Segments!$I$5:$I$12,B162)="Y"</f>
        <v/>
      </c>
      <c r="I162" s="6">
        <f>INDEX(Segments!$F$5:$F$12,B162)=""</f>
        <v/>
      </c>
      <c r="J162" s="18">
        <f>INDEX(Segments!$K$5:$K$12,B162)</f>
        <v/>
      </c>
      <c r="K162" s="18">
        <f>IF(INDEX(Segments!$F$5:$F$12,B162)&lt;&gt;"",INDEX(Segments!$F$5:$F$12,B162),IF(INDEX(Segments!$E$5:$E$12,B162)&lt;&gt;"",INDEX(Segments!$E$5:$E$12,B162),""))</f>
        <v/>
      </c>
      <c r="L162" s="21">
        <f>AA161</f>
        <v/>
      </c>
      <c r="M162" s="21">
        <f>IFERROR(INDEX(Overrides!$C:$C,MATCH(A162,Overrides!$A:$A,0)),"")</f>
        <v/>
      </c>
      <c r="N162" s="21">
        <f>IFERROR(INDEX(Overrides!$E:$E,MATCH(A162,Overrides!$A:$A,0)),"")</f>
        <v/>
      </c>
      <c r="O162" s="21">
        <f>IFERROR(INDEX(Overrides!$D:$D,MATCH(A162,Overrides!$A:$A,0)),"")</f>
        <v/>
      </c>
      <c r="P162" s="21">
        <f>IFERROR(INDEX(Overrides!$B:$B,MATCH(A162,Overrides!$A:$A,0)),"")</f>
        <v/>
      </c>
      <c r="Q162" s="6">
        <f>IFERROR(INDEX(Overrides!$F:$F,MATCH(A162,Overrides!$A:$A,0)),"")</f>
        <v/>
      </c>
      <c r="R162" s="6">
        <f>ISNUMBER(MATCH(A162,Overrides!$A:$A,0))</f>
        <v/>
      </c>
      <c r="S162" s="6">
        <f>OR(ROUND(L162-ROUND(G162-T162,2),2)&lt;=0,AND(I162,K162&lt;&gt;"",(A162-D162+1)=K162))</f>
        <v/>
      </c>
      <c r="T162" s="21">
        <f>IF(M162&lt;&gt;"",M162,ROUND(L162*F162,2))</f>
        <v/>
      </c>
      <c r="U162" s="21">
        <f>IF(R162,IF(O162&lt;&gt;"",O162,IF(N162&lt;&gt;"",ROUND(L162-N162,2),ROUND((IF(P162&lt;&gt;"",P162,G162))-T162,2))),IF(H162,0,IF(S162,L162,ROUND(G162-T162,2))))</f>
        <v/>
      </c>
      <c r="V162" s="21">
        <f>IF(R162,IF(P162&lt;&gt;"",P162,ROUND(T162+U162,2)),IF(H162,T162,IF(S162,ROUND(T162+U162,2),G162)))</f>
        <v/>
      </c>
      <c r="W162" s="21">
        <f>IF(R162,IF(N162&lt;&gt;"",N162,ROUND(L162-U162,2)),IF(H162,L162,IF(S162,0,ROUND(L162-U162,2))))</f>
        <v/>
      </c>
      <c r="X162" s="21">
        <f>IFERROR(MIN(INDEX(LumpSums!$B:$B,MATCH(A162,LumpSums!$A:$A,0)),W162),0)</f>
        <v/>
      </c>
      <c r="Y162" s="21">
        <f>ROUND(U162+X162,2)</f>
        <v/>
      </c>
      <c r="Z162" s="21">
        <f>ROUND(V162+X162,2)</f>
        <v/>
      </c>
      <c r="AA162" s="21">
        <f>ROUND(W162-X162,2)</f>
        <v/>
      </c>
      <c r="AB162" s="6">
        <f>AND(AB161,L162&gt;0)</f>
        <v/>
      </c>
      <c r="AC162" s="21">
        <f>IF(PMI_Costs!$B$8=0,0,ROUND(PMI_Costs!$B$8*(1+PMI_Costs!$B$9/100)^INT((A162-1)/12)/12,2))</f>
        <v/>
      </c>
      <c r="AD162" s="21">
        <f>IF(PMI_Costs!$B$10=0,0,ROUND(PMI_Costs!$B$10*(1+PMI_Costs!$B$11/100)^INT((A162-1)/12)/12,2))</f>
        <v/>
      </c>
      <c r="AE162" s="21">
        <f>IF(PMI_Costs!$B$12=0,0,ROUND(PMI_Costs!$B$12*(1+PMI_Costs!$B$13/100)^INT((A162-1)/12)/12,2))</f>
        <v/>
      </c>
      <c r="AF162" s="22">
        <f>IF(PMI_Costs!$B$5=0,0,AA162/PMI_Costs!$B$5)</f>
        <v/>
      </c>
      <c r="AG162" s="6">
        <f>AND(PMI_Costs!$B$4&gt;0,AF162&gt;PMI_Costs!$B$6/100)</f>
        <v/>
      </c>
      <c r="AH162" s="21">
        <f>IF(AG162,ROUND(Segments!$G$5*PMI_Costs!$B$4/100/12,2),0)</f>
        <v/>
      </c>
      <c r="AI162" s="6">
        <f>AND(NOT(AG162),AG161)</f>
        <v/>
      </c>
    </row>
    <row r="163">
      <c r="A163" s="18" t="n">
        <v>159</v>
      </c>
      <c r="B163" s="18">
        <f>SUMPRODUCT((Segments!$J$5:$J$12&lt;&gt;"")*(Segments!$J$5:$J$12&lt;=A163))</f>
        <v/>
      </c>
      <c r="C163" s="19">
        <f>INDEX(Segments!$B$5:$B$12,B163)</f>
        <v/>
      </c>
      <c r="D163" s="18">
        <f>INDEX(Segments!$J$5:$J$12,B163)</f>
        <v/>
      </c>
      <c r="E163" s="19">
        <f>DATE(YEAR(C163)+INT((MONTH(C163)-1+(A163-D163))/12),MOD(MONTH(C163)-1+(A163-D163),12)+1,1)+(DAY(C163)-1)</f>
        <v/>
      </c>
      <c r="F163" s="20">
        <f>INDEX(Segments!$C$5:$C$12,B163)/100/12</f>
        <v/>
      </c>
      <c r="G163" s="21">
        <f>INDEX(Segments!$L$5:$L$12,B163)</f>
        <v/>
      </c>
      <c r="H163" s="6">
        <f>INDEX(Segments!$I$5:$I$12,B163)="Y"</f>
        <v/>
      </c>
      <c r="I163" s="6">
        <f>INDEX(Segments!$F$5:$F$12,B163)=""</f>
        <v/>
      </c>
      <c r="J163" s="18">
        <f>INDEX(Segments!$K$5:$K$12,B163)</f>
        <v/>
      </c>
      <c r="K163" s="18">
        <f>IF(INDEX(Segments!$F$5:$F$12,B163)&lt;&gt;"",INDEX(Segments!$F$5:$F$12,B163),IF(INDEX(Segments!$E$5:$E$12,B163)&lt;&gt;"",INDEX(Segments!$E$5:$E$12,B163),""))</f>
        <v/>
      </c>
      <c r="L163" s="21">
        <f>AA162</f>
        <v/>
      </c>
      <c r="M163" s="21">
        <f>IFERROR(INDEX(Overrides!$C:$C,MATCH(A163,Overrides!$A:$A,0)),"")</f>
        <v/>
      </c>
      <c r="N163" s="21">
        <f>IFERROR(INDEX(Overrides!$E:$E,MATCH(A163,Overrides!$A:$A,0)),"")</f>
        <v/>
      </c>
      <c r="O163" s="21">
        <f>IFERROR(INDEX(Overrides!$D:$D,MATCH(A163,Overrides!$A:$A,0)),"")</f>
        <v/>
      </c>
      <c r="P163" s="21">
        <f>IFERROR(INDEX(Overrides!$B:$B,MATCH(A163,Overrides!$A:$A,0)),"")</f>
        <v/>
      </c>
      <c r="Q163" s="6">
        <f>IFERROR(INDEX(Overrides!$F:$F,MATCH(A163,Overrides!$A:$A,0)),"")</f>
        <v/>
      </c>
      <c r="R163" s="6">
        <f>ISNUMBER(MATCH(A163,Overrides!$A:$A,0))</f>
        <v/>
      </c>
      <c r="S163" s="6">
        <f>OR(ROUND(L163-ROUND(G163-T163,2),2)&lt;=0,AND(I163,K163&lt;&gt;"",(A163-D163+1)=K163))</f>
        <v/>
      </c>
      <c r="T163" s="21">
        <f>IF(M163&lt;&gt;"",M163,ROUND(L163*F163,2))</f>
        <v/>
      </c>
      <c r="U163" s="21">
        <f>IF(R163,IF(O163&lt;&gt;"",O163,IF(N163&lt;&gt;"",ROUND(L163-N163,2),ROUND((IF(P163&lt;&gt;"",P163,G163))-T163,2))),IF(H163,0,IF(S163,L163,ROUND(G163-T163,2))))</f>
        <v/>
      </c>
      <c r="V163" s="21">
        <f>IF(R163,IF(P163&lt;&gt;"",P163,ROUND(T163+U163,2)),IF(H163,T163,IF(S163,ROUND(T163+U163,2),G163)))</f>
        <v/>
      </c>
      <c r="W163" s="21">
        <f>IF(R163,IF(N163&lt;&gt;"",N163,ROUND(L163-U163,2)),IF(H163,L163,IF(S163,0,ROUND(L163-U163,2))))</f>
        <v/>
      </c>
      <c r="X163" s="21">
        <f>IFERROR(MIN(INDEX(LumpSums!$B:$B,MATCH(A163,LumpSums!$A:$A,0)),W163),0)</f>
        <v/>
      </c>
      <c r="Y163" s="21">
        <f>ROUND(U163+X163,2)</f>
        <v/>
      </c>
      <c r="Z163" s="21">
        <f>ROUND(V163+X163,2)</f>
        <v/>
      </c>
      <c r="AA163" s="21">
        <f>ROUND(W163-X163,2)</f>
        <v/>
      </c>
      <c r="AB163" s="6">
        <f>AND(AB162,L163&gt;0)</f>
        <v/>
      </c>
      <c r="AC163" s="21">
        <f>IF(PMI_Costs!$B$8=0,0,ROUND(PMI_Costs!$B$8*(1+PMI_Costs!$B$9/100)^INT((A163-1)/12)/12,2))</f>
        <v/>
      </c>
      <c r="AD163" s="21">
        <f>IF(PMI_Costs!$B$10=0,0,ROUND(PMI_Costs!$B$10*(1+PMI_Costs!$B$11/100)^INT((A163-1)/12)/12,2))</f>
        <v/>
      </c>
      <c r="AE163" s="21">
        <f>IF(PMI_Costs!$B$12=0,0,ROUND(PMI_Costs!$B$12*(1+PMI_Costs!$B$13/100)^INT((A163-1)/12)/12,2))</f>
        <v/>
      </c>
      <c r="AF163" s="22">
        <f>IF(PMI_Costs!$B$5=0,0,AA163/PMI_Costs!$B$5)</f>
        <v/>
      </c>
      <c r="AG163" s="6">
        <f>AND(PMI_Costs!$B$4&gt;0,AF163&gt;PMI_Costs!$B$6/100)</f>
        <v/>
      </c>
      <c r="AH163" s="21">
        <f>IF(AG163,ROUND(Segments!$G$5*PMI_Costs!$B$4/100/12,2),0)</f>
        <v/>
      </c>
      <c r="AI163" s="6">
        <f>AND(NOT(AG163),AG162)</f>
        <v/>
      </c>
    </row>
    <row r="164">
      <c r="A164" s="18" t="n">
        <v>160</v>
      </c>
      <c r="B164" s="18">
        <f>SUMPRODUCT((Segments!$J$5:$J$12&lt;&gt;"")*(Segments!$J$5:$J$12&lt;=A164))</f>
        <v/>
      </c>
      <c r="C164" s="19">
        <f>INDEX(Segments!$B$5:$B$12,B164)</f>
        <v/>
      </c>
      <c r="D164" s="18">
        <f>INDEX(Segments!$J$5:$J$12,B164)</f>
        <v/>
      </c>
      <c r="E164" s="19">
        <f>DATE(YEAR(C164)+INT((MONTH(C164)-1+(A164-D164))/12),MOD(MONTH(C164)-1+(A164-D164),12)+1,1)+(DAY(C164)-1)</f>
        <v/>
      </c>
      <c r="F164" s="20">
        <f>INDEX(Segments!$C$5:$C$12,B164)/100/12</f>
        <v/>
      </c>
      <c r="G164" s="21">
        <f>INDEX(Segments!$L$5:$L$12,B164)</f>
        <v/>
      </c>
      <c r="H164" s="6">
        <f>INDEX(Segments!$I$5:$I$12,B164)="Y"</f>
        <v/>
      </c>
      <c r="I164" s="6">
        <f>INDEX(Segments!$F$5:$F$12,B164)=""</f>
        <v/>
      </c>
      <c r="J164" s="18">
        <f>INDEX(Segments!$K$5:$K$12,B164)</f>
        <v/>
      </c>
      <c r="K164" s="18">
        <f>IF(INDEX(Segments!$F$5:$F$12,B164)&lt;&gt;"",INDEX(Segments!$F$5:$F$12,B164),IF(INDEX(Segments!$E$5:$E$12,B164)&lt;&gt;"",INDEX(Segments!$E$5:$E$12,B164),""))</f>
        <v/>
      </c>
      <c r="L164" s="21">
        <f>AA163</f>
        <v/>
      </c>
      <c r="M164" s="21">
        <f>IFERROR(INDEX(Overrides!$C:$C,MATCH(A164,Overrides!$A:$A,0)),"")</f>
        <v/>
      </c>
      <c r="N164" s="21">
        <f>IFERROR(INDEX(Overrides!$E:$E,MATCH(A164,Overrides!$A:$A,0)),"")</f>
        <v/>
      </c>
      <c r="O164" s="21">
        <f>IFERROR(INDEX(Overrides!$D:$D,MATCH(A164,Overrides!$A:$A,0)),"")</f>
        <v/>
      </c>
      <c r="P164" s="21">
        <f>IFERROR(INDEX(Overrides!$B:$B,MATCH(A164,Overrides!$A:$A,0)),"")</f>
        <v/>
      </c>
      <c r="Q164" s="6">
        <f>IFERROR(INDEX(Overrides!$F:$F,MATCH(A164,Overrides!$A:$A,0)),"")</f>
        <v/>
      </c>
      <c r="R164" s="6">
        <f>ISNUMBER(MATCH(A164,Overrides!$A:$A,0))</f>
        <v/>
      </c>
      <c r="S164" s="6">
        <f>OR(ROUND(L164-ROUND(G164-T164,2),2)&lt;=0,AND(I164,K164&lt;&gt;"",(A164-D164+1)=K164))</f>
        <v/>
      </c>
      <c r="T164" s="21">
        <f>IF(M164&lt;&gt;"",M164,ROUND(L164*F164,2))</f>
        <v/>
      </c>
      <c r="U164" s="21">
        <f>IF(R164,IF(O164&lt;&gt;"",O164,IF(N164&lt;&gt;"",ROUND(L164-N164,2),ROUND((IF(P164&lt;&gt;"",P164,G164))-T164,2))),IF(H164,0,IF(S164,L164,ROUND(G164-T164,2))))</f>
        <v/>
      </c>
      <c r="V164" s="21">
        <f>IF(R164,IF(P164&lt;&gt;"",P164,ROUND(T164+U164,2)),IF(H164,T164,IF(S164,ROUND(T164+U164,2),G164)))</f>
        <v/>
      </c>
      <c r="W164" s="21">
        <f>IF(R164,IF(N164&lt;&gt;"",N164,ROUND(L164-U164,2)),IF(H164,L164,IF(S164,0,ROUND(L164-U164,2))))</f>
        <v/>
      </c>
      <c r="X164" s="21">
        <f>IFERROR(MIN(INDEX(LumpSums!$B:$B,MATCH(A164,LumpSums!$A:$A,0)),W164),0)</f>
        <v/>
      </c>
      <c r="Y164" s="21">
        <f>ROUND(U164+X164,2)</f>
        <v/>
      </c>
      <c r="Z164" s="21">
        <f>ROUND(V164+X164,2)</f>
        <v/>
      </c>
      <c r="AA164" s="21">
        <f>ROUND(W164-X164,2)</f>
        <v/>
      </c>
      <c r="AB164" s="6">
        <f>AND(AB163,L164&gt;0)</f>
        <v/>
      </c>
      <c r="AC164" s="21">
        <f>IF(PMI_Costs!$B$8=0,0,ROUND(PMI_Costs!$B$8*(1+PMI_Costs!$B$9/100)^INT((A164-1)/12)/12,2))</f>
        <v/>
      </c>
      <c r="AD164" s="21">
        <f>IF(PMI_Costs!$B$10=0,0,ROUND(PMI_Costs!$B$10*(1+PMI_Costs!$B$11/100)^INT((A164-1)/12)/12,2))</f>
        <v/>
      </c>
      <c r="AE164" s="21">
        <f>IF(PMI_Costs!$B$12=0,0,ROUND(PMI_Costs!$B$12*(1+PMI_Costs!$B$13/100)^INT((A164-1)/12)/12,2))</f>
        <v/>
      </c>
      <c r="AF164" s="22">
        <f>IF(PMI_Costs!$B$5=0,0,AA164/PMI_Costs!$B$5)</f>
        <v/>
      </c>
      <c r="AG164" s="6">
        <f>AND(PMI_Costs!$B$4&gt;0,AF164&gt;PMI_Costs!$B$6/100)</f>
        <v/>
      </c>
      <c r="AH164" s="21">
        <f>IF(AG164,ROUND(Segments!$G$5*PMI_Costs!$B$4/100/12,2),0)</f>
        <v/>
      </c>
      <c r="AI164" s="6">
        <f>AND(NOT(AG164),AG163)</f>
        <v/>
      </c>
    </row>
    <row r="165">
      <c r="A165" s="18" t="n">
        <v>161</v>
      </c>
      <c r="B165" s="18">
        <f>SUMPRODUCT((Segments!$J$5:$J$12&lt;&gt;"")*(Segments!$J$5:$J$12&lt;=A165))</f>
        <v/>
      </c>
      <c r="C165" s="19">
        <f>INDEX(Segments!$B$5:$B$12,B165)</f>
        <v/>
      </c>
      <c r="D165" s="18">
        <f>INDEX(Segments!$J$5:$J$12,B165)</f>
        <v/>
      </c>
      <c r="E165" s="19">
        <f>DATE(YEAR(C165)+INT((MONTH(C165)-1+(A165-D165))/12),MOD(MONTH(C165)-1+(A165-D165),12)+1,1)+(DAY(C165)-1)</f>
        <v/>
      </c>
      <c r="F165" s="20">
        <f>INDEX(Segments!$C$5:$C$12,B165)/100/12</f>
        <v/>
      </c>
      <c r="G165" s="21">
        <f>INDEX(Segments!$L$5:$L$12,B165)</f>
        <v/>
      </c>
      <c r="H165" s="6">
        <f>INDEX(Segments!$I$5:$I$12,B165)="Y"</f>
        <v/>
      </c>
      <c r="I165" s="6">
        <f>INDEX(Segments!$F$5:$F$12,B165)=""</f>
        <v/>
      </c>
      <c r="J165" s="18">
        <f>INDEX(Segments!$K$5:$K$12,B165)</f>
        <v/>
      </c>
      <c r="K165" s="18">
        <f>IF(INDEX(Segments!$F$5:$F$12,B165)&lt;&gt;"",INDEX(Segments!$F$5:$F$12,B165),IF(INDEX(Segments!$E$5:$E$12,B165)&lt;&gt;"",INDEX(Segments!$E$5:$E$12,B165),""))</f>
        <v/>
      </c>
      <c r="L165" s="21">
        <f>AA164</f>
        <v/>
      </c>
      <c r="M165" s="21">
        <f>IFERROR(INDEX(Overrides!$C:$C,MATCH(A165,Overrides!$A:$A,0)),"")</f>
        <v/>
      </c>
      <c r="N165" s="21">
        <f>IFERROR(INDEX(Overrides!$E:$E,MATCH(A165,Overrides!$A:$A,0)),"")</f>
        <v/>
      </c>
      <c r="O165" s="21">
        <f>IFERROR(INDEX(Overrides!$D:$D,MATCH(A165,Overrides!$A:$A,0)),"")</f>
        <v/>
      </c>
      <c r="P165" s="21">
        <f>IFERROR(INDEX(Overrides!$B:$B,MATCH(A165,Overrides!$A:$A,0)),"")</f>
        <v/>
      </c>
      <c r="Q165" s="6">
        <f>IFERROR(INDEX(Overrides!$F:$F,MATCH(A165,Overrides!$A:$A,0)),"")</f>
        <v/>
      </c>
      <c r="R165" s="6">
        <f>ISNUMBER(MATCH(A165,Overrides!$A:$A,0))</f>
        <v/>
      </c>
      <c r="S165" s="6">
        <f>OR(ROUND(L165-ROUND(G165-T165,2),2)&lt;=0,AND(I165,K165&lt;&gt;"",(A165-D165+1)=K165))</f>
        <v/>
      </c>
      <c r="T165" s="21">
        <f>IF(M165&lt;&gt;"",M165,ROUND(L165*F165,2))</f>
        <v/>
      </c>
      <c r="U165" s="21">
        <f>IF(R165,IF(O165&lt;&gt;"",O165,IF(N165&lt;&gt;"",ROUND(L165-N165,2),ROUND((IF(P165&lt;&gt;"",P165,G165))-T165,2))),IF(H165,0,IF(S165,L165,ROUND(G165-T165,2))))</f>
        <v/>
      </c>
      <c r="V165" s="21">
        <f>IF(R165,IF(P165&lt;&gt;"",P165,ROUND(T165+U165,2)),IF(H165,T165,IF(S165,ROUND(T165+U165,2),G165)))</f>
        <v/>
      </c>
      <c r="W165" s="21">
        <f>IF(R165,IF(N165&lt;&gt;"",N165,ROUND(L165-U165,2)),IF(H165,L165,IF(S165,0,ROUND(L165-U165,2))))</f>
        <v/>
      </c>
      <c r="X165" s="21">
        <f>IFERROR(MIN(INDEX(LumpSums!$B:$B,MATCH(A165,LumpSums!$A:$A,0)),W165),0)</f>
        <v/>
      </c>
      <c r="Y165" s="21">
        <f>ROUND(U165+X165,2)</f>
        <v/>
      </c>
      <c r="Z165" s="21">
        <f>ROUND(V165+X165,2)</f>
        <v/>
      </c>
      <c r="AA165" s="21">
        <f>ROUND(W165-X165,2)</f>
        <v/>
      </c>
      <c r="AB165" s="6">
        <f>AND(AB164,L165&gt;0)</f>
        <v/>
      </c>
      <c r="AC165" s="21">
        <f>IF(PMI_Costs!$B$8=0,0,ROUND(PMI_Costs!$B$8*(1+PMI_Costs!$B$9/100)^INT((A165-1)/12)/12,2))</f>
        <v/>
      </c>
      <c r="AD165" s="21">
        <f>IF(PMI_Costs!$B$10=0,0,ROUND(PMI_Costs!$B$10*(1+PMI_Costs!$B$11/100)^INT((A165-1)/12)/12,2))</f>
        <v/>
      </c>
      <c r="AE165" s="21">
        <f>IF(PMI_Costs!$B$12=0,0,ROUND(PMI_Costs!$B$12*(1+PMI_Costs!$B$13/100)^INT((A165-1)/12)/12,2))</f>
        <v/>
      </c>
      <c r="AF165" s="22">
        <f>IF(PMI_Costs!$B$5=0,0,AA165/PMI_Costs!$B$5)</f>
        <v/>
      </c>
      <c r="AG165" s="6">
        <f>AND(PMI_Costs!$B$4&gt;0,AF165&gt;PMI_Costs!$B$6/100)</f>
        <v/>
      </c>
      <c r="AH165" s="21">
        <f>IF(AG165,ROUND(Segments!$G$5*PMI_Costs!$B$4/100/12,2),0)</f>
        <v/>
      </c>
      <c r="AI165" s="6">
        <f>AND(NOT(AG165),AG164)</f>
        <v/>
      </c>
    </row>
    <row r="166">
      <c r="A166" s="18" t="n">
        <v>162</v>
      </c>
      <c r="B166" s="18">
        <f>SUMPRODUCT((Segments!$J$5:$J$12&lt;&gt;"")*(Segments!$J$5:$J$12&lt;=A166))</f>
        <v/>
      </c>
      <c r="C166" s="19">
        <f>INDEX(Segments!$B$5:$B$12,B166)</f>
        <v/>
      </c>
      <c r="D166" s="18">
        <f>INDEX(Segments!$J$5:$J$12,B166)</f>
        <v/>
      </c>
      <c r="E166" s="19">
        <f>DATE(YEAR(C166)+INT((MONTH(C166)-1+(A166-D166))/12),MOD(MONTH(C166)-1+(A166-D166),12)+1,1)+(DAY(C166)-1)</f>
        <v/>
      </c>
      <c r="F166" s="20">
        <f>INDEX(Segments!$C$5:$C$12,B166)/100/12</f>
        <v/>
      </c>
      <c r="G166" s="21">
        <f>INDEX(Segments!$L$5:$L$12,B166)</f>
        <v/>
      </c>
      <c r="H166" s="6">
        <f>INDEX(Segments!$I$5:$I$12,B166)="Y"</f>
        <v/>
      </c>
      <c r="I166" s="6">
        <f>INDEX(Segments!$F$5:$F$12,B166)=""</f>
        <v/>
      </c>
      <c r="J166" s="18">
        <f>INDEX(Segments!$K$5:$K$12,B166)</f>
        <v/>
      </c>
      <c r="K166" s="18">
        <f>IF(INDEX(Segments!$F$5:$F$12,B166)&lt;&gt;"",INDEX(Segments!$F$5:$F$12,B166),IF(INDEX(Segments!$E$5:$E$12,B166)&lt;&gt;"",INDEX(Segments!$E$5:$E$12,B166),""))</f>
        <v/>
      </c>
      <c r="L166" s="21">
        <f>AA165</f>
        <v/>
      </c>
      <c r="M166" s="21">
        <f>IFERROR(INDEX(Overrides!$C:$C,MATCH(A166,Overrides!$A:$A,0)),"")</f>
        <v/>
      </c>
      <c r="N166" s="21">
        <f>IFERROR(INDEX(Overrides!$E:$E,MATCH(A166,Overrides!$A:$A,0)),"")</f>
        <v/>
      </c>
      <c r="O166" s="21">
        <f>IFERROR(INDEX(Overrides!$D:$D,MATCH(A166,Overrides!$A:$A,0)),"")</f>
        <v/>
      </c>
      <c r="P166" s="21">
        <f>IFERROR(INDEX(Overrides!$B:$B,MATCH(A166,Overrides!$A:$A,0)),"")</f>
        <v/>
      </c>
      <c r="Q166" s="6">
        <f>IFERROR(INDEX(Overrides!$F:$F,MATCH(A166,Overrides!$A:$A,0)),"")</f>
        <v/>
      </c>
      <c r="R166" s="6">
        <f>ISNUMBER(MATCH(A166,Overrides!$A:$A,0))</f>
        <v/>
      </c>
      <c r="S166" s="6">
        <f>OR(ROUND(L166-ROUND(G166-T166,2),2)&lt;=0,AND(I166,K166&lt;&gt;"",(A166-D166+1)=K166))</f>
        <v/>
      </c>
      <c r="T166" s="21">
        <f>IF(M166&lt;&gt;"",M166,ROUND(L166*F166,2))</f>
        <v/>
      </c>
      <c r="U166" s="21">
        <f>IF(R166,IF(O166&lt;&gt;"",O166,IF(N166&lt;&gt;"",ROUND(L166-N166,2),ROUND((IF(P166&lt;&gt;"",P166,G166))-T166,2))),IF(H166,0,IF(S166,L166,ROUND(G166-T166,2))))</f>
        <v/>
      </c>
      <c r="V166" s="21">
        <f>IF(R166,IF(P166&lt;&gt;"",P166,ROUND(T166+U166,2)),IF(H166,T166,IF(S166,ROUND(T166+U166,2),G166)))</f>
        <v/>
      </c>
      <c r="W166" s="21">
        <f>IF(R166,IF(N166&lt;&gt;"",N166,ROUND(L166-U166,2)),IF(H166,L166,IF(S166,0,ROUND(L166-U166,2))))</f>
        <v/>
      </c>
      <c r="X166" s="21">
        <f>IFERROR(MIN(INDEX(LumpSums!$B:$B,MATCH(A166,LumpSums!$A:$A,0)),W166),0)</f>
        <v/>
      </c>
      <c r="Y166" s="21">
        <f>ROUND(U166+X166,2)</f>
        <v/>
      </c>
      <c r="Z166" s="21">
        <f>ROUND(V166+X166,2)</f>
        <v/>
      </c>
      <c r="AA166" s="21">
        <f>ROUND(W166-X166,2)</f>
        <v/>
      </c>
      <c r="AB166" s="6">
        <f>AND(AB165,L166&gt;0)</f>
        <v/>
      </c>
      <c r="AC166" s="21">
        <f>IF(PMI_Costs!$B$8=0,0,ROUND(PMI_Costs!$B$8*(1+PMI_Costs!$B$9/100)^INT((A166-1)/12)/12,2))</f>
        <v/>
      </c>
      <c r="AD166" s="21">
        <f>IF(PMI_Costs!$B$10=0,0,ROUND(PMI_Costs!$B$10*(1+PMI_Costs!$B$11/100)^INT((A166-1)/12)/12,2))</f>
        <v/>
      </c>
      <c r="AE166" s="21">
        <f>IF(PMI_Costs!$B$12=0,0,ROUND(PMI_Costs!$B$12*(1+PMI_Costs!$B$13/100)^INT((A166-1)/12)/12,2))</f>
        <v/>
      </c>
      <c r="AF166" s="22">
        <f>IF(PMI_Costs!$B$5=0,0,AA166/PMI_Costs!$B$5)</f>
        <v/>
      </c>
      <c r="AG166" s="6">
        <f>AND(PMI_Costs!$B$4&gt;0,AF166&gt;PMI_Costs!$B$6/100)</f>
        <v/>
      </c>
      <c r="AH166" s="21">
        <f>IF(AG166,ROUND(Segments!$G$5*PMI_Costs!$B$4/100/12,2),0)</f>
        <v/>
      </c>
      <c r="AI166" s="6">
        <f>AND(NOT(AG166),AG165)</f>
        <v/>
      </c>
    </row>
    <row r="167">
      <c r="A167" s="18" t="n">
        <v>163</v>
      </c>
      <c r="B167" s="18">
        <f>SUMPRODUCT((Segments!$J$5:$J$12&lt;&gt;"")*(Segments!$J$5:$J$12&lt;=A167))</f>
        <v/>
      </c>
      <c r="C167" s="19">
        <f>INDEX(Segments!$B$5:$B$12,B167)</f>
        <v/>
      </c>
      <c r="D167" s="18">
        <f>INDEX(Segments!$J$5:$J$12,B167)</f>
        <v/>
      </c>
      <c r="E167" s="19">
        <f>DATE(YEAR(C167)+INT((MONTH(C167)-1+(A167-D167))/12),MOD(MONTH(C167)-1+(A167-D167),12)+1,1)+(DAY(C167)-1)</f>
        <v/>
      </c>
      <c r="F167" s="20">
        <f>INDEX(Segments!$C$5:$C$12,B167)/100/12</f>
        <v/>
      </c>
      <c r="G167" s="21">
        <f>INDEX(Segments!$L$5:$L$12,B167)</f>
        <v/>
      </c>
      <c r="H167" s="6">
        <f>INDEX(Segments!$I$5:$I$12,B167)="Y"</f>
        <v/>
      </c>
      <c r="I167" s="6">
        <f>INDEX(Segments!$F$5:$F$12,B167)=""</f>
        <v/>
      </c>
      <c r="J167" s="18">
        <f>INDEX(Segments!$K$5:$K$12,B167)</f>
        <v/>
      </c>
      <c r="K167" s="18">
        <f>IF(INDEX(Segments!$F$5:$F$12,B167)&lt;&gt;"",INDEX(Segments!$F$5:$F$12,B167),IF(INDEX(Segments!$E$5:$E$12,B167)&lt;&gt;"",INDEX(Segments!$E$5:$E$12,B167),""))</f>
        <v/>
      </c>
      <c r="L167" s="21">
        <f>AA166</f>
        <v/>
      </c>
      <c r="M167" s="21">
        <f>IFERROR(INDEX(Overrides!$C:$C,MATCH(A167,Overrides!$A:$A,0)),"")</f>
        <v/>
      </c>
      <c r="N167" s="21">
        <f>IFERROR(INDEX(Overrides!$E:$E,MATCH(A167,Overrides!$A:$A,0)),"")</f>
        <v/>
      </c>
      <c r="O167" s="21">
        <f>IFERROR(INDEX(Overrides!$D:$D,MATCH(A167,Overrides!$A:$A,0)),"")</f>
        <v/>
      </c>
      <c r="P167" s="21">
        <f>IFERROR(INDEX(Overrides!$B:$B,MATCH(A167,Overrides!$A:$A,0)),"")</f>
        <v/>
      </c>
      <c r="Q167" s="6">
        <f>IFERROR(INDEX(Overrides!$F:$F,MATCH(A167,Overrides!$A:$A,0)),"")</f>
        <v/>
      </c>
      <c r="R167" s="6">
        <f>ISNUMBER(MATCH(A167,Overrides!$A:$A,0))</f>
        <v/>
      </c>
      <c r="S167" s="6">
        <f>OR(ROUND(L167-ROUND(G167-T167,2),2)&lt;=0,AND(I167,K167&lt;&gt;"",(A167-D167+1)=K167))</f>
        <v/>
      </c>
      <c r="T167" s="21">
        <f>IF(M167&lt;&gt;"",M167,ROUND(L167*F167,2))</f>
        <v/>
      </c>
      <c r="U167" s="21">
        <f>IF(R167,IF(O167&lt;&gt;"",O167,IF(N167&lt;&gt;"",ROUND(L167-N167,2),ROUND((IF(P167&lt;&gt;"",P167,G167))-T167,2))),IF(H167,0,IF(S167,L167,ROUND(G167-T167,2))))</f>
        <v/>
      </c>
      <c r="V167" s="21">
        <f>IF(R167,IF(P167&lt;&gt;"",P167,ROUND(T167+U167,2)),IF(H167,T167,IF(S167,ROUND(T167+U167,2),G167)))</f>
        <v/>
      </c>
      <c r="W167" s="21">
        <f>IF(R167,IF(N167&lt;&gt;"",N167,ROUND(L167-U167,2)),IF(H167,L167,IF(S167,0,ROUND(L167-U167,2))))</f>
        <v/>
      </c>
      <c r="X167" s="21">
        <f>IFERROR(MIN(INDEX(LumpSums!$B:$B,MATCH(A167,LumpSums!$A:$A,0)),W167),0)</f>
        <v/>
      </c>
      <c r="Y167" s="21">
        <f>ROUND(U167+X167,2)</f>
        <v/>
      </c>
      <c r="Z167" s="21">
        <f>ROUND(V167+X167,2)</f>
        <v/>
      </c>
      <c r="AA167" s="21">
        <f>ROUND(W167-X167,2)</f>
        <v/>
      </c>
      <c r="AB167" s="6">
        <f>AND(AB166,L167&gt;0)</f>
        <v/>
      </c>
      <c r="AC167" s="21">
        <f>IF(PMI_Costs!$B$8=0,0,ROUND(PMI_Costs!$B$8*(1+PMI_Costs!$B$9/100)^INT((A167-1)/12)/12,2))</f>
        <v/>
      </c>
      <c r="AD167" s="21">
        <f>IF(PMI_Costs!$B$10=0,0,ROUND(PMI_Costs!$B$10*(1+PMI_Costs!$B$11/100)^INT((A167-1)/12)/12,2))</f>
        <v/>
      </c>
      <c r="AE167" s="21">
        <f>IF(PMI_Costs!$B$12=0,0,ROUND(PMI_Costs!$B$12*(1+PMI_Costs!$B$13/100)^INT((A167-1)/12)/12,2))</f>
        <v/>
      </c>
      <c r="AF167" s="22">
        <f>IF(PMI_Costs!$B$5=0,0,AA167/PMI_Costs!$B$5)</f>
        <v/>
      </c>
      <c r="AG167" s="6">
        <f>AND(PMI_Costs!$B$4&gt;0,AF167&gt;PMI_Costs!$B$6/100)</f>
        <v/>
      </c>
      <c r="AH167" s="21">
        <f>IF(AG167,ROUND(Segments!$G$5*PMI_Costs!$B$4/100/12,2),0)</f>
        <v/>
      </c>
      <c r="AI167" s="6">
        <f>AND(NOT(AG167),AG166)</f>
        <v/>
      </c>
    </row>
    <row r="168">
      <c r="A168" s="18" t="n">
        <v>164</v>
      </c>
      <c r="B168" s="18">
        <f>SUMPRODUCT((Segments!$J$5:$J$12&lt;&gt;"")*(Segments!$J$5:$J$12&lt;=A168))</f>
        <v/>
      </c>
      <c r="C168" s="19">
        <f>INDEX(Segments!$B$5:$B$12,B168)</f>
        <v/>
      </c>
      <c r="D168" s="18">
        <f>INDEX(Segments!$J$5:$J$12,B168)</f>
        <v/>
      </c>
      <c r="E168" s="19">
        <f>DATE(YEAR(C168)+INT((MONTH(C168)-1+(A168-D168))/12),MOD(MONTH(C168)-1+(A168-D168),12)+1,1)+(DAY(C168)-1)</f>
        <v/>
      </c>
      <c r="F168" s="20">
        <f>INDEX(Segments!$C$5:$C$12,B168)/100/12</f>
        <v/>
      </c>
      <c r="G168" s="21">
        <f>INDEX(Segments!$L$5:$L$12,B168)</f>
        <v/>
      </c>
      <c r="H168" s="6">
        <f>INDEX(Segments!$I$5:$I$12,B168)="Y"</f>
        <v/>
      </c>
      <c r="I168" s="6">
        <f>INDEX(Segments!$F$5:$F$12,B168)=""</f>
        <v/>
      </c>
      <c r="J168" s="18">
        <f>INDEX(Segments!$K$5:$K$12,B168)</f>
        <v/>
      </c>
      <c r="K168" s="18">
        <f>IF(INDEX(Segments!$F$5:$F$12,B168)&lt;&gt;"",INDEX(Segments!$F$5:$F$12,B168),IF(INDEX(Segments!$E$5:$E$12,B168)&lt;&gt;"",INDEX(Segments!$E$5:$E$12,B168),""))</f>
        <v/>
      </c>
      <c r="L168" s="21">
        <f>AA167</f>
        <v/>
      </c>
      <c r="M168" s="21">
        <f>IFERROR(INDEX(Overrides!$C:$C,MATCH(A168,Overrides!$A:$A,0)),"")</f>
        <v/>
      </c>
      <c r="N168" s="21">
        <f>IFERROR(INDEX(Overrides!$E:$E,MATCH(A168,Overrides!$A:$A,0)),"")</f>
        <v/>
      </c>
      <c r="O168" s="21">
        <f>IFERROR(INDEX(Overrides!$D:$D,MATCH(A168,Overrides!$A:$A,0)),"")</f>
        <v/>
      </c>
      <c r="P168" s="21">
        <f>IFERROR(INDEX(Overrides!$B:$B,MATCH(A168,Overrides!$A:$A,0)),"")</f>
        <v/>
      </c>
      <c r="Q168" s="6">
        <f>IFERROR(INDEX(Overrides!$F:$F,MATCH(A168,Overrides!$A:$A,0)),"")</f>
        <v/>
      </c>
      <c r="R168" s="6">
        <f>ISNUMBER(MATCH(A168,Overrides!$A:$A,0))</f>
        <v/>
      </c>
      <c r="S168" s="6">
        <f>OR(ROUND(L168-ROUND(G168-T168,2),2)&lt;=0,AND(I168,K168&lt;&gt;"",(A168-D168+1)=K168))</f>
        <v/>
      </c>
      <c r="T168" s="21">
        <f>IF(M168&lt;&gt;"",M168,ROUND(L168*F168,2))</f>
        <v/>
      </c>
      <c r="U168" s="21">
        <f>IF(R168,IF(O168&lt;&gt;"",O168,IF(N168&lt;&gt;"",ROUND(L168-N168,2),ROUND((IF(P168&lt;&gt;"",P168,G168))-T168,2))),IF(H168,0,IF(S168,L168,ROUND(G168-T168,2))))</f>
        <v/>
      </c>
      <c r="V168" s="21">
        <f>IF(R168,IF(P168&lt;&gt;"",P168,ROUND(T168+U168,2)),IF(H168,T168,IF(S168,ROUND(T168+U168,2),G168)))</f>
        <v/>
      </c>
      <c r="W168" s="21">
        <f>IF(R168,IF(N168&lt;&gt;"",N168,ROUND(L168-U168,2)),IF(H168,L168,IF(S168,0,ROUND(L168-U168,2))))</f>
        <v/>
      </c>
      <c r="X168" s="21">
        <f>IFERROR(MIN(INDEX(LumpSums!$B:$B,MATCH(A168,LumpSums!$A:$A,0)),W168),0)</f>
        <v/>
      </c>
      <c r="Y168" s="21">
        <f>ROUND(U168+X168,2)</f>
        <v/>
      </c>
      <c r="Z168" s="21">
        <f>ROUND(V168+X168,2)</f>
        <v/>
      </c>
      <c r="AA168" s="21">
        <f>ROUND(W168-X168,2)</f>
        <v/>
      </c>
      <c r="AB168" s="6">
        <f>AND(AB167,L168&gt;0)</f>
        <v/>
      </c>
      <c r="AC168" s="21">
        <f>IF(PMI_Costs!$B$8=0,0,ROUND(PMI_Costs!$B$8*(1+PMI_Costs!$B$9/100)^INT((A168-1)/12)/12,2))</f>
        <v/>
      </c>
      <c r="AD168" s="21">
        <f>IF(PMI_Costs!$B$10=0,0,ROUND(PMI_Costs!$B$10*(1+PMI_Costs!$B$11/100)^INT((A168-1)/12)/12,2))</f>
        <v/>
      </c>
      <c r="AE168" s="21">
        <f>IF(PMI_Costs!$B$12=0,0,ROUND(PMI_Costs!$B$12*(1+PMI_Costs!$B$13/100)^INT((A168-1)/12)/12,2))</f>
        <v/>
      </c>
      <c r="AF168" s="22">
        <f>IF(PMI_Costs!$B$5=0,0,AA168/PMI_Costs!$B$5)</f>
        <v/>
      </c>
      <c r="AG168" s="6">
        <f>AND(PMI_Costs!$B$4&gt;0,AF168&gt;PMI_Costs!$B$6/100)</f>
        <v/>
      </c>
      <c r="AH168" s="21">
        <f>IF(AG168,ROUND(Segments!$G$5*PMI_Costs!$B$4/100/12,2),0)</f>
        <v/>
      </c>
      <c r="AI168" s="6">
        <f>AND(NOT(AG168),AG167)</f>
        <v/>
      </c>
    </row>
    <row r="169">
      <c r="A169" s="18" t="n">
        <v>165</v>
      </c>
      <c r="B169" s="18">
        <f>SUMPRODUCT((Segments!$J$5:$J$12&lt;&gt;"")*(Segments!$J$5:$J$12&lt;=A169))</f>
        <v/>
      </c>
      <c r="C169" s="19">
        <f>INDEX(Segments!$B$5:$B$12,B169)</f>
        <v/>
      </c>
      <c r="D169" s="18">
        <f>INDEX(Segments!$J$5:$J$12,B169)</f>
        <v/>
      </c>
      <c r="E169" s="19">
        <f>DATE(YEAR(C169)+INT((MONTH(C169)-1+(A169-D169))/12),MOD(MONTH(C169)-1+(A169-D169),12)+1,1)+(DAY(C169)-1)</f>
        <v/>
      </c>
      <c r="F169" s="20">
        <f>INDEX(Segments!$C$5:$C$12,B169)/100/12</f>
        <v/>
      </c>
      <c r="G169" s="21">
        <f>INDEX(Segments!$L$5:$L$12,B169)</f>
        <v/>
      </c>
      <c r="H169" s="6">
        <f>INDEX(Segments!$I$5:$I$12,B169)="Y"</f>
        <v/>
      </c>
      <c r="I169" s="6">
        <f>INDEX(Segments!$F$5:$F$12,B169)=""</f>
        <v/>
      </c>
      <c r="J169" s="18">
        <f>INDEX(Segments!$K$5:$K$12,B169)</f>
        <v/>
      </c>
      <c r="K169" s="18">
        <f>IF(INDEX(Segments!$F$5:$F$12,B169)&lt;&gt;"",INDEX(Segments!$F$5:$F$12,B169),IF(INDEX(Segments!$E$5:$E$12,B169)&lt;&gt;"",INDEX(Segments!$E$5:$E$12,B169),""))</f>
        <v/>
      </c>
      <c r="L169" s="21">
        <f>AA168</f>
        <v/>
      </c>
      <c r="M169" s="21">
        <f>IFERROR(INDEX(Overrides!$C:$C,MATCH(A169,Overrides!$A:$A,0)),"")</f>
        <v/>
      </c>
      <c r="N169" s="21">
        <f>IFERROR(INDEX(Overrides!$E:$E,MATCH(A169,Overrides!$A:$A,0)),"")</f>
        <v/>
      </c>
      <c r="O169" s="21">
        <f>IFERROR(INDEX(Overrides!$D:$D,MATCH(A169,Overrides!$A:$A,0)),"")</f>
        <v/>
      </c>
      <c r="P169" s="21">
        <f>IFERROR(INDEX(Overrides!$B:$B,MATCH(A169,Overrides!$A:$A,0)),"")</f>
        <v/>
      </c>
      <c r="Q169" s="6">
        <f>IFERROR(INDEX(Overrides!$F:$F,MATCH(A169,Overrides!$A:$A,0)),"")</f>
        <v/>
      </c>
      <c r="R169" s="6">
        <f>ISNUMBER(MATCH(A169,Overrides!$A:$A,0))</f>
        <v/>
      </c>
      <c r="S169" s="6">
        <f>OR(ROUND(L169-ROUND(G169-T169,2),2)&lt;=0,AND(I169,K169&lt;&gt;"",(A169-D169+1)=K169))</f>
        <v/>
      </c>
      <c r="T169" s="21">
        <f>IF(M169&lt;&gt;"",M169,ROUND(L169*F169,2))</f>
        <v/>
      </c>
      <c r="U169" s="21">
        <f>IF(R169,IF(O169&lt;&gt;"",O169,IF(N169&lt;&gt;"",ROUND(L169-N169,2),ROUND((IF(P169&lt;&gt;"",P169,G169))-T169,2))),IF(H169,0,IF(S169,L169,ROUND(G169-T169,2))))</f>
        <v/>
      </c>
      <c r="V169" s="21">
        <f>IF(R169,IF(P169&lt;&gt;"",P169,ROUND(T169+U169,2)),IF(H169,T169,IF(S169,ROUND(T169+U169,2),G169)))</f>
        <v/>
      </c>
      <c r="W169" s="21">
        <f>IF(R169,IF(N169&lt;&gt;"",N169,ROUND(L169-U169,2)),IF(H169,L169,IF(S169,0,ROUND(L169-U169,2))))</f>
        <v/>
      </c>
      <c r="X169" s="21">
        <f>IFERROR(MIN(INDEX(LumpSums!$B:$B,MATCH(A169,LumpSums!$A:$A,0)),W169),0)</f>
        <v/>
      </c>
      <c r="Y169" s="21">
        <f>ROUND(U169+X169,2)</f>
        <v/>
      </c>
      <c r="Z169" s="21">
        <f>ROUND(V169+X169,2)</f>
        <v/>
      </c>
      <c r="AA169" s="21">
        <f>ROUND(W169-X169,2)</f>
        <v/>
      </c>
      <c r="AB169" s="6">
        <f>AND(AB168,L169&gt;0)</f>
        <v/>
      </c>
      <c r="AC169" s="21">
        <f>IF(PMI_Costs!$B$8=0,0,ROUND(PMI_Costs!$B$8*(1+PMI_Costs!$B$9/100)^INT((A169-1)/12)/12,2))</f>
        <v/>
      </c>
      <c r="AD169" s="21">
        <f>IF(PMI_Costs!$B$10=0,0,ROUND(PMI_Costs!$B$10*(1+PMI_Costs!$B$11/100)^INT((A169-1)/12)/12,2))</f>
        <v/>
      </c>
      <c r="AE169" s="21">
        <f>IF(PMI_Costs!$B$12=0,0,ROUND(PMI_Costs!$B$12*(1+PMI_Costs!$B$13/100)^INT((A169-1)/12)/12,2))</f>
        <v/>
      </c>
      <c r="AF169" s="22">
        <f>IF(PMI_Costs!$B$5=0,0,AA169/PMI_Costs!$B$5)</f>
        <v/>
      </c>
      <c r="AG169" s="6">
        <f>AND(PMI_Costs!$B$4&gt;0,AF169&gt;PMI_Costs!$B$6/100)</f>
        <v/>
      </c>
      <c r="AH169" s="21">
        <f>IF(AG169,ROUND(Segments!$G$5*PMI_Costs!$B$4/100/12,2),0)</f>
        <v/>
      </c>
      <c r="AI169" s="6">
        <f>AND(NOT(AG169),AG168)</f>
        <v/>
      </c>
    </row>
    <row r="170">
      <c r="A170" s="18" t="n">
        <v>166</v>
      </c>
      <c r="B170" s="18">
        <f>SUMPRODUCT((Segments!$J$5:$J$12&lt;&gt;"")*(Segments!$J$5:$J$12&lt;=A170))</f>
        <v/>
      </c>
      <c r="C170" s="19">
        <f>INDEX(Segments!$B$5:$B$12,B170)</f>
        <v/>
      </c>
      <c r="D170" s="18">
        <f>INDEX(Segments!$J$5:$J$12,B170)</f>
        <v/>
      </c>
      <c r="E170" s="19">
        <f>DATE(YEAR(C170)+INT((MONTH(C170)-1+(A170-D170))/12),MOD(MONTH(C170)-1+(A170-D170),12)+1,1)+(DAY(C170)-1)</f>
        <v/>
      </c>
      <c r="F170" s="20">
        <f>INDEX(Segments!$C$5:$C$12,B170)/100/12</f>
        <v/>
      </c>
      <c r="G170" s="21">
        <f>INDEX(Segments!$L$5:$L$12,B170)</f>
        <v/>
      </c>
      <c r="H170" s="6">
        <f>INDEX(Segments!$I$5:$I$12,B170)="Y"</f>
        <v/>
      </c>
      <c r="I170" s="6">
        <f>INDEX(Segments!$F$5:$F$12,B170)=""</f>
        <v/>
      </c>
      <c r="J170" s="18">
        <f>INDEX(Segments!$K$5:$K$12,B170)</f>
        <v/>
      </c>
      <c r="K170" s="18">
        <f>IF(INDEX(Segments!$F$5:$F$12,B170)&lt;&gt;"",INDEX(Segments!$F$5:$F$12,B170),IF(INDEX(Segments!$E$5:$E$12,B170)&lt;&gt;"",INDEX(Segments!$E$5:$E$12,B170),""))</f>
        <v/>
      </c>
      <c r="L170" s="21">
        <f>AA169</f>
        <v/>
      </c>
      <c r="M170" s="21">
        <f>IFERROR(INDEX(Overrides!$C:$C,MATCH(A170,Overrides!$A:$A,0)),"")</f>
        <v/>
      </c>
      <c r="N170" s="21">
        <f>IFERROR(INDEX(Overrides!$E:$E,MATCH(A170,Overrides!$A:$A,0)),"")</f>
        <v/>
      </c>
      <c r="O170" s="21">
        <f>IFERROR(INDEX(Overrides!$D:$D,MATCH(A170,Overrides!$A:$A,0)),"")</f>
        <v/>
      </c>
      <c r="P170" s="21">
        <f>IFERROR(INDEX(Overrides!$B:$B,MATCH(A170,Overrides!$A:$A,0)),"")</f>
        <v/>
      </c>
      <c r="Q170" s="6">
        <f>IFERROR(INDEX(Overrides!$F:$F,MATCH(A170,Overrides!$A:$A,0)),"")</f>
        <v/>
      </c>
      <c r="R170" s="6">
        <f>ISNUMBER(MATCH(A170,Overrides!$A:$A,0))</f>
        <v/>
      </c>
      <c r="S170" s="6">
        <f>OR(ROUND(L170-ROUND(G170-T170,2),2)&lt;=0,AND(I170,K170&lt;&gt;"",(A170-D170+1)=K170))</f>
        <v/>
      </c>
      <c r="T170" s="21">
        <f>IF(M170&lt;&gt;"",M170,ROUND(L170*F170,2))</f>
        <v/>
      </c>
      <c r="U170" s="21">
        <f>IF(R170,IF(O170&lt;&gt;"",O170,IF(N170&lt;&gt;"",ROUND(L170-N170,2),ROUND((IF(P170&lt;&gt;"",P170,G170))-T170,2))),IF(H170,0,IF(S170,L170,ROUND(G170-T170,2))))</f>
        <v/>
      </c>
      <c r="V170" s="21">
        <f>IF(R170,IF(P170&lt;&gt;"",P170,ROUND(T170+U170,2)),IF(H170,T170,IF(S170,ROUND(T170+U170,2),G170)))</f>
        <v/>
      </c>
      <c r="W170" s="21">
        <f>IF(R170,IF(N170&lt;&gt;"",N170,ROUND(L170-U170,2)),IF(H170,L170,IF(S170,0,ROUND(L170-U170,2))))</f>
        <v/>
      </c>
      <c r="X170" s="21">
        <f>IFERROR(MIN(INDEX(LumpSums!$B:$B,MATCH(A170,LumpSums!$A:$A,0)),W170),0)</f>
        <v/>
      </c>
      <c r="Y170" s="21">
        <f>ROUND(U170+X170,2)</f>
        <v/>
      </c>
      <c r="Z170" s="21">
        <f>ROUND(V170+X170,2)</f>
        <v/>
      </c>
      <c r="AA170" s="21">
        <f>ROUND(W170-X170,2)</f>
        <v/>
      </c>
      <c r="AB170" s="6">
        <f>AND(AB169,L170&gt;0)</f>
        <v/>
      </c>
      <c r="AC170" s="21">
        <f>IF(PMI_Costs!$B$8=0,0,ROUND(PMI_Costs!$B$8*(1+PMI_Costs!$B$9/100)^INT((A170-1)/12)/12,2))</f>
        <v/>
      </c>
      <c r="AD170" s="21">
        <f>IF(PMI_Costs!$B$10=0,0,ROUND(PMI_Costs!$B$10*(1+PMI_Costs!$B$11/100)^INT((A170-1)/12)/12,2))</f>
        <v/>
      </c>
      <c r="AE170" s="21">
        <f>IF(PMI_Costs!$B$12=0,0,ROUND(PMI_Costs!$B$12*(1+PMI_Costs!$B$13/100)^INT((A170-1)/12)/12,2))</f>
        <v/>
      </c>
      <c r="AF170" s="22">
        <f>IF(PMI_Costs!$B$5=0,0,AA170/PMI_Costs!$B$5)</f>
        <v/>
      </c>
      <c r="AG170" s="6">
        <f>AND(PMI_Costs!$B$4&gt;0,AF170&gt;PMI_Costs!$B$6/100)</f>
        <v/>
      </c>
      <c r="AH170" s="21">
        <f>IF(AG170,ROUND(Segments!$G$5*PMI_Costs!$B$4/100/12,2),0)</f>
        <v/>
      </c>
      <c r="AI170" s="6">
        <f>AND(NOT(AG170),AG169)</f>
        <v/>
      </c>
    </row>
    <row r="171">
      <c r="A171" s="18" t="n">
        <v>167</v>
      </c>
      <c r="B171" s="18">
        <f>SUMPRODUCT((Segments!$J$5:$J$12&lt;&gt;"")*(Segments!$J$5:$J$12&lt;=A171))</f>
        <v/>
      </c>
      <c r="C171" s="19">
        <f>INDEX(Segments!$B$5:$B$12,B171)</f>
        <v/>
      </c>
      <c r="D171" s="18">
        <f>INDEX(Segments!$J$5:$J$12,B171)</f>
        <v/>
      </c>
      <c r="E171" s="19">
        <f>DATE(YEAR(C171)+INT((MONTH(C171)-1+(A171-D171))/12),MOD(MONTH(C171)-1+(A171-D171),12)+1,1)+(DAY(C171)-1)</f>
        <v/>
      </c>
      <c r="F171" s="20">
        <f>INDEX(Segments!$C$5:$C$12,B171)/100/12</f>
        <v/>
      </c>
      <c r="G171" s="21">
        <f>INDEX(Segments!$L$5:$L$12,B171)</f>
        <v/>
      </c>
      <c r="H171" s="6">
        <f>INDEX(Segments!$I$5:$I$12,B171)="Y"</f>
        <v/>
      </c>
      <c r="I171" s="6">
        <f>INDEX(Segments!$F$5:$F$12,B171)=""</f>
        <v/>
      </c>
      <c r="J171" s="18">
        <f>INDEX(Segments!$K$5:$K$12,B171)</f>
        <v/>
      </c>
      <c r="K171" s="18">
        <f>IF(INDEX(Segments!$F$5:$F$12,B171)&lt;&gt;"",INDEX(Segments!$F$5:$F$12,B171),IF(INDEX(Segments!$E$5:$E$12,B171)&lt;&gt;"",INDEX(Segments!$E$5:$E$12,B171),""))</f>
        <v/>
      </c>
      <c r="L171" s="21">
        <f>AA170</f>
        <v/>
      </c>
      <c r="M171" s="21">
        <f>IFERROR(INDEX(Overrides!$C:$C,MATCH(A171,Overrides!$A:$A,0)),"")</f>
        <v/>
      </c>
      <c r="N171" s="21">
        <f>IFERROR(INDEX(Overrides!$E:$E,MATCH(A171,Overrides!$A:$A,0)),"")</f>
        <v/>
      </c>
      <c r="O171" s="21">
        <f>IFERROR(INDEX(Overrides!$D:$D,MATCH(A171,Overrides!$A:$A,0)),"")</f>
        <v/>
      </c>
      <c r="P171" s="21">
        <f>IFERROR(INDEX(Overrides!$B:$B,MATCH(A171,Overrides!$A:$A,0)),"")</f>
        <v/>
      </c>
      <c r="Q171" s="6">
        <f>IFERROR(INDEX(Overrides!$F:$F,MATCH(A171,Overrides!$A:$A,0)),"")</f>
        <v/>
      </c>
      <c r="R171" s="6">
        <f>ISNUMBER(MATCH(A171,Overrides!$A:$A,0))</f>
        <v/>
      </c>
      <c r="S171" s="6">
        <f>OR(ROUND(L171-ROUND(G171-T171,2),2)&lt;=0,AND(I171,K171&lt;&gt;"",(A171-D171+1)=K171))</f>
        <v/>
      </c>
      <c r="T171" s="21">
        <f>IF(M171&lt;&gt;"",M171,ROUND(L171*F171,2))</f>
        <v/>
      </c>
      <c r="U171" s="21">
        <f>IF(R171,IF(O171&lt;&gt;"",O171,IF(N171&lt;&gt;"",ROUND(L171-N171,2),ROUND((IF(P171&lt;&gt;"",P171,G171))-T171,2))),IF(H171,0,IF(S171,L171,ROUND(G171-T171,2))))</f>
        <v/>
      </c>
      <c r="V171" s="21">
        <f>IF(R171,IF(P171&lt;&gt;"",P171,ROUND(T171+U171,2)),IF(H171,T171,IF(S171,ROUND(T171+U171,2),G171)))</f>
        <v/>
      </c>
      <c r="W171" s="21">
        <f>IF(R171,IF(N171&lt;&gt;"",N171,ROUND(L171-U171,2)),IF(H171,L171,IF(S171,0,ROUND(L171-U171,2))))</f>
        <v/>
      </c>
      <c r="X171" s="21">
        <f>IFERROR(MIN(INDEX(LumpSums!$B:$B,MATCH(A171,LumpSums!$A:$A,0)),W171),0)</f>
        <v/>
      </c>
      <c r="Y171" s="21">
        <f>ROUND(U171+X171,2)</f>
        <v/>
      </c>
      <c r="Z171" s="21">
        <f>ROUND(V171+X171,2)</f>
        <v/>
      </c>
      <c r="AA171" s="21">
        <f>ROUND(W171-X171,2)</f>
        <v/>
      </c>
      <c r="AB171" s="6">
        <f>AND(AB170,L171&gt;0)</f>
        <v/>
      </c>
      <c r="AC171" s="21">
        <f>IF(PMI_Costs!$B$8=0,0,ROUND(PMI_Costs!$B$8*(1+PMI_Costs!$B$9/100)^INT((A171-1)/12)/12,2))</f>
        <v/>
      </c>
      <c r="AD171" s="21">
        <f>IF(PMI_Costs!$B$10=0,0,ROUND(PMI_Costs!$B$10*(1+PMI_Costs!$B$11/100)^INT((A171-1)/12)/12,2))</f>
        <v/>
      </c>
      <c r="AE171" s="21">
        <f>IF(PMI_Costs!$B$12=0,0,ROUND(PMI_Costs!$B$12*(1+PMI_Costs!$B$13/100)^INT((A171-1)/12)/12,2))</f>
        <v/>
      </c>
      <c r="AF171" s="22">
        <f>IF(PMI_Costs!$B$5=0,0,AA171/PMI_Costs!$B$5)</f>
        <v/>
      </c>
      <c r="AG171" s="6">
        <f>AND(PMI_Costs!$B$4&gt;0,AF171&gt;PMI_Costs!$B$6/100)</f>
        <v/>
      </c>
      <c r="AH171" s="21">
        <f>IF(AG171,ROUND(Segments!$G$5*PMI_Costs!$B$4/100/12,2),0)</f>
        <v/>
      </c>
      <c r="AI171" s="6">
        <f>AND(NOT(AG171),AG170)</f>
        <v/>
      </c>
    </row>
    <row r="172">
      <c r="A172" s="18" t="n">
        <v>168</v>
      </c>
      <c r="B172" s="18">
        <f>SUMPRODUCT((Segments!$J$5:$J$12&lt;&gt;"")*(Segments!$J$5:$J$12&lt;=A172))</f>
        <v/>
      </c>
      <c r="C172" s="19">
        <f>INDEX(Segments!$B$5:$B$12,B172)</f>
        <v/>
      </c>
      <c r="D172" s="18">
        <f>INDEX(Segments!$J$5:$J$12,B172)</f>
        <v/>
      </c>
      <c r="E172" s="19">
        <f>DATE(YEAR(C172)+INT((MONTH(C172)-1+(A172-D172))/12),MOD(MONTH(C172)-1+(A172-D172),12)+1,1)+(DAY(C172)-1)</f>
        <v/>
      </c>
      <c r="F172" s="20">
        <f>INDEX(Segments!$C$5:$C$12,B172)/100/12</f>
        <v/>
      </c>
      <c r="G172" s="21">
        <f>INDEX(Segments!$L$5:$L$12,B172)</f>
        <v/>
      </c>
      <c r="H172" s="6">
        <f>INDEX(Segments!$I$5:$I$12,B172)="Y"</f>
        <v/>
      </c>
      <c r="I172" s="6">
        <f>INDEX(Segments!$F$5:$F$12,B172)=""</f>
        <v/>
      </c>
      <c r="J172" s="18">
        <f>INDEX(Segments!$K$5:$K$12,B172)</f>
        <v/>
      </c>
      <c r="K172" s="18">
        <f>IF(INDEX(Segments!$F$5:$F$12,B172)&lt;&gt;"",INDEX(Segments!$F$5:$F$12,B172),IF(INDEX(Segments!$E$5:$E$12,B172)&lt;&gt;"",INDEX(Segments!$E$5:$E$12,B172),""))</f>
        <v/>
      </c>
      <c r="L172" s="21">
        <f>AA171</f>
        <v/>
      </c>
      <c r="M172" s="21">
        <f>IFERROR(INDEX(Overrides!$C:$C,MATCH(A172,Overrides!$A:$A,0)),"")</f>
        <v/>
      </c>
      <c r="N172" s="21">
        <f>IFERROR(INDEX(Overrides!$E:$E,MATCH(A172,Overrides!$A:$A,0)),"")</f>
        <v/>
      </c>
      <c r="O172" s="21">
        <f>IFERROR(INDEX(Overrides!$D:$D,MATCH(A172,Overrides!$A:$A,0)),"")</f>
        <v/>
      </c>
      <c r="P172" s="21">
        <f>IFERROR(INDEX(Overrides!$B:$B,MATCH(A172,Overrides!$A:$A,0)),"")</f>
        <v/>
      </c>
      <c r="Q172" s="6">
        <f>IFERROR(INDEX(Overrides!$F:$F,MATCH(A172,Overrides!$A:$A,0)),"")</f>
        <v/>
      </c>
      <c r="R172" s="6">
        <f>ISNUMBER(MATCH(A172,Overrides!$A:$A,0))</f>
        <v/>
      </c>
      <c r="S172" s="6">
        <f>OR(ROUND(L172-ROUND(G172-T172,2),2)&lt;=0,AND(I172,K172&lt;&gt;"",(A172-D172+1)=K172))</f>
        <v/>
      </c>
      <c r="T172" s="21">
        <f>IF(M172&lt;&gt;"",M172,ROUND(L172*F172,2))</f>
        <v/>
      </c>
      <c r="U172" s="21">
        <f>IF(R172,IF(O172&lt;&gt;"",O172,IF(N172&lt;&gt;"",ROUND(L172-N172,2),ROUND((IF(P172&lt;&gt;"",P172,G172))-T172,2))),IF(H172,0,IF(S172,L172,ROUND(G172-T172,2))))</f>
        <v/>
      </c>
      <c r="V172" s="21">
        <f>IF(R172,IF(P172&lt;&gt;"",P172,ROUND(T172+U172,2)),IF(H172,T172,IF(S172,ROUND(T172+U172,2),G172)))</f>
        <v/>
      </c>
      <c r="W172" s="21">
        <f>IF(R172,IF(N172&lt;&gt;"",N172,ROUND(L172-U172,2)),IF(H172,L172,IF(S172,0,ROUND(L172-U172,2))))</f>
        <v/>
      </c>
      <c r="X172" s="21">
        <f>IFERROR(MIN(INDEX(LumpSums!$B:$B,MATCH(A172,LumpSums!$A:$A,0)),W172),0)</f>
        <v/>
      </c>
      <c r="Y172" s="21">
        <f>ROUND(U172+X172,2)</f>
        <v/>
      </c>
      <c r="Z172" s="21">
        <f>ROUND(V172+X172,2)</f>
        <v/>
      </c>
      <c r="AA172" s="21">
        <f>ROUND(W172-X172,2)</f>
        <v/>
      </c>
      <c r="AB172" s="6">
        <f>AND(AB171,L172&gt;0)</f>
        <v/>
      </c>
      <c r="AC172" s="21">
        <f>IF(PMI_Costs!$B$8=0,0,ROUND(PMI_Costs!$B$8*(1+PMI_Costs!$B$9/100)^INT((A172-1)/12)/12,2))</f>
        <v/>
      </c>
      <c r="AD172" s="21">
        <f>IF(PMI_Costs!$B$10=0,0,ROUND(PMI_Costs!$B$10*(1+PMI_Costs!$B$11/100)^INT((A172-1)/12)/12,2))</f>
        <v/>
      </c>
      <c r="AE172" s="21">
        <f>IF(PMI_Costs!$B$12=0,0,ROUND(PMI_Costs!$B$12*(1+PMI_Costs!$B$13/100)^INT((A172-1)/12)/12,2))</f>
        <v/>
      </c>
      <c r="AF172" s="22">
        <f>IF(PMI_Costs!$B$5=0,0,AA172/PMI_Costs!$B$5)</f>
        <v/>
      </c>
      <c r="AG172" s="6">
        <f>AND(PMI_Costs!$B$4&gt;0,AF172&gt;PMI_Costs!$B$6/100)</f>
        <v/>
      </c>
      <c r="AH172" s="21">
        <f>IF(AG172,ROUND(Segments!$G$5*PMI_Costs!$B$4/100/12,2),0)</f>
        <v/>
      </c>
      <c r="AI172" s="6">
        <f>AND(NOT(AG172),AG171)</f>
        <v/>
      </c>
    </row>
    <row r="173">
      <c r="A173" s="18" t="n">
        <v>169</v>
      </c>
      <c r="B173" s="18">
        <f>SUMPRODUCT((Segments!$J$5:$J$12&lt;&gt;"")*(Segments!$J$5:$J$12&lt;=A173))</f>
        <v/>
      </c>
      <c r="C173" s="19">
        <f>INDEX(Segments!$B$5:$B$12,B173)</f>
        <v/>
      </c>
      <c r="D173" s="18">
        <f>INDEX(Segments!$J$5:$J$12,B173)</f>
        <v/>
      </c>
      <c r="E173" s="19">
        <f>DATE(YEAR(C173)+INT((MONTH(C173)-1+(A173-D173))/12),MOD(MONTH(C173)-1+(A173-D173),12)+1,1)+(DAY(C173)-1)</f>
        <v/>
      </c>
      <c r="F173" s="20">
        <f>INDEX(Segments!$C$5:$C$12,B173)/100/12</f>
        <v/>
      </c>
      <c r="G173" s="21">
        <f>INDEX(Segments!$L$5:$L$12,B173)</f>
        <v/>
      </c>
      <c r="H173" s="6">
        <f>INDEX(Segments!$I$5:$I$12,B173)="Y"</f>
        <v/>
      </c>
      <c r="I173" s="6">
        <f>INDEX(Segments!$F$5:$F$12,B173)=""</f>
        <v/>
      </c>
      <c r="J173" s="18">
        <f>INDEX(Segments!$K$5:$K$12,B173)</f>
        <v/>
      </c>
      <c r="K173" s="18">
        <f>IF(INDEX(Segments!$F$5:$F$12,B173)&lt;&gt;"",INDEX(Segments!$F$5:$F$12,B173),IF(INDEX(Segments!$E$5:$E$12,B173)&lt;&gt;"",INDEX(Segments!$E$5:$E$12,B173),""))</f>
        <v/>
      </c>
      <c r="L173" s="21">
        <f>AA172</f>
        <v/>
      </c>
      <c r="M173" s="21">
        <f>IFERROR(INDEX(Overrides!$C:$C,MATCH(A173,Overrides!$A:$A,0)),"")</f>
        <v/>
      </c>
      <c r="N173" s="21">
        <f>IFERROR(INDEX(Overrides!$E:$E,MATCH(A173,Overrides!$A:$A,0)),"")</f>
        <v/>
      </c>
      <c r="O173" s="21">
        <f>IFERROR(INDEX(Overrides!$D:$D,MATCH(A173,Overrides!$A:$A,0)),"")</f>
        <v/>
      </c>
      <c r="P173" s="21">
        <f>IFERROR(INDEX(Overrides!$B:$B,MATCH(A173,Overrides!$A:$A,0)),"")</f>
        <v/>
      </c>
      <c r="Q173" s="6">
        <f>IFERROR(INDEX(Overrides!$F:$F,MATCH(A173,Overrides!$A:$A,0)),"")</f>
        <v/>
      </c>
      <c r="R173" s="6">
        <f>ISNUMBER(MATCH(A173,Overrides!$A:$A,0))</f>
        <v/>
      </c>
      <c r="S173" s="6">
        <f>OR(ROUND(L173-ROUND(G173-T173,2),2)&lt;=0,AND(I173,K173&lt;&gt;"",(A173-D173+1)=K173))</f>
        <v/>
      </c>
      <c r="T173" s="21">
        <f>IF(M173&lt;&gt;"",M173,ROUND(L173*F173,2))</f>
        <v/>
      </c>
      <c r="U173" s="21">
        <f>IF(R173,IF(O173&lt;&gt;"",O173,IF(N173&lt;&gt;"",ROUND(L173-N173,2),ROUND((IF(P173&lt;&gt;"",P173,G173))-T173,2))),IF(H173,0,IF(S173,L173,ROUND(G173-T173,2))))</f>
        <v/>
      </c>
      <c r="V173" s="21">
        <f>IF(R173,IF(P173&lt;&gt;"",P173,ROUND(T173+U173,2)),IF(H173,T173,IF(S173,ROUND(T173+U173,2),G173)))</f>
        <v/>
      </c>
      <c r="W173" s="21">
        <f>IF(R173,IF(N173&lt;&gt;"",N173,ROUND(L173-U173,2)),IF(H173,L173,IF(S173,0,ROUND(L173-U173,2))))</f>
        <v/>
      </c>
      <c r="X173" s="21">
        <f>IFERROR(MIN(INDEX(LumpSums!$B:$B,MATCH(A173,LumpSums!$A:$A,0)),W173),0)</f>
        <v/>
      </c>
      <c r="Y173" s="21">
        <f>ROUND(U173+X173,2)</f>
        <v/>
      </c>
      <c r="Z173" s="21">
        <f>ROUND(V173+X173,2)</f>
        <v/>
      </c>
      <c r="AA173" s="21">
        <f>ROUND(W173-X173,2)</f>
        <v/>
      </c>
      <c r="AB173" s="6">
        <f>AND(AB172,L173&gt;0)</f>
        <v/>
      </c>
      <c r="AC173" s="21">
        <f>IF(PMI_Costs!$B$8=0,0,ROUND(PMI_Costs!$B$8*(1+PMI_Costs!$B$9/100)^INT((A173-1)/12)/12,2))</f>
        <v/>
      </c>
      <c r="AD173" s="21">
        <f>IF(PMI_Costs!$B$10=0,0,ROUND(PMI_Costs!$B$10*(1+PMI_Costs!$B$11/100)^INT((A173-1)/12)/12,2))</f>
        <v/>
      </c>
      <c r="AE173" s="21">
        <f>IF(PMI_Costs!$B$12=0,0,ROUND(PMI_Costs!$B$12*(1+PMI_Costs!$B$13/100)^INT((A173-1)/12)/12,2))</f>
        <v/>
      </c>
      <c r="AF173" s="22">
        <f>IF(PMI_Costs!$B$5=0,0,AA173/PMI_Costs!$B$5)</f>
        <v/>
      </c>
      <c r="AG173" s="6">
        <f>AND(PMI_Costs!$B$4&gt;0,AF173&gt;PMI_Costs!$B$6/100)</f>
        <v/>
      </c>
      <c r="AH173" s="21">
        <f>IF(AG173,ROUND(Segments!$G$5*PMI_Costs!$B$4/100/12,2),0)</f>
        <v/>
      </c>
      <c r="AI173" s="6">
        <f>AND(NOT(AG173),AG172)</f>
        <v/>
      </c>
    </row>
    <row r="174">
      <c r="A174" s="18" t="n">
        <v>170</v>
      </c>
      <c r="B174" s="18">
        <f>SUMPRODUCT((Segments!$J$5:$J$12&lt;&gt;"")*(Segments!$J$5:$J$12&lt;=A174))</f>
        <v/>
      </c>
      <c r="C174" s="19">
        <f>INDEX(Segments!$B$5:$B$12,B174)</f>
        <v/>
      </c>
      <c r="D174" s="18">
        <f>INDEX(Segments!$J$5:$J$12,B174)</f>
        <v/>
      </c>
      <c r="E174" s="19">
        <f>DATE(YEAR(C174)+INT((MONTH(C174)-1+(A174-D174))/12),MOD(MONTH(C174)-1+(A174-D174),12)+1,1)+(DAY(C174)-1)</f>
        <v/>
      </c>
      <c r="F174" s="20">
        <f>INDEX(Segments!$C$5:$C$12,B174)/100/12</f>
        <v/>
      </c>
      <c r="G174" s="21">
        <f>INDEX(Segments!$L$5:$L$12,B174)</f>
        <v/>
      </c>
      <c r="H174" s="6">
        <f>INDEX(Segments!$I$5:$I$12,B174)="Y"</f>
        <v/>
      </c>
      <c r="I174" s="6">
        <f>INDEX(Segments!$F$5:$F$12,B174)=""</f>
        <v/>
      </c>
      <c r="J174" s="18">
        <f>INDEX(Segments!$K$5:$K$12,B174)</f>
        <v/>
      </c>
      <c r="K174" s="18">
        <f>IF(INDEX(Segments!$F$5:$F$12,B174)&lt;&gt;"",INDEX(Segments!$F$5:$F$12,B174),IF(INDEX(Segments!$E$5:$E$12,B174)&lt;&gt;"",INDEX(Segments!$E$5:$E$12,B174),""))</f>
        <v/>
      </c>
      <c r="L174" s="21">
        <f>AA173</f>
        <v/>
      </c>
      <c r="M174" s="21">
        <f>IFERROR(INDEX(Overrides!$C:$C,MATCH(A174,Overrides!$A:$A,0)),"")</f>
        <v/>
      </c>
      <c r="N174" s="21">
        <f>IFERROR(INDEX(Overrides!$E:$E,MATCH(A174,Overrides!$A:$A,0)),"")</f>
        <v/>
      </c>
      <c r="O174" s="21">
        <f>IFERROR(INDEX(Overrides!$D:$D,MATCH(A174,Overrides!$A:$A,0)),"")</f>
        <v/>
      </c>
      <c r="P174" s="21">
        <f>IFERROR(INDEX(Overrides!$B:$B,MATCH(A174,Overrides!$A:$A,0)),"")</f>
        <v/>
      </c>
      <c r="Q174" s="6">
        <f>IFERROR(INDEX(Overrides!$F:$F,MATCH(A174,Overrides!$A:$A,0)),"")</f>
        <v/>
      </c>
      <c r="R174" s="6">
        <f>ISNUMBER(MATCH(A174,Overrides!$A:$A,0))</f>
        <v/>
      </c>
      <c r="S174" s="6">
        <f>OR(ROUND(L174-ROUND(G174-T174,2),2)&lt;=0,AND(I174,K174&lt;&gt;"",(A174-D174+1)=K174))</f>
        <v/>
      </c>
      <c r="T174" s="21">
        <f>IF(M174&lt;&gt;"",M174,ROUND(L174*F174,2))</f>
        <v/>
      </c>
      <c r="U174" s="21">
        <f>IF(R174,IF(O174&lt;&gt;"",O174,IF(N174&lt;&gt;"",ROUND(L174-N174,2),ROUND((IF(P174&lt;&gt;"",P174,G174))-T174,2))),IF(H174,0,IF(S174,L174,ROUND(G174-T174,2))))</f>
        <v/>
      </c>
      <c r="V174" s="21">
        <f>IF(R174,IF(P174&lt;&gt;"",P174,ROUND(T174+U174,2)),IF(H174,T174,IF(S174,ROUND(T174+U174,2),G174)))</f>
        <v/>
      </c>
      <c r="W174" s="21">
        <f>IF(R174,IF(N174&lt;&gt;"",N174,ROUND(L174-U174,2)),IF(H174,L174,IF(S174,0,ROUND(L174-U174,2))))</f>
        <v/>
      </c>
      <c r="X174" s="21">
        <f>IFERROR(MIN(INDEX(LumpSums!$B:$B,MATCH(A174,LumpSums!$A:$A,0)),W174),0)</f>
        <v/>
      </c>
      <c r="Y174" s="21">
        <f>ROUND(U174+X174,2)</f>
        <v/>
      </c>
      <c r="Z174" s="21">
        <f>ROUND(V174+X174,2)</f>
        <v/>
      </c>
      <c r="AA174" s="21">
        <f>ROUND(W174-X174,2)</f>
        <v/>
      </c>
      <c r="AB174" s="6">
        <f>AND(AB173,L174&gt;0)</f>
        <v/>
      </c>
      <c r="AC174" s="21">
        <f>IF(PMI_Costs!$B$8=0,0,ROUND(PMI_Costs!$B$8*(1+PMI_Costs!$B$9/100)^INT((A174-1)/12)/12,2))</f>
        <v/>
      </c>
      <c r="AD174" s="21">
        <f>IF(PMI_Costs!$B$10=0,0,ROUND(PMI_Costs!$B$10*(1+PMI_Costs!$B$11/100)^INT((A174-1)/12)/12,2))</f>
        <v/>
      </c>
      <c r="AE174" s="21">
        <f>IF(PMI_Costs!$B$12=0,0,ROUND(PMI_Costs!$B$12*(1+PMI_Costs!$B$13/100)^INT((A174-1)/12)/12,2))</f>
        <v/>
      </c>
      <c r="AF174" s="22">
        <f>IF(PMI_Costs!$B$5=0,0,AA174/PMI_Costs!$B$5)</f>
        <v/>
      </c>
      <c r="AG174" s="6">
        <f>AND(PMI_Costs!$B$4&gt;0,AF174&gt;PMI_Costs!$B$6/100)</f>
        <v/>
      </c>
      <c r="AH174" s="21">
        <f>IF(AG174,ROUND(Segments!$G$5*PMI_Costs!$B$4/100/12,2),0)</f>
        <v/>
      </c>
      <c r="AI174" s="6">
        <f>AND(NOT(AG174),AG173)</f>
        <v/>
      </c>
    </row>
    <row r="175">
      <c r="A175" s="18" t="n">
        <v>171</v>
      </c>
      <c r="B175" s="18">
        <f>SUMPRODUCT((Segments!$J$5:$J$12&lt;&gt;"")*(Segments!$J$5:$J$12&lt;=A175))</f>
        <v/>
      </c>
      <c r="C175" s="19">
        <f>INDEX(Segments!$B$5:$B$12,B175)</f>
        <v/>
      </c>
      <c r="D175" s="18">
        <f>INDEX(Segments!$J$5:$J$12,B175)</f>
        <v/>
      </c>
      <c r="E175" s="19">
        <f>DATE(YEAR(C175)+INT((MONTH(C175)-1+(A175-D175))/12),MOD(MONTH(C175)-1+(A175-D175),12)+1,1)+(DAY(C175)-1)</f>
        <v/>
      </c>
      <c r="F175" s="20">
        <f>INDEX(Segments!$C$5:$C$12,B175)/100/12</f>
        <v/>
      </c>
      <c r="G175" s="21">
        <f>INDEX(Segments!$L$5:$L$12,B175)</f>
        <v/>
      </c>
      <c r="H175" s="6">
        <f>INDEX(Segments!$I$5:$I$12,B175)="Y"</f>
        <v/>
      </c>
      <c r="I175" s="6">
        <f>INDEX(Segments!$F$5:$F$12,B175)=""</f>
        <v/>
      </c>
      <c r="J175" s="18">
        <f>INDEX(Segments!$K$5:$K$12,B175)</f>
        <v/>
      </c>
      <c r="K175" s="18">
        <f>IF(INDEX(Segments!$F$5:$F$12,B175)&lt;&gt;"",INDEX(Segments!$F$5:$F$12,B175),IF(INDEX(Segments!$E$5:$E$12,B175)&lt;&gt;"",INDEX(Segments!$E$5:$E$12,B175),""))</f>
        <v/>
      </c>
      <c r="L175" s="21">
        <f>AA174</f>
        <v/>
      </c>
      <c r="M175" s="21">
        <f>IFERROR(INDEX(Overrides!$C:$C,MATCH(A175,Overrides!$A:$A,0)),"")</f>
        <v/>
      </c>
      <c r="N175" s="21">
        <f>IFERROR(INDEX(Overrides!$E:$E,MATCH(A175,Overrides!$A:$A,0)),"")</f>
        <v/>
      </c>
      <c r="O175" s="21">
        <f>IFERROR(INDEX(Overrides!$D:$D,MATCH(A175,Overrides!$A:$A,0)),"")</f>
        <v/>
      </c>
      <c r="P175" s="21">
        <f>IFERROR(INDEX(Overrides!$B:$B,MATCH(A175,Overrides!$A:$A,0)),"")</f>
        <v/>
      </c>
      <c r="Q175" s="6">
        <f>IFERROR(INDEX(Overrides!$F:$F,MATCH(A175,Overrides!$A:$A,0)),"")</f>
        <v/>
      </c>
      <c r="R175" s="6">
        <f>ISNUMBER(MATCH(A175,Overrides!$A:$A,0))</f>
        <v/>
      </c>
      <c r="S175" s="6">
        <f>OR(ROUND(L175-ROUND(G175-T175,2),2)&lt;=0,AND(I175,K175&lt;&gt;"",(A175-D175+1)=K175))</f>
        <v/>
      </c>
      <c r="T175" s="21">
        <f>IF(M175&lt;&gt;"",M175,ROUND(L175*F175,2))</f>
        <v/>
      </c>
      <c r="U175" s="21">
        <f>IF(R175,IF(O175&lt;&gt;"",O175,IF(N175&lt;&gt;"",ROUND(L175-N175,2),ROUND((IF(P175&lt;&gt;"",P175,G175))-T175,2))),IF(H175,0,IF(S175,L175,ROUND(G175-T175,2))))</f>
        <v/>
      </c>
      <c r="V175" s="21">
        <f>IF(R175,IF(P175&lt;&gt;"",P175,ROUND(T175+U175,2)),IF(H175,T175,IF(S175,ROUND(T175+U175,2),G175)))</f>
        <v/>
      </c>
      <c r="W175" s="21">
        <f>IF(R175,IF(N175&lt;&gt;"",N175,ROUND(L175-U175,2)),IF(H175,L175,IF(S175,0,ROUND(L175-U175,2))))</f>
        <v/>
      </c>
      <c r="X175" s="21">
        <f>IFERROR(MIN(INDEX(LumpSums!$B:$B,MATCH(A175,LumpSums!$A:$A,0)),W175),0)</f>
        <v/>
      </c>
      <c r="Y175" s="21">
        <f>ROUND(U175+X175,2)</f>
        <v/>
      </c>
      <c r="Z175" s="21">
        <f>ROUND(V175+X175,2)</f>
        <v/>
      </c>
      <c r="AA175" s="21">
        <f>ROUND(W175-X175,2)</f>
        <v/>
      </c>
      <c r="AB175" s="6">
        <f>AND(AB174,L175&gt;0)</f>
        <v/>
      </c>
      <c r="AC175" s="21">
        <f>IF(PMI_Costs!$B$8=0,0,ROUND(PMI_Costs!$B$8*(1+PMI_Costs!$B$9/100)^INT((A175-1)/12)/12,2))</f>
        <v/>
      </c>
      <c r="AD175" s="21">
        <f>IF(PMI_Costs!$B$10=0,0,ROUND(PMI_Costs!$B$10*(1+PMI_Costs!$B$11/100)^INT((A175-1)/12)/12,2))</f>
        <v/>
      </c>
      <c r="AE175" s="21">
        <f>IF(PMI_Costs!$B$12=0,0,ROUND(PMI_Costs!$B$12*(1+PMI_Costs!$B$13/100)^INT((A175-1)/12)/12,2))</f>
        <v/>
      </c>
      <c r="AF175" s="22">
        <f>IF(PMI_Costs!$B$5=0,0,AA175/PMI_Costs!$B$5)</f>
        <v/>
      </c>
      <c r="AG175" s="6">
        <f>AND(PMI_Costs!$B$4&gt;0,AF175&gt;PMI_Costs!$B$6/100)</f>
        <v/>
      </c>
      <c r="AH175" s="21">
        <f>IF(AG175,ROUND(Segments!$G$5*PMI_Costs!$B$4/100/12,2),0)</f>
        <v/>
      </c>
      <c r="AI175" s="6">
        <f>AND(NOT(AG175),AG174)</f>
        <v/>
      </c>
    </row>
    <row r="176">
      <c r="A176" s="18" t="n">
        <v>172</v>
      </c>
      <c r="B176" s="18">
        <f>SUMPRODUCT((Segments!$J$5:$J$12&lt;&gt;"")*(Segments!$J$5:$J$12&lt;=A176))</f>
        <v/>
      </c>
      <c r="C176" s="19">
        <f>INDEX(Segments!$B$5:$B$12,B176)</f>
        <v/>
      </c>
      <c r="D176" s="18">
        <f>INDEX(Segments!$J$5:$J$12,B176)</f>
        <v/>
      </c>
      <c r="E176" s="19">
        <f>DATE(YEAR(C176)+INT((MONTH(C176)-1+(A176-D176))/12),MOD(MONTH(C176)-1+(A176-D176),12)+1,1)+(DAY(C176)-1)</f>
        <v/>
      </c>
      <c r="F176" s="20">
        <f>INDEX(Segments!$C$5:$C$12,B176)/100/12</f>
        <v/>
      </c>
      <c r="G176" s="21">
        <f>INDEX(Segments!$L$5:$L$12,B176)</f>
        <v/>
      </c>
      <c r="H176" s="6">
        <f>INDEX(Segments!$I$5:$I$12,B176)="Y"</f>
        <v/>
      </c>
      <c r="I176" s="6">
        <f>INDEX(Segments!$F$5:$F$12,B176)=""</f>
        <v/>
      </c>
      <c r="J176" s="18">
        <f>INDEX(Segments!$K$5:$K$12,B176)</f>
        <v/>
      </c>
      <c r="K176" s="18">
        <f>IF(INDEX(Segments!$F$5:$F$12,B176)&lt;&gt;"",INDEX(Segments!$F$5:$F$12,B176),IF(INDEX(Segments!$E$5:$E$12,B176)&lt;&gt;"",INDEX(Segments!$E$5:$E$12,B176),""))</f>
        <v/>
      </c>
      <c r="L176" s="21">
        <f>AA175</f>
        <v/>
      </c>
      <c r="M176" s="21">
        <f>IFERROR(INDEX(Overrides!$C:$C,MATCH(A176,Overrides!$A:$A,0)),"")</f>
        <v/>
      </c>
      <c r="N176" s="21">
        <f>IFERROR(INDEX(Overrides!$E:$E,MATCH(A176,Overrides!$A:$A,0)),"")</f>
        <v/>
      </c>
      <c r="O176" s="21">
        <f>IFERROR(INDEX(Overrides!$D:$D,MATCH(A176,Overrides!$A:$A,0)),"")</f>
        <v/>
      </c>
      <c r="P176" s="21">
        <f>IFERROR(INDEX(Overrides!$B:$B,MATCH(A176,Overrides!$A:$A,0)),"")</f>
        <v/>
      </c>
      <c r="Q176" s="6">
        <f>IFERROR(INDEX(Overrides!$F:$F,MATCH(A176,Overrides!$A:$A,0)),"")</f>
        <v/>
      </c>
      <c r="R176" s="6">
        <f>ISNUMBER(MATCH(A176,Overrides!$A:$A,0))</f>
        <v/>
      </c>
      <c r="S176" s="6">
        <f>OR(ROUND(L176-ROUND(G176-T176,2),2)&lt;=0,AND(I176,K176&lt;&gt;"",(A176-D176+1)=K176))</f>
        <v/>
      </c>
      <c r="T176" s="21">
        <f>IF(M176&lt;&gt;"",M176,ROUND(L176*F176,2))</f>
        <v/>
      </c>
      <c r="U176" s="21">
        <f>IF(R176,IF(O176&lt;&gt;"",O176,IF(N176&lt;&gt;"",ROUND(L176-N176,2),ROUND((IF(P176&lt;&gt;"",P176,G176))-T176,2))),IF(H176,0,IF(S176,L176,ROUND(G176-T176,2))))</f>
        <v/>
      </c>
      <c r="V176" s="21">
        <f>IF(R176,IF(P176&lt;&gt;"",P176,ROUND(T176+U176,2)),IF(H176,T176,IF(S176,ROUND(T176+U176,2),G176)))</f>
        <v/>
      </c>
      <c r="W176" s="21">
        <f>IF(R176,IF(N176&lt;&gt;"",N176,ROUND(L176-U176,2)),IF(H176,L176,IF(S176,0,ROUND(L176-U176,2))))</f>
        <v/>
      </c>
      <c r="X176" s="21">
        <f>IFERROR(MIN(INDEX(LumpSums!$B:$B,MATCH(A176,LumpSums!$A:$A,0)),W176),0)</f>
        <v/>
      </c>
      <c r="Y176" s="21">
        <f>ROUND(U176+X176,2)</f>
        <v/>
      </c>
      <c r="Z176" s="21">
        <f>ROUND(V176+X176,2)</f>
        <v/>
      </c>
      <c r="AA176" s="21">
        <f>ROUND(W176-X176,2)</f>
        <v/>
      </c>
      <c r="AB176" s="6">
        <f>AND(AB175,L176&gt;0)</f>
        <v/>
      </c>
      <c r="AC176" s="21">
        <f>IF(PMI_Costs!$B$8=0,0,ROUND(PMI_Costs!$B$8*(1+PMI_Costs!$B$9/100)^INT((A176-1)/12)/12,2))</f>
        <v/>
      </c>
      <c r="AD176" s="21">
        <f>IF(PMI_Costs!$B$10=0,0,ROUND(PMI_Costs!$B$10*(1+PMI_Costs!$B$11/100)^INT((A176-1)/12)/12,2))</f>
        <v/>
      </c>
      <c r="AE176" s="21">
        <f>IF(PMI_Costs!$B$12=0,0,ROUND(PMI_Costs!$B$12*(1+PMI_Costs!$B$13/100)^INT((A176-1)/12)/12,2))</f>
        <v/>
      </c>
      <c r="AF176" s="22">
        <f>IF(PMI_Costs!$B$5=0,0,AA176/PMI_Costs!$B$5)</f>
        <v/>
      </c>
      <c r="AG176" s="6">
        <f>AND(PMI_Costs!$B$4&gt;0,AF176&gt;PMI_Costs!$B$6/100)</f>
        <v/>
      </c>
      <c r="AH176" s="21">
        <f>IF(AG176,ROUND(Segments!$G$5*PMI_Costs!$B$4/100/12,2),0)</f>
        <v/>
      </c>
      <c r="AI176" s="6">
        <f>AND(NOT(AG176),AG175)</f>
        <v/>
      </c>
    </row>
    <row r="177">
      <c r="A177" s="18" t="n">
        <v>173</v>
      </c>
      <c r="B177" s="18">
        <f>SUMPRODUCT((Segments!$J$5:$J$12&lt;&gt;"")*(Segments!$J$5:$J$12&lt;=A177))</f>
        <v/>
      </c>
      <c r="C177" s="19">
        <f>INDEX(Segments!$B$5:$B$12,B177)</f>
        <v/>
      </c>
      <c r="D177" s="18">
        <f>INDEX(Segments!$J$5:$J$12,B177)</f>
        <v/>
      </c>
      <c r="E177" s="19">
        <f>DATE(YEAR(C177)+INT((MONTH(C177)-1+(A177-D177))/12),MOD(MONTH(C177)-1+(A177-D177),12)+1,1)+(DAY(C177)-1)</f>
        <v/>
      </c>
      <c r="F177" s="20">
        <f>INDEX(Segments!$C$5:$C$12,B177)/100/12</f>
        <v/>
      </c>
      <c r="G177" s="21">
        <f>INDEX(Segments!$L$5:$L$12,B177)</f>
        <v/>
      </c>
      <c r="H177" s="6">
        <f>INDEX(Segments!$I$5:$I$12,B177)="Y"</f>
        <v/>
      </c>
      <c r="I177" s="6">
        <f>INDEX(Segments!$F$5:$F$12,B177)=""</f>
        <v/>
      </c>
      <c r="J177" s="18">
        <f>INDEX(Segments!$K$5:$K$12,B177)</f>
        <v/>
      </c>
      <c r="K177" s="18">
        <f>IF(INDEX(Segments!$F$5:$F$12,B177)&lt;&gt;"",INDEX(Segments!$F$5:$F$12,B177),IF(INDEX(Segments!$E$5:$E$12,B177)&lt;&gt;"",INDEX(Segments!$E$5:$E$12,B177),""))</f>
        <v/>
      </c>
      <c r="L177" s="21">
        <f>AA176</f>
        <v/>
      </c>
      <c r="M177" s="21">
        <f>IFERROR(INDEX(Overrides!$C:$C,MATCH(A177,Overrides!$A:$A,0)),"")</f>
        <v/>
      </c>
      <c r="N177" s="21">
        <f>IFERROR(INDEX(Overrides!$E:$E,MATCH(A177,Overrides!$A:$A,0)),"")</f>
        <v/>
      </c>
      <c r="O177" s="21">
        <f>IFERROR(INDEX(Overrides!$D:$D,MATCH(A177,Overrides!$A:$A,0)),"")</f>
        <v/>
      </c>
      <c r="P177" s="21">
        <f>IFERROR(INDEX(Overrides!$B:$B,MATCH(A177,Overrides!$A:$A,0)),"")</f>
        <v/>
      </c>
      <c r="Q177" s="6">
        <f>IFERROR(INDEX(Overrides!$F:$F,MATCH(A177,Overrides!$A:$A,0)),"")</f>
        <v/>
      </c>
      <c r="R177" s="6">
        <f>ISNUMBER(MATCH(A177,Overrides!$A:$A,0))</f>
        <v/>
      </c>
      <c r="S177" s="6">
        <f>OR(ROUND(L177-ROUND(G177-T177,2),2)&lt;=0,AND(I177,K177&lt;&gt;"",(A177-D177+1)=K177))</f>
        <v/>
      </c>
      <c r="T177" s="21">
        <f>IF(M177&lt;&gt;"",M177,ROUND(L177*F177,2))</f>
        <v/>
      </c>
      <c r="U177" s="21">
        <f>IF(R177,IF(O177&lt;&gt;"",O177,IF(N177&lt;&gt;"",ROUND(L177-N177,2),ROUND((IF(P177&lt;&gt;"",P177,G177))-T177,2))),IF(H177,0,IF(S177,L177,ROUND(G177-T177,2))))</f>
        <v/>
      </c>
      <c r="V177" s="21">
        <f>IF(R177,IF(P177&lt;&gt;"",P177,ROUND(T177+U177,2)),IF(H177,T177,IF(S177,ROUND(T177+U177,2),G177)))</f>
        <v/>
      </c>
      <c r="W177" s="21">
        <f>IF(R177,IF(N177&lt;&gt;"",N177,ROUND(L177-U177,2)),IF(H177,L177,IF(S177,0,ROUND(L177-U177,2))))</f>
        <v/>
      </c>
      <c r="X177" s="21">
        <f>IFERROR(MIN(INDEX(LumpSums!$B:$B,MATCH(A177,LumpSums!$A:$A,0)),W177),0)</f>
        <v/>
      </c>
      <c r="Y177" s="21">
        <f>ROUND(U177+X177,2)</f>
        <v/>
      </c>
      <c r="Z177" s="21">
        <f>ROUND(V177+X177,2)</f>
        <v/>
      </c>
      <c r="AA177" s="21">
        <f>ROUND(W177-X177,2)</f>
        <v/>
      </c>
      <c r="AB177" s="6">
        <f>AND(AB176,L177&gt;0)</f>
        <v/>
      </c>
      <c r="AC177" s="21">
        <f>IF(PMI_Costs!$B$8=0,0,ROUND(PMI_Costs!$B$8*(1+PMI_Costs!$B$9/100)^INT((A177-1)/12)/12,2))</f>
        <v/>
      </c>
      <c r="AD177" s="21">
        <f>IF(PMI_Costs!$B$10=0,0,ROUND(PMI_Costs!$B$10*(1+PMI_Costs!$B$11/100)^INT((A177-1)/12)/12,2))</f>
        <v/>
      </c>
      <c r="AE177" s="21">
        <f>IF(PMI_Costs!$B$12=0,0,ROUND(PMI_Costs!$B$12*(1+PMI_Costs!$B$13/100)^INT((A177-1)/12)/12,2))</f>
        <v/>
      </c>
      <c r="AF177" s="22">
        <f>IF(PMI_Costs!$B$5=0,0,AA177/PMI_Costs!$B$5)</f>
        <v/>
      </c>
      <c r="AG177" s="6">
        <f>AND(PMI_Costs!$B$4&gt;0,AF177&gt;PMI_Costs!$B$6/100)</f>
        <v/>
      </c>
      <c r="AH177" s="21">
        <f>IF(AG177,ROUND(Segments!$G$5*PMI_Costs!$B$4/100/12,2),0)</f>
        <v/>
      </c>
      <c r="AI177" s="6">
        <f>AND(NOT(AG177),AG176)</f>
        <v/>
      </c>
    </row>
    <row r="178">
      <c r="A178" s="18" t="n">
        <v>174</v>
      </c>
      <c r="B178" s="18">
        <f>SUMPRODUCT((Segments!$J$5:$J$12&lt;&gt;"")*(Segments!$J$5:$J$12&lt;=A178))</f>
        <v/>
      </c>
      <c r="C178" s="19">
        <f>INDEX(Segments!$B$5:$B$12,B178)</f>
        <v/>
      </c>
      <c r="D178" s="18">
        <f>INDEX(Segments!$J$5:$J$12,B178)</f>
        <v/>
      </c>
      <c r="E178" s="19">
        <f>DATE(YEAR(C178)+INT((MONTH(C178)-1+(A178-D178))/12),MOD(MONTH(C178)-1+(A178-D178),12)+1,1)+(DAY(C178)-1)</f>
        <v/>
      </c>
      <c r="F178" s="20">
        <f>INDEX(Segments!$C$5:$C$12,B178)/100/12</f>
        <v/>
      </c>
      <c r="G178" s="21">
        <f>INDEX(Segments!$L$5:$L$12,B178)</f>
        <v/>
      </c>
      <c r="H178" s="6">
        <f>INDEX(Segments!$I$5:$I$12,B178)="Y"</f>
        <v/>
      </c>
      <c r="I178" s="6">
        <f>INDEX(Segments!$F$5:$F$12,B178)=""</f>
        <v/>
      </c>
      <c r="J178" s="18">
        <f>INDEX(Segments!$K$5:$K$12,B178)</f>
        <v/>
      </c>
      <c r="K178" s="18">
        <f>IF(INDEX(Segments!$F$5:$F$12,B178)&lt;&gt;"",INDEX(Segments!$F$5:$F$12,B178),IF(INDEX(Segments!$E$5:$E$12,B178)&lt;&gt;"",INDEX(Segments!$E$5:$E$12,B178),""))</f>
        <v/>
      </c>
      <c r="L178" s="21">
        <f>AA177</f>
        <v/>
      </c>
      <c r="M178" s="21">
        <f>IFERROR(INDEX(Overrides!$C:$C,MATCH(A178,Overrides!$A:$A,0)),"")</f>
        <v/>
      </c>
      <c r="N178" s="21">
        <f>IFERROR(INDEX(Overrides!$E:$E,MATCH(A178,Overrides!$A:$A,0)),"")</f>
        <v/>
      </c>
      <c r="O178" s="21">
        <f>IFERROR(INDEX(Overrides!$D:$D,MATCH(A178,Overrides!$A:$A,0)),"")</f>
        <v/>
      </c>
      <c r="P178" s="21">
        <f>IFERROR(INDEX(Overrides!$B:$B,MATCH(A178,Overrides!$A:$A,0)),"")</f>
        <v/>
      </c>
      <c r="Q178" s="6">
        <f>IFERROR(INDEX(Overrides!$F:$F,MATCH(A178,Overrides!$A:$A,0)),"")</f>
        <v/>
      </c>
      <c r="R178" s="6">
        <f>ISNUMBER(MATCH(A178,Overrides!$A:$A,0))</f>
        <v/>
      </c>
      <c r="S178" s="6">
        <f>OR(ROUND(L178-ROUND(G178-T178,2),2)&lt;=0,AND(I178,K178&lt;&gt;"",(A178-D178+1)=K178))</f>
        <v/>
      </c>
      <c r="T178" s="21">
        <f>IF(M178&lt;&gt;"",M178,ROUND(L178*F178,2))</f>
        <v/>
      </c>
      <c r="U178" s="21">
        <f>IF(R178,IF(O178&lt;&gt;"",O178,IF(N178&lt;&gt;"",ROUND(L178-N178,2),ROUND((IF(P178&lt;&gt;"",P178,G178))-T178,2))),IF(H178,0,IF(S178,L178,ROUND(G178-T178,2))))</f>
        <v/>
      </c>
      <c r="V178" s="21">
        <f>IF(R178,IF(P178&lt;&gt;"",P178,ROUND(T178+U178,2)),IF(H178,T178,IF(S178,ROUND(T178+U178,2),G178)))</f>
        <v/>
      </c>
      <c r="W178" s="21">
        <f>IF(R178,IF(N178&lt;&gt;"",N178,ROUND(L178-U178,2)),IF(H178,L178,IF(S178,0,ROUND(L178-U178,2))))</f>
        <v/>
      </c>
      <c r="X178" s="21">
        <f>IFERROR(MIN(INDEX(LumpSums!$B:$B,MATCH(A178,LumpSums!$A:$A,0)),W178),0)</f>
        <v/>
      </c>
      <c r="Y178" s="21">
        <f>ROUND(U178+X178,2)</f>
        <v/>
      </c>
      <c r="Z178" s="21">
        <f>ROUND(V178+X178,2)</f>
        <v/>
      </c>
      <c r="AA178" s="21">
        <f>ROUND(W178-X178,2)</f>
        <v/>
      </c>
      <c r="AB178" s="6">
        <f>AND(AB177,L178&gt;0)</f>
        <v/>
      </c>
      <c r="AC178" s="21">
        <f>IF(PMI_Costs!$B$8=0,0,ROUND(PMI_Costs!$B$8*(1+PMI_Costs!$B$9/100)^INT((A178-1)/12)/12,2))</f>
        <v/>
      </c>
      <c r="AD178" s="21">
        <f>IF(PMI_Costs!$B$10=0,0,ROUND(PMI_Costs!$B$10*(1+PMI_Costs!$B$11/100)^INT((A178-1)/12)/12,2))</f>
        <v/>
      </c>
      <c r="AE178" s="21">
        <f>IF(PMI_Costs!$B$12=0,0,ROUND(PMI_Costs!$B$12*(1+PMI_Costs!$B$13/100)^INT((A178-1)/12)/12,2))</f>
        <v/>
      </c>
      <c r="AF178" s="22">
        <f>IF(PMI_Costs!$B$5=0,0,AA178/PMI_Costs!$B$5)</f>
        <v/>
      </c>
      <c r="AG178" s="6">
        <f>AND(PMI_Costs!$B$4&gt;0,AF178&gt;PMI_Costs!$B$6/100)</f>
        <v/>
      </c>
      <c r="AH178" s="21">
        <f>IF(AG178,ROUND(Segments!$G$5*PMI_Costs!$B$4/100/12,2),0)</f>
        <v/>
      </c>
      <c r="AI178" s="6">
        <f>AND(NOT(AG178),AG177)</f>
        <v/>
      </c>
    </row>
    <row r="179">
      <c r="A179" s="18" t="n">
        <v>175</v>
      </c>
      <c r="B179" s="18">
        <f>SUMPRODUCT((Segments!$J$5:$J$12&lt;&gt;"")*(Segments!$J$5:$J$12&lt;=A179))</f>
        <v/>
      </c>
      <c r="C179" s="19">
        <f>INDEX(Segments!$B$5:$B$12,B179)</f>
        <v/>
      </c>
      <c r="D179" s="18">
        <f>INDEX(Segments!$J$5:$J$12,B179)</f>
        <v/>
      </c>
      <c r="E179" s="19">
        <f>DATE(YEAR(C179)+INT((MONTH(C179)-1+(A179-D179))/12),MOD(MONTH(C179)-1+(A179-D179),12)+1,1)+(DAY(C179)-1)</f>
        <v/>
      </c>
      <c r="F179" s="20">
        <f>INDEX(Segments!$C$5:$C$12,B179)/100/12</f>
        <v/>
      </c>
      <c r="G179" s="21">
        <f>INDEX(Segments!$L$5:$L$12,B179)</f>
        <v/>
      </c>
      <c r="H179" s="6">
        <f>INDEX(Segments!$I$5:$I$12,B179)="Y"</f>
        <v/>
      </c>
      <c r="I179" s="6">
        <f>INDEX(Segments!$F$5:$F$12,B179)=""</f>
        <v/>
      </c>
      <c r="J179" s="18">
        <f>INDEX(Segments!$K$5:$K$12,B179)</f>
        <v/>
      </c>
      <c r="K179" s="18">
        <f>IF(INDEX(Segments!$F$5:$F$12,B179)&lt;&gt;"",INDEX(Segments!$F$5:$F$12,B179),IF(INDEX(Segments!$E$5:$E$12,B179)&lt;&gt;"",INDEX(Segments!$E$5:$E$12,B179),""))</f>
        <v/>
      </c>
      <c r="L179" s="21">
        <f>AA178</f>
        <v/>
      </c>
      <c r="M179" s="21">
        <f>IFERROR(INDEX(Overrides!$C:$C,MATCH(A179,Overrides!$A:$A,0)),"")</f>
        <v/>
      </c>
      <c r="N179" s="21">
        <f>IFERROR(INDEX(Overrides!$E:$E,MATCH(A179,Overrides!$A:$A,0)),"")</f>
        <v/>
      </c>
      <c r="O179" s="21">
        <f>IFERROR(INDEX(Overrides!$D:$D,MATCH(A179,Overrides!$A:$A,0)),"")</f>
        <v/>
      </c>
      <c r="P179" s="21">
        <f>IFERROR(INDEX(Overrides!$B:$B,MATCH(A179,Overrides!$A:$A,0)),"")</f>
        <v/>
      </c>
      <c r="Q179" s="6">
        <f>IFERROR(INDEX(Overrides!$F:$F,MATCH(A179,Overrides!$A:$A,0)),"")</f>
        <v/>
      </c>
      <c r="R179" s="6">
        <f>ISNUMBER(MATCH(A179,Overrides!$A:$A,0))</f>
        <v/>
      </c>
      <c r="S179" s="6">
        <f>OR(ROUND(L179-ROUND(G179-T179,2),2)&lt;=0,AND(I179,K179&lt;&gt;"",(A179-D179+1)=K179))</f>
        <v/>
      </c>
      <c r="T179" s="21">
        <f>IF(M179&lt;&gt;"",M179,ROUND(L179*F179,2))</f>
        <v/>
      </c>
      <c r="U179" s="21">
        <f>IF(R179,IF(O179&lt;&gt;"",O179,IF(N179&lt;&gt;"",ROUND(L179-N179,2),ROUND((IF(P179&lt;&gt;"",P179,G179))-T179,2))),IF(H179,0,IF(S179,L179,ROUND(G179-T179,2))))</f>
        <v/>
      </c>
      <c r="V179" s="21">
        <f>IF(R179,IF(P179&lt;&gt;"",P179,ROUND(T179+U179,2)),IF(H179,T179,IF(S179,ROUND(T179+U179,2),G179)))</f>
        <v/>
      </c>
      <c r="W179" s="21">
        <f>IF(R179,IF(N179&lt;&gt;"",N179,ROUND(L179-U179,2)),IF(H179,L179,IF(S179,0,ROUND(L179-U179,2))))</f>
        <v/>
      </c>
      <c r="X179" s="21">
        <f>IFERROR(MIN(INDEX(LumpSums!$B:$B,MATCH(A179,LumpSums!$A:$A,0)),W179),0)</f>
        <v/>
      </c>
      <c r="Y179" s="21">
        <f>ROUND(U179+X179,2)</f>
        <v/>
      </c>
      <c r="Z179" s="21">
        <f>ROUND(V179+X179,2)</f>
        <v/>
      </c>
      <c r="AA179" s="21">
        <f>ROUND(W179-X179,2)</f>
        <v/>
      </c>
      <c r="AB179" s="6">
        <f>AND(AB178,L179&gt;0)</f>
        <v/>
      </c>
      <c r="AC179" s="21">
        <f>IF(PMI_Costs!$B$8=0,0,ROUND(PMI_Costs!$B$8*(1+PMI_Costs!$B$9/100)^INT((A179-1)/12)/12,2))</f>
        <v/>
      </c>
      <c r="AD179" s="21">
        <f>IF(PMI_Costs!$B$10=0,0,ROUND(PMI_Costs!$B$10*(1+PMI_Costs!$B$11/100)^INT((A179-1)/12)/12,2))</f>
        <v/>
      </c>
      <c r="AE179" s="21">
        <f>IF(PMI_Costs!$B$12=0,0,ROUND(PMI_Costs!$B$12*(1+PMI_Costs!$B$13/100)^INT((A179-1)/12)/12,2))</f>
        <v/>
      </c>
      <c r="AF179" s="22">
        <f>IF(PMI_Costs!$B$5=0,0,AA179/PMI_Costs!$B$5)</f>
        <v/>
      </c>
      <c r="AG179" s="6">
        <f>AND(PMI_Costs!$B$4&gt;0,AF179&gt;PMI_Costs!$B$6/100)</f>
        <v/>
      </c>
      <c r="AH179" s="21">
        <f>IF(AG179,ROUND(Segments!$G$5*PMI_Costs!$B$4/100/12,2),0)</f>
        <v/>
      </c>
      <c r="AI179" s="6">
        <f>AND(NOT(AG179),AG178)</f>
        <v/>
      </c>
    </row>
    <row r="180">
      <c r="A180" s="18" t="n">
        <v>176</v>
      </c>
      <c r="B180" s="18">
        <f>SUMPRODUCT((Segments!$J$5:$J$12&lt;&gt;"")*(Segments!$J$5:$J$12&lt;=A180))</f>
        <v/>
      </c>
      <c r="C180" s="19">
        <f>INDEX(Segments!$B$5:$B$12,B180)</f>
        <v/>
      </c>
      <c r="D180" s="18">
        <f>INDEX(Segments!$J$5:$J$12,B180)</f>
        <v/>
      </c>
      <c r="E180" s="19">
        <f>DATE(YEAR(C180)+INT((MONTH(C180)-1+(A180-D180))/12),MOD(MONTH(C180)-1+(A180-D180),12)+1,1)+(DAY(C180)-1)</f>
        <v/>
      </c>
      <c r="F180" s="20">
        <f>INDEX(Segments!$C$5:$C$12,B180)/100/12</f>
        <v/>
      </c>
      <c r="G180" s="21">
        <f>INDEX(Segments!$L$5:$L$12,B180)</f>
        <v/>
      </c>
      <c r="H180" s="6">
        <f>INDEX(Segments!$I$5:$I$12,B180)="Y"</f>
        <v/>
      </c>
      <c r="I180" s="6">
        <f>INDEX(Segments!$F$5:$F$12,B180)=""</f>
        <v/>
      </c>
      <c r="J180" s="18">
        <f>INDEX(Segments!$K$5:$K$12,B180)</f>
        <v/>
      </c>
      <c r="K180" s="18">
        <f>IF(INDEX(Segments!$F$5:$F$12,B180)&lt;&gt;"",INDEX(Segments!$F$5:$F$12,B180),IF(INDEX(Segments!$E$5:$E$12,B180)&lt;&gt;"",INDEX(Segments!$E$5:$E$12,B180),""))</f>
        <v/>
      </c>
      <c r="L180" s="21">
        <f>AA179</f>
        <v/>
      </c>
      <c r="M180" s="21">
        <f>IFERROR(INDEX(Overrides!$C:$C,MATCH(A180,Overrides!$A:$A,0)),"")</f>
        <v/>
      </c>
      <c r="N180" s="21">
        <f>IFERROR(INDEX(Overrides!$E:$E,MATCH(A180,Overrides!$A:$A,0)),"")</f>
        <v/>
      </c>
      <c r="O180" s="21">
        <f>IFERROR(INDEX(Overrides!$D:$D,MATCH(A180,Overrides!$A:$A,0)),"")</f>
        <v/>
      </c>
      <c r="P180" s="21">
        <f>IFERROR(INDEX(Overrides!$B:$B,MATCH(A180,Overrides!$A:$A,0)),"")</f>
        <v/>
      </c>
      <c r="Q180" s="6">
        <f>IFERROR(INDEX(Overrides!$F:$F,MATCH(A180,Overrides!$A:$A,0)),"")</f>
        <v/>
      </c>
      <c r="R180" s="6">
        <f>ISNUMBER(MATCH(A180,Overrides!$A:$A,0))</f>
        <v/>
      </c>
      <c r="S180" s="6">
        <f>OR(ROUND(L180-ROUND(G180-T180,2),2)&lt;=0,AND(I180,K180&lt;&gt;"",(A180-D180+1)=K180))</f>
        <v/>
      </c>
      <c r="T180" s="21">
        <f>IF(M180&lt;&gt;"",M180,ROUND(L180*F180,2))</f>
        <v/>
      </c>
      <c r="U180" s="21">
        <f>IF(R180,IF(O180&lt;&gt;"",O180,IF(N180&lt;&gt;"",ROUND(L180-N180,2),ROUND((IF(P180&lt;&gt;"",P180,G180))-T180,2))),IF(H180,0,IF(S180,L180,ROUND(G180-T180,2))))</f>
        <v/>
      </c>
      <c r="V180" s="21">
        <f>IF(R180,IF(P180&lt;&gt;"",P180,ROUND(T180+U180,2)),IF(H180,T180,IF(S180,ROUND(T180+U180,2),G180)))</f>
        <v/>
      </c>
      <c r="W180" s="21">
        <f>IF(R180,IF(N180&lt;&gt;"",N180,ROUND(L180-U180,2)),IF(H180,L180,IF(S180,0,ROUND(L180-U180,2))))</f>
        <v/>
      </c>
      <c r="X180" s="21">
        <f>IFERROR(MIN(INDEX(LumpSums!$B:$B,MATCH(A180,LumpSums!$A:$A,0)),W180),0)</f>
        <v/>
      </c>
      <c r="Y180" s="21">
        <f>ROUND(U180+X180,2)</f>
        <v/>
      </c>
      <c r="Z180" s="21">
        <f>ROUND(V180+X180,2)</f>
        <v/>
      </c>
      <c r="AA180" s="21">
        <f>ROUND(W180-X180,2)</f>
        <v/>
      </c>
      <c r="AB180" s="6">
        <f>AND(AB179,L180&gt;0)</f>
        <v/>
      </c>
      <c r="AC180" s="21">
        <f>IF(PMI_Costs!$B$8=0,0,ROUND(PMI_Costs!$B$8*(1+PMI_Costs!$B$9/100)^INT((A180-1)/12)/12,2))</f>
        <v/>
      </c>
      <c r="AD180" s="21">
        <f>IF(PMI_Costs!$B$10=0,0,ROUND(PMI_Costs!$B$10*(1+PMI_Costs!$B$11/100)^INT((A180-1)/12)/12,2))</f>
        <v/>
      </c>
      <c r="AE180" s="21">
        <f>IF(PMI_Costs!$B$12=0,0,ROUND(PMI_Costs!$B$12*(1+PMI_Costs!$B$13/100)^INT((A180-1)/12)/12,2))</f>
        <v/>
      </c>
      <c r="AF180" s="22">
        <f>IF(PMI_Costs!$B$5=0,0,AA180/PMI_Costs!$B$5)</f>
        <v/>
      </c>
      <c r="AG180" s="6">
        <f>AND(PMI_Costs!$B$4&gt;0,AF180&gt;PMI_Costs!$B$6/100)</f>
        <v/>
      </c>
      <c r="AH180" s="21">
        <f>IF(AG180,ROUND(Segments!$G$5*PMI_Costs!$B$4/100/12,2),0)</f>
        <v/>
      </c>
      <c r="AI180" s="6">
        <f>AND(NOT(AG180),AG179)</f>
        <v/>
      </c>
    </row>
    <row r="181">
      <c r="A181" s="18" t="n">
        <v>177</v>
      </c>
      <c r="B181" s="18">
        <f>SUMPRODUCT((Segments!$J$5:$J$12&lt;&gt;"")*(Segments!$J$5:$J$12&lt;=A181))</f>
        <v/>
      </c>
      <c r="C181" s="19">
        <f>INDEX(Segments!$B$5:$B$12,B181)</f>
        <v/>
      </c>
      <c r="D181" s="18">
        <f>INDEX(Segments!$J$5:$J$12,B181)</f>
        <v/>
      </c>
      <c r="E181" s="19">
        <f>DATE(YEAR(C181)+INT((MONTH(C181)-1+(A181-D181))/12),MOD(MONTH(C181)-1+(A181-D181),12)+1,1)+(DAY(C181)-1)</f>
        <v/>
      </c>
      <c r="F181" s="20">
        <f>INDEX(Segments!$C$5:$C$12,B181)/100/12</f>
        <v/>
      </c>
      <c r="G181" s="21">
        <f>INDEX(Segments!$L$5:$L$12,B181)</f>
        <v/>
      </c>
      <c r="H181" s="6">
        <f>INDEX(Segments!$I$5:$I$12,B181)="Y"</f>
        <v/>
      </c>
      <c r="I181" s="6">
        <f>INDEX(Segments!$F$5:$F$12,B181)=""</f>
        <v/>
      </c>
      <c r="J181" s="18">
        <f>INDEX(Segments!$K$5:$K$12,B181)</f>
        <v/>
      </c>
      <c r="K181" s="18">
        <f>IF(INDEX(Segments!$F$5:$F$12,B181)&lt;&gt;"",INDEX(Segments!$F$5:$F$12,B181),IF(INDEX(Segments!$E$5:$E$12,B181)&lt;&gt;"",INDEX(Segments!$E$5:$E$12,B181),""))</f>
        <v/>
      </c>
      <c r="L181" s="21">
        <f>AA180</f>
        <v/>
      </c>
      <c r="M181" s="21">
        <f>IFERROR(INDEX(Overrides!$C:$C,MATCH(A181,Overrides!$A:$A,0)),"")</f>
        <v/>
      </c>
      <c r="N181" s="21">
        <f>IFERROR(INDEX(Overrides!$E:$E,MATCH(A181,Overrides!$A:$A,0)),"")</f>
        <v/>
      </c>
      <c r="O181" s="21">
        <f>IFERROR(INDEX(Overrides!$D:$D,MATCH(A181,Overrides!$A:$A,0)),"")</f>
        <v/>
      </c>
      <c r="P181" s="21">
        <f>IFERROR(INDEX(Overrides!$B:$B,MATCH(A181,Overrides!$A:$A,0)),"")</f>
        <v/>
      </c>
      <c r="Q181" s="6">
        <f>IFERROR(INDEX(Overrides!$F:$F,MATCH(A181,Overrides!$A:$A,0)),"")</f>
        <v/>
      </c>
      <c r="R181" s="6">
        <f>ISNUMBER(MATCH(A181,Overrides!$A:$A,0))</f>
        <v/>
      </c>
      <c r="S181" s="6">
        <f>OR(ROUND(L181-ROUND(G181-T181,2),2)&lt;=0,AND(I181,K181&lt;&gt;"",(A181-D181+1)=K181))</f>
        <v/>
      </c>
      <c r="T181" s="21">
        <f>IF(M181&lt;&gt;"",M181,ROUND(L181*F181,2))</f>
        <v/>
      </c>
      <c r="U181" s="21">
        <f>IF(R181,IF(O181&lt;&gt;"",O181,IF(N181&lt;&gt;"",ROUND(L181-N181,2),ROUND((IF(P181&lt;&gt;"",P181,G181))-T181,2))),IF(H181,0,IF(S181,L181,ROUND(G181-T181,2))))</f>
        <v/>
      </c>
      <c r="V181" s="21">
        <f>IF(R181,IF(P181&lt;&gt;"",P181,ROUND(T181+U181,2)),IF(H181,T181,IF(S181,ROUND(T181+U181,2),G181)))</f>
        <v/>
      </c>
      <c r="W181" s="21">
        <f>IF(R181,IF(N181&lt;&gt;"",N181,ROUND(L181-U181,2)),IF(H181,L181,IF(S181,0,ROUND(L181-U181,2))))</f>
        <v/>
      </c>
      <c r="X181" s="21">
        <f>IFERROR(MIN(INDEX(LumpSums!$B:$B,MATCH(A181,LumpSums!$A:$A,0)),W181),0)</f>
        <v/>
      </c>
      <c r="Y181" s="21">
        <f>ROUND(U181+X181,2)</f>
        <v/>
      </c>
      <c r="Z181" s="21">
        <f>ROUND(V181+X181,2)</f>
        <v/>
      </c>
      <c r="AA181" s="21">
        <f>ROUND(W181-X181,2)</f>
        <v/>
      </c>
      <c r="AB181" s="6">
        <f>AND(AB180,L181&gt;0)</f>
        <v/>
      </c>
      <c r="AC181" s="21">
        <f>IF(PMI_Costs!$B$8=0,0,ROUND(PMI_Costs!$B$8*(1+PMI_Costs!$B$9/100)^INT((A181-1)/12)/12,2))</f>
        <v/>
      </c>
      <c r="AD181" s="21">
        <f>IF(PMI_Costs!$B$10=0,0,ROUND(PMI_Costs!$B$10*(1+PMI_Costs!$B$11/100)^INT((A181-1)/12)/12,2))</f>
        <v/>
      </c>
      <c r="AE181" s="21">
        <f>IF(PMI_Costs!$B$12=0,0,ROUND(PMI_Costs!$B$12*(1+PMI_Costs!$B$13/100)^INT((A181-1)/12)/12,2))</f>
        <v/>
      </c>
      <c r="AF181" s="22">
        <f>IF(PMI_Costs!$B$5=0,0,AA181/PMI_Costs!$B$5)</f>
        <v/>
      </c>
      <c r="AG181" s="6">
        <f>AND(PMI_Costs!$B$4&gt;0,AF181&gt;PMI_Costs!$B$6/100)</f>
        <v/>
      </c>
      <c r="AH181" s="21">
        <f>IF(AG181,ROUND(Segments!$G$5*PMI_Costs!$B$4/100/12,2),0)</f>
        <v/>
      </c>
      <c r="AI181" s="6">
        <f>AND(NOT(AG181),AG180)</f>
        <v/>
      </c>
    </row>
    <row r="182">
      <c r="A182" s="18" t="n">
        <v>178</v>
      </c>
      <c r="B182" s="18">
        <f>SUMPRODUCT((Segments!$J$5:$J$12&lt;&gt;"")*(Segments!$J$5:$J$12&lt;=A182))</f>
        <v/>
      </c>
      <c r="C182" s="19">
        <f>INDEX(Segments!$B$5:$B$12,B182)</f>
        <v/>
      </c>
      <c r="D182" s="18">
        <f>INDEX(Segments!$J$5:$J$12,B182)</f>
        <v/>
      </c>
      <c r="E182" s="19">
        <f>DATE(YEAR(C182)+INT((MONTH(C182)-1+(A182-D182))/12),MOD(MONTH(C182)-1+(A182-D182),12)+1,1)+(DAY(C182)-1)</f>
        <v/>
      </c>
      <c r="F182" s="20">
        <f>INDEX(Segments!$C$5:$C$12,B182)/100/12</f>
        <v/>
      </c>
      <c r="G182" s="21">
        <f>INDEX(Segments!$L$5:$L$12,B182)</f>
        <v/>
      </c>
      <c r="H182" s="6">
        <f>INDEX(Segments!$I$5:$I$12,B182)="Y"</f>
        <v/>
      </c>
      <c r="I182" s="6">
        <f>INDEX(Segments!$F$5:$F$12,B182)=""</f>
        <v/>
      </c>
      <c r="J182" s="18">
        <f>INDEX(Segments!$K$5:$K$12,B182)</f>
        <v/>
      </c>
      <c r="K182" s="18">
        <f>IF(INDEX(Segments!$F$5:$F$12,B182)&lt;&gt;"",INDEX(Segments!$F$5:$F$12,B182),IF(INDEX(Segments!$E$5:$E$12,B182)&lt;&gt;"",INDEX(Segments!$E$5:$E$12,B182),""))</f>
        <v/>
      </c>
      <c r="L182" s="21">
        <f>AA181</f>
        <v/>
      </c>
      <c r="M182" s="21">
        <f>IFERROR(INDEX(Overrides!$C:$C,MATCH(A182,Overrides!$A:$A,0)),"")</f>
        <v/>
      </c>
      <c r="N182" s="21">
        <f>IFERROR(INDEX(Overrides!$E:$E,MATCH(A182,Overrides!$A:$A,0)),"")</f>
        <v/>
      </c>
      <c r="O182" s="21">
        <f>IFERROR(INDEX(Overrides!$D:$D,MATCH(A182,Overrides!$A:$A,0)),"")</f>
        <v/>
      </c>
      <c r="P182" s="21">
        <f>IFERROR(INDEX(Overrides!$B:$B,MATCH(A182,Overrides!$A:$A,0)),"")</f>
        <v/>
      </c>
      <c r="Q182" s="6">
        <f>IFERROR(INDEX(Overrides!$F:$F,MATCH(A182,Overrides!$A:$A,0)),"")</f>
        <v/>
      </c>
      <c r="R182" s="6">
        <f>ISNUMBER(MATCH(A182,Overrides!$A:$A,0))</f>
        <v/>
      </c>
      <c r="S182" s="6">
        <f>OR(ROUND(L182-ROUND(G182-T182,2),2)&lt;=0,AND(I182,K182&lt;&gt;"",(A182-D182+1)=K182))</f>
        <v/>
      </c>
      <c r="T182" s="21">
        <f>IF(M182&lt;&gt;"",M182,ROUND(L182*F182,2))</f>
        <v/>
      </c>
      <c r="U182" s="21">
        <f>IF(R182,IF(O182&lt;&gt;"",O182,IF(N182&lt;&gt;"",ROUND(L182-N182,2),ROUND((IF(P182&lt;&gt;"",P182,G182))-T182,2))),IF(H182,0,IF(S182,L182,ROUND(G182-T182,2))))</f>
        <v/>
      </c>
      <c r="V182" s="21">
        <f>IF(R182,IF(P182&lt;&gt;"",P182,ROUND(T182+U182,2)),IF(H182,T182,IF(S182,ROUND(T182+U182,2),G182)))</f>
        <v/>
      </c>
      <c r="W182" s="21">
        <f>IF(R182,IF(N182&lt;&gt;"",N182,ROUND(L182-U182,2)),IF(H182,L182,IF(S182,0,ROUND(L182-U182,2))))</f>
        <v/>
      </c>
      <c r="X182" s="21">
        <f>IFERROR(MIN(INDEX(LumpSums!$B:$B,MATCH(A182,LumpSums!$A:$A,0)),W182),0)</f>
        <v/>
      </c>
      <c r="Y182" s="21">
        <f>ROUND(U182+X182,2)</f>
        <v/>
      </c>
      <c r="Z182" s="21">
        <f>ROUND(V182+X182,2)</f>
        <v/>
      </c>
      <c r="AA182" s="21">
        <f>ROUND(W182-X182,2)</f>
        <v/>
      </c>
      <c r="AB182" s="6">
        <f>AND(AB181,L182&gt;0)</f>
        <v/>
      </c>
      <c r="AC182" s="21">
        <f>IF(PMI_Costs!$B$8=0,0,ROUND(PMI_Costs!$B$8*(1+PMI_Costs!$B$9/100)^INT((A182-1)/12)/12,2))</f>
        <v/>
      </c>
      <c r="AD182" s="21">
        <f>IF(PMI_Costs!$B$10=0,0,ROUND(PMI_Costs!$B$10*(1+PMI_Costs!$B$11/100)^INT((A182-1)/12)/12,2))</f>
        <v/>
      </c>
      <c r="AE182" s="21">
        <f>IF(PMI_Costs!$B$12=0,0,ROUND(PMI_Costs!$B$12*(1+PMI_Costs!$B$13/100)^INT((A182-1)/12)/12,2))</f>
        <v/>
      </c>
      <c r="AF182" s="22">
        <f>IF(PMI_Costs!$B$5=0,0,AA182/PMI_Costs!$B$5)</f>
        <v/>
      </c>
      <c r="AG182" s="6">
        <f>AND(PMI_Costs!$B$4&gt;0,AF182&gt;PMI_Costs!$B$6/100)</f>
        <v/>
      </c>
      <c r="AH182" s="21">
        <f>IF(AG182,ROUND(Segments!$G$5*PMI_Costs!$B$4/100/12,2),0)</f>
        <v/>
      </c>
      <c r="AI182" s="6">
        <f>AND(NOT(AG182),AG181)</f>
        <v/>
      </c>
    </row>
    <row r="183">
      <c r="A183" s="18" t="n">
        <v>179</v>
      </c>
      <c r="B183" s="18">
        <f>SUMPRODUCT((Segments!$J$5:$J$12&lt;&gt;"")*(Segments!$J$5:$J$12&lt;=A183))</f>
        <v/>
      </c>
      <c r="C183" s="19">
        <f>INDEX(Segments!$B$5:$B$12,B183)</f>
        <v/>
      </c>
      <c r="D183" s="18">
        <f>INDEX(Segments!$J$5:$J$12,B183)</f>
        <v/>
      </c>
      <c r="E183" s="19">
        <f>DATE(YEAR(C183)+INT((MONTH(C183)-1+(A183-D183))/12),MOD(MONTH(C183)-1+(A183-D183),12)+1,1)+(DAY(C183)-1)</f>
        <v/>
      </c>
      <c r="F183" s="20">
        <f>INDEX(Segments!$C$5:$C$12,B183)/100/12</f>
        <v/>
      </c>
      <c r="G183" s="21">
        <f>INDEX(Segments!$L$5:$L$12,B183)</f>
        <v/>
      </c>
      <c r="H183" s="6">
        <f>INDEX(Segments!$I$5:$I$12,B183)="Y"</f>
        <v/>
      </c>
      <c r="I183" s="6">
        <f>INDEX(Segments!$F$5:$F$12,B183)=""</f>
        <v/>
      </c>
      <c r="J183" s="18">
        <f>INDEX(Segments!$K$5:$K$12,B183)</f>
        <v/>
      </c>
      <c r="K183" s="18">
        <f>IF(INDEX(Segments!$F$5:$F$12,B183)&lt;&gt;"",INDEX(Segments!$F$5:$F$12,B183),IF(INDEX(Segments!$E$5:$E$12,B183)&lt;&gt;"",INDEX(Segments!$E$5:$E$12,B183),""))</f>
        <v/>
      </c>
      <c r="L183" s="21">
        <f>AA182</f>
        <v/>
      </c>
      <c r="M183" s="21">
        <f>IFERROR(INDEX(Overrides!$C:$C,MATCH(A183,Overrides!$A:$A,0)),"")</f>
        <v/>
      </c>
      <c r="N183" s="21">
        <f>IFERROR(INDEX(Overrides!$E:$E,MATCH(A183,Overrides!$A:$A,0)),"")</f>
        <v/>
      </c>
      <c r="O183" s="21">
        <f>IFERROR(INDEX(Overrides!$D:$D,MATCH(A183,Overrides!$A:$A,0)),"")</f>
        <v/>
      </c>
      <c r="P183" s="21">
        <f>IFERROR(INDEX(Overrides!$B:$B,MATCH(A183,Overrides!$A:$A,0)),"")</f>
        <v/>
      </c>
      <c r="Q183" s="6">
        <f>IFERROR(INDEX(Overrides!$F:$F,MATCH(A183,Overrides!$A:$A,0)),"")</f>
        <v/>
      </c>
      <c r="R183" s="6">
        <f>ISNUMBER(MATCH(A183,Overrides!$A:$A,0))</f>
        <v/>
      </c>
      <c r="S183" s="6">
        <f>OR(ROUND(L183-ROUND(G183-T183,2),2)&lt;=0,AND(I183,K183&lt;&gt;"",(A183-D183+1)=K183))</f>
        <v/>
      </c>
      <c r="T183" s="21">
        <f>IF(M183&lt;&gt;"",M183,ROUND(L183*F183,2))</f>
        <v/>
      </c>
      <c r="U183" s="21">
        <f>IF(R183,IF(O183&lt;&gt;"",O183,IF(N183&lt;&gt;"",ROUND(L183-N183,2),ROUND((IF(P183&lt;&gt;"",P183,G183))-T183,2))),IF(H183,0,IF(S183,L183,ROUND(G183-T183,2))))</f>
        <v/>
      </c>
      <c r="V183" s="21">
        <f>IF(R183,IF(P183&lt;&gt;"",P183,ROUND(T183+U183,2)),IF(H183,T183,IF(S183,ROUND(T183+U183,2),G183)))</f>
        <v/>
      </c>
      <c r="W183" s="21">
        <f>IF(R183,IF(N183&lt;&gt;"",N183,ROUND(L183-U183,2)),IF(H183,L183,IF(S183,0,ROUND(L183-U183,2))))</f>
        <v/>
      </c>
      <c r="X183" s="21">
        <f>IFERROR(MIN(INDEX(LumpSums!$B:$B,MATCH(A183,LumpSums!$A:$A,0)),W183),0)</f>
        <v/>
      </c>
      <c r="Y183" s="21">
        <f>ROUND(U183+X183,2)</f>
        <v/>
      </c>
      <c r="Z183" s="21">
        <f>ROUND(V183+X183,2)</f>
        <v/>
      </c>
      <c r="AA183" s="21">
        <f>ROUND(W183-X183,2)</f>
        <v/>
      </c>
      <c r="AB183" s="6">
        <f>AND(AB182,L183&gt;0)</f>
        <v/>
      </c>
      <c r="AC183" s="21">
        <f>IF(PMI_Costs!$B$8=0,0,ROUND(PMI_Costs!$B$8*(1+PMI_Costs!$B$9/100)^INT((A183-1)/12)/12,2))</f>
        <v/>
      </c>
      <c r="AD183" s="21">
        <f>IF(PMI_Costs!$B$10=0,0,ROUND(PMI_Costs!$B$10*(1+PMI_Costs!$B$11/100)^INT((A183-1)/12)/12,2))</f>
        <v/>
      </c>
      <c r="AE183" s="21">
        <f>IF(PMI_Costs!$B$12=0,0,ROUND(PMI_Costs!$B$12*(1+PMI_Costs!$B$13/100)^INT((A183-1)/12)/12,2))</f>
        <v/>
      </c>
      <c r="AF183" s="22">
        <f>IF(PMI_Costs!$B$5=0,0,AA183/PMI_Costs!$B$5)</f>
        <v/>
      </c>
      <c r="AG183" s="6">
        <f>AND(PMI_Costs!$B$4&gt;0,AF183&gt;PMI_Costs!$B$6/100)</f>
        <v/>
      </c>
      <c r="AH183" s="21">
        <f>IF(AG183,ROUND(Segments!$G$5*PMI_Costs!$B$4/100/12,2),0)</f>
        <v/>
      </c>
      <c r="AI183" s="6">
        <f>AND(NOT(AG183),AG182)</f>
        <v/>
      </c>
    </row>
    <row r="184">
      <c r="A184" s="18" t="n">
        <v>180</v>
      </c>
      <c r="B184" s="18">
        <f>SUMPRODUCT((Segments!$J$5:$J$12&lt;&gt;"")*(Segments!$J$5:$J$12&lt;=A184))</f>
        <v/>
      </c>
      <c r="C184" s="19">
        <f>INDEX(Segments!$B$5:$B$12,B184)</f>
        <v/>
      </c>
      <c r="D184" s="18">
        <f>INDEX(Segments!$J$5:$J$12,B184)</f>
        <v/>
      </c>
      <c r="E184" s="19">
        <f>DATE(YEAR(C184)+INT((MONTH(C184)-1+(A184-D184))/12),MOD(MONTH(C184)-1+(A184-D184),12)+1,1)+(DAY(C184)-1)</f>
        <v/>
      </c>
      <c r="F184" s="20">
        <f>INDEX(Segments!$C$5:$C$12,B184)/100/12</f>
        <v/>
      </c>
      <c r="G184" s="21">
        <f>INDEX(Segments!$L$5:$L$12,B184)</f>
        <v/>
      </c>
      <c r="H184" s="6">
        <f>INDEX(Segments!$I$5:$I$12,B184)="Y"</f>
        <v/>
      </c>
      <c r="I184" s="6">
        <f>INDEX(Segments!$F$5:$F$12,B184)=""</f>
        <v/>
      </c>
      <c r="J184" s="18">
        <f>INDEX(Segments!$K$5:$K$12,B184)</f>
        <v/>
      </c>
      <c r="K184" s="18">
        <f>IF(INDEX(Segments!$F$5:$F$12,B184)&lt;&gt;"",INDEX(Segments!$F$5:$F$12,B184),IF(INDEX(Segments!$E$5:$E$12,B184)&lt;&gt;"",INDEX(Segments!$E$5:$E$12,B184),""))</f>
        <v/>
      </c>
      <c r="L184" s="21">
        <f>AA183</f>
        <v/>
      </c>
      <c r="M184" s="21">
        <f>IFERROR(INDEX(Overrides!$C:$C,MATCH(A184,Overrides!$A:$A,0)),"")</f>
        <v/>
      </c>
      <c r="N184" s="21">
        <f>IFERROR(INDEX(Overrides!$E:$E,MATCH(A184,Overrides!$A:$A,0)),"")</f>
        <v/>
      </c>
      <c r="O184" s="21">
        <f>IFERROR(INDEX(Overrides!$D:$D,MATCH(A184,Overrides!$A:$A,0)),"")</f>
        <v/>
      </c>
      <c r="P184" s="21">
        <f>IFERROR(INDEX(Overrides!$B:$B,MATCH(A184,Overrides!$A:$A,0)),"")</f>
        <v/>
      </c>
      <c r="Q184" s="6">
        <f>IFERROR(INDEX(Overrides!$F:$F,MATCH(A184,Overrides!$A:$A,0)),"")</f>
        <v/>
      </c>
      <c r="R184" s="6">
        <f>ISNUMBER(MATCH(A184,Overrides!$A:$A,0))</f>
        <v/>
      </c>
      <c r="S184" s="6">
        <f>OR(ROUND(L184-ROUND(G184-T184,2),2)&lt;=0,AND(I184,K184&lt;&gt;"",(A184-D184+1)=K184))</f>
        <v/>
      </c>
      <c r="T184" s="21">
        <f>IF(M184&lt;&gt;"",M184,ROUND(L184*F184,2))</f>
        <v/>
      </c>
      <c r="U184" s="21">
        <f>IF(R184,IF(O184&lt;&gt;"",O184,IF(N184&lt;&gt;"",ROUND(L184-N184,2),ROUND((IF(P184&lt;&gt;"",P184,G184))-T184,2))),IF(H184,0,IF(S184,L184,ROUND(G184-T184,2))))</f>
        <v/>
      </c>
      <c r="V184" s="21">
        <f>IF(R184,IF(P184&lt;&gt;"",P184,ROUND(T184+U184,2)),IF(H184,T184,IF(S184,ROUND(T184+U184,2),G184)))</f>
        <v/>
      </c>
      <c r="W184" s="21">
        <f>IF(R184,IF(N184&lt;&gt;"",N184,ROUND(L184-U184,2)),IF(H184,L184,IF(S184,0,ROUND(L184-U184,2))))</f>
        <v/>
      </c>
      <c r="X184" s="21">
        <f>IFERROR(MIN(INDEX(LumpSums!$B:$B,MATCH(A184,LumpSums!$A:$A,0)),W184),0)</f>
        <v/>
      </c>
      <c r="Y184" s="21">
        <f>ROUND(U184+X184,2)</f>
        <v/>
      </c>
      <c r="Z184" s="21">
        <f>ROUND(V184+X184,2)</f>
        <v/>
      </c>
      <c r="AA184" s="21">
        <f>ROUND(W184-X184,2)</f>
        <v/>
      </c>
      <c r="AB184" s="6">
        <f>AND(AB183,L184&gt;0)</f>
        <v/>
      </c>
      <c r="AC184" s="21">
        <f>IF(PMI_Costs!$B$8=0,0,ROUND(PMI_Costs!$B$8*(1+PMI_Costs!$B$9/100)^INT((A184-1)/12)/12,2))</f>
        <v/>
      </c>
      <c r="AD184" s="21">
        <f>IF(PMI_Costs!$B$10=0,0,ROUND(PMI_Costs!$B$10*(1+PMI_Costs!$B$11/100)^INT((A184-1)/12)/12,2))</f>
        <v/>
      </c>
      <c r="AE184" s="21">
        <f>IF(PMI_Costs!$B$12=0,0,ROUND(PMI_Costs!$B$12*(1+PMI_Costs!$B$13/100)^INT((A184-1)/12)/12,2))</f>
        <v/>
      </c>
      <c r="AF184" s="22">
        <f>IF(PMI_Costs!$B$5=0,0,AA184/PMI_Costs!$B$5)</f>
        <v/>
      </c>
      <c r="AG184" s="6">
        <f>AND(PMI_Costs!$B$4&gt;0,AF184&gt;PMI_Costs!$B$6/100)</f>
        <v/>
      </c>
      <c r="AH184" s="21">
        <f>IF(AG184,ROUND(Segments!$G$5*PMI_Costs!$B$4/100/12,2),0)</f>
        <v/>
      </c>
      <c r="AI184" s="6">
        <f>AND(NOT(AG184),AG183)</f>
        <v/>
      </c>
    </row>
    <row r="185">
      <c r="A185" s="18" t="n">
        <v>181</v>
      </c>
      <c r="B185" s="18">
        <f>SUMPRODUCT((Segments!$J$5:$J$12&lt;&gt;"")*(Segments!$J$5:$J$12&lt;=A185))</f>
        <v/>
      </c>
      <c r="C185" s="19">
        <f>INDEX(Segments!$B$5:$B$12,B185)</f>
        <v/>
      </c>
      <c r="D185" s="18">
        <f>INDEX(Segments!$J$5:$J$12,B185)</f>
        <v/>
      </c>
      <c r="E185" s="19">
        <f>DATE(YEAR(C185)+INT((MONTH(C185)-1+(A185-D185))/12),MOD(MONTH(C185)-1+(A185-D185),12)+1,1)+(DAY(C185)-1)</f>
        <v/>
      </c>
      <c r="F185" s="20">
        <f>INDEX(Segments!$C$5:$C$12,B185)/100/12</f>
        <v/>
      </c>
      <c r="G185" s="21">
        <f>INDEX(Segments!$L$5:$L$12,B185)</f>
        <v/>
      </c>
      <c r="H185" s="6">
        <f>INDEX(Segments!$I$5:$I$12,B185)="Y"</f>
        <v/>
      </c>
      <c r="I185" s="6">
        <f>INDEX(Segments!$F$5:$F$12,B185)=""</f>
        <v/>
      </c>
      <c r="J185" s="18">
        <f>INDEX(Segments!$K$5:$K$12,B185)</f>
        <v/>
      </c>
      <c r="K185" s="18">
        <f>IF(INDEX(Segments!$F$5:$F$12,B185)&lt;&gt;"",INDEX(Segments!$F$5:$F$12,B185),IF(INDEX(Segments!$E$5:$E$12,B185)&lt;&gt;"",INDEX(Segments!$E$5:$E$12,B185),""))</f>
        <v/>
      </c>
      <c r="L185" s="21">
        <f>AA184</f>
        <v/>
      </c>
      <c r="M185" s="21">
        <f>IFERROR(INDEX(Overrides!$C:$C,MATCH(A185,Overrides!$A:$A,0)),"")</f>
        <v/>
      </c>
      <c r="N185" s="21">
        <f>IFERROR(INDEX(Overrides!$E:$E,MATCH(A185,Overrides!$A:$A,0)),"")</f>
        <v/>
      </c>
      <c r="O185" s="21">
        <f>IFERROR(INDEX(Overrides!$D:$D,MATCH(A185,Overrides!$A:$A,0)),"")</f>
        <v/>
      </c>
      <c r="P185" s="21">
        <f>IFERROR(INDEX(Overrides!$B:$B,MATCH(A185,Overrides!$A:$A,0)),"")</f>
        <v/>
      </c>
      <c r="Q185" s="6">
        <f>IFERROR(INDEX(Overrides!$F:$F,MATCH(A185,Overrides!$A:$A,0)),"")</f>
        <v/>
      </c>
      <c r="R185" s="6">
        <f>ISNUMBER(MATCH(A185,Overrides!$A:$A,0))</f>
        <v/>
      </c>
      <c r="S185" s="6">
        <f>OR(ROUND(L185-ROUND(G185-T185,2),2)&lt;=0,AND(I185,K185&lt;&gt;"",(A185-D185+1)=K185))</f>
        <v/>
      </c>
      <c r="T185" s="21">
        <f>IF(M185&lt;&gt;"",M185,ROUND(L185*F185,2))</f>
        <v/>
      </c>
      <c r="U185" s="21">
        <f>IF(R185,IF(O185&lt;&gt;"",O185,IF(N185&lt;&gt;"",ROUND(L185-N185,2),ROUND((IF(P185&lt;&gt;"",P185,G185))-T185,2))),IF(H185,0,IF(S185,L185,ROUND(G185-T185,2))))</f>
        <v/>
      </c>
      <c r="V185" s="21">
        <f>IF(R185,IF(P185&lt;&gt;"",P185,ROUND(T185+U185,2)),IF(H185,T185,IF(S185,ROUND(T185+U185,2),G185)))</f>
        <v/>
      </c>
      <c r="W185" s="21">
        <f>IF(R185,IF(N185&lt;&gt;"",N185,ROUND(L185-U185,2)),IF(H185,L185,IF(S185,0,ROUND(L185-U185,2))))</f>
        <v/>
      </c>
      <c r="X185" s="21">
        <f>IFERROR(MIN(INDEX(LumpSums!$B:$B,MATCH(A185,LumpSums!$A:$A,0)),W185),0)</f>
        <v/>
      </c>
      <c r="Y185" s="21">
        <f>ROUND(U185+X185,2)</f>
        <v/>
      </c>
      <c r="Z185" s="21">
        <f>ROUND(V185+X185,2)</f>
        <v/>
      </c>
      <c r="AA185" s="21">
        <f>ROUND(W185-X185,2)</f>
        <v/>
      </c>
      <c r="AB185" s="6">
        <f>AND(AB184,L185&gt;0)</f>
        <v/>
      </c>
      <c r="AC185" s="21">
        <f>IF(PMI_Costs!$B$8=0,0,ROUND(PMI_Costs!$B$8*(1+PMI_Costs!$B$9/100)^INT((A185-1)/12)/12,2))</f>
        <v/>
      </c>
      <c r="AD185" s="21">
        <f>IF(PMI_Costs!$B$10=0,0,ROUND(PMI_Costs!$B$10*(1+PMI_Costs!$B$11/100)^INT((A185-1)/12)/12,2))</f>
        <v/>
      </c>
      <c r="AE185" s="21">
        <f>IF(PMI_Costs!$B$12=0,0,ROUND(PMI_Costs!$B$12*(1+PMI_Costs!$B$13/100)^INT((A185-1)/12)/12,2))</f>
        <v/>
      </c>
      <c r="AF185" s="22">
        <f>IF(PMI_Costs!$B$5=0,0,AA185/PMI_Costs!$B$5)</f>
        <v/>
      </c>
      <c r="AG185" s="6">
        <f>AND(PMI_Costs!$B$4&gt;0,AF185&gt;PMI_Costs!$B$6/100)</f>
        <v/>
      </c>
      <c r="AH185" s="21">
        <f>IF(AG185,ROUND(Segments!$G$5*PMI_Costs!$B$4/100/12,2),0)</f>
        <v/>
      </c>
      <c r="AI185" s="6">
        <f>AND(NOT(AG185),AG184)</f>
        <v/>
      </c>
    </row>
    <row r="186">
      <c r="A186" s="18" t="n">
        <v>182</v>
      </c>
      <c r="B186" s="18">
        <f>SUMPRODUCT((Segments!$J$5:$J$12&lt;&gt;"")*(Segments!$J$5:$J$12&lt;=A186))</f>
        <v/>
      </c>
      <c r="C186" s="19">
        <f>INDEX(Segments!$B$5:$B$12,B186)</f>
        <v/>
      </c>
      <c r="D186" s="18">
        <f>INDEX(Segments!$J$5:$J$12,B186)</f>
        <v/>
      </c>
      <c r="E186" s="19">
        <f>DATE(YEAR(C186)+INT((MONTH(C186)-1+(A186-D186))/12),MOD(MONTH(C186)-1+(A186-D186),12)+1,1)+(DAY(C186)-1)</f>
        <v/>
      </c>
      <c r="F186" s="20">
        <f>INDEX(Segments!$C$5:$C$12,B186)/100/12</f>
        <v/>
      </c>
      <c r="G186" s="21">
        <f>INDEX(Segments!$L$5:$L$12,B186)</f>
        <v/>
      </c>
      <c r="H186" s="6">
        <f>INDEX(Segments!$I$5:$I$12,B186)="Y"</f>
        <v/>
      </c>
      <c r="I186" s="6">
        <f>INDEX(Segments!$F$5:$F$12,B186)=""</f>
        <v/>
      </c>
      <c r="J186" s="18">
        <f>INDEX(Segments!$K$5:$K$12,B186)</f>
        <v/>
      </c>
      <c r="K186" s="18">
        <f>IF(INDEX(Segments!$F$5:$F$12,B186)&lt;&gt;"",INDEX(Segments!$F$5:$F$12,B186),IF(INDEX(Segments!$E$5:$E$12,B186)&lt;&gt;"",INDEX(Segments!$E$5:$E$12,B186),""))</f>
        <v/>
      </c>
      <c r="L186" s="21">
        <f>AA185</f>
        <v/>
      </c>
      <c r="M186" s="21">
        <f>IFERROR(INDEX(Overrides!$C:$C,MATCH(A186,Overrides!$A:$A,0)),"")</f>
        <v/>
      </c>
      <c r="N186" s="21">
        <f>IFERROR(INDEX(Overrides!$E:$E,MATCH(A186,Overrides!$A:$A,0)),"")</f>
        <v/>
      </c>
      <c r="O186" s="21">
        <f>IFERROR(INDEX(Overrides!$D:$D,MATCH(A186,Overrides!$A:$A,0)),"")</f>
        <v/>
      </c>
      <c r="P186" s="21">
        <f>IFERROR(INDEX(Overrides!$B:$B,MATCH(A186,Overrides!$A:$A,0)),"")</f>
        <v/>
      </c>
      <c r="Q186" s="6">
        <f>IFERROR(INDEX(Overrides!$F:$F,MATCH(A186,Overrides!$A:$A,0)),"")</f>
        <v/>
      </c>
      <c r="R186" s="6">
        <f>ISNUMBER(MATCH(A186,Overrides!$A:$A,0))</f>
        <v/>
      </c>
      <c r="S186" s="6">
        <f>OR(ROUND(L186-ROUND(G186-T186,2),2)&lt;=0,AND(I186,K186&lt;&gt;"",(A186-D186+1)=K186))</f>
        <v/>
      </c>
      <c r="T186" s="21">
        <f>IF(M186&lt;&gt;"",M186,ROUND(L186*F186,2))</f>
        <v/>
      </c>
      <c r="U186" s="21">
        <f>IF(R186,IF(O186&lt;&gt;"",O186,IF(N186&lt;&gt;"",ROUND(L186-N186,2),ROUND((IF(P186&lt;&gt;"",P186,G186))-T186,2))),IF(H186,0,IF(S186,L186,ROUND(G186-T186,2))))</f>
        <v/>
      </c>
      <c r="V186" s="21">
        <f>IF(R186,IF(P186&lt;&gt;"",P186,ROUND(T186+U186,2)),IF(H186,T186,IF(S186,ROUND(T186+U186,2),G186)))</f>
        <v/>
      </c>
      <c r="W186" s="21">
        <f>IF(R186,IF(N186&lt;&gt;"",N186,ROUND(L186-U186,2)),IF(H186,L186,IF(S186,0,ROUND(L186-U186,2))))</f>
        <v/>
      </c>
      <c r="X186" s="21">
        <f>IFERROR(MIN(INDEX(LumpSums!$B:$B,MATCH(A186,LumpSums!$A:$A,0)),W186),0)</f>
        <v/>
      </c>
      <c r="Y186" s="21">
        <f>ROUND(U186+X186,2)</f>
        <v/>
      </c>
      <c r="Z186" s="21">
        <f>ROUND(V186+X186,2)</f>
        <v/>
      </c>
      <c r="AA186" s="21">
        <f>ROUND(W186-X186,2)</f>
        <v/>
      </c>
      <c r="AB186" s="6">
        <f>AND(AB185,L186&gt;0)</f>
        <v/>
      </c>
      <c r="AC186" s="21">
        <f>IF(PMI_Costs!$B$8=0,0,ROUND(PMI_Costs!$B$8*(1+PMI_Costs!$B$9/100)^INT((A186-1)/12)/12,2))</f>
        <v/>
      </c>
      <c r="AD186" s="21">
        <f>IF(PMI_Costs!$B$10=0,0,ROUND(PMI_Costs!$B$10*(1+PMI_Costs!$B$11/100)^INT((A186-1)/12)/12,2))</f>
        <v/>
      </c>
      <c r="AE186" s="21">
        <f>IF(PMI_Costs!$B$12=0,0,ROUND(PMI_Costs!$B$12*(1+PMI_Costs!$B$13/100)^INT((A186-1)/12)/12,2))</f>
        <v/>
      </c>
      <c r="AF186" s="22">
        <f>IF(PMI_Costs!$B$5=0,0,AA186/PMI_Costs!$B$5)</f>
        <v/>
      </c>
      <c r="AG186" s="6">
        <f>AND(PMI_Costs!$B$4&gt;0,AF186&gt;PMI_Costs!$B$6/100)</f>
        <v/>
      </c>
      <c r="AH186" s="21">
        <f>IF(AG186,ROUND(Segments!$G$5*PMI_Costs!$B$4/100/12,2),0)</f>
        <v/>
      </c>
      <c r="AI186" s="6">
        <f>AND(NOT(AG186),AG185)</f>
        <v/>
      </c>
    </row>
    <row r="187">
      <c r="A187" s="18" t="n">
        <v>183</v>
      </c>
      <c r="B187" s="18">
        <f>SUMPRODUCT((Segments!$J$5:$J$12&lt;&gt;"")*(Segments!$J$5:$J$12&lt;=A187))</f>
        <v/>
      </c>
      <c r="C187" s="19">
        <f>INDEX(Segments!$B$5:$B$12,B187)</f>
        <v/>
      </c>
      <c r="D187" s="18">
        <f>INDEX(Segments!$J$5:$J$12,B187)</f>
        <v/>
      </c>
      <c r="E187" s="19">
        <f>DATE(YEAR(C187)+INT((MONTH(C187)-1+(A187-D187))/12),MOD(MONTH(C187)-1+(A187-D187),12)+1,1)+(DAY(C187)-1)</f>
        <v/>
      </c>
      <c r="F187" s="20">
        <f>INDEX(Segments!$C$5:$C$12,B187)/100/12</f>
        <v/>
      </c>
      <c r="G187" s="21">
        <f>INDEX(Segments!$L$5:$L$12,B187)</f>
        <v/>
      </c>
      <c r="H187" s="6">
        <f>INDEX(Segments!$I$5:$I$12,B187)="Y"</f>
        <v/>
      </c>
      <c r="I187" s="6">
        <f>INDEX(Segments!$F$5:$F$12,B187)=""</f>
        <v/>
      </c>
      <c r="J187" s="18">
        <f>INDEX(Segments!$K$5:$K$12,B187)</f>
        <v/>
      </c>
      <c r="K187" s="18">
        <f>IF(INDEX(Segments!$F$5:$F$12,B187)&lt;&gt;"",INDEX(Segments!$F$5:$F$12,B187),IF(INDEX(Segments!$E$5:$E$12,B187)&lt;&gt;"",INDEX(Segments!$E$5:$E$12,B187),""))</f>
        <v/>
      </c>
      <c r="L187" s="21">
        <f>AA186</f>
        <v/>
      </c>
      <c r="M187" s="21">
        <f>IFERROR(INDEX(Overrides!$C:$C,MATCH(A187,Overrides!$A:$A,0)),"")</f>
        <v/>
      </c>
      <c r="N187" s="21">
        <f>IFERROR(INDEX(Overrides!$E:$E,MATCH(A187,Overrides!$A:$A,0)),"")</f>
        <v/>
      </c>
      <c r="O187" s="21">
        <f>IFERROR(INDEX(Overrides!$D:$D,MATCH(A187,Overrides!$A:$A,0)),"")</f>
        <v/>
      </c>
      <c r="P187" s="21">
        <f>IFERROR(INDEX(Overrides!$B:$B,MATCH(A187,Overrides!$A:$A,0)),"")</f>
        <v/>
      </c>
      <c r="Q187" s="6">
        <f>IFERROR(INDEX(Overrides!$F:$F,MATCH(A187,Overrides!$A:$A,0)),"")</f>
        <v/>
      </c>
      <c r="R187" s="6">
        <f>ISNUMBER(MATCH(A187,Overrides!$A:$A,0))</f>
        <v/>
      </c>
      <c r="S187" s="6">
        <f>OR(ROUND(L187-ROUND(G187-T187,2),2)&lt;=0,AND(I187,K187&lt;&gt;"",(A187-D187+1)=K187))</f>
        <v/>
      </c>
      <c r="T187" s="21">
        <f>IF(M187&lt;&gt;"",M187,ROUND(L187*F187,2))</f>
        <v/>
      </c>
      <c r="U187" s="21">
        <f>IF(R187,IF(O187&lt;&gt;"",O187,IF(N187&lt;&gt;"",ROUND(L187-N187,2),ROUND((IF(P187&lt;&gt;"",P187,G187))-T187,2))),IF(H187,0,IF(S187,L187,ROUND(G187-T187,2))))</f>
        <v/>
      </c>
      <c r="V187" s="21">
        <f>IF(R187,IF(P187&lt;&gt;"",P187,ROUND(T187+U187,2)),IF(H187,T187,IF(S187,ROUND(T187+U187,2),G187)))</f>
        <v/>
      </c>
      <c r="W187" s="21">
        <f>IF(R187,IF(N187&lt;&gt;"",N187,ROUND(L187-U187,2)),IF(H187,L187,IF(S187,0,ROUND(L187-U187,2))))</f>
        <v/>
      </c>
      <c r="X187" s="21">
        <f>IFERROR(MIN(INDEX(LumpSums!$B:$B,MATCH(A187,LumpSums!$A:$A,0)),W187),0)</f>
        <v/>
      </c>
      <c r="Y187" s="21">
        <f>ROUND(U187+X187,2)</f>
        <v/>
      </c>
      <c r="Z187" s="21">
        <f>ROUND(V187+X187,2)</f>
        <v/>
      </c>
      <c r="AA187" s="21">
        <f>ROUND(W187-X187,2)</f>
        <v/>
      </c>
      <c r="AB187" s="6">
        <f>AND(AB186,L187&gt;0)</f>
        <v/>
      </c>
      <c r="AC187" s="21">
        <f>IF(PMI_Costs!$B$8=0,0,ROUND(PMI_Costs!$B$8*(1+PMI_Costs!$B$9/100)^INT((A187-1)/12)/12,2))</f>
        <v/>
      </c>
      <c r="AD187" s="21">
        <f>IF(PMI_Costs!$B$10=0,0,ROUND(PMI_Costs!$B$10*(1+PMI_Costs!$B$11/100)^INT((A187-1)/12)/12,2))</f>
        <v/>
      </c>
      <c r="AE187" s="21">
        <f>IF(PMI_Costs!$B$12=0,0,ROUND(PMI_Costs!$B$12*(1+PMI_Costs!$B$13/100)^INT((A187-1)/12)/12,2))</f>
        <v/>
      </c>
      <c r="AF187" s="22">
        <f>IF(PMI_Costs!$B$5=0,0,AA187/PMI_Costs!$B$5)</f>
        <v/>
      </c>
      <c r="AG187" s="6">
        <f>AND(PMI_Costs!$B$4&gt;0,AF187&gt;PMI_Costs!$B$6/100)</f>
        <v/>
      </c>
      <c r="AH187" s="21">
        <f>IF(AG187,ROUND(Segments!$G$5*PMI_Costs!$B$4/100/12,2),0)</f>
        <v/>
      </c>
      <c r="AI187" s="6">
        <f>AND(NOT(AG187),AG186)</f>
        <v/>
      </c>
    </row>
    <row r="188">
      <c r="A188" s="18" t="n">
        <v>184</v>
      </c>
      <c r="B188" s="18">
        <f>SUMPRODUCT((Segments!$J$5:$J$12&lt;&gt;"")*(Segments!$J$5:$J$12&lt;=A188))</f>
        <v/>
      </c>
      <c r="C188" s="19">
        <f>INDEX(Segments!$B$5:$B$12,B188)</f>
        <v/>
      </c>
      <c r="D188" s="18">
        <f>INDEX(Segments!$J$5:$J$12,B188)</f>
        <v/>
      </c>
      <c r="E188" s="19">
        <f>DATE(YEAR(C188)+INT((MONTH(C188)-1+(A188-D188))/12),MOD(MONTH(C188)-1+(A188-D188),12)+1,1)+(DAY(C188)-1)</f>
        <v/>
      </c>
      <c r="F188" s="20">
        <f>INDEX(Segments!$C$5:$C$12,B188)/100/12</f>
        <v/>
      </c>
      <c r="G188" s="21">
        <f>INDEX(Segments!$L$5:$L$12,B188)</f>
        <v/>
      </c>
      <c r="H188" s="6">
        <f>INDEX(Segments!$I$5:$I$12,B188)="Y"</f>
        <v/>
      </c>
      <c r="I188" s="6">
        <f>INDEX(Segments!$F$5:$F$12,B188)=""</f>
        <v/>
      </c>
      <c r="J188" s="18">
        <f>INDEX(Segments!$K$5:$K$12,B188)</f>
        <v/>
      </c>
      <c r="K188" s="18">
        <f>IF(INDEX(Segments!$F$5:$F$12,B188)&lt;&gt;"",INDEX(Segments!$F$5:$F$12,B188),IF(INDEX(Segments!$E$5:$E$12,B188)&lt;&gt;"",INDEX(Segments!$E$5:$E$12,B188),""))</f>
        <v/>
      </c>
      <c r="L188" s="21">
        <f>AA187</f>
        <v/>
      </c>
      <c r="M188" s="21">
        <f>IFERROR(INDEX(Overrides!$C:$C,MATCH(A188,Overrides!$A:$A,0)),"")</f>
        <v/>
      </c>
      <c r="N188" s="21">
        <f>IFERROR(INDEX(Overrides!$E:$E,MATCH(A188,Overrides!$A:$A,0)),"")</f>
        <v/>
      </c>
      <c r="O188" s="21">
        <f>IFERROR(INDEX(Overrides!$D:$D,MATCH(A188,Overrides!$A:$A,0)),"")</f>
        <v/>
      </c>
      <c r="P188" s="21">
        <f>IFERROR(INDEX(Overrides!$B:$B,MATCH(A188,Overrides!$A:$A,0)),"")</f>
        <v/>
      </c>
      <c r="Q188" s="6">
        <f>IFERROR(INDEX(Overrides!$F:$F,MATCH(A188,Overrides!$A:$A,0)),"")</f>
        <v/>
      </c>
      <c r="R188" s="6">
        <f>ISNUMBER(MATCH(A188,Overrides!$A:$A,0))</f>
        <v/>
      </c>
      <c r="S188" s="6">
        <f>OR(ROUND(L188-ROUND(G188-T188,2),2)&lt;=0,AND(I188,K188&lt;&gt;"",(A188-D188+1)=K188))</f>
        <v/>
      </c>
      <c r="T188" s="21">
        <f>IF(M188&lt;&gt;"",M188,ROUND(L188*F188,2))</f>
        <v/>
      </c>
      <c r="U188" s="21">
        <f>IF(R188,IF(O188&lt;&gt;"",O188,IF(N188&lt;&gt;"",ROUND(L188-N188,2),ROUND((IF(P188&lt;&gt;"",P188,G188))-T188,2))),IF(H188,0,IF(S188,L188,ROUND(G188-T188,2))))</f>
        <v/>
      </c>
      <c r="V188" s="21">
        <f>IF(R188,IF(P188&lt;&gt;"",P188,ROUND(T188+U188,2)),IF(H188,T188,IF(S188,ROUND(T188+U188,2),G188)))</f>
        <v/>
      </c>
      <c r="W188" s="21">
        <f>IF(R188,IF(N188&lt;&gt;"",N188,ROUND(L188-U188,2)),IF(H188,L188,IF(S188,0,ROUND(L188-U188,2))))</f>
        <v/>
      </c>
      <c r="X188" s="21">
        <f>IFERROR(MIN(INDEX(LumpSums!$B:$B,MATCH(A188,LumpSums!$A:$A,0)),W188),0)</f>
        <v/>
      </c>
      <c r="Y188" s="21">
        <f>ROUND(U188+X188,2)</f>
        <v/>
      </c>
      <c r="Z188" s="21">
        <f>ROUND(V188+X188,2)</f>
        <v/>
      </c>
      <c r="AA188" s="21">
        <f>ROUND(W188-X188,2)</f>
        <v/>
      </c>
      <c r="AB188" s="6">
        <f>AND(AB187,L188&gt;0)</f>
        <v/>
      </c>
      <c r="AC188" s="21">
        <f>IF(PMI_Costs!$B$8=0,0,ROUND(PMI_Costs!$B$8*(1+PMI_Costs!$B$9/100)^INT((A188-1)/12)/12,2))</f>
        <v/>
      </c>
      <c r="AD188" s="21">
        <f>IF(PMI_Costs!$B$10=0,0,ROUND(PMI_Costs!$B$10*(1+PMI_Costs!$B$11/100)^INT((A188-1)/12)/12,2))</f>
        <v/>
      </c>
      <c r="AE188" s="21">
        <f>IF(PMI_Costs!$B$12=0,0,ROUND(PMI_Costs!$B$12*(1+PMI_Costs!$B$13/100)^INT((A188-1)/12)/12,2))</f>
        <v/>
      </c>
      <c r="AF188" s="22">
        <f>IF(PMI_Costs!$B$5=0,0,AA188/PMI_Costs!$B$5)</f>
        <v/>
      </c>
      <c r="AG188" s="6">
        <f>AND(PMI_Costs!$B$4&gt;0,AF188&gt;PMI_Costs!$B$6/100)</f>
        <v/>
      </c>
      <c r="AH188" s="21">
        <f>IF(AG188,ROUND(Segments!$G$5*PMI_Costs!$B$4/100/12,2),0)</f>
        <v/>
      </c>
      <c r="AI188" s="6">
        <f>AND(NOT(AG188),AG187)</f>
        <v/>
      </c>
    </row>
    <row r="189">
      <c r="A189" s="18" t="n">
        <v>185</v>
      </c>
      <c r="B189" s="18">
        <f>SUMPRODUCT((Segments!$J$5:$J$12&lt;&gt;"")*(Segments!$J$5:$J$12&lt;=A189))</f>
        <v/>
      </c>
      <c r="C189" s="19">
        <f>INDEX(Segments!$B$5:$B$12,B189)</f>
        <v/>
      </c>
      <c r="D189" s="18">
        <f>INDEX(Segments!$J$5:$J$12,B189)</f>
        <v/>
      </c>
      <c r="E189" s="19">
        <f>DATE(YEAR(C189)+INT((MONTH(C189)-1+(A189-D189))/12),MOD(MONTH(C189)-1+(A189-D189),12)+1,1)+(DAY(C189)-1)</f>
        <v/>
      </c>
      <c r="F189" s="20">
        <f>INDEX(Segments!$C$5:$C$12,B189)/100/12</f>
        <v/>
      </c>
      <c r="G189" s="21">
        <f>INDEX(Segments!$L$5:$L$12,B189)</f>
        <v/>
      </c>
      <c r="H189" s="6">
        <f>INDEX(Segments!$I$5:$I$12,B189)="Y"</f>
        <v/>
      </c>
      <c r="I189" s="6">
        <f>INDEX(Segments!$F$5:$F$12,B189)=""</f>
        <v/>
      </c>
      <c r="J189" s="18">
        <f>INDEX(Segments!$K$5:$K$12,B189)</f>
        <v/>
      </c>
      <c r="K189" s="18">
        <f>IF(INDEX(Segments!$F$5:$F$12,B189)&lt;&gt;"",INDEX(Segments!$F$5:$F$12,B189),IF(INDEX(Segments!$E$5:$E$12,B189)&lt;&gt;"",INDEX(Segments!$E$5:$E$12,B189),""))</f>
        <v/>
      </c>
      <c r="L189" s="21">
        <f>AA188</f>
        <v/>
      </c>
      <c r="M189" s="21">
        <f>IFERROR(INDEX(Overrides!$C:$C,MATCH(A189,Overrides!$A:$A,0)),"")</f>
        <v/>
      </c>
      <c r="N189" s="21">
        <f>IFERROR(INDEX(Overrides!$E:$E,MATCH(A189,Overrides!$A:$A,0)),"")</f>
        <v/>
      </c>
      <c r="O189" s="21">
        <f>IFERROR(INDEX(Overrides!$D:$D,MATCH(A189,Overrides!$A:$A,0)),"")</f>
        <v/>
      </c>
      <c r="P189" s="21">
        <f>IFERROR(INDEX(Overrides!$B:$B,MATCH(A189,Overrides!$A:$A,0)),"")</f>
        <v/>
      </c>
      <c r="Q189" s="6">
        <f>IFERROR(INDEX(Overrides!$F:$F,MATCH(A189,Overrides!$A:$A,0)),"")</f>
        <v/>
      </c>
      <c r="R189" s="6">
        <f>ISNUMBER(MATCH(A189,Overrides!$A:$A,0))</f>
        <v/>
      </c>
      <c r="S189" s="6">
        <f>OR(ROUND(L189-ROUND(G189-T189,2),2)&lt;=0,AND(I189,K189&lt;&gt;"",(A189-D189+1)=K189))</f>
        <v/>
      </c>
      <c r="T189" s="21">
        <f>IF(M189&lt;&gt;"",M189,ROUND(L189*F189,2))</f>
        <v/>
      </c>
      <c r="U189" s="21">
        <f>IF(R189,IF(O189&lt;&gt;"",O189,IF(N189&lt;&gt;"",ROUND(L189-N189,2),ROUND((IF(P189&lt;&gt;"",P189,G189))-T189,2))),IF(H189,0,IF(S189,L189,ROUND(G189-T189,2))))</f>
        <v/>
      </c>
      <c r="V189" s="21">
        <f>IF(R189,IF(P189&lt;&gt;"",P189,ROUND(T189+U189,2)),IF(H189,T189,IF(S189,ROUND(T189+U189,2),G189)))</f>
        <v/>
      </c>
      <c r="W189" s="21">
        <f>IF(R189,IF(N189&lt;&gt;"",N189,ROUND(L189-U189,2)),IF(H189,L189,IF(S189,0,ROUND(L189-U189,2))))</f>
        <v/>
      </c>
      <c r="X189" s="21">
        <f>IFERROR(MIN(INDEX(LumpSums!$B:$B,MATCH(A189,LumpSums!$A:$A,0)),W189),0)</f>
        <v/>
      </c>
      <c r="Y189" s="21">
        <f>ROUND(U189+X189,2)</f>
        <v/>
      </c>
      <c r="Z189" s="21">
        <f>ROUND(V189+X189,2)</f>
        <v/>
      </c>
      <c r="AA189" s="21">
        <f>ROUND(W189-X189,2)</f>
        <v/>
      </c>
      <c r="AB189" s="6">
        <f>AND(AB188,L189&gt;0)</f>
        <v/>
      </c>
      <c r="AC189" s="21">
        <f>IF(PMI_Costs!$B$8=0,0,ROUND(PMI_Costs!$B$8*(1+PMI_Costs!$B$9/100)^INT((A189-1)/12)/12,2))</f>
        <v/>
      </c>
      <c r="AD189" s="21">
        <f>IF(PMI_Costs!$B$10=0,0,ROUND(PMI_Costs!$B$10*(1+PMI_Costs!$B$11/100)^INT((A189-1)/12)/12,2))</f>
        <v/>
      </c>
      <c r="AE189" s="21">
        <f>IF(PMI_Costs!$B$12=0,0,ROUND(PMI_Costs!$B$12*(1+PMI_Costs!$B$13/100)^INT((A189-1)/12)/12,2))</f>
        <v/>
      </c>
      <c r="AF189" s="22">
        <f>IF(PMI_Costs!$B$5=0,0,AA189/PMI_Costs!$B$5)</f>
        <v/>
      </c>
      <c r="AG189" s="6">
        <f>AND(PMI_Costs!$B$4&gt;0,AF189&gt;PMI_Costs!$B$6/100)</f>
        <v/>
      </c>
      <c r="AH189" s="21">
        <f>IF(AG189,ROUND(Segments!$G$5*PMI_Costs!$B$4/100/12,2),0)</f>
        <v/>
      </c>
      <c r="AI189" s="6">
        <f>AND(NOT(AG189),AG188)</f>
        <v/>
      </c>
    </row>
    <row r="190">
      <c r="A190" s="18" t="n">
        <v>186</v>
      </c>
      <c r="B190" s="18">
        <f>SUMPRODUCT((Segments!$J$5:$J$12&lt;&gt;"")*(Segments!$J$5:$J$12&lt;=A190))</f>
        <v/>
      </c>
      <c r="C190" s="19">
        <f>INDEX(Segments!$B$5:$B$12,B190)</f>
        <v/>
      </c>
      <c r="D190" s="18">
        <f>INDEX(Segments!$J$5:$J$12,B190)</f>
        <v/>
      </c>
      <c r="E190" s="19">
        <f>DATE(YEAR(C190)+INT((MONTH(C190)-1+(A190-D190))/12),MOD(MONTH(C190)-1+(A190-D190),12)+1,1)+(DAY(C190)-1)</f>
        <v/>
      </c>
      <c r="F190" s="20">
        <f>INDEX(Segments!$C$5:$C$12,B190)/100/12</f>
        <v/>
      </c>
      <c r="G190" s="21">
        <f>INDEX(Segments!$L$5:$L$12,B190)</f>
        <v/>
      </c>
      <c r="H190" s="6">
        <f>INDEX(Segments!$I$5:$I$12,B190)="Y"</f>
        <v/>
      </c>
      <c r="I190" s="6">
        <f>INDEX(Segments!$F$5:$F$12,B190)=""</f>
        <v/>
      </c>
      <c r="J190" s="18">
        <f>INDEX(Segments!$K$5:$K$12,B190)</f>
        <v/>
      </c>
      <c r="K190" s="18">
        <f>IF(INDEX(Segments!$F$5:$F$12,B190)&lt;&gt;"",INDEX(Segments!$F$5:$F$12,B190),IF(INDEX(Segments!$E$5:$E$12,B190)&lt;&gt;"",INDEX(Segments!$E$5:$E$12,B190),""))</f>
        <v/>
      </c>
      <c r="L190" s="21">
        <f>AA189</f>
        <v/>
      </c>
      <c r="M190" s="21">
        <f>IFERROR(INDEX(Overrides!$C:$C,MATCH(A190,Overrides!$A:$A,0)),"")</f>
        <v/>
      </c>
      <c r="N190" s="21">
        <f>IFERROR(INDEX(Overrides!$E:$E,MATCH(A190,Overrides!$A:$A,0)),"")</f>
        <v/>
      </c>
      <c r="O190" s="21">
        <f>IFERROR(INDEX(Overrides!$D:$D,MATCH(A190,Overrides!$A:$A,0)),"")</f>
        <v/>
      </c>
      <c r="P190" s="21">
        <f>IFERROR(INDEX(Overrides!$B:$B,MATCH(A190,Overrides!$A:$A,0)),"")</f>
        <v/>
      </c>
      <c r="Q190" s="6">
        <f>IFERROR(INDEX(Overrides!$F:$F,MATCH(A190,Overrides!$A:$A,0)),"")</f>
        <v/>
      </c>
      <c r="R190" s="6">
        <f>ISNUMBER(MATCH(A190,Overrides!$A:$A,0))</f>
        <v/>
      </c>
      <c r="S190" s="6">
        <f>OR(ROUND(L190-ROUND(G190-T190,2),2)&lt;=0,AND(I190,K190&lt;&gt;"",(A190-D190+1)=K190))</f>
        <v/>
      </c>
      <c r="T190" s="21">
        <f>IF(M190&lt;&gt;"",M190,ROUND(L190*F190,2))</f>
        <v/>
      </c>
      <c r="U190" s="21">
        <f>IF(R190,IF(O190&lt;&gt;"",O190,IF(N190&lt;&gt;"",ROUND(L190-N190,2),ROUND((IF(P190&lt;&gt;"",P190,G190))-T190,2))),IF(H190,0,IF(S190,L190,ROUND(G190-T190,2))))</f>
        <v/>
      </c>
      <c r="V190" s="21">
        <f>IF(R190,IF(P190&lt;&gt;"",P190,ROUND(T190+U190,2)),IF(H190,T190,IF(S190,ROUND(T190+U190,2),G190)))</f>
        <v/>
      </c>
      <c r="W190" s="21">
        <f>IF(R190,IF(N190&lt;&gt;"",N190,ROUND(L190-U190,2)),IF(H190,L190,IF(S190,0,ROUND(L190-U190,2))))</f>
        <v/>
      </c>
      <c r="X190" s="21">
        <f>IFERROR(MIN(INDEX(LumpSums!$B:$B,MATCH(A190,LumpSums!$A:$A,0)),W190),0)</f>
        <v/>
      </c>
      <c r="Y190" s="21">
        <f>ROUND(U190+X190,2)</f>
        <v/>
      </c>
      <c r="Z190" s="21">
        <f>ROUND(V190+X190,2)</f>
        <v/>
      </c>
      <c r="AA190" s="21">
        <f>ROUND(W190-X190,2)</f>
        <v/>
      </c>
      <c r="AB190" s="6">
        <f>AND(AB189,L190&gt;0)</f>
        <v/>
      </c>
      <c r="AC190" s="21">
        <f>IF(PMI_Costs!$B$8=0,0,ROUND(PMI_Costs!$B$8*(1+PMI_Costs!$B$9/100)^INT((A190-1)/12)/12,2))</f>
        <v/>
      </c>
      <c r="AD190" s="21">
        <f>IF(PMI_Costs!$B$10=0,0,ROUND(PMI_Costs!$B$10*(1+PMI_Costs!$B$11/100)^INT((A190-1)/12)/12,2))</f>
        <v/>
      </c>
      <c r="AE190" s="21">
        <f>IF(PMI_Costs!$B$12=0,0,ROUND(PMI_Costs!$B$12*(1+PMI_Costs!$B$13/100)^INT((A190-1)/12)/12,2))</f>
        <v/>
      </c>
      <c r="AF190" s="22">
        <f>IF(PMI_Costs!$B$5=0,0,AA190/PMI_Costs!$B$5)</f>
        <v/>
      </c>
      <c r="AG190" s="6">
        <f>AND(PMI_Costs!$B$4&gt;0,AF190&gt;PMI_Costs!$B$6/100)</f>
        <v/>
      </c>
      <c r="AH190" s="21">
        <f>IF(AG190,ROUND(Segments!$G$5*PMI_Costs!$B$4/100/12,2),0)</f>
        <v/>
      </c>
      <c r="AI190" s="6">
        <f>AND(NOT(AG190),AG189)</f>
        <v/>
      </c>
    </row>
    <row r="191">
      <c r="A191" s="18" t="n">
        <v>187</v>
      </c>
      <c r="B191" s="18">
        <f>SUMPRODUCT((Segments!$J$5:$J$12&lt;&gt;"")*(Segments!$J$5:$J$12&lt;=A191))</f>
        <v/>
      </c>
      <c r="C191" s="19">
        <f>INDEX(Segments!$B$5:$B$12,B191)</f>
        <v/>
      </c>
      <c r="D191" s="18">
        <f>INDEX(Segments!$J$5:$J$12,B191)</f>
        <v/>
      </c>
      <c r="E191" s="19">
        <f>DATE(YEAR(C191)+INT((MONTH(C191)-1+(A191-D191))/12),MOD(MONTH(C191)-1+(A191-D191),12)+1,1)+(DAY(C191)-1)</f>
        <v/>
      </c>
      <c r="F191" s="20">
        <f>INDEX(Segments!$C$5:$C$12,B191)/100/12</f>
        <v/>
      </c>
      <c r="G191" s="21">
        <f>INDEX(Segments!$L$5:$L$12,B191)</f>
        <v/>
      </c>
      <c r="H191" s="6">
        <f>INDEX(Segments!$I$5:$I$12,B191)="Y"</f>
        <v/>
      </c>
      <c r="I191" s="6">
        <f>INDEX(Segments!$F$5:$F$12,B191)=""</f>
        <v/>
      </c>
      <c r="J191" s="18">
        <f>INDEX(Segments!$K$5:$K$12,B191)</f>
        <v/>
      </c>
      <c r="K191" s="18">
        <f>IF(INDEX(Segments!$F$5:$F$12,B191)&lt;&gt;"",INDEX(Segments!$F$5:$F$12,B191),IF(INDEX(Segments!$E$5:$E$12,B191)&lt;&gt;"",INDEX(Segments!$E$5:$E$12,B191),""))</f>
        <v/>
      </c>
      <c r="L191" s="21">
        <f>AA190</f>
        <v/>
      </c>
      <c r="M191" s="21">
        <f>IFERROR(INDEX(Overrides!$C:$C,MATCH(A191,Overrides!$A:$A,0)),"")</f>
        <v/>
      </c>
      <c r="N191" s="21">
        <f>IFERROR(INDEX(Overrides!$E:$E,MATCH(A191,Overrides!$A:$A,0)),"")</f>
        <v/>
      </c>
      <c r="O191" s="21">
        <f>IFERROR(INDEX(Overrides!$D:$D,MATCH(A191,Overrides!$A:$A,0)),"")</f>
        <v/>
      </c>
      <c r="P191" s="21">
        <f>IFERROR(INDEX(Overrides!$B:$B,MATCH(A191,Overrides!$A:$A,0)),"")</f>
        <v/>
      </c>
      <c r="Q191" s="6">
        <f>IFERROR(INDEX(Overrides!$F:$F,MATCH(A191,Overrides!$A:$A,0)),"")</f>
        <v/>
      </c>
      <c r="R191" s="6">
        <f>ISNUMBER(MATCH(A191,Overrides!$A:$A,0))</f>
        <v/>
      </c>
      <c r="S191" s="6">
        <f>OR(ROUND(L191-ROUND(G191-T191,2),2)&lt;=0,AND(I191,K191&lt;&gt;"",(A191-D191+1)=K191))</f>
        <v/>
      </c>
      <c r="T191" s="21">
        <f>IF(M191&lt;&gt;"",M191,ROUND(L191*F191,2))</f>
        <v/>
      </c>
      <c r="U191" s="21">
        <f>IF(R191,IF(O191&lt;&gt;"",O191,IF(N191&lt;&gt;"",ROUND(L191-N191,2),ROUND((IF(P191&lt;&gt;"",P191,G191))-T191,2))),IF(H191,0,IF(S191,L191,ROUND(G191-T191,2))))</f>
        <v/>
      </c>
      <c r="V191" s="21">
        <f>IF(R191,IF(P191&lt;&gt;"",P191,ROUND(T191+U191,2)),IF(H191,T191,IF(S191,ROUND(T191+U191,2),G191)))</f>
        <v/>
      </c>
      <c r="W191" s="21">
        <f>IF(R191,IF(N191&lt;&gt;"",N191,ROUND(L191-U191,2)),IF(H191,L191,IF(S191,0,ROUND(L191-U191,2))))</f>
        <v/>
      </c>
      <c r="X191" s="21">
        <f>IFERROR(MIN(INDEX(LumpSums!$B:$B,MATCH(A191,LumpSums!$A:$A,0)),W191),0)</f>
        <v/>
      </c>
      <c r="Y191" s="21">
        <f>ROUND(U191+X191,2)</f>
        <v/>
      </c>
      <c r="Z191" s="21">
        <f>ROUND(V191+X191,2)</f>
        <v/>
      </c>
      <c r="AA191" s="21">
        <f>ROUND(W191-X191,2)</f>
        <v/>
      </c>
      <c r="AB191" s="6">
        <f>AND(AB190,L191&gt;0)</f>
        <v/>
      </c>
      <c r="AC191" s="21">
        <f>IF(PMI_Costs!$B$8=0,0,ROUND(PMI_Costs!$B$8*(1+PMI_Costs!$B$9/100)^INT((A191-1)/12)/12,2))</f>
        <v/>
      </c>
      <c r="AD191" s="21">
        <f>IF(PMI_Costs!$B$10=0,0,ROUND(PMI_Costs!$B$10*(1+PMI_Costs!$B$11/100)^INT((A191-1)/12)/12,2))</f>
        <v/>
      </c>
      <c r="AE191" s="21">
        <f>IF(PMI_Costs!$B$12=0,0,ROUND(PMI_Costs!$B$12*(1+PMI_Costs!$B$13/100)^INT((A191-1)/12)/12,2))</f>
        <v/>
      </c>
      <c r="AF191" s="22">
        <f>IF(PMI_Costs!$B$5=0,0,AA191/PMI_Costs!$B$5)</f>
        <v/>
      </c>
      <c r="AG191" s="6">
        <f>AND(PMI_Costs!$B$4&gt;0,AF191&gt;PMI_Costs!$B$6/100)</f>
        <v/>
      </c>
      <c r="AH191" s="21">
        <f>IF(AG191,ROUND(Segments!$G$5*PMI_Costs!$B$4/100/12,2),0)</f>
        <v/>
      </c>
      <c r="AI191" s="6">
        <f>AND(NOT(AG191),AG190)</f>
        <v/>
      </c>
    </row>
    <row r="192">
      <c r="A192" s="18" t="n">
        <v>188</v>
      </c>
      <c r="B192" s="18">
        <f>SUMPRODUCT((Segments!$J$5:$J$12&lt;&gt;"")*(Segments!$J$5:$J$12&lt;=A192))</f>
        <v/>
      </c>
      <c r="C192" s="19">
        <f>INDEX(Segments!$B$5:$B$12,B192)</f>
        <v/>
      </c>
      <c r="D192" s="18">
        <f>INDEX(Segments!$J$5:$J$12,B192)</f>
        <v/>
      </c>
      <c r="E192" s="19">
        <f>DATE(YEAR(C192)+INT((MONTH(C192)-1+(A192-D192))/12),MOD(MONTH(C192)-1+(A192-D192),12)+1,1)+(DAY(C192)-1)</f>
        <v/>
      </c>
      <c r="F192" s="20">
        <f>INDEX(Segments!$C$5:$C$12,B192)/100/12</f>
        <v/>
      </c>
      <c r="G192" s="21">
        <f>INDEX(Segments!$L$5:$L$12,B192)</f>
        <v/>
      </c>
      <c r="H192" s="6">
        <f>INDEX(Segments!$I$5:$I$12,B192)="Y"</f>
        <v/>
      </c>
      <c r="I192" s="6">
        <f>INDEX(Segments!$F$5:$F$12,B192)=""</f>
        <v/>
      </c>
      <c r="J192" s="18">
        <f>INDEX(Segments!$K$5:$K$12,B192)</f>
        <v/>
      </c>
      <c r="K192" s="18">
        <f>IF(INDEX(Segments!$F$5:$F$12,B192)&lt;&gt;"",INDEX(Segments!$F$5:$F$12,B192),IF(INDEX(Segments!$E$5:$E$12,B192)&lt;&gt;"",INDEX(Segments!$E$5:$E$12,B192),""))</f>
        <v/>
      </c>
      <c r="L192" s="21">
        <f>AA191</f>
        <v/>
      </c>
      <c r="M192" s="21">
        <f>IFERROR(INDEX(Overrides!$C:$C,MATCH(A192,Overrides!$A:$A,0)),"")</f>
        <v/>
      </c>
      <c r="N192" s="21">
        <f>IFERROR(INDEX(Overrides!$E:$E,MATCH(A192,Overrides!$A:$A,0)),"")</f>
        <v/>
      </c>
      <c r="O192" s="21">
        <f>IFERROR(INDEX(Overrides!$D:$D,MATCH(A192,Overrides!$A:$A,0)),"")</f>
        <v/>
      </c>
      <c r="P192" s="21">
        <f>IFERROR(INDEX(Overrides!$B:$B,MATCH(A192,Overrides!$A:$A,0)),"")</f>
        <v/>
      </c>
      <c r="Q192" s="6">
        <f>IFERROR(INDEX(Overrides!$F:$F,MATCH(A192,Overrides!$A:$A,0)),"")</f>
        <v/>
      </c>
      <c r="R192" s="6">
        <f>ISNUMBER(MATCH(A192,Overrides!$A:$A,0))</f>
        <v/>
      </c>
      <c r="S192" s="6">
        <f>OR(ROUND(L192-ROUND(G192-T192,2),2)&lt;=0,AND(I192,K192&lt;&gt;"",(A192-D192+1)=K192))</f>
        <v/>
      </c>
      <c r="T192" s="21">
        <f>IF(M192&lt;&gt;"",M192,ROUND(L192*F192,2))</f>
        <v/>
      </c>
      <c r="U192" s="21">
        <f>IF(R192,IF(O192&lt;&gt;"",O192,IF(N192&lt;&gt;"",ROUND(L192-N192,2),ROUND((IF(P192&lt;&gt;"",P192,G192))-T192,2))),IF(H192,0,IF(S192,L192,ROUND(G192-T192,2))))</f>
        <v/>
      </c>
      <c r="V192" s="21">
        <f>IF(R192,IF(P192&lt;&gt;"",P192,ROUND(T192+U192,2)),IF(H192,T192,IF(S192,ROUND(T192+U192,2),G192)))</f>
        <v/>
      </c>
      <c r="W192" s="21">
        <f>IF(R192,IF(N192&lt;&gt;"",N192,ROUND(L192-U192,2)),IF(H192,L192,IF(S192,0,ROUND(L192-U192,2))))</f>
        <v/>
      </c>
      <c r="X192" s="21">
        <f>IFERROR(MIN(INDEX(LumpSums!$B:$B,MATCH(A192,LumpSums!$A:$A,0)),W192),0)</f>
        <v/>
      </c>
      <c r="Y192" s="21">
        <f>ROUND(U192+X192,2)</f>
        <v/>
      </c>
      <c r="Z192" s="21">
        <f>ROUND(V192+X192,2)</f>
        <v/>
      </c>
      <c r="AA192" s="21">
        <f>ROUND(W192-X192,2)</f>
        <v/>
      </c>
      <c r="AB192" s="6">
        <f>AND(AB191,L192&gt;0)</f>
        <v/>
      </c>
      <c r="AC192" s="21">
        <f>IF(PMI_Costs!$B$8=0,0,ROUND(PMI_Costs!$B$8*(1+PMI_Costs!$B$9/100)^INT((A192-1)/12)/12,2))</f>
        <v/>
      </c>
      <c r="AD192" s="21">
        <f>IF(PMI_Costs!$B$10=0,0,ROUND(PMI_Costs!$B$10*(1+PMI_Costs!$B$11/100)^INT((A192-1)/12)/12,2))</f>
        <v/>
      </c>
      <c r="AE192" s="21">
        <f>IF(PMI_Costs!$B$12=0,0,ROUND(PMI_Costs!$B$12*(1+PMI_Costs!$B$13/100)^INT((A192-1)/12)/12,2))</f>
        <v/>
      </c>
      <c r="AF192" s="22">
        <f>IF(PMI_Costs!$B$5=0,0,AA192/PMI_Costs!$B$5)</f>
        <v/>
      </c>
      <c r="AG192" s="6">
        <f>AND(PMI_Costs!$B$4&gt;0,AF192&gt;PMI_Costs!$B$6/100)</f>
        <v/>
      </c>
      <c r="AH192" s="21">
        <f>IF(AG192,ROUND(Segments!$G$5*PMI_Costs!$B$4/100/12,2),0)</f>
        <v/>
      </c>
      <c r="AI192" s="6">
        <f>AND(NOT(AG192),AG191)</f>
        <v/>
      </c>
    </row>
    <row r="193">
      <c r="A193" s="18" t="n">
        <v>189</v>
      </c>
      <c r="B193" s="18">
        <f>SUMPRODUCT((Segments!$J$5:$J$12&lt;&gt;"")*(Segments!$J$5:$J$12&lt;=A193))</f>
        <v/>
      </c>
      <c r="C193" s="19">
        <f>INDEX(Segments!$B$5:$B$12,B193)</f>
        <v/>
      </c>
      <c r="D193" s="18">
        <f>INDEX(Segments!$J$5:$J$12,B193)</f>
        <v/>
      </c>
      <c r="E193" s="19">
        <f>DATE(YEAR(C193)+INT((MONTH(C193)-1+(A193-D193))/12),MOD(MONTH(C193)-1+(A193-D193),12)+1,1)+(DAY(C193)-1)</f>
        <v/>
      </c>
      <c r="F193" s="20">
        <f>INDEX(Segments!$C$5:$C$12,B193)/100/12</f>
        <v/>
      </c>
      <c r="G193" s="21">
        <f>INDEX(Segments!$L$5:$L$12,B193)</f>
        <v/>
      </c>
      <c r="H193" s="6">
        <f>INDEX(Segments!$I$5:$I$12,B193)="Y"</f>
        <v/>
      </c>
      <c r="I193" s="6">
        <f>INDEX(Segments!$F$5:$F$12,B193)=""</f>
        <v/>
      </c>
      <c r="J193" s="18">
        <f>INDEX(Segments!$K$5:$K$12,B193)</f>
        <v/>
      </c>
      <c r="K193" s="18">
        <f>IF(INDEX(Segments!$F$5:$F$12,B193)&lt;&gt;"",INDEX(Segments!$F$5:$F$12,B193),IF(INDEX(Segments!$E$5:$E$12,B193)&lt;&gt;"",INDEX(Segments!$E$5:$E$12,B193),""))</f>
        <v/>
      </c>
      <c r="L193" s="21">
        <f>AA192</f>
        <v/>
      </c>
      <c r="M193" s="21">
        <f>IFERROR(INDEX(Overrides!$C:$C,MATCH(A193,Overrides!$A:$A,0)),"")</f>
        <v/>
      </c>
      <c r="N193" s="21">
        <f>IFERROR(INDEX(Overrides!$E:$E,MATCH(A193,Overrides!$A:$A,0)),"")</f>
        <v/>
      </c>
      <c r="O193" s="21">
        <f>IFERROR(INDEX(Overrides!$D:$D,MATCH(A193,Overrides!$A:$A,0)),"")</f>
        <v/>
      </c>
      <c r="P193" s="21">
        <f>IFERROR(INDEX(Overrides!$B:$B,MATCH(A193,Overrides!$A:$A,0)),"")</f>
        <v/>
      </c>
      <c r="Q193" s="6">
        <f>IFERROR(INDEX(Overrides!$F:$F,MATCH(A193,Overrides!$A:$A,0)),"")</f>
        <v/>
      </c>
      <c r="R193" s="6">
        <f>ISNUMBER(MATCH(A193,Overrides!$A:$A,0))</f>
        <v/>
      </c>
      <c r="S193" s="6">
        <f>OR(ROUND(L193-ROUND(G193-T193,2),2)&lt;=0,AND(I193,K193&lt;&gt;"",(A193-D193+1)=K193))</f>
        <v/>
      </c>
      <c r="T193" s="21">
        <f>IF(M193&lt;&gt;"",M193,ROUND(L193*F193,2))</f>
        <v/>
      </c>
      <c r="U193" s="21">
        <f>IF(R193,IF(O193&lt;&gt;"",O193,IF(N193&lt;&gt;"",ROUND(L193-N193,2),ROUND((IF(P193&lt;&gt;"",P193,G193))-T193,2))),IF(H193,0,IF(S193,L193,ROUND(G193-T193,2))))</f>
        <v/>
      </c>
      <c r="V193" s="21">
        <f>IF(R193,IF(P193&lt;&gt;"",P193,ROUND(T193+U193,2)),IF(H193,T193,IF(S193,ROUND(T193+U193,2),G193)))</f>
        <v/>
      </c>
      <c r="W193" s="21">
        <f>IF(R193,IF(N193&lt;&gt;"",N193,ROUND(L193-U193,2)),IF(H193,L193,IF(S193,0,ROUND(L193-U193,2))))</f>
        <v/>
      </c>
      <c r="X193" s="21">
        <f>IFERROR(MIN(INDEX(LumpSums!$B:$B,MATCH(A193,LumpSums!$A:$A,0)),W193),0)</f>
        <v/>
      </c>
      <c r="Y193" s="21">
        <f>ROUND(U193+X193,2)</f>
        <v/>
      </c>
      <c r="Z193" s="21">
        <f>ROUND(V193+X193,2)</f>
        <v/>
      </c>
      <c r="AA193" s="21">
        <f>ROUND(W193-X193,2)</f>
        <v/>
      </c>
      <c r="AB193" s="6">
        <f>AND(AB192,L193&gt;0)</f>
        <v/>
      </c>
      <c r="AC193" s="21">
        <f>IF(PMI_Costs!$B$8=0,0,ROUND(PMI_Costs!$B$8*(1+PMI_Costs!$B$9/100)^INT((A193-1)/12)/12,2))</f>
        <v/>
      </c>
      <c r="AD193" s="21">
        <f>IF(PMI_Costs!$B$10=0,0,ROUND(PMI_Costs!$B$10*(1+PMI_Costs!$B$11/100)^INT((A193-1)/12)/12,2))</f>
        <v/>
      </c>
      <c r="AE193" s="21">
        <f>IF(PMI_Costs!$B$12=0,0,ROUND(PMI_Costs!$B$12*(1+PMI_Costs!$B$13/100)^INT((A193-1)/12)/12,2))</f>
        <v/>
      </c>
      <c r="AF193" s="22">
        <f>IF(PMI_Costs!$B$5=0,0,AA193/PMI_Costs!$B$5)</f>
        <v/>
      </c>
      <c r="AG193" s="6">
        <f>AND(PMI_Costs!$B$4&gt;0,AF193&gt;PMI_Costs!$B$6/100)</f>
        <v/>
      </c>
      <c r="AH193" s="21">
        <f>IF(AG193,ROUND(Segments!$G$5*PMI_Costs!$B$4/100/12,2),0)</f>
        <v/>
      </c>
      <c r="AI193" s="6">
        <f>AND(NOT(AG193),AG192)</f>
        <v/>
      </c>
    </row>
    <row r="194">
      <c r="A194" s="18" t="n">
        <v>190</v>
      </c>
      <c r="B194" s="18">
        <f>SUMPRODUCT((Segments!$J$5:$J$12&lt;&gt;"")*(Segments!$J$5:$J$12&lt;=A194))</f>
        <v/>
      </c>
      <c r="C194" s="19">
        <f>INDEX(Segments!$B$5:$B$12,B194)</f>
        <v/>
      </c>
      <c r="D194" s="18">
        <f>INDEX(Segments!$J$5:$J$12,B194)</f>
        <v/>
      </c>
      <c r="E194" s="19">
        <f>DATE(YEAR(C194)+INT((MONTH(C194)-1+(A194-D194))/12),MOD(MONTH(C194)-1+(A194-D194),12)+1,1)+(DAY(C194)-1)</f>
        <v/>
      </c>
      <c r="F194" s="20">
        <f>INDEX(Segments!$C$5:$C$12,B194)/100/12</f>
        <v/>
      </c>
      <c r="G194" s="21">
        <f>INDEX(Segments!$L$5:$L$12,B194)</f>
        <v/>
      </c>
      <c r="H194" s="6">
        <f>INDEX(Segments!$I$5:$I$12,B194)="Y"</f>
        <v/>
      </c>
      <c r="I194" s="6">
        <f>INDEX(Segments!$F$5:$F$12,B194)=""</f>
        <v/>
      </c>
      <c r="J194" s="18">
        <f>INDEX(Segments!$K$5:$K$12,B194)</f>
        <v/>
      </c>
      <c r="K194" s="18">
        <f>IF(INDEX(Segments!$F$5:$F$12,B194)&lt;&gt;"",INDEX(Segments!$F$5:$F$12,B194),IF(INDEX(Segments!$E$5:$E$12,B194)&lt;&gt;"",INDEX(Segments!$E$5:$E$12,B194),""))</f>
        <v/>
      </c>
      <c r="L194" s="21">
        <f>AA193</f>
        <v/>
      </c>
      <c r="M194" s="21">
        <f>IFERROR(INDEX(Overrides!$C:$C,MATCH(A194,Overrides!$A:$A,0)),"")</f>
        <v/>
      </c>
      <c r="N194" s="21">
        <f>IFERROR(INDEX(Overrides!$E:$E,MATCH(A194,Overrides!$A:$A,0)),"")</f>
        <v/>
      </c>
      <c r="O194" s="21">
        <f>IFERROR(INDEX(Overrides!$D:$D,MATCH(A194,Overrides!$A:$A,0)),"")</f>
        <v/>
      </c>
      <c r="P194" s="21">
        <f>IFERROR(INDEX(Overrides!$B:$B,MATCH(A194,Overrides!$A:$A,0)),"")</f>
        <v/>
      </c>
      <c r="Q194" s="6">
        <f>IFERROR(INDEX(Overrides!$F:$F,MATCH(A194,Overrides!$A:$A,0)),"")</f>
        <v/>
      </c>
      <c r="R194" s="6">
        <f>ISNUMBER(MATCH(A194,Overrides!$A:$A,0))</f>
        <v/>
      </c>
      <c r="S194" s="6">
        <f>OR(ROUND(L194-ROUND(G194-T194,2),2)&lt;=0,AND(I194,K194&lt;&gt;"",(A194-D194+1)=K194))</f>
        <v/>
      </c>
      <c r="T194" s="21">
        <f>IF(M194&lt;&gt;"",M194,ROUND(L194*F194,2))</f>
        <v/>
      </c>
      <c r="U194" s="21">
        <f>IF(R194,IF(O194&lt;&gt;"",O194,IF(N194&lt;&gt;"",ROUND(L194-N194,2),ROUND((IF(P194&lt;&gt;"",P194,G194))-T194,2))),IF(H194,0,IF(S194,L194,ROUND(G194-T194,2))))</f>
        <v/>
      </c>
      <c r="V194" s="21">
        <f>IF(R194,IF(P194&lt;&gt;"",P194,ROUND(T194+U194,2)),IF(H194,T194,IF(S194,ROUND(T194+U194,2),G194)))</f>
        <v/>
      </c>
      <c r="W194" s="21">
        <f>IF(R194,IF(N194&lt;&gt;"",N194,ROUND(L194-U194,2)),IF(H194,L194,IF(S194,0,ROUND(L194-U194,2))))</f>
        <v/>
      </c>
      <c r="X194" s="21">
        <f>IFERROR(MIN(INDEX(LumpSums!$B:$B,MATCH(A194,LumpSums!$A:$A,0)),W194),0)</f>
        <v/>
      </c>
      <c r="Y194" s="21">
        <f>ROUND(U194+X194,2)</f>
        <v/>
      </c>
      <c r="Z194" s="21">
        <f>ROUND(V194+X194,2)</f>
        <v/>
      </c>
      <c r="AA194" s="21">
        <f>ROUND(W194-X194,2)</f>
        <v/>
      </c>
      <c r="AB194" s="6">
        <f>AND(AB193,L194&gt;0)</f>
        <v/>
      </c>
      <c r="AC194" s="21">
        <f>IF(PMI_Costs!$B$8=0,0,ROUND(PMI_Costs!$B$8*(1+PMI_Costs!$B$9/100)^INT((A194-1)/12)/12,2))</f>
        <v/>
      </c>
      <c r="AD194" s="21">
        <f>IF(PMI_Costs!$B$10=0,0,ROUND(PMI_Costs!$B$10*(1+PMI_Costs!$B$11/100)^INT((A194-1)/12)/12,2))</f>
        <v/>
      </c>
      <c r="AE194" s="21">
        <f>IF(PMI_Costs!$B$12=0,0,ROUND(PMI_Costs!$B$12*(1+PMI_Costs!$B$13/100)^INT((A194-1)/12)/12,2))</f>
        <v/>
      </c>
      <c r="AF194" s="22">
        <f>IF(PMI_Costs!$B$5=0,0,AA194/PMI_Costs!$B$5)</f>
        <v/>
      </c>
      <c r="AG194" s="6">
        <f>AND(PMI_Costs!$B$4&gt;0,AF194&gt;PMI_Costs!$B$6/100)</f>
        <v/>
      </c>
      <c r="AH194" s="21">
        <f>IF(AG194,ROUND(Segments!$G$5*PMI_Costs!$B$4/100/12,2),0)</f>
        <v/>
      </c>
      <c r="AI194" s="6">
        <f>AND(NOT(AG194),AG193)</f>
        <v/>
      </c>
    </row>
    <row r="195">
      <c r="A195" s="18" t="n">
        <v>191</v>
      </c>
      <c r="B195" s="18">
        <f>SUMPRODUCT((Segments!$J$5:$J$12&lt;&gt;"")*(Segments!$J$5:$J$12&lt;=A195))</f>
        <v/>
      </c>
      <c r="C195" s="19">
        <f>INDEX(Segments!$B$5:$B$12,B195)</f>
        <v/>
      </c>
      <c r="D195" s="18">
        <f>INDEX(Segments!$J$5:$J$12,B195)</f>
        <v/>
      </c>
      <c r="E195" s="19">
        <f>DATE(YEAR(C195)+INT((MONTH(C195)-1+(A195-D195))/12),MOD(MONTH(C195)-1+(A195-D195),12)+1,1)+(DAY(C195)-1)</f>
        <v/>
      </c>
      <c r="F195" s="20">
        <f>INDEX(Segments!$C$5:$C$12,B195)/100/12</f>
        <v/>
      </c>
      <c r="G195" s="21">
        <f>INDEX(Segments!$L$5:$L$12,B195)</f>
        <v/>
      </c>
      <c r="H195" s="6">
        <f>INDEX(Segments!$I$5:$I$12,B195)="Y"</f>
        <v/>
      </c>
      <c r="I195" s="6">
        <f>INDEX(Segments!$F$5:$F$12,B195)=""</f>
        <v/>
      </c>
      <c r="J195" s="18">
        <f>INDEX(Segments!$K$5:$K$12,B195)</f>
        <v/>
      </c>
      <c r="K195" s="18">
        <f>IF(INDEX(Segments!$F$5:$F$12,B195)&lt;&gt;"",INDEX(Segments!$F$5:$F$12,B195),IF(INDEX(Segments!$E$5:$E$12,B195)&lt;&gt;"",INDEX(Segments!$E$5:$E$12,B195),""))</f>
        <v/>
      </c>
      <c r="L195" s="21">
        <f>AA194</f>
        <v/>
      </c>
      <c r="M195" s="21">
        <f>IFERROR(INDEX(Overrides!$C:$C,MATCH(A195,Overrides!$A:$A,0)),"")</f>
        <v/>
      </c>
      <c r="N195" s="21">
        <f>IFERROR(INDEX(Overrides!$E:$E,MATCH(A195,Overrides!$A:$A,0)),"")</f>
        <v/>
      </c>
      <c r="O195" s="21">
        <f>IFERROR(INDEX(Overrides!$D:$D,MATCH(A195,Overrides!$A:$A,0)),"")</f>
        <v/>
      </c>
      <c r="P195" s="21">
        <f>IFERROR(INDEX(Overrides!$B:$B,MATCH(A195,Overrides!$A:$A,0)),"")</f>
        <v/>
      </c>
      <c r="Q195" s="6">
        <f>IFERROR(INDEX(Overrides!$F:$F,MATCH(A195,Overrides!$A:$A,0)),"")</f>
        <v/>
      </c>
      <c r="R195" s="6">
        <f>ISNUMBER(MATCH(A195,Overrides!$A:$A,0))</f>
        <v/>
      </c>
      <c r="S195" s="6">
        <f>OR(ROUND(L195-ROUND(G195-T195,2),2)&lt;=0,AND(I195,K195&lt;&gt;"",(A195-D195+1)=K195))</f>
        <v/>
      </c>
      <c r="T195" s="21">
        <f>IF(M195&lt;&gt;"",M195,ROUND(L195*F195,2))</f>
        <v/>
      </c>
      <c r="U195" s="21">
        <f>IF(R195,IF(O195&lt;&gt;"",O195,IF(N195&lt;&gt;"",ROUND(L195-N195,2),ROUND((IF(P195&lt;&gt;"",P195,G195))-T195,2))),IF(H195,0,IF(S195,L195,ROUND(G195-T195,2))))</f>
        <v/>
      </c>
      <c r="V195" s="21">
        <f>IF(R195,IF(P195&lt;&gt;"",P195,ROUND(T195+U195,2)),IF(H195,T195,IF(S195,ROUND(T195+U195,2),G195)))</f>
        <v/>
      </c>
      <c r="W195" s="21">
        <f>IF(R195,IF(N195&lt;&gt;"",N195,ROUND(L195-U195,2)),IF(H195,L195,IF(S195,0,ROUND(L195-U195,2))))</f>
        <v/>
      </c>
      <c r="X195" s="21">
        <f>IFERROR(MIN(INDEX(LumpSums!$B:$B,MATCH(A195,LumpSums!$A:$A,0)),W195),0)</f>
        <v/>
      </c>
      <c r="Y195" s="21">
        <f>ROUND(U195+X195,2)</f>
        <v/>
      </c>
      <c r="Z195" s="21">
        <f>ROUND(V195+X195,2)</f>
        <v/>
      </c>
      <c r="AA195" s="21">
        <f>ROUND(W195-X195,2)</f>
        <v/>
      </c>
      <c r="AB195" s="6">
        <f>AND(AB194,L195&gt;0)</f>
        <v/>
      </c>
      <c r="AC195" s="21">
        <f>IF(PMI_Costs!$B$8=0,0,ROUND(PMI_Costs!$B$8*(1+PMI_Costs!$B$9/100)^INT((A195-1)/12)/12,2))</f>
        <v/>
      </c>
      <c r="AD195" s="21">
        <f>IF(PMI_Costs!$B$10=0,0,ROUND(PMI_Costs!$B$10*(1+PMI_Costs!$B$11/100)^INT((A195-1)/12)/12,2))</f>
        <v/>
      </c>
      <c r="AE195" s="21">
        <f>IF(PMI_Costs!$B$12=0,0,ROUND(PMI_Costs!$B$12*(1+PMI_Costs!$B$13/100)^INT((A195-1)/12)/12,2))</f>
        <v/>
      </c>
      <c r="AF195" s="22">
        <f>IF(PMI_Costs!$B$5=0,0,AA195/PMI_Costs!$B$5)</f>
        <v/>
      </c>
      <c r="AG195" s="6">
        <f>AND(PMI_Costs!$B$4&gt;0,AF195&gt;PMI_Costs!$B$6/100)</f>
        <v/>
      </c>
      <c r="AH195" s="21">
        <f>IF(AG195,ROUND(Segments!$G$5*PMI_Costs!$B$4/100/12,2),0)</f>
        <v/>
      </c>
      <c r="AI195" s="6">
        <f>AND(NOT(AG195),AG194)</f>
        <v/>
      </c>
    </row>
    <row r="196">
      <c r="A196" s="18" t="n">
        <v>192</v>
      </c>
      <c r="B196" s="18">
        <f>SUMPRODUCT((Segments!$J$5:$J$12&lt;&gt;"")*(Segments!$J$5:$J$12&lt;=A196))</f>
        <v/>
      </c>
      <c r="C196" s="19">
        <f>INDEX(Segments!$B$5:$B$12,B196)</f>
        <v/>
      </c>
      <c r="D196" s="18">
        <f>INDEX(Segments!$J$5:$J$12,B196)</f>
        <v/>
      </c>
      <c r="E196" s="19">
        <f>DATE(YEAR(C196)+INT((MONTH(C196)-1+(A196-D196))/12),MOD(MONTH(C196)-1+(A196-D196),12)+1,1)+(DAY(C196)-1)</f>
        <v/>
      </c>
      <c r="F196" s="20">
        <f>INDEX(Segments!$C$5:$C$12,B196)/100/12</f>
        <v/>
      </c>
      <c r="G196" s="21">
        <f>INDEX(Segments!$L$5:$L$12,B196)</f>
        <v/>
      </c>
      <c r="H196" s="6">
        <f>INDEX(Segments!$I$5:$I$12,B196)="Y"</f>
        <v/>
      </c>
      <c r="I196" s="6">
        <f>INDEX(Segments!$F$5:$F$12,B196)=""</f>
        <v/>
      </c>
      <c r="J196" s="18">
        <f>INDEX(Segments!$K$5:$K$12,B196)</f>
        <v/>
      </c>
      <c r="K196" s="18">
        <f>IF(INDEX(Segments!$F$5:$F$12,B196)&lt;&gt;"",INDEX(Segments!$F$5:$F$12,B196),IF(INDEX(Segments!$E$5:$E$12,B196)&lt;&gt;"",INDEX(Segments!$E$5:$E$12,B196),""))</f>
        <v/>
      </c>
      <c r="L196" s="21">
        <f>AA195</f>
        <v/>
      </c>
      <c r="M196" s="21">
        <f>IFERROR(INDEX(Overrides!$C:$C,MATCH(A196,Overrides!$A:$A,0)),"")</f>
        <v/>
      </c>
      <c r="N196" s="21">
        <f>IFERROR(INDEX(Overrides!$E:$E,MATCH(A196,Overrides!$A:$A,0)),"")</f>
        <v/>
      </c>
      <c r="O196" s="21">
        <f>IFERROR(INDEX(Overrides!$D:$D,MATCH(A196,Overrides!$A:$A,0)),"")</f>
        <v/>
      </c>
      <c r="P196" s="21">
        <f>IFERROR(INDEX(Overrides!$B:$B,MATCH(A196,Overrides!$A:$A,0)),"")</f>
        <v/>
      </c>
      <c r="Q196" s="6">
        <f>IFERROR(INDEX(Overrides!$F:$F,MATCH(A196,Overrides!$A:$A,0)),"")</f>
        <v/>
      </c>
      <c r="R196" s="6">
        <f>ISNUMBER(MATCH(A196,Overrides!$A:$A,0))</f>
        <v/>
      </c>
      <c r="S196" s="6">
        <f>OR(ROUND(L196-ROUND(G196-T196,2),2)&lt;=0,AND(I196,K196&lt;&gt;"",(A196-D196+1)=K196))</f>
        <v/>
      </c>
      <c r="T196" s="21">
        <f>IF(M196&lt;&gt;"",M196,ROUND(L196*F196,2))</f>
        <v/>
      </c>
      <c r="U196" s="21">
        <f>IF(R196,IF(O196&lt;&gt;"",O196,IF(N196&lt;&gt;"",ROUND(L196-N196,2),ROUND((IF(P196&lt;&gt;"",P196,G196))-T196,2))),IF(H196,0,IF(S196,L196,ROUND(G196-T196,2))))</f>
        <v/>
      </c>
      <c r="V196" s="21">
        <f>IF(R196,IF(P196&lt;&gt;"",P196,ROUND(T196+U196,2)),IF(H196,T196,IF(S196,ROUND(T196+U196,2),G196)))</f>
        <v/>
      </c>
      <c r="W196" s="21">
        <f>IF(R196,IF(N196&lt;&gt;"",N196,ROUND(L196-U196,2)),IF(H196,L196,IF(S196,0,ROUND(L196-U196,2))))</f>
        <v/>
      </c>
      <c r="X196" s="21">
        <f>IFERROR(MIN(INDEX(LumpSums!$B:$B,MATCH(A196,LumpSums!$A:$A,0)),W196),0)</f>
        <v/>
      </c>
      <c r="Y196" s="21">
        <f>ROUND(U196+X196,2)</f>
        <v/>
      </c>
      <c r="Z196" s="21">
        <f>ROUND(V196+X196,2)</f>
        <v/>
      </c>
      <c r="AA196" s="21">
        <f>ROUND(W196-X196,2)</f>
        <v/>
      </c>
      <c r="AB196" s="6">
        <f>AND(AB195,L196&gt;0)</f>
        <v/>
      </c>
      <c r="AC196" s="21">
        <f>IF(PMI_Costs!$B$8=0,0,ROUND(PMI_Costs!$B$8*(1+PMI_Costs!$B$9/100)^INT((A196-1)/12)/12,2))</f>
        <v/>
      </c>
      <c r="AD196" s="21">
        <f>IF(PMI_Costs!$B$10=0,0,ROUND(PMI_Costs!$B$10*(1+PMI_Costs!$B$11/100)^INT((A196-1)/12)/12,2))</f>
        <v/>
      </c>
      <c r="AE196" s="21">
        <f>IF(PMI_Costs!$B$12=0,0,ROUND(PMI_Costs!$B$12*(1+PMI_Costs!$B$13/100)^INT((A196-1)/12)/12,2))</f>
        <v/>
      </c>
      <c r="AF196" s="22">
        <f>IF(PMI_Costs!$B$5=0,0,AA196/PMI_Costs!$B$5)</f>
        <v/>
      </c>
      <c r="AG196" s="6">
        <f>AND(PMI_Costs!$B$4&gt;0,AF196&gt;PMI_Costs!$B$6/100)</f>
        <v/>
      </c>
      <c r="AH196" s="21">
        <f>IF(AG196,ROUND(Segments!$G$5*PMI_Costs!$B$4/100/12,2),0)</f>
        <v/>
      </c>
      <c r="AI196" s="6">
        <f>AND(NOT(AG196),AG195)</f>
        <v/>
      </c>
    </row>
    <row r="197">
      <c r="A197" s="18" t="n">
        <v>193</v>
      </c>
      <c r="B197" s="18">
        <f>SUMPRODUCT((Segments!$J$5:$J$12&lt;&gt;"")*(Segments!$J$5:$J$12&lt;=A197))</f>
        <v/>
      </c>
      <c r="C197" s="19">
        <f>INDEX(Segments!$B$5:$B$12,B197)</f>
        <v/>
      </c>
      <c r="D197" s="18">
        <f>INDEX(Segments!$J$5:$J$12,B197)</f>
        <v/>
      </c>
      <c r="E197" s="19">
        <f>DATE(YEAR(C197)+INT((MONTH(C197)-1+(A197-D197))/12),MOD(MONTH(C197)-1+(A197-D197),12)+1,1)+(DAY(C197)-1)</f>
        <v/>
      </c>
      <c r="F197" s="20">
        <f>INDEX(Segments!$C$5:$C$12,B197)/100/12</f>
        <v/>
      </c>
      <c r="G197" s="21">
        <f>INDEX(Segments!$L$5:$L$12,B197)</f>
        <v/>
      </c>
      <c r="H197" s="6">
        <f>INDEX(Segments!$I$5:$I$12,B197)="Y"</f>
        <v/>
      </c>
      <c r="I197" s="6">
        <f>INDEX(Segments!$F$5:$F$12,B197)=""</f>
        <v/>
      </c>
      <c r="J197" s="18">
        <f>INDEX(Segments!$K$5:$K$12,B197)</f>
        <v/>
      </c>
      <c r="K197" s="18">
        <f>IF(INDEX(Segments!$F$5:$F$12,B197)&lt;&gt;"",INDEX(Segments!$F$5:$F$12,B197),IF(INDEX(Segments!$E$5:$E$12,B197)&lt;&gt;"",INDEX(Segments!$E$5:$E$12,B197),""))</f>
        <v/>
      </c>
      <c r="L197" s="21">
        <f>AA196</f>
        <v/>
      </c>
      <c r="M197" s="21">
        <f>IFERROR(INDEX(Overrides!$C:$C,MATCH(A197,Overrides!$A:$A,0)),"")</f>
        <v/>
      </c>
      <c r="N197" s="21">
        <f>IFERROR(INDEX(Overrides!$E:$E,MATCH(A197,Overrides!$A:$A,0)),"")</f>
        <v/>
      </c>
      <c r="O197" s="21">
        <f>IFERROR(INDEX(Overrides!$D:$D,MATCH(A197,Overrides!$A:$A,0)),"")</f>
        <v/>
      </c>
      <c r="P197" s="21">
        <f>IFERROR(INDEX(Overrides!$B:$B,MATCH(A197,Overrides!$A:$A,0)),"")</f>
        <v/>
      </c>
      <c r="Q197" s="6">
        <f>IFERROR(INDEX(Overrides!$F:$F,MATCH(A197,Overrides!$A:$A,0)),"")</f>
        <v/>
      </c>
      <c r="R197" s="6">
        <f>ISNUMBER(MATCH(A197,Overrides!$A:$A,0))</f>
        <v/>
      </c>
      <c r="S197" s="6">
        <f>OR(ROUND(L197-ROUND(G197-T197,2),2)&lt;=0,AND(I197,K197&lt;&gt;"",(A197-D197+1)=K197))</f>
        <v/>
      </c>
      <c r="T197" s="21">
        <f>IF(M197&lt;&gt;"",M197,ROUND(L197*F197,2))</f>
        <v/>
      </c>
      <c r="U197" s="21">
        <f>IF(R197,IF(O197&lt;&gt;"",O197,IF(N197&lt;&gt;"",ROUND(L197-N197,2),ROUND((IF(P197&lt;&gt;"",P197,G197))-T197,2))),IF(H197,0,IF(S197,L197,ROUND(G197-T197,2))))</f>
        <v/>
      </c>
      <c r="V197" s="21">
        <f>IF(R197,IF(P197&lt;&gt;"",P197,ROUND(T197+U197,2)),IF(H197,T197,IF(S197,ROUND(T197+U197,2),G197)))</f>
        <v/>
      </c>
      <c r="W197" s="21">
        <f>IF(R197,IF(N197&lt;&gt;"",N197,ROUND(L197-U197,2)),IF(H197,L197,IF(S197,0,ROUND(L197-U197,2))))</f>
        <v/>
      </c>
      <c r="X197" s="21">
        <f>IFERROR(MIN(INDEX(LumpSums!$B:$B,MATCH(A197,LumpSums!$A:$A,0)),W197),0)</f>
        <v/>
      </c>
      <c r="Y197" s="21">
        <f>ROUND(U197+X197,2)</f>
        <v/>
      </c>
      <c r="Z197" s="21">
        <f>ROUND(V197+X197,2)</f>
        <v/>
      </c>
      <c r="AA197" s="21">
        <f>ROUND(W197-X197,2)</f>
        <v/>
      </c>
      <c r="AB197" s="6">
        <f>AND(AB196,L197&gt;0)</f>
        <v/>
      </c>
      <c r="AC197" s="21">
        <f>IF(PMI_Costs!$B$8=0,0,ROUND(PMI_Costs!$B$8*(1+PMI_Costs!$B$9/100)^INT((A197-1)/12)/12,2))</f>
        <v/>
      </c>
      <c r="AD197" s="21">
        <f>IF(PMI_Costs!$B$10=0,0,ROUND(PMI_Costs!$B$10*(1+PMI_Costs!$B$11/100)^INT((A197-1)/12)/12,2))</f>
        <v/>
      </c>
      <c r="AE197" s="21">
        <f>IF(PMI_Costs!$B$12=0,0,ROUND(PMI_Costs!$B$12*(1+PMI_Costs!$B$13/100)^INT((A197-1)/12)/12,2))</f>
        <v/>
      </c>
      <c r="AF197" s="22">
        <f>IF(PMI_Costs!$B$5=0,0,AA197/PMI_Costs!$B$5)</f>
        <v/>
      </c>
      <c r="AG197" s="6">
        <f>AND(PMI_Costs!$B$4&gt;0,AF197&gt;PMI_Costs!$B$6/100)</f>
        <v/>
      </c>
      <c r="AH197" s="21">
        <f>IF(AG197,ROUND(Segments!$G$5*PMI_Costs!$B$4/100/12,2),0)</f>
        <v/>
      </c>
      <c r="AI197" s="6">
        <f>AND(NOT(AG197),AG196)</f>
        <v/>
      </c>
    </row>
    <row r="198">
      <c r="A198" s="18" t="n">
        <v>194</v>
      </c>
      <c r="B198" s="18">
        <f>SUMPRODUCT((Segments!$J$5:$J$12&lt;&gt;"")*(Segments!$J$5:$J$12&lt;=A198))</f>
        <v/>
      </c>
      <c r="C198" s="19">
        <f>INDEX(Segments!$B$5:$B$12,B198)</f>
        <v/>
      </c>
      <c r="D198" s="18">
        <f>INDEX(Segments!$J$5:$J$12,B198)</f>
        <v/>
      </c>
      <c r="E198" s="19">
        <f>DATE(YEAR(C198)+INT((MONTH(C198)-1+(A198-D198))/12),MOD(MONTH(C198)-1+(A198-D198),12)+1,1)+(DAY(C198)-1)</f>
        <v/>
      </c>
      <c r="F198" s="20">
        <f>INDEX(Segments!$C$5:$C$12,B198)/100/12</f>
        <v/>
      </c>
      <c r="G198" s="21">
        <f>INDEX(Segments!$L$5:$L$12,B198)</f>
        <v/>
      </c>
      <c r="H198" s="6">
        <f>INDEX(Segments!$I$5:$I$12,B198)="Y"</f>
        <v/>
      </c>
      <c r="I198" s="6">
        <f>INDEX(Segments!$F$5:$F$12,B198)=""</f>
        <v/>
      </c>
      <c r="J198" s="18">
        <f>INDEX(Segments!$K$5:$K$12,B198)</f>
        <v/>
      </c>
      <c r="K198" s="18">
        <f>IF(INDEX(Segments!$F$5:$F$12,B198)&lt;&gt;"",INDEX(Segments!$F$5:$F$12,B198),IF(INDEX(Segments!$E$5:$E$12,B198)&lt;&gt;"",INDEX(Segments!$E$5:$E$12,B198),""))</f>
        <v/>
      </c>
      <c r="L198" s="21">
        <f>AA197</f>
        <v/>
      </c>
      <c r="M198" s="21">
        <f>IFERROR(INDEX(Overrides!$C:$C,MATCH(A198,Overrides!$A:$A,0)),"")</f>
        <v/>
      </c>
      <c r="N198" s="21">
        <f>IFERROR(INDEX(Overrides!$E:$E,MATCH(A198,Overrides!$A:$A,0)),"")</f>
        <v/>
      </c>
      <c r="O198" s="21">
        <f>IFERROR(INDEX(Overrides!$D:$D,MATCH(A198,Overrides!$A:$A,0)),"")</f>
        <v/>
      </c>
      <c r="P198" s="21">
        <f>IFERROR(INDEX(Overrides!$B:$B,MATCH(A198,Overrides!$A:$A,0)),"")</f>
        <v/>
      </c>
      <c r="Q198" s="6">
        <f>IFERROR(INDEX(Overrides!$F:$F,MATCH(A198,Overrides!$A:$A,0)),"")</f>
        <v/>
      </c>
      <c r="R198" s="6">
        <f>ISNUMBER(MATCH(A198,Overrides!$A:$A,0))</f>
        <v/>
      </c>
      <c r="S198" s="6">
        <f>OR(ROUND(L198-ROUND(G198-T198,2),2)&lt;=0,AND(I198,K198&lt;&gt;"",(A198-D198+1)=K198))</f>
        <v/>
      </c>
      <c r="T198" s="21">
        <f>IF(M198&lt;&gt;"",M198,ROUND(L198*F198,2))</f>
        <v/>
      </c>
      <c r="U198" s="21">
        <f>IF(R198,IF(O198&lt;&gt;"",O198,IF(N198&lt;&gt;"",ROUND(L198-N198,2),ROUND((IF(P198&lt;&gt;"",P198,G198))-T198,2))),IF(H198,0,IF(S198,L198,ROUND(G198-T198,2))))</f>
        <v/>
      </c>
      <c r="V198" s="21">
        <f>IF(R198,IF(P198&lt;&gt;"",P198,ROUND(T198+U198,2)),IF(H198,T198,IF(S198,ROUND(T198+U198,2),G198)))</f>
        <v/>
      </c>
      <c r="W198" s="21">
        <f>IF(R198,IF(N198&lt;&gt;"",N198,ROUND(L198-U198,2)),IF(H198,L198,IF(S198,0,ROUND(L198-U198,2))))</f>
        <v/>
      </c>
      <c r="X198" s="21">
        <f>IFERROR(MIN(INDEX(LumpSums!$B:$B,MATCH(A198,LumpSums!$A:$A,0)),W198),0)</f>
        <v/>
      </c>
      <c r="Y198" s="21">
        <f>ROUND(U198+X198,2)</f>
        <v/>
      </c>
      <c r="Z198" s="21">
        <f>ROUND(V198+X198,2)</f>
        <v/>
      </c>
      <c r="AA198" s="21">
        <f>ROUND(W198-X198,2)</f>
        <v/>
      </c>
      <c r="AB198" s="6">
        <f>AND(AB197,L198&gt;0)</f>
        <v/>
      </c>
      <c r="AC198" s="21">
        <f>IF(PMI_Costs!$B$8=0,0,ROUND(PMI_Costs!$B$8*(1+PMI_Costs!$B$9/100)^INT((A198-1)/12)/12,2))</f>
        <v/>
      </c>
      <c r="AD198" s="21">
        <f>IF(PMI_Costs!$B$10=0,0,ROUND(PMI_Costs!$B$10*(1+PMI_Costs!$B$11/100)^INT((A198-1)/12)/12,2))</f>
        <v/>
      </c>
      <c r="AE198" s="21">
        <f>IF(PMI_Costs!$B$12=0,0,ROUND(PMI_Costs!$B$12*(1+PMI_Costs!$B$13/100)^INT((A198-1)/12)/12,2))</f>
        <v/>
      </c>
      <c r="AF198" s="22">
        <f>IF(PMI_Costs!$B$5=0,0,AA198/PMI_Costs!$B$5)</f>
        <v/>
      </c>
      <c r="AG198" s="6">
        <f>AND(PMI_Costs!$B$4&gt;0,AF198&gt;PMI_Costs!$B$6/100)</f>
        <v/>
      </c>
      <c r="AH198" s="21">
        <f>IF(AG198,ROUND(Segments!$G$5*PMI_Costs!$B$4/100/12,2),0)</f>
        <v/>
      </c>
      <c r="AI198" s="6">
        <f>AND(NOT(AG198),AG197)</f>
        <v/>
      </c>
    </row>
    <row r="199">
      <c r="A199" s="18" t="n">
        <v>195</v>
      </c>
      <c r="B199" s="18">
        <f>SUMPRODUCT((Segments!$J$5:$J$12&lt;&gt;"")*(Segments!$J$5:$J$12&lt;=A199))</f>
        <v/>
      </c>
      <c r="C199" s="19">
        <f>INDEX(Segments!$B$5:$B$12,B199)</f>
        <v/>
      </c>
      <c r="D199" s="18">
        <f>INDEX(Segments!$J$5:$J$12,B199)</f>
        <v/>
      </c>
      <c r="E199" s="19">
        <f>DATE(YEAR(C199)+INT((MONTH(C199)-1+(A199-D199))/12),MOD(MONTH(C199)-1+(A199-D199),12)+1,1)+(DAY(C199)-1)</f>
        <v/>
      </c>
      <c r="F199" s="20">
        <f>INDEX(Segments!$C$5:$C$12,B199)/100/12</f>
        <v/>
      </c>
      <c r="G199" s="21">
        <f>INDEX(Segments!$L$5:$L$12,B199)</f>
        <v/>
      </c>
      <c r="H199" s="6">
        <f>INDEX(Segments!$I$5:$I$12,B199)="Y"</f>
        <v/>
      </c>
      <c r="I199" s="6">
        <f>INDEX(Segments!$F$5:$F$12,B199)=""</f>
        <v/>
      </c>
      <c r="J199" s="18">
        <f>INDEX(Segments!$K$5:$K$12,B199)</f>
        <v/>
      </c>
      <c r="K199" s="18">
        <f>IF(INDEX(Segments!$F$5:$F$12,B199)&lt;&gt;"",INDEX(Segments!$F$5:$F$12,B199),IF(INDEX(Segments!$E$5:$E$12,B199)&lt;&gt;"",INDEX(Segments!$E$5:$E$12,B199),""))</f>
        <v/>
      </c>
      <c r="L199" s="21">
        <f>AA198</f>
        <v/>
      </c>
      <c r="M199" s="21">
        <f>IFERROR(INDEX(Overrides!$C:$C,MATCH(A199,Overrides!$A:$A,0)),"")</f>
        <v/>
      </c>
      <c r="N199" s="21">
        <f>IFERROR(INDEX(Overrides!$E:$E,MATCH(A199,Overrides!$A:$A,0)),"")</f>
        <v/>
      </c>
      <c r="O199" s="21">
        <f>IFERROR(INDEX(Overrides!$D:$D,MATCH(A199,Overrides!$A:$A,0)),"")</f>
        <v/>
      </c>
      <c r="P199" s="21">
        <f>IFERROR(INDEX(Overrides!$B:$B,MATCH(A199,Overrides!$A:$A,0)),"")</f>
        <v/>
      </c>
      <c r="Q199" s="6">
        <f>IFERROR(INDEX(Overrides!$F:$F,MATCH(A199,Overrides!$A:$A,0)),"")</f>
        <v/>
      </c>
      <c r="R199" s="6">
        <f>ISNUMBER(MATCH(A199,Overrides!$A:$A,0))</f>
        <v/>
      </c>
      <c r="S199" s="6">
        <f>OR(ROUND(L199-ROUND(G199-T199,2),2)&lt;=0,AND(I199,K199&lt;&gt;"",(A199-D199+1)=K199))</f>
        <v/>
      </c>
      <c r="T199" s="21">
        <f>IF(M199&lt;&gt;"",M199,ROUND(L199*F199,2))</f>
        <v/>
      </c>
      <c r="U199" s="21">
        <f>IF(R199,IF(O199&lt;&gt;"",O199,IF(N199&lt;&gt;"",ROUND(L199-N199,2),ROUND((IF(P199&lt;&gt;"",P199,G199))-T199,2))),IF(H199,0,IF(S199,L199,ROUND(G199-T199,2))))</f>
        <v/>
      </c>
      <c r="V199" s="21">
        <f>IF(R199,IF(P199&lt;&gt;"",P199,ROUND(T199+U199,2)),IF(H199,T199,IF(S199,ROUND(T199+U199,2),G199)))</f>
        <v/>
      </c>
      <c r="W199" s="21">
        <f>IF(R199,IF(N199&lt;&gt;"",N199,ROUND(L199-U199,2)),IF(H199,L199,IF(S199,0,ROUND(L199-U199,2))))</f>
        <v/>
      </c>
      <c r="X199" s="21">
        <f>IFERROR(MIN(INDEX(LumpSums!$B:$B,MATCH(A199,LumpSums!$A:$A,0)),W199),0)</f>
        <v/>
      </c>
      <c r="Y199" s="21">
        <f>ROUND(U199+X199,2)</f>
        <v/>
      </c>
      <c r="Z199" s="21">
        <f>ROUND(V199+X199,2)</f>
        <v/>
      </c>
      <c r="AA199" s="21">
        <f>ROUND(W199-X199,2)</f>
        <v/>
      </c>
      <c r="AB199" s="6">
        <f>AND(AB198,L199&gt;0)</f>
        <v/>
      </c>
      <c r="AC199" s="21">
        <f>IF(PMI_Costs!$B$8=0,0,ROUND(PMI_Costs!$B$8*(1+PMI_Costs!$B$9/100)^INT((A199-1)/12)/12,2))</f>
        <v/>
      </c>
      <c r="AD199" s="21">
        <f>IF(PMI_Costs!$B$10=0,0,ROUND(PMI_Costs!$B$10*(1+PMI_Costs!$B$11/100)^INT((A199-1)/12)/12,2))</f>
        <v/>
      </c>
      <c r="AE199" s="21">
        <f>IF(PMI_Costs!$B$12=0,0,ROUND(PMI_Costs!$B$12*(1+PMI_Costs!$B$13/100)^INT((A199-1)/12)/12,2))</f>
        <v/>
      </c>
      <c r="AF199" s="22">
        <f>IF(PMI_Costs!$B$5=0,0,AA199/PMI_Costs!$B$5)</f>
        <v/>
      </c>
      <c r="AG199" s="6">
        <f>AND(PMI_Costs!$B$4&gt;0,AF199&gt;PMI_Costs!$B$6/100)</f>
        <v/>
      </c>
      <c r="AH199" s="21">
        <f>IF(AG199,ROUND(Segments!$G$5*PMI_Costs!$B$4/100/12,2),0)</f>
        <v/>
      </c>
      <c r="AI199" s="6">
        <f>AND(NOT(AG199),AG198)</f>
        <v/>
      </c>
    </row>
    <row r="200">
      <c r="A200" s="18" t="n">
        <v>196</v>
      </c>
      <c r="B200" s="18">
        <f>SUMPRODUCT((Segments!$J$5:$J$12&lt;&gt;"")*(Segments!$J$5:$J$12&lt;=A200))</f>
        <v/>
      </c>
      <c r="C200" s="19">
        <f>INDEX(Segments!$B$5:$B$12,B200)</f>
        <v/>
      </c>
      <c r="D200" s="18">
        <f>INDEX(Segments!$J$5:$J$12,B200)</f>
        <v/>
      </c>
      <c r="E200" s="19">
        <f>DATE(YEAR(C200)+INT((MONTH(C200)-1+(A200-D200))/12),MOD(MONTH(C200)-1+(A200-D200),12)+1,1)+(DAY(C200)-1)</f>
        <v/>
      </c>
      <c r="F200" s="20">
        <f>INDEX(Segments!$C$5:$C$12,B200)/100/12</f>
        <v/>
      </c>
      <c r="G200" s="21">
        <f>INDEX(Segments!$L$5:$L$12,B200)</f>
        <v/>
      </c>
      <c r="H200" s="6">
        <f>INDEX(Segments!$I$5:$I$12,B200)="Y"</f>
        <v/>
      </c>
      <c r="I200" s="6">
        <f>INDEX(Segments!$F$5:$F$12,B200)=""</f>
        <v/>
      </c>
      <c r="J200" s="18">
        <f>INDEX(Segments!$K$5:$K$12,B200)</f>
        <v/>
      </c>
      <c r="K200" s="18">
        <f>IF(INDEX(Segments!$F$5:$F$12,B200)&lt;&gt;"",INDEX(Segments!$F$5:$F$12,B200),IF(INDEX(Segments!$E$5:$E$12,B200)&lt;&gt;"",INDEX(Segments!$E$5:$E$12,B200),""))</f>
        <v/>
      </c>
      <c r="L200" s="21">
        <f>AA199</f>
        <v/>
      </c>
      <c r="M200" s="21">
        <f>IFERROR(INDEX(Overrides!$C:$C,MATCH(A200,Overrides!$A:$A,0)),"")</f>
        <v/>
      </c>
      <c r="N200" s="21">
        <f>IFERROR(INDEX(Overrides!$E:$E,MATCH(A200,Overrides!$A:$A,0)),"")</f>
        <v/>
      </c>
      <c r="O200" s="21">
        <f>IFERROR(INDEX(Overrides!$D:$D,MATCH(A200,Overrides!$A:$A,0)),"")</f>
        <v/>
      </c>
      <c r="P200" s="21">
        <f>IFERROR(INDEX(Overrides!$B:$B,MATCH(A200,Overrides!$A:$A,0)),"")</f>
        <v/>
      </c>
      <c r="Q200" s="6">
        <f>IFERROR(INDEX(Overrides!$F:$F,MATCH(A200,Overrides!$A:$A,0)),"")</f>
        <v/>
      </c>
      <c r="R200" s="6">
        <f>ISNUMBER(MATCH(A200,Overrides!$A:$A,0))</f>
        <v/>
      </c>
      <c r="S200" s="6">
        <f>OR(ROUND(L200-ROUND(G200-T200,2),2)&lt;=0,AND(I200,K200&lt;&gt;"",(A200-D200+1)=K200))</f>
        <v/>
      </c>
      <c r="T200" s="21">
        <f>IF(M200&lt;&gt;"",M200,ROUND(L200*F200,2))</f>
        <v/>
      </c>
      <c r="U200" s="21">
        <f>IF(R200,IF(O200&lt;&gt;"",O200,IF(N200&lt;&gt;"",ROUND(L200-N200,2),ROUND((IF(P200&lt;&gt;"",P200,G200))-T200,2))),IF(H200,0,IF(S200,L200,ROUND(G200-T200,2))))</f>
        <v/>
      </c>
      <c r="V200" s="21">
        <f>IF(R200,IF(P200&lt;&gt;"",P200,ROUND(T200+U200,2)),IF(H200,T200,IF(S200,ROUND(T200+U200,2),G200)))</f>
        <v/>
      </c>
      <c r="W200" s="21">
        <f>IF(R200,IF(N200&lt;&gt;"",N200,ROUND(L200-U200,2)),IF(H200,L200,IF(S200,0,ROUND(L200-U200,2))))</f>
        <v/>
      </c>
      <c r="X200" s="21">
        <f>IFERROR(MIN(INDEX(LumpSums!$B:$B,MATCH(A200,LumpSums!$A:$A,0)),W200),0)</f>
        <v/>
      </c>
      <c r="Y200" s="21">
        <f>ROUND(U200+X200,2)</f>
        <v/>
      </c>
      <c r="Z200" s="21">
        <f>ROUND(V200+X200,2)</f>
        <v/>
      </c>
      <c r="AA200" s="21">
        <f>ROUND(W200-X200,2)</f>
        <v/>
      </c>
      <c r="AB200" s="6">
        <f>AND(AB199,L200&gt;0)</f>
        <v/>
      </c>
      <c r="AC200" s="21">
        <f>IF(PMI_Costs!$B$8=0,0,ROUND(PMI_Costs!$B$8*(1+PMI_Costs!$B$9/100)^INT((A200-1)/12)/12,2))</f>
        <v/>
      </c>
      <c r="AD200" s="21">
        <f>IF(PMI_Costs!$B$10=0,0,ROUND(PMI_Costs!$B$10*(1+PMI_Costs!$B$11/100)^INT((A200-1)/12)/12,2))</f>
        <v/>
      </c>
      <c r="AE200" s="21">
        <f>IF(PMI_Costs!$B$12=0,0,ROUND(PMI_Costs!$B$12*(1+PMI_Costs!$B$13/100)^INT((A200-1)/12)/12,2))</f>
        <v/>
      </c>
      <c r="AF200" s="22">
        <f>IF(PMI_Costs!$B$5=0,0,AA200/PMI_Costs!$B$5)</f>
        <v/>
      </c>
      <c r="AG200" s="6">
        <f>AND(PMI_Costs!$B$4&gt;0,AF200&gt;PMI_Costs!$B$6/100)</f>
        <v/>
      </c>
      <c r="AH200" s="21">
        <f>IF(AG200,ROUND(Segments!$G$5*PMI_Costs!$B$4/100/12,2),0)</f>
        <v/>
      </c>
      <c r="AI200" s="6">
        <f>AND(NOT(AG200),AG199)</f>
        <v/>
      </c>
    </row>
    <row r="201">
      <c r="A201" s="18" t="n">
        <v>197</v>
      </c>
      <c r="B201" s="18">
        <f>SUMPRODUCT((Segments!$J$5:$J$12&lt;&gt;"")*(Segments!$J$5:$J$12&lt;=A201))</f>
        <v/>
      </c>
      <c r="C201" s="19">
        <f>INDEX(Segments!$B$5:$B$12,B201)</f>
        <v/>
      </c>
      <c r="D201" s="18">
        <f>INDEX(Segments!$J$5:$J$12,B201)</f>
        <v/>
      </c>
      <c r="E201" s="19">
        <f>DATE(YEAR(C201)+INT((MONTH(C201)-1+(A201-D201))/12),MOD(MONTH(C201)-1+(A201-D201),12)+1,1)+(DAY(C201)-1)</f>
        <v/>
      </c>
      <c r="F201" s="20">
        <f>INDEX(Segments!$C$5:$C$12,B201)/100/12</f>
        <v/>
      </c>
      <c r="G201" s="21">
        <f>INDEX(Segments!$L$5:$L$12,B201)</f>
        <v/>
      </c>
      <c r="H201" s="6">
        <f>INDEX(Segments!$I$5:$I$12,B201)="Y"</f>
        <v/>
      </c>
      <c r="I201" s="6">
        <f>INDEX(Segments!$F$5:$F$12,B201)=""</f>
        <v/>
      </c>
      <c r="J201" s="18">
        <f>INDEX(Segments!$K$5:$K$12,B201)</f>
        <v/>
      </c>
      <c r="K201" s="18">
        <f>IF(INDEX(Segments!$F$5:$F$12,B201)&lt;&gt;"",INDEX(Segments!$F$5:$F$12,B201),IF(INDEX(Segments!$E$5:$E$12,B201)&lt;&gt;"",INDEX(Segments!$E$5:$E$12,B201),""))</f>
        <v/>
      </c>
      <c r="L201" s="21">
        <f>AA200</f>
        <v/>
      </c>
      <c r="M201" s="21">
        <f>IFERROR(INDEX(Overrides!$C:$C,MATCH(A201,Overrides!$A:$A,0)),"")</f>
        <v/>
      </c>
      <c r="N201" s="21">
        <f>IFERROR(INDEX(Overrides!$E:$E,MATCH(A201,Overrides!$A:$A,0)),"")</f>
        <v/>
      </c>
      <c r="O201" s="21">
        <f>IFERROR(INDEX(Overrides!$D:$D,MATCH(A201,Overrides!$A:$A,0)),"")</f>
        <v/>
      </c>
      <c r="P201" s="21">
        <f>IFERROR(INDEX(Overrides!$B:$B,MATCH(A201,Overrides!$A:$A,0)),"")</f>
        <v/>
      </c>
      <c r="Q201" s="6">
        <f>IFERROR(INDEX(Overrides!$F:$F,MATCH(A201,Overrides!$A:$A,0)),"")</f>
        <v/>
      </c>
      <c r="R201" s="6">
        <f>ISNUMBER(MATCH(A201,Overrides!$A:$A,0))</f>
        <v/>
      </c>
      <c r="S201" s="6">
        <f>OR(ROUND(L201-ROUND(G201-T201,2),2)&lt;=0,AND(I201,K201&lt;&gt;"",(A201-D201+1)=K201))</f>
        <v/>
      </c>
      <c r="T201" s="21">
        <f>IF(M201&lt;&gt;"",M201,ROUND(L201*F201,2))</f>
        <v/>
      </c>
      <c r="U201" s="21">
        <f>IF(R201,IF(O201&lt;&gt;"",O201,IF(N201&lt;&gt;"",ROUND(L201-N201,2),ROUND((IF(P201&lt;&gt;"",P201,G201))-T201,2))),IF(H201,0,IF(S201,L201,ROUND(G201-T201,2))))</f>
        <v/>
      </c>
      <c r="V201" s="21">
        <f>IF(R201,IF(P201&lt;&gt;"",P201,ROUND(T201+U201,2)),IF(H201,T201,IF(S201,ROUND(T201+U201,2),G201)))</f>
        <v/>
      </c>
      <c r="W201" s="21">
        <f>IF(R201,IF(N201&lt;&gt;"",N201,ROUND(L201-U201,2)),IF(H201,L201,IF(S201,0,ROUND(L201-U201,2))))</f>
        <v/>
      </c>
      <c r="X201" s="21">
        <f>IFERROR(MIN(INDEX(LumpSums!$B:$B,MATCH(A201,LumpSums!$A:$A,0)),W201),0)</f>
        <v/>
      </c>
      <c r="Y201" s="21">
        <f>ROUND(U201+X201,2)</f>
        <v/>
      </c>
      <c r="Z201" s="21">
        <f>ROUND(V201+X201,2)</f>
        <v/>
      </c>
      <c r="AA201" s="21">
        <f>ROUND(W201-X201,2)</f>
        <v/>
      </c>
      <c r="AB201" s="6">
        <f>AND(AB200,L201&gt;0)</f>
        <v/>
      </c>
      <c r="AC201" s="21">
        <f>IF(PMI_Costs!$B$8=0,0,ROUND(PMI_Costs!$B$8*(1+PMI_Costs!$B$9/100)^INT((A201-1)/12)/12,2))</f>
        <v/>
      </c>
      <c r="AD201" s="21">
        <f>IF(PMI_Costs!$B$10=0,0,ROUND(PMI_Costs!$B$10*(1+PMI_Costs!$B$11/100)^INT((A201-1)/12)/12,2))</f>
        <v/>
      </c>
      <c r="AE201" s="21">
        <f>IF(PMI_Costs!$B$12=0,0,ROUND(PMI_Costs!$B$12*(1+PMI_Costs!$B$13/100)^INT((A201-1)/12)/12,2))</f>
        <v/>
      </c>
      <c r="AF201" s="22">
        <f>IF(PMI_Costs!$B$5=0,0,AA201/PMI_Costs!$B$5)</f>
        <v/>
      </c>
      <c r="AG201" s="6">
        <f>AND(PMI_Costs!$B$4&gt;0,AF201&gt;PMI_Costs!$B$6/100)</f>
        <v/>
      </c>
      <c r="AH201" s="21">
        <f>IF(AG201,ROUND(Segments!$G$5*PMI_Costs!$B$4/100/12,2),0)</f>
        <v/>
      </c>
      <c r="AI201" s="6">
        <f>AND(NOT(AG201),AG200)</f>
        <v/>
      </c>
    </row>
    <row r="202">
      <c r="A202" s="18" t="n">
        <v>198</v>
      </c>
      <c r="B202" s="18">
        <f>SUMPRODUCT((Segments!$J$5:$J$12&lt;&gt;"")*(Segments!$J$5:$J$12&lt;=A202))</f>
        <v/>
      </c>
      <c r="C202" s="19">
        <f>INDEX(Segments!$B$5:$B$12,B202)</f>
        <v/>
      </c>
      <c r="D202" s="18">
        <f>INDEX(Segments!$J$5:$J$12,B202)</f>
        <v/>
      </c>
      <c r="E202" s="19">
        <f>DATE(YEAR(C202)+INT((MONTH(C202)-1+(A202-D202))/12),MOD(MONTH(C202)-1+(A202-D202),12)+1,1)+(DAY(C202)-1)</f>
        <v/>
      </c>
      <c r="F202" s="20">
        <f>INDEX(Segments!$C$5:$C$12,B202)/100/12</f>
        <v/>
      </c>
      <c r="G202" s="21">
        <f>INDEX(Segments!$L$5:$L$12,B202)</f>
        <v/>
      </c>
      <c r="H202" s="6">
        <f>INDEX(Segments!$I$5:$I$12,B202)="Y"</f>
        <v/>
      </c>
      <c r="I202" s="6">
        <f>INDEX(Segments!$F$5:$F$12,B202)=""</f>
        <v/>
      </c>
      <c r="J202" s="18">
        <f>INDEX(Segments!$K$5:$K$12,B202)</f>
        <v/>
      </c>
      <c r="K202" s="18">
        <f>IF(INDEX(Segments!$F$5:$F$12,B202)&lt;&gt;"",INDEX(Segments!$F$5:$F$12,B202),IF(INDEX(Segments!$E$5:$E$12,B202)&lt;&gt;"",INDEX(Segments!$E$5:$E$12,B202),""))</f>
        <v/>
      </c>
      <c r="L202" s="21">
        <f>AA201</f>
        <v/>
      </c>
      <c r="M202" s="21">
        <f>IFERROR(INDEX(Overrides!$C:$C,MATCH(A202,Overrides!$A:$A,0)),"")</f>
        <v/>
      </c>
      <c r="N202" s="21">
        <f>IFERROR(INDEX(Overrides!$E:$E,MATCH(A202,Overrides!$A:$A,0)),"")</f>
        <v/>
      </c>
      <c r="O202" s="21">
        <f>IFERROR(INDEX(Overrides!$D:$D,MATCH(A202,Overrides!$A:$A,0)),"")</f>
        <v/>
      </c>
      <c r="P202" s="21">
        <f>IFERROR(INDEX(Overrides!$B:$B,MATCH(A202,Overrides!$A:$A,0)),"")</f>
        <v/>
      </c>
      <c r="Q202" s="6">
        <f>IFERROR(INDEX(Overrides!$F:$F,MATCH(A202,Overrides!$A:$A,0)),"")</f>
        <v/>
      </c>
      <c r="R202" s="6">
        <f>ISNUMBER(MATCH(A202,Overrides!$A:$A,0))</f>
        <v/>
      </c>
      <c r="S202" s="6">
        <f>OR(ROUND(L202-ROUND(G202-T202,2),2)&lt;=0,AND(I202,K202&lt;&gt;"",(A202-D202+1)=K202))</f>
        <v/>
      </c>
      <c r="T202" s="21">
        <f>IF(M202&lt;&gt;"",M202,ROUND(L202*F202,2))</f>
        <v/>
      </c>
      <c r="U202" s="21">
        <f>IF(R202,IF(O202&lt;&gt;"",O202,IF(N202&lt;&gt;"",ROUND(L202-N202,2),ROUND((IF(P202&lt;&gt;"",P202,G202))-T202,2))),IF(H202,0,IF(S202,L202,ROUND(G202-T202,2))))</f>
        <v/>
      </c>
      <c r="V202" s="21">
        <f>IF(R202,IF(P202&lt;&gt;"",P202,ROUND(T202+U202,2)),IF(H202,T202,IF(S202,ROUND(T202+U202,2),G202)))</f>
        <v/>
      </c>
      <c r="W202" s="21">
        <f>IF(R202,IF(N202&lt;&gt;"",N202,ROUND(L202-U202,2)),IF(H202,L202,IF(S202,0,ROUND(L202-U202,2))))</f>
        <v/>
      </c>
      <c r="X202" s="21">
        <f>IFERROR(MIN(INDEX(LumpSums!$B:$B,MATCH(A202,LumpSums!$A:$A,0)),W202),0)</f>
        <v/>
      </c>
      <c r="Y202" s="21">
        <f>ROUND(U202+X202,2)</f>
        <v/>
      </c>
      <c r="Z202" s="21">
        <f>ROUND(V202+X202,2)</f>
        <v/>
      </c>
      <c r="AA202" s="21">
        <f>ROUND(W202-X202,2)</f>
        <v/>
      </c>
      <c r="AB202" s="6">
        <f>AND(AB201,L202&gt;0)</f>
        <v/>
      </c>
      <c r="AC202" s="21">
        <f>IF(PMI_Costs!$B$8=0,0,ROUND(PMI_Costs!$B$8*(1+PMI_Costs!$B$9/100)^INT((A202-1)/12)/12,2))</f>
        <v/>
      </c>
      <c r="AD202" s="21">
        <f>IF(PMI_Costs!$B$10=0,0,ROUND(PMI_Costs!$B$10*(1+PMI_Costs!$B$11/100)^INT((A202-1)/12)/12,2))</f>
        <v/>
      </c>
      <c r="AE202" s="21">
        <f>IF(PMI_Costs!$B$12=0,0,ROUND(PMI_Costs!$B$12*(1+PMI_Costs!$B$13/100)^INT((A202-1)/12)/12,2))</f>
        <v/>
      </c>
      <c r="AF202" s="22">
        <f>IF(PMI_Costs!$B$5=0,0,AA202/PMI_Costs!$B$5)</f>
        <v/>
      </c>
      <c r="AG202" s="6">
        <f>AND(PMI_Costs!$B$4&gt;0,AF202&gt;PMI_Costs!$B$6/100)</f>
        <v/>
      </c>
      <c r="AH202" s="21">
        <f>IF(AG202,ROUND(Segments!$G$5*PMI_Costs!$B$4/100/12,2),0)</f>
        <v/>
      </c>
      <c r="AI202" s="6">
        <f>AND(NOT(AG202),AG201)</f>
        <v/>
      </c>
    </row>
    <row r="203">
      <c r="A203" s="18" t="n">
        <v>199</v>
      </c>
      <c r="B203" s="18">
        <f>SUMPRODUCT((Segments!$J$5:$J$12&lt;&gt;"")*(Segments!$J$5:$J$12&lt;=A203))</f>
        <v/>
      </c>
      <c r="C203" s="19">
        <f>INDEX(Segments!$B$5:$B$12,B203)</f>
        <v/>
      </c>
      <c r="D203" s="18">
        <f>INDEX(Segments!$J$5:$J$12,B203)</f>
        <v/>
      </c>
      <c r="E203" s="19">
        <f>DATE(YEAR(C203)+INT((MONTH(C203)-1+(A203-D203))/12),MOD(MONTH(C203)-1+(A203-D203),12)+1,1)+(DAY(C203)-1)</f>
        <v/>
      </c>
      <c r="F203" s="20">
        <f>INDEX(Segments!$C$5:$C$12,B203)/100/12</f>
        <v/>
      </c>
      <c r="G203" s="21">
        <f>INDEX(Segments!$L$5:$L$12,B203)</f>
        <v/>
      </c>
      <c r="H203" s="6">
        <f>INDEX(Segments!$I$5:$I$12,B203)="Y"</f>
        <v/>
      </c>
      <c r="I203" s="6">
        <f>INDEX(Segments!$F$5:$F$12,B203)=""</f>
        <v/>
      </c>
      <c r="J203" s="18">
        <f>INDEX(Segments!$K$5:$K$12,B203)</f>
        <v/>
      </c>
      <c r="K203" s="18">
        <f>IF(INDEX(Segments!$F$5:$F$12,B203)&lt;&gt;"",INDEX(Segments!$F$5:$F$12,B203),IF(INDEX(Segments!$E$5:$E$12,B203)&lt;&gt;"",INDEX(Segments!$E$5:$E$12,B203),""))</f>
        <v/>
      </c>
      <c r="L203" s="21">
        <f>AA202</f>
        <v/>
      </c>
      <c r="M203" s="21">
        <f>IFERROR(INDEX(Overrides!$C:$C,MATCH(A203,Overrides!$A:$A,0)),"")</f>
        <v/>
      </c>
      <c r="N203" s="21">
        <f>IFERROR(INDEX(Overrides!$E:$E,MATCH(A203,Overrides!$A:$A,0)),"")</f>
        <v/>
      </c>
      <c r="O203" s="21">
        <f>IFERROR(INDEX(Overrides!$D:$D,MATCH(A203,Overrides!$A:$A,0)),"")</f>
        <v/>
      </c>
      <c r="P203" s="21">
        <f>IFERROR(INDEX(Overrides!$B:$B,MATCH(A203,Overrides!$A:$A,0)),"")</f>
        <v/>
      </c>
      <c r="Q203" s="6">
        <f>IFERROR(INDEX(Overrides!$F:$F,MATCH(A203,Overrides!$A:$A,0)),"")</f>
        <v/>
      </c>
      <c r="R203" s="6">
        <f>ISNUMBER(MATCH(A203,Overrides!$A:$A,0))</f>
        <v/>
      </c>
      <c r="S203" s="6">
        <f>OR(ROUND(L203-ROUND(G203-T203,2),2)&lt;=0,AND(I203,K203&lt;&gt;"",(A203-D203+1)=K203))</f>
        <v/>
      </c>
      <c r="T203" s="21">
        <f>IF(M203&lt;&gt;"",M203,ROUND(L203*F203,2))</f>
        <v/>
      </c>
      <c r="U203" s="21">
        <f>IF(R203,IF(O203&lt;&gt;"",O203,IF(N203&lt;&gt;"",ROUND(L203-N203,2),ROUND((IF(P203&lt;&gt;"",P203,G203))-T203,2))),IF(H203,0,IF(S203,L203,ROUND(G203-T203,2))))</f>
        <v/>
      </c>
      <c r="V203" s="21">
        <f>IF(R203,IF(P203&lt;&gt;"",P203,ROUND(T203+U203,2)),IF(H203,T203,IF(S203,ROUND(T203+U203,2),G203)))</f>
        <v/>
      </c>
      <c r="W203" s="21">
        <f>IF(R203,IF(N203&lt;&gt;"",N203,ROUND(L203-U203,2)),IF(H203,L203,IF(S203,0,ROUND(L203-U203,2))))</f>
        <v/>
      </c>
      <c r="X203" s="21">
        <f>IFERROR(MIN(INDEX(LumpSums!$B:$B,MATCH(A203,LumpSums!$A:$A,0)),W203),0)</f>
        <v/>
      </c>
      <c r="Y203" s="21">
        <f>ROUND(U203+X203,2)</f>
        <v/>
      </c>
      <c r="Z203" s="21">
        <f>ROUND(V203+X203,2)</f>
        <v/>
      </c>
      <c r="AA203" s="21">
        <f>ROUND(W203-X203,2)</f>
        <v/>
      </c>
      <c r="AB203" s="6">
        <f>AND(AB202,L203&gt;0)</f>
        <v/>
      </c>
      <c r="AC203" s="21">
        <f>IF(PMI_Costs!$B$8=0,0,ROUND(PMI_Costs!$B$8*(1+PMI_Costs!$B$9/100)^INT((A203-1)/12)/12,2))</f>
        <v/>
      </c>
      <c r="AD203" s="21">
        <f>IF(PMI_Costs!$B$10=0,0,ROUND(PMI_Costs!$B$10*(1+PMI_Costs!$B$11/100)^INT((A203-1)/12)/12,2))</f>
        <v/>
      </c>
      <c r="AE203" s="21">
        <f>IF(PMI_Costs!$B$12=0,0,ROUND(PMI_Costs!$B$12*(1+PMI_Costs!$B$13/100)^INT((A203-1)/12)/12,2))</f>
        <v/>
      </c>
      <c r="AF203" s="22">
        <f>IF(PMI_Costs!$B$5=0,0,AA203/PMI_Costs!$B$5)</f>
        <v/>
      </c>
      <c r="AG203" s="6">
        <f>AND(PMI_Costs!$B$4&gt;0,AF203&gt;PMI_Costs!$B$6/100)</f>
        <v/>
      </c>
      <c r="AH203" s="21">
        <f>IF(AG203,ROUND(Segments!$G$5*PMI_Costs!$B$4/100/12,2),0)</f>
        <v/>
      </c>
      <c r="AI203" s="6">
        <f>AND(NOT(AG203),AG202)</f>
        <v/>
      </c>
    </row>
    <row r="204">
      <c r="A204" s="18" t="n">
        <v>200</v>
      </c>
      <c r="B204" s="18">
        <f>SUMPRODUCT((Segments!$J$5:$J$12&lt;&gt;"")*(Segments!$J$5:$J$12&lt;=A204))</f>
        <v/>
      </c>
      <c r="C204" s="19">
        <f>INDEX(Segments!$B$5:$B$12,B204)</f>
        <v/>
      </c>
      <c r="D204" s="18">
        <f>INDEX(Segments!$J$5:$J$12,B204)</f>
        <v/>
      </c>
      <c r="E204" s="19">
        <f>DATE(YEAR(C204)+INT((MONTH(C204)-1+(A204-D204))/12),MOD(MONTH(C204)-1+(A204-D204),12)+1,1)+(DAY(C204)-1)</f>
        <v/>
      </c>
      <c r="F204" s="20">
        <f>INDEX(Segments!$C$5:$C$12,B204)/100/12</f>
        <v/>
      </c>
      <c r="G204" s="21">
        <f>INDEX(Segments!$L$5:$L$12,B204)</f>
        <v/>
      </c>
      <c r="H204" s="6">
        <f>INDEX(Segments!$I$5:$I$12,B204)="Y"</f>
        <v/>
      </c>
      <c r="I204" s="6">
        <f>INDEX(Segments!$F$5:$F$12,B204)=""</f>
        <v/>
      </c>
      <c r="J204" s="18">
        <f>INDEX(Segments!$K$5:$K$12,B204)</f>
        <v/>
      </c>
      <c r="K204" s="18">
        <f>IF(INDEX(Segments!$F$5:$F$12,B204)&lt;&gt;"",INDEX(Segments!$F$5:$F$12,B204),IF(INDEX(Segments!$E$5:$E$12,B204)&lt;&gt;"",INDEX(Segments!$E$5:$E$12,B204),""))</f>
        <v/>
      </c>
      <c r="L204" s="21">
        <f>AA203</f>
        <v/>
      </c>
      <c r="M204" s="21">
        <f>IFERROR(INDEX(Overrides!$C:$C,MATCH(A204,Overrides!$A:$A,0)),"")</f>
        <v/>
      </c>
      <c r="N204" s="21">
        <f>IFERROR(INDEX(Overrides!$E:$E,MATCH(A204,Overrides!$A:$A,0)),"")</f>
        <v/>
      </c>
      <c r="O204" s="21">
        <f>IFERROR(INDEX(Overrides!$D:$D,MATCH(A204,Overrides!$A:$A,0)),"")</f>
        <v/>
      </c>
      <c r="P204" s="21">
        <f>IFERROR(INDEX(Overrides!$B:$B,MATCH(A204,Overrides!$A:$A,0)),"")</f>
        <v/>
      </c>
      <c r="Q204" s="6">
        <f>IFERROR(INDEX(Overrides!$F:$F,MATCH(A204,Overrides!$A:$A,0)),"")</f>
        <v/>
      </c>
      <c r="R204" s="6">
        <f>ISNUMBER(MATCH(A204,Overrides!$A:$A,0))</f>
        <v/>
      </c>
      <c r="S204" s="6">
        <f>OR(ROUND(L204-ROUND(G204-T204,2),2)&lt;=0,AND(I204,K204&lt;&gt;"",(A204-D204+1)=K204))</f>
        <v/>
      </c>
      <c r="T204" s="21">
        <f>IF(M204&lt;&gt;"",M204,ROUND(L204*F204,2))</f>
        <v/>
      </c>
      <c r="U204" s="21">
        <f>IF(R204,IF(O204&lt;&gt;"",O204,IF(N204&lt;&gt;"",ROUND(L204-N204,2),ROUND((IF(P204&lt;&gt;"",P204,G204))-T204,2))),IF(H204,0,IF(S204,L204,ROUND(G204-T204,2))))</f>
        <v/>
      </c>
      <c r="V204" s="21">
        <f>IF(R204,IF(P204&lt;&gt;"",P204,ROUND(T204+U204,2)),IF(H204,T204,IF(S204,ROUND(T204+U204,2),G204)))</f>
        <v/>
      </c>
      <c r="W204" s="21">
        <f>IF(R204,IF(N204&lt;&gt;"",N204,ROUND(L204-U204,2)),IF(H204,L204,IF(S204,0,ROUND(L204-U204,2))))</f>
        <v/>
      </c>
      <c r="X204" s="21">
        <f>IFERROR(MIN(INDEX(LumpSums!$B:$B,MATCH(A204,LumpSums!$A:$A,0)),W204),0)</f>
        <v/>
      </c>
      <c r="Y204" s="21">
        <f>ROUND(U204+X204,2)</f>
        <v/>
      </c>
      <c r="Z204" s="21">
        <f>ROUND(V204+X204,2)</f>
        <v/>
      </c>
      <c r="AA204" s="21">
        <f>ROUND(W204-X204,2)</f>
        <v/>
      </c>
      <c r="AB204" s="6">
        <f>AND(AB203,L204&gt;0)</f>
        <v/>
      </c>
      <c r="AC204" s="21">
        <f>IF(PMI_Costs!$B$8=0,0,ROUND(PMI_Costs!$B$8*(1+PMI_Costs!$B$9/100)^INT((A204-1)/12)/12,2))</f>
        <v/>
      </c>
      <c r="AD204" s="21">
        <f>IF(PMI_Costs!$B$10=0,0,ROUND(PMI_Costs!$B$10*(1+PMI_Costs!$B$11/100)^INT((A204-1)/12)/12,2))</f>
        <v/>
      </c>
      <c r="AE204" s="21">
        <f>IF(PMI_Costs!$B$12=0,0,ROUND(PMI_Costs!$B$12*(1+PMI_Costs!$B$13/100)^INT((A204-1)/12)/12,2))</f>
        <v/>
      </c>
      <c r="AF204" s="22">
        <f>IF(PMI_Costs!$B$5=0,0,AA204/PMI_Costs!$B$5)</f>
        <v/>
      </c>
      <c r="AG204" s="6">
        <f>AND(PMI_Costs!$B$4&gt;0,AF204&gt;PMI_Costs!$B$6/100)</f>
        <v/>
      </c>
      <c r="AH204" s="21">
        <f>IF(AG204,ROUND(Segments!$G$5*PMI_Costs!$B$4/100/12,2),0)</f>
        <v/>
      </c>
      <c r="AI204" s="6">
        <f>AND(NOT(AG204),AG203)</f>
        <v/>
      </c>
    </row>
    <row r="205">
      <c r="A205" s="18" t="n">
        <v>201</v>
      </c>
      <c r="B205" s="18">
        <f>SUMPRODUCT((Segments!$J$5:$J$12&lt;&gt;"")*(Segments!$J$5:$J$12&lt;=A205))</f>
        <v/>
      </c>
      <c r="C205" s="19">
        <f>INDEX(Segments!$B$5:$B$12,B205)</f>
        <v/>
      </c>
      <c r="D205" s="18">
        <f>INDEX(Segments!$J$5:$J$12,B205)</f>
        <v/>
      </c>
      <c r="E205" s="19">
        <f>DATE(YEAR(C205)+INT((MONTH(C205)-1+(A205-D205))/12),MOD(MONTH(C205)-1+(A205-D205),12)+1,1)+(DAY(C205)-1)</f>
        <v/>
      </c>
      <c r="F205" s="20">
        <f>INDEX(Segments!$C$5:$C$12,B205)/100/12</f>
        <v/>
      </c>
      <c r="G205" s="21">
        <f>INDEX(Segments!$L$5:$L$12,B205)</f>
        <v/>
      </c>
      <c r="H205" s="6">
        <f>INDEX(Segments!$I$5:$I$12,B205)="Y"</f>
        <v/>
      </c>
      <c r="I205" s="6">
        <f>INDEX(Segments!$F$5:$F$12,B205)=""</f>
        <v/>
      </c>
      <c r="J205" s="18">
        <f>INDEX(Segments!$K$5:$K$12,B205)</f>
        <v/>
      </c>
      <c r="K205" s="18">
        <f>IF(INDEX(Segments!$F$5:$F$12,B205)&lt;&gt;"",INDEX(Segments!$F$5:$F$12,B205),IF(INDEX(Segments!$E$5:$E$12,B205)&lt;&gt;"",INDEX(Segments!$E$5:$E$12,B205),""))</f>
        <v/>
      </c>
      <c r="L205" s="21">
        <f>AA204</f>
        <v/>
      </c>
      <c r="M205" s="21">
        <f>IFERROR(INDEX(Overrides!$C:$C,MATCH(A205,Overrides!$A:$A,0)),"")</f>
        <v/>
      </c>
      <c r="N205" s="21">
        <f>IFERROR(INDEX(Overrides!$E:$E,MATCH(A205,Overrides!$A:$A,0)),"")</f>
        <v/>
      </c>
      <c r="O205" s="21">
        <f>IFERROR(INDEX(Overrides!$D:$D,MATCH(A205,Overrides!$A:$A,0)),"")</f>
        <v/>
      </c>
      <c r="P205" s="21">
        <f>IFERROR(INDEX(Overrides!$B:$B,MATCH(A205,Overrides!$A:$A,0)),"")</f>
        <v/>
      </c>
      <c r="Q205" s="6">
        <f>IFERROR(INDEX(Overrides!$F:$F,MATCH(A205,Overrides!$A:$A,0)),"")</f>
        <v/>
      </c>
      <c r="R205" s="6">
        <f>ISNUMBER(MATCH(A205,Overrides!$A:$A,0))</f>
        <v/>
      </c>
      <c r="S205" s="6">
        <f>OR(ROUND(L205-ROUND(G205-T205,2),2)&lt;=0,AND(I205,K205&lt;&gt;"",(A205-D205+1)=K205))</f>
        <v/>
      </c>
      <c r="T205" s="21">
        <f>IF(M205&lt;&gt;"",M205,ROUND(L205*F205,2))</f>
        <v/>
      </c>
      <c r="U205" s="21">
        <f>IF(R205,IF(O205&lt;&gt;"",O205,IF(N205&lt;&gt;"",ROUND(L205-N205,2),ROUND((IF(P205&lt;&gt;"",P205,G205))-T205,2))),IF(H205,0,IF(S205,L205,ROUND(G205-T205,2))))</f>
        <v/>
      </c>
      <c r="V205" s="21">
        <f>IF(R205,IF(P205&lt;&gt;"",P205,ROUND(T205+U205,2)),IF(H205,T205,IF(S205,ROUND(T205+U205,2),G205)))</f>
        <v/>
      </c>
      <c r="W205" s="21">
        <f>IF(R205,IF(N205&lt;&gt;"",N205,ROUND(L205-U205,2)),IF(H205,L205,IF(S205,0,ROUND(L205-U205,2))))</f>
        <v/>
      </c>
      <c r="X205" s="21">
        <f>IFERROR(MIN(INDEX(LumpSums!$B:$B,MATCH(A205,LumpSums!$A:$A,0)),W205),0)</f>
        <v/>
      </c>
      <c r="Y205" s="21">
        <f>ROUND(U205+X205,2)</f>
        <v/>
      </c>
      <c r="Z205" s="21">
        <f>ROUND(V205+X205,2)</f>
        <v/>
      </c>
      <c r="AA205" s="21">
        <f>ROUND(W205-X205,2)</f>
        <v/>
      </c>
      <c r="AB205" s="6">
        <f>AND(AB204,L205&gt;0)</f>
        <v/>
      </c>
      <c r="AC205" s="21">
        <f>IF(PMI_Costs!$B$8=0,0,ROUND(PMI_Costs!$B$8*(1+PMI_Costs!$B$9/100)^INT((A205-1)/12)/12,2))</f>
        <v/>
      </c>
      <c r="AD205" s="21">
        <f>IF(PMI_Costs!$B$10=0,0,ROUND(PMI_Costs!$B$10*(1+PMI_Costs!$B$11/100)^INT((A205-1)/12)/12,2))</f>
        <v/>
      </c>
      <c r="AE205" s="21">
        <f>IF(PMI_Costs!$B$12=0,0,ROUND(PMI_Costs!$B$12*(1+PMI_Costs!$B$13/100)^INT((A205-1)/12)/12,2))</f>
        <v/>
      </c>
      <c r="AF205" s="22">
        <f>IF(PMI_Costs!$B$5=0,0,AA205/PMI_Costs!$B$5)</f>
        <v/>
      </c>
      <c r="AG205" s="6">
        <f>AND(PMI_Costs!$B$4&gt;0,AF205&gt;PMI_Costs!$B$6/100)</f>
        <v/>
      </c>
      <c r="AH205" s="21">
        <f>IF(AG205,ROUND(Segments!$G$5*PMI_Costs!$B$4/100/12,2),0)</f>
        <v/>
      </c>
      <c r="AI205" s="6">
        <f>AND(NOT(AG205),AG204)</f>
        <v/>
      </c>
    </row>
    <row r="206">
      <c r="A206" s="18" t="n">
        <v>202</v>
      </c>
      <c r="B206" s="18">
        <f>SUMPRODUCT((Segments!$J$5:$J$12&lt;&gt;"")*(Segments!$J$5:$J$12&lt;=A206))</f>
        <v/>
      </c>
      <c r="C206" s="19">
        <f>INDEX(Segments!$B$5:$B$12,B206)</f>
        <v/>
      </c>
      <c r="D206" s="18">
        <f>INDEX(Segments!$J$5:$J$12,B206)</f>
        <v/>
      </c>
      <c r="E206" s="19">
        <f>DATE(YEAR(C206)+INT((MONTH(C206)-1+(A206-D206))/12),MOD(MONTH(C206)-1+(A206-D206),12)+1,1)+(DAY(C206)-1)</f>
        <v/>
      </c>
      <c r="F206" s="20">
        <f>INDEX(Segments!$C$5:$C$12,B206)/100/12</f>
        <v/>
      </c>
      <c r="G206" s="21">
        <f>INDEX(Segments!$L$5:$L$12,B206)</f>
        <v/>
      </c>
      <c r="H206" s="6">
        <f>INDEX(Segments!$I$5:$I$12,B206)="Y"</f>
        <v/>
      </c>
      <c r="I206" s="6">
        <f>INDEX(Segments!$F$5:$F$12,B206)=""</f>
        <v/>
      </c>
      <c r="J206" s="18">
        <f>INDEX(Segments!$K$5:$K$12,B206)</f>
        <v/>
      </c>
      <c r="K206" s="18">
        <f>IF(INDEX(Segments!$F$5:$F$12,B206)&lt;&gt;"",INDEX(Segments!$F$5:$F$12,B206),IF(INDEX(Segments!$E$5:$E$12,B206)&lt;&gt;"",INDEX(Segments!$E$5:$E$12,B206),""))</f>
        <v/>
      </c>
      <c r="L206" s="21">
        <f>AA205</f>
        <v/>
      </c>
      <c r="M206" s="21">
        <f>IFERROR(INDEX(Overrides!$C:$C,MATCH(A206,Overrides!$A:$A,0)),"")</f>
        <v/>
      </c>
      <c r="N206" s="21">
        <f>IFERROR(INDEX(Overrides!$E:$E,MATCH(A206,Overrides!$A:$A,0)),"")</f>
        <v/>
      </c>
      <c r="O206" s="21">
        <f>IFERROR(INDEX(Overrides!$D:$D,MATCH(A206,Overrides!$A:$A,0)),"")</f>
        <v/>
      </c>
      <c r="P206" s="21">
        <f>IFERROR(INDEX(Overrides!$B:$B,MATCH(A206,Overrides!$A:$A,0)),"")</f>
        <v/>
      </c>
      <c r="Q206" s="6">
        <f>IFERROR(INDEX(Overrides!$F:$F,MATCH(A206,Overrides!$A:$A,0)),"")</f>
        <v/>
      </c>
      <c r="R206" s="6">
        <f>ISNUMBER(MATCH(A206,Overrides!$A:$A,0))</f>
        <v/>
      </c>
      <c r="S206" s="6">
        <f>OR(ROUND(L206-ROUND(G206-T206,2),2)&lt;=0,AND(I206,K206&lt;&gt;"",(A206-D206+1)=K206))</f>
        <v/>
      </c>
      <c r="T206" s="21">
        <f>IF(M206&lt;&gt;"",M206,ROUND(L206*F206,2))</f>
        <v/>
      </c>
      <c r="U206" s="21">
        <f>IF(R206,IF(O206&lt;&gt;"",O206,IF(N206&lt;&gt;"",ROUND(L206-N206,2),ROUND((IF(P206&lt;&gt;"",P206,G206))-T206,2))),IF(H206,0,IF(S206,L206,ROUND(G206-T206,2))))</f>
        <v/>
      </c>
      <c r="V206" s="21">
        <f>IF(R206,IF(P206&lt;&gt;"",P206,ROUND(T206+U206,2)),IF(H206,T206,IF(S206,ROUND(T206+U206,2),G206)))</f>
        <v/>
      </c>
      <c r="W206" s="21">
        <f>IF(R206,IF(N206&lt;&gt;"",N206,ROUND(L206-U206,2)),IF(H206,L206,IF(S206,0,ROUND(L206-U206,2))))</f>
        <v/>
      </c>
      <c r="X206" s="21">
        <f>IFERROR(MIN(INDEX(LumpSums!$B:$B,MATCH(A206,LumpSums!$A:$A,0)),W206),0)</f>
        <v/>
      </c>
      <c r="Y206" s="21">
        <f>ROUND(U206+X206,2)</f>
        <v/>
      </c>
      <c r="Z206" s="21">
        <f>ROUND(V206+X206,2)</f>
        <v/>
      </c>
      <c r="AA206" s="21">
        <f>ROUND(W206-X206,2)</f>
        <v/>
      </c>
      <c r="AB206" s="6">
        <f>AND(AB205,L206&gt;0)</f>
        <v/>
      </c>
      <c r="AC206" s="21">
        <f>IF(PMI_Costs!$B$8=0,0,ROUND(PMI_Costs!$B$8*(1+PMI_Costs!$B$9/100)^INT((A206-1)/12)/12,2))</f>
        <v/>
      </c>
      <c r="AD206" s="21">
        <f>IF(PMI_Costs!$B$10=0,0,ROUND(PMI_Costs!$B$10*(1+PMI_Costs!$B$11/100)^INT((A206-1)/12)/12,2))</f>
        <v/>
      </c>
      <c r="AE206" s="21">
        <f>IF(PMI_Costs!$B$12=0,0,ROUND(PMI_Costs!$B$12*(1+PMI_Costs!$B$13/100)^INT((A206-1)/12)/12,2))</f>
        <v/>
      </c>
      <c r="AF206" s="22">
        <f>IF(PMI_Costs!$B$5=0,0,AA206/PMI_Costs!$B$5)</f>
        <v/>
      </c>
      <c r="AG206" s="6">
        <f>AND(PMI_Costs!$B$4&gt;0,AF206&gt;PMI_Costs!$B$6/100)</f>
        <v/>
      </c>
      <c r="AH206" s="21">
        <f>IF(AG206,ROUND(Segments!$G$5*PMI_Costs!$B$4/100/12,2),0)</f>
        <v/>
      </c>
      <c r="AI206" s="6">
        <f>AND(NOT(AG206),AG205)</f>
        <v/>
      </c>
    </row>
    <row r="207">
      <c r="A207" s="18" t="n">
        <v>203</v>
      </c>
      <c r="B207" s="18">
        <f>SUMPRODUCT((Segments!$J$5:$J$12&lt;&gt;"")*(Segments!$J$5:$J$12&lt;=A207))</f>
        <v/>
      </c>
      <c r="C207" s="19">
        <f>INDEX(Segments!$B$5:$B$12,B207)</f>
        <v/>
      </c>
      <c r="D207" s="18">
        <f>INDEX(Segments!$J$5:$J$12,B207)</f>
        <v/>
      </c>
      <c r="E207" s="19">
        <f>DATE(YEAR(C207)+INT((MONTH(C207)-1+(A207-D207))/12),MOD(MONTH(C207)-1+(A207-D207),12)+1,1)+(DAY(C207)-1)</f>
        <v/>
      </c>
      <c r="F207" s="20">
        <f>INDEX(Segments!$C$5:$C$12,B207)/100/12</f>
        <v/>
      </c>
      <c r="G207" s="21">
        <f>INDEX(Segments!$L$5:$L$12,B207)</f>
        <v/>
      </c>
      <c r="H207" s="6">
        <f>INDEX(Segments!$I$5:$I$12,B207)="Y"</f>
        <v/>
      </c>
      <c r="I207" s="6">
        <f>INDEX(Segments!$F$5:$F$12,B207)=""</f>
        <v/>
      </c>
      <c r="J207" s="18">
        <f>INDEX(Segments!$K$5:$K$12,B207)</f>
        <v/>
      </c>
      <c r="K207" s="18">
        <f>IF(INDEX(Segments!$F$5:$F$12,B207)&lt;&gt;"",INDEX(Segments!$F$5:$F$12,B207),IF(INDEX(Segments!$E$5:$E$12,B207)&lt;&gt;"",INDEX(Segments!$E$5:$E$12,B207),""))</f>
        <v/>
      </c>
      <c r="L207" s="21">
        <f>AA206</f>
        <v/>
      </c>
      <c r="M207" s="21">
        <f>IFERROR(INDEX(Overrides!$C:$C,MATCH(A207,Overrides!$A:$A,0)),"")</f>
        <v/>
      </c>
      <c r="N207" s="21">
        <f>IFERROR(INDEX(Overrides!$E:$E,MATCH(A207,Overrides!$A:$A,0)),"")</f>
        <v/>
      </c>
      <c r="O207" s="21">
        <f>IFERROR(INDEX(Overrides!$D:$D,MATCH(A207,Overrides!$A:$A,0)),"")</f>
        <v/>
      </c>
      <c r="P207" s="21">
        <f>IFERROR(INDEX(Overrides!$B:$B,MATCH(A207,Overrides!$A:$A,0)),"")</f>
        <v/>
      </c>
      <c r="Q207" s="6">
        <f>IFERROR(INDEX(Overrides!$F:$F,MATCH(A207,Overrides!$A:$A,0)),"")</f>
        <v/>
      </c>
      <c r="R207" s="6">
        <f>ISNUMBER(MATCH(A207,Overrides!$A:$A,0))</f>
        <v/>
      </c>
      <c r="S207" s="6">
        <f>OR(ROUND(L207-ROUND(G207-T207,2),2)&lt;=0,AND(I207,K207&lt;&gt;"",(A207-D207+1)=K207))</f>
        <v/>
      </c>
      <c r="T207" s="21">
        <f>IF(M207&lt;&gt;"",M207,ROUND(L207*F207,2))</f>
        <v/>
      </c>
      <c r="U207" s="21">
        <f>IF(R207,IF(O207&lt;&gt;"",O207,IF(N207&lt;&gt;"",ROUND(L207-N207,2),ROUND((IF(P207&lt;&gt;"",P207,G207))-T207,2))),IF(H207,0,IF(S207,L207,ROUND(G207-T207,2))))</f>
        <v/>
      </c>
      <c r="V207" s="21">
        <f>IF(R207,IF(P207&lt;&gt;"",P207,ROUND(T207+U207,2)),IF(H207,T207,IF(S207,ROUND(T207+U207,2),G207)))</f>
        <v/>
      </c>
      <c r="W207" s="21">
        <f>IF(R207,IF(N207&lt;&gt;"",N207,ROUND(L207-U207,2)),IF(H207,L207,IF(S207,0,ROUND(L207-U207,2))))</f>
        <v/>
      </c>
      <c r="X207" s="21">
        <f>IFERROR(MIN(INDEX(LumpSums!$B:$B,MATCH(A207,LumpSums!$A:$A,0)),W207),0)</f>
        <v/>
      </c>
      <c r="Y207" s="21">
        <f>ROUND(U207+X207,2)</f>
        <v/>
      </c>
      <c r="Z207" s="21">
        <f>ROUND(V207+X207,2)</f>
        <v/>
      </c>
      <c r="AA207" s="21">
        <f>ROUND(W207-X207,2)</f>
        <v/>
      </c>
      <c r="AB207" s="6">
        <f>AND(AB206,L207&gt;0)</f>
        <v/>
      </c>
      <c r="AC207" s="21">
        <f>IF(PMI_Costs!$B$8=0,0,ROUND(PMI_Costs!$B$8*(1+PMI_Costs!$B$9/100)^INT((A207-1)/12)/12,2))</f>
        <v/>
      </c>
      <c r="AD207" s="21">
        <f>IF(PMI_Costs!$B$10=0,0,ROUND(PMI_Costs!$B$10*(1+PMI_Costs!$B$11/100)^INT((A207-1)/12)/12,2))</f>
        <v/>
      </c>
      <c r="AE207" s="21">
        <f>IF(PMI_Costs!$B$12=0,0,ROUND(PMI_Costs!$B$12*(1+PMI_Costs!$B$13/100)^INT((A207-1)/12)/12,2))</f>
        <v/>
      </c>
      <c r="AF207" s="22">
        <f>IF(PMI_Costs!$B$5=0,0,AA207/PMI_Costs!$B$5)</f>
        <v/>
      </c>
      <c r="AG207" s="6">
        <f>AND(PMI_Costs!$B$4&gt;0,AF207&gt;PMI_Costs!$B$6/100)</f>
        <v/>
      </c>
      <c r="AH207" s="21">
        <f>IF(AG207,ROUND(Segments!$G$5*PMI_Costs!$B$4/100/12,2),0)</f>
        <v/>
      </c>
      <c r="AI207" s="6">
        <f>AND(NOT(AG207),AG206)</f>
        <v/>
      </c>
    </row>
    <row r="208">
      <c r="A208" s="18" t="n">
        <v>204</v>
      </c>
      <c r="B208" s="18">
        <f>SUMPRODUCT((Segments!$J$5:$J$12&lt;&gt;"")*(Segments!$J$5:$J$12&lt;=A208))</f>
        <v/>
      </c>
      <c r="C208" s="19">
        <f>INDEX(Segments!$B$5:$B$12,B208)</f>
        <v/>
      </c>
      <c r="D208" s="18">
        <f>INDEX(Segments!$J$5:$J$12,B208)</f>
        <v/>
      </c>
      <c r="E208" s="19">
        <f>DATE(YEAR(C208)+INT((MONTH(C208)-1+(A208-D208))/12),MOD(MONTH(C208)-1+(A208-D208),12)+1,1)+(DAY(C208)-1)</f>
        <v/>
      </c>
      <c r="F208" s="20">
        <f>INDEX(Segments!$C$5:$C$12,B208)/100/12</f>
        <v/>
      </c>
      <c r="G208" s="21">
        <f>INDEX(Segments!$L$5:$L$12,B208)</f>
        <v/>
      </c>
      <c r="H208" s="6">
        <f>INDEX(Segments!$I$5:$I$12,B208)="Y"</f>
        <v/>
      </c>
      <c r="I208" s="6">
        <f>INDEX(Segments!$F$5:$F$12,B208)=""</f>
        <v/>
      </c>
      <c r="J208" s="18">
        <f>INDEX(Segments!$K$5:$K$12,B208)</f>
        <v/>
      </c>
      <c r="K208" s="18">
        <f>IF(INDEX(Segments!$F$5:$F$12,B208)&lt;&gt;"",INDEX(Segments!$F$5:$F$12,B208),IF(INDEX(Segments!$E$5:$E$12,B208)&lt;&gt;"",INDEX(Segments!$E$5:$E$12,B208),""))</f>
        <v/>
      </c>
      <c r="L208" s="21">
        <f>AA207</f>
        <v/>
      </c>
      <c r="M208" s="21">
        <f>IFERROR(INDEX(Overrides!$C:$C,MATCH(A208,Overrides!$A:$A,0)),"")</f>
        <v/>
      </c>
      <c r="N208" s="21">
        <f>IFERROR(INDEX(Overrides!$E:$E,MATCH(A208,Overrides!$A:$A,0)),"")</f>
        <v/>
      </c>
      <c r="O208" s="21">
        <f>IFERROR(INDEX(Overrides!$D:$D,MATCH(A208,Overrides!$A:$A,0)),"")</f>
        <v/>
      </c>
      <c r="P208" s="21">
        <f>IFERROR(INDEX(Overrides!$B:$B,MATCH(A208,Overrides!$A:$A,0)),"")</f>
        <v/>
      </c>
      <c r="Q208" s="6">
        <f>IFERROR(INDEX(Overrides!$F:$F,MATCH(A208,Overrides!$A:$A,0)),"")</f>
        <v/>
      </c>
      <c r="R208" s="6">
        <f>ISNUMBER(MATCH(A208,Overrides!$A:$A,0))</f>
        <v/>
      </c>
      <c r="S208" s="6">
        <f>OR(ROUND(L208-ROUND(G208-T208,2),2)&lt;=0,AND(I208,K208&lt;&gt;"",(A208-D208+1)=K208))</f>
        <v/>
      </c>
      <c r="T208" s="21">
        <f>IF(M208&lt;&gt;"",M208,ROUND(L208*F208,2))</f>
        <v/>
      </c>
      <c r="U208" s="21">
        <f>IF(R208,IF(O208&lt;&gt;"",O208,IF(N208&lt;&gt;"",ROUND(L208-N208,2),ROUND((IF(P208&lt;&gt;"",P208,G208))-T208,2))),IF(H208,0,IF(S208,L208,ROUND(G208-T208,2))))</f>
        <v/>
      </c>
      <c r="V208" s="21">
        <f>IF(R208,IF(P208&lt;&gt;"",P208,ROUND(T208+U208,2)),IF(H208,T208,IF(S208,ROUND(T208+U208,2),G208)))</f>
        <v/>
      </c>
      <c r="W208" s="21">
        <f>IF(R208,IF(N208&lt;&gt;"",N208,ROUND(L208-U208,2)),IF(H208,L208,IF(S208,0,ROUND(L208-U208,2))))</f>
        <v/>
      </c>
      <c r="X208" s="21">
        <f>IFERROR(MIN(INDEX(LumpSums!$B:$B,MATCH(A208,LumpSums!$A:$A,0)),W208),0)</f>
        <v/>
      </c>
      <c r="Y208" s="21">
        <f>ROUND(U208+X208,2)</f>
        <v/>
      </c>
      <c r="Z208" s="21">
        <f>ROUND(V208+X208,2)</f>
        <v/>
      </c>
      <c r="AA208" s="21">
        <f>ROUND(W208-X208,2)</f>
        <v/>
      </c>
      <c r="AB208" s="6">
        <f>AND(AB207,L208&gt;0)</f>
        <v/>
      </c>
      <c r="AC208" s="21">
        <f>IF(PMI_Costs!$B$8=0,0,ROUND(PMI_Costs!$B$8*(1+PMI_Costs!$B$9/100)^INT((A208-1)/12)/12,2))</f>
        <v/>
      </c>
      <c r="AD208" s="21">
        <f>IF(PMI_Costs!$B$10=0,0,ROUND(PMI_Costs!$B$10*(1+PMI_Costs!$B$11/100)^INT((A208-1)/12)/12,2))</f>
        <v/>
      </c>
      <c r="AE208" s="21">
        <f>IF(PMI_Costs!$B$12=0,0,ROUND(PMI_Costs!$B$12*(1+PMI_Costs!$B$13/100)^INT((A208-1)/12)/12,2))</f>
        <v/>
      </c>
      <c r="AF208" s="22">
        <f>IF(PMI_Costs!$B$5=0,0,AA208/PMI_Costs!$B$5)</f>
        <v/>
      </c>
      <c r="AG208" s="6">
        <f>AND(PMI_Costs!$B$4&gt;0,AF208&gt;PMI_Costs!$B$6/100)</f>
        <v/>
      </c>
      <c r="AH208" s="21">
        <f>IF(AG208,ROUND(Segments!$G$5*PMI_Costs!$B$4/100/12,2),0)</f>
        <v/>
      </c>
      <c r="AI208" s="6">
        <f>AND(NOT(AG208),AG207)</f>
        <v/>
      </c>
    </row>
    <row r="209">
      <c r="A209" s="18" t="n">
        <v>205</v>
      </c>
      <c r="B209" s="18">
        <f>SUMPRODUCT((Segments!$J$5:$J$12&lt;&gt;"")*(Segments!$J$5:$J$12&lt;=A209))</f>
        <v/>
      </c>
      <c r="C209" s="19">
        <f>INDEX(Segments!$B$5:$B$12,B209)</f>
        <v/>
      </c>
      <c r="D209" s="18">
        <f>INDEX(Segments!$J$5:$J$12,B209)</f>
        <v/>
      </c>
      <c r="E209" s="19">
        <f>DATE(YEAR(C209)+INT((MONTH(C209)-1+(A209-D209))/12),MOD(MONTH(C209)-1+(A209-D209),12)+1,1)+(DAY(C209)-1)</f>
        <v/>
      </c>
      <c r="F209" s="20">
        <f>INDEX(Segments!$C$5:$C$12,B209)/100/12</f>
        <v/>
      </c>
      <c r="G209" s="21">
        <f>INDEX(Segments!$L$5:$L$12,B209)</f>
        <v/>
      </c>
      <c r="H209" s="6">
        <f>INDEX(Segments!$I$5:$I$12,B209)="Y"</f>
        <v/>
      </c>
      <c r="I209" s="6">
        <f>INDEX(Segments!$F$5:$F$12,B209)=""</f>
        <v/>
      </c>
      <c r="J209" s="18">
        <f>INDEX(Segments!$K$5:$K$12,B209)</f>
        <v/>
      </c>
      <c r="K209" s="18">
        <f>IF(INDEX(Segments!$F$5:$F$12,B209)&lt;&gt;"",INDEX(Segments!$F$5:$F$12,B209),IF(INDEX(Segments!$E$5:$E$12,B209)&lt;&gt;"",INDEX(Segments!$E$5:$E$12,B209),""))</f>
        <v/>
      </c>
      <c r="L209" s="21">
        <f>AA208</f>
        <v/>
      </c>
      <c r="M209" s="21">
        <f>IFERROR(INDEX(Overrides!$C:$C,MATCH(A209,Overrides!$A:$A,0)),"")</f>
        <v/>
      </c>
      <c r="N209" s="21">
        <f>IFERROR(INDEX(Overrides!$E:$E,MATCH(A209,Overrides!$A:$A,0)),"")</f>
        <v/>
      </c>
      <c r="O209" s="21">
        <f>IFERROR(INDEX(Overrides!$D:$D,MATCH(A209,Overrides!$A:$A,0)),"")</f>
        <v/>
      </c>
      <c r="P209" s="21">
        <f>IFERROR(INDEX(Overrides!$B:$B,MATCH(A209,Overrides!$A:$A,0)),"")</f>
        <v/>
      </c>
      <c r="Q209" s="6">
        <f>IFERROR(INDEX(Overrides!$F:$F,MATCH(A209,Overrides!$A:$A,0)),"")</f>
        <v/>
      </c>
      <c r="R209" s="6">
        <f>ISNUMBER(MATCH(A209,Overrides!$A:$A,0))</f>
        <v/>
      </c>
      <c r="S209" s="6">
        <f>OR(ROUND(L209-ROUND(G209-T209,2),2)&lt;=0,AND(I209,K209&lt;&gt;"",(A209-D209+1)=K209))</f>
        <v/>
      </c>
      <c r="T209" s="21">
        <f>IF(M209&lt;&gt;"",M209,ROUND(L209*F209,2))</f>
        <v/>
      </c>
      <c r="U209" s="21">
        <f>IF(R209,IF(O209&lt;&gt;"",O209,IF(N209&lt;&gt;"",ROUND(L209-N209,2),ROUND((IF(P209&lt;&gt;"",P209,G209))-T209,2))),IF(H209,0,IF(S209,L209,ROUND(G209-T209,2))))</f>
        <v/>
      </c>
      <c r="V209" s="21">
        <f>IF(R209,IF(P209&lt;&gt;"",P209,ROUND(T209+U209,2)),IF(H209,T209,IF(S209,ROUND(T209+U209,2),G209)))</f>
        <v/>
      </c>
      <c r="W209" s="21">
        <f>IF(R209,IF(N209&lt;&gt;"",N209,ROUND(L209-U209,2)),IF(H209,L209,IF(S209,0,ROUND(L209-U209,2))))</f>
        <v/>
      </c>
      <c r="X209" s="21">
        <f>IFERROR(MIN(INDEX(LumpSums!$B:$B,MATCH(A209,LumpSums!$A:$A,0)),W209),0)</f>
        <v/>
      </c>
      <c r="Y209" s="21">
        <f>ROUND(U209+X209,2)</f>
        <v/>
      </c>
      <c r="Z209" s="21">
        <f>ROUND(V209+X209,2)</f>
        <v/>
      </c>
      <c r="AA209" s="21">
        <f>ROUND(W209-X209,2)</f>
        <v/>
      </c>
      <c r="AB209" s="6">
        <f>AND(AB208,L209&gt;0)</f>
        <v/>
      </c>
      <c r="AC209" s="21">
        <f>IF(PMI_Costs!$B$8=0,0,ROUND(PMI_Costs!$B$8*(1+PMI_Costs!$B$9/100)^INT((A209-1)/12)/12,2))</f>
        <v/>
      </c>
      <c r="AD209" s="21">
        <f>IF(PMI_Costs!$B$10=0,0,ROUND(PMI_Costs!$B$10*(1+PMI_Costs!$B$11/100)^INT((A209-1)/12)/12,2))</f>
        <v/>
      </c>
      <c r="AE209" s="21">
        <f>IF(PMI_Costs!$B$12=0,0,ROUND(PMI_Costs!$B$12*(1+PMI_Costs!$B$13/100)^INT((A209-1)/12)/12,2))</f>
        <v/>
      </c>
      <c r="AF209" s="22">
        <f>IF(PMI_Costs!$B$5=0,0,AA209/PMI_Costs!$B$5)</f>
        <v/>
      </c>
      <c r="AG209" s="6">
        <f>AND(PMI_Costs!$B$4&gt;0,AF209&gt;PMI_Costs!$B$6/100)</f>
        <v/>
      </c>
      <c r="AH209" s="21">
        <f>IF(AG209,ROUND(Segments!$G$5*PMI_Costs!$B$4/100/12,2),0)</f>
        <v/>
      </c>
      <c r="AI209" s="6">
        <f>AND(NOT(AG209),AG208)</f>
        <v/>
      </c>
    </row>
    <row r="210">
      <c r="A210" s="18" t="n">
        <v>206</v>
      </c>
      <c r="B210" s="18">
        <f>SUMPRODUCT((Segments!$J$5:$J$12&lt;&gt;"")*(Segments!$J$5:$J$12&lt;=A210))</f>
        <v/>
      </c>
      <c r="C210" s="19">
        <f>INDEX(Segments!$B$5:$B$12,B210)</f>
        <v/>
      </c>
      <c r="D210" s="18">
        <f>INDEX(Segments!$J$5:$J$12,B210)</f>
        <v/>
      </c>
      <c r="E210" s="19">
        <f>DATE(YEAR(C210)+INT((MONTH(C210)-1+(A210-D210))/12),MOD(MONTH(C210)-1+(A210-D210),12)+1,1)+(DAY(C210)-1)</f>
        <v/>
      </c>
      <c r="F210" s="20">
        <f>INDEX(Segments!$C$5:$C$12,B210)/100/12</f>
        <v/>
      </c>
      <c r="G210" s="21">
        <f>INDEX(Segments!$L$5:$L$12,B210)</f>
        <v/>
      </c>
      <c r="H210" s="6">
        <f>INDEX(Segments!$I$5:$I$12,B210)="Y"</f>
        <v/>
      </c>
      <c r="I210" s="6">
        <f>INDEX(Segments!$F$5:$F$12,B210)=""</f>
        <v/>
      </c>
      <c r="J210" s="18">
        <f>INDEX(Segments!$K$5:$K$12,B210)</f>
        <v/>
      </c>
      <c r="K210" s="18">
        <f>IF(INDEX(Segments!$F$5:$F$12,B210)&lt;&gt;"",INDEX(Segments!$F$5:$F$12,B210),IF(INDEX(Segments!$E$5:$E$12,B210)&lt;&gt;"",INDEX(Segments!$E$5:$E$12,B210),""))</f>
        <v/>
      </c>
      <c r="L210" s="21">
        <f>AA209</f>
        <v/>
      </c>
      <c r="M210" s="21">
        <f>IFERROR(INDEX(Overrides!$C:$C,MATCH(A210,Overrides!$A:$A,0)),"")</f>
        <v/>
      </c>
      <c r="N210" s="21">
        <f>IFERROR(INDEX(Overrides!$E:$E,MATCH(A210,Overrides!$A:$A,0)),"")</f>
        <v/>
      </c>
      <c r="O210" s="21">
        <f>IFERROR(INDEX(Overrides!$D:$D,MATCH(A210,Overrides!$A:$A,0)),"")</f>
        <v/>
      </c>
      <c r="P210" s="21">
        <f>IFERROR(INDEX(Overrides!$B:$B,MATCH(A210,Overrides!$A:$A,0)),"")</f>
        <v/>
      </c>
      <c r="Q210" s="6">
        <f>IFERROR(INDEX(Overrides!$F:$F,MATCH(A210,Overrides!$A:$A,0)),"")</f>
        <v/>
      </c>
      <c r="R210" s="6">
        <f>ISNUMBER(MATCH(A210,Overrides!$A:$A,0))</f>
        <v/>
      </c>
      <c r="S210" s="6">
        <f>OR(ROUND(L210-ROUND(G210-T210,2),2)&lt;=0,AND(I210,K210&lt;&gt;"",(A210-D210+1)=K210))</f>
        <v/>
      </c>
      <c r="T210" s="21">
        <f>IF(M210&lt;&gt;"",M210,ROUND(L210*F210,2))</f>
        <v/>
      </c>
      <c r="U210" s="21">
        <f>IF(R210,IF(O210&lt;&gt;"",O210,IF(N210&lt;&gt;"",ROUND(L210-N210,2),ROUND((IF(P210&lt;&gt;"",P210,G210))-T210,2))),IF(H210,0,IF(S210,L210,ROUND(G210-T210,2))))</f>
        <v/>
      </c>
      <c r="V210" s="21">
        <f>IF(R210,IF(P210&lt;&gt;"",P210,ROUND(T210+U210,2)),IF(H210,T210,IF(S210,ROUND(T210+U210,2),G210)))</f>
        <v/>
      </c>
      <c r="W210" s="21">
        <f>IF(R210,IF(N210&lt;&gt;"",N210,ROUND(L210-U210,2)),IF(H210,L210,IF(S210,0,ROUND(L210-U210,2))))</f>
        <v/>
      </c>
      <c r="X210" s="21">
        <f>IFERROR(MIN(INDEX(LumpSums!$B:$B,MATCH(A210,LumpSums!$A:$A,0)),W210),0)</f>
        <v/>
      </c>
      <c r="Y210" s="21">
        <f>ROUND(U210+X210,2)</f>
        <v/>
      </c>
      <c r="Z210" s="21">
        <f>ROUND(V210+X210,2)</f>
        <v/>
      </c>
      <c r="AA210" s="21">
        <f>ROUND(W210-X210,2)</f>
        <v/>
      </c>
      <c r="AB210" s="6">
        <f>AND(AB209,L210&gt;0)</f>
        <v/>
      </c>
      <c r="AC210" s="21">
        <f>IF(PMI_Costs!$B$8=0,0,ROUND(PMI_Costs!$B$8*(1+PMI_Costs!$B$9/100)^INT((A210-1)/12)/12,2))</f>
        <v/>
      </c>
      <c r="AD210" s="21">
        <f>IF(PMI_Costs!$B$10=0,0,ROUND(PMI_Costs!$B$10*(1+PMI_Costs!$B$11/100)^INT((A210-1)/12)/12,2))</f>
        <v/>
      </c>
      <c r="AE210" s="21">
        <f>IF(PMI_Costs!$B$12=0,0,ROUND(PMI_Costs!$B$12*(1+PMI_Costs!$B$13/100)^INT((A210-1)/12)/12,2))</f>
        <v/>
      </c>
      <c r="AF210" s="22">
        <f>IF(PMI_Costs!$B$5=0,0,AA210/PMI_Costs!$B$5)</f>
        <v/>
      </c>
      <c r="AG210" s="6">
        <f>AND(PMI_Costs!$B$4&gt;0,AF210&gt;PMI_Costs!$B$6/100)</f>
        <v/>
      </c>
      <c r="AH210" s="21">
        <f>IF(AG210,ROUND(Segments!$G$5*PMI_Costs!$B$4/100/12,2),0)</f>
        <v/>
      </c>
      <c r="AI210" s="6">
        <f>AND(NOT(AG210),AG209)</f>
        <v/>
      </c>
    </row>
    <row r="211">
      <c r="A211" s="18" t="n">
        <v>207</v>
      </c>
      <c r="B211" s="18">
        <f>SUMPRODUCT((Segments!$J$5:$J$12&lt;&gt;"")*(Segments!$J$5:$J$12&lt;=A211))</f>
        <v/>
      </c>
      <c r="C211" s="19">
        <f>INDEX(Segments!$B$5:$B$12,B211)</f>
        <v/>
      </c>
      <c r="D211" s="18">
        <f>INDEX(Segments!$J$5:$J$12,B211)</f>
        <v/>
      </c>
      <c r="E211" s="19">
        <f>DATE(YEAR(C211)+INT((MONTH(C211)-1+(A211-D211))/12),MOD(MONTH(C211)-1+(A211-D211),12)+1,1)+(DAY(C211)-1)</f>
        <v/>
      </c>
      <c r="F211" s="20">
        <f>INDEX(Segments!$C$5:$C$12,B211)/100/12</f>
        <v/>
      </c>
      <c r="G211" s="21">
        <f>INDEX(Segments!$L$5:$L$12,B211)</f>
        <v/>
      </c>
      <c r="H211" s="6">
        <f>INDEX(Segments!$I$5:$I$12,B211)="Y"</f>
        <v/>
      </c>
      <c r="I211" s="6">
        <f>INDEX(Segments!$F$5:$F$12,B211)=""</f>
        <v/>
      </c>
      <c r="J211" s="18">
        <f>INDEX(Segments!$K$5:$K$12,B211)</f>
        <v/>
      </c>
      <c r="K211" s="18">
        <f>IF(INDEX(Segments!$F$5:$F$12,B211)&lt;&gt;"",INDEX(Segments!$F$5:$F$12,B211),IF(INDEX(Segments!$E$5:$E$12,B211)&lt;&gt;"",INDEX(Segments!$E$5:$E$12,B211),""))</f>
        <v/>
      </c>
      <c r="L211" s="21">
        <f>AA210</f>
        <v/>
      </c>
      <c r="M211" s="21">
        <f>IFERROR(INDEX(Overrides!$C:$C,MATCH(A211,Overrides!$A:$A,0)),"")</f>
        <v/>
      </c>
      <c r="N211" s="21">
        <f>IFERROR(INDEX(Overrides!$E:$E,MATCH(A211,Overrides!$A:$A,0)),"")</f>
        <v/>
      </c>
      <c r="O211" s="21">
        <f>IFERROR(INDEX(Overrides!$D:$D,MATCH(A211,Overrides!$A:$A,0)),"")</f>
        <v/>
      </c>
      <c r="P211" s="21">
        <f>IFERROR(INDEX(Overrides!$B:$B,MATCH(A211,Overrides!$A:$A,0)),"")</f>
        <v/>
      </c>
      <c r="Q211" s="6">
        <f>IFERROR(INDEX(Overrides!$F:$F,MATCH(A211,Overrides!$A:$A,0)),"")</f>
        <v/>
      </c>
      <c r="R211" s="6">
        <f>ISNUMBER(MATCH(A211,Overrides!$A:$A,0))</f>
        <v/>
      </c>
      <c r="S211" s="6">
        <f>OR(ROUND(L211-ROUND(G211-T211,2),2)&lt;=0,AND(I211,K211&lt;&gt;"",(A211-D211+1)=K211))</f>
        <v/>
      </c>
      <c r="T211" s="21">
        <f>IF(M211&lt;&gt;"",M211,ROUND(L211*F211,2))</f>
        <v/>
      </c>
      <c r="U211" s="21">
        <f>IF(R211,IF(O211&lt;&gt;"",O211,IF(N211&lt;&gt;"",ROUND(L211-N211,2),ROUND((IF(P211&lt;&gt;"",P211,G211))-T211,2))),IF(H211,0,IF(S211,L211,ROUND(G211-T211,2))))</f>
        <v/>
      </c>
      <c r="V211" s="21">
        <f>IF(R211,IF(P211&lt;&gt;"",P211,ROUND(T211+U211,2)),IF(H211,T211,IF(S211,ROUND(T211+U211,2),G211)))</f>
        <v/>
      </c>
      <c r="W211" s="21">
        <f>IF(R211,IF(N211&lt;&gt;"",N211,ROUND(L211-U211,2)),IF(H211,L211,IF(S211,0,ROUND(L211-U211,2))))</f>
        <v/>
      </c>
      <c r="X211" s="21">
        <f>IFERROR(MIN(INDEX(LumpSums!$B:$B,MATCH(A211,LumpSums!$A:$A,0)),W211),0)</f>
        <v/>
      </c>
      <c r="Y211" s="21">
        <f>ROUND(U211+X211,2)</f>
        <v/>
      </c>
      <c r="Z211" s="21">
        <f>ROUND(V211+X211,2)</f>
        <v/>
      </c>
      <c r="AA211" s="21">
        <f>ROUND(W211-X211,2)</f>
        <v/>
      </c>
      <c r="AB211" s="6">
        <f>AND(AB210,L211&gt;0)</f>
        <v/>
      </c>
      <c r="AC211" s="21">
        <f>IF(PMI_Costs!$B$8=0,0,ROUND(PMI_Costs!$B$8*(1+PMI_Costs!$B$9/100)^INT((A211-1)/12)/12,2))</f>
        <v/>
      </c>
      <c r="AD211" s="21">
        <f>IF(PMI_Costs!$B$10=0,0,ROUND(PMI_Costs!$B$10*(1+PMI_Costs!$B$11/100)^INT((A211-1)/12)/12,2))</f>
        <v/>
      </c>
      <c r="AE211" s="21">
        <f>IF(PMI_Costs!$B$12=0,0,ROUND(PMI_Costs!$B$12*(1+PMI_Costs!$B$13/100)^INT((A211-1)/12)/12,2))</f>
        <v/>
      </c>
      <c r="AF211" s="22">
        <f>IF(PMI_Costs!$B$5=0,0,AA211/PMI_Costs!$B$5)</f>
        <v/>
      </c>
      <c r="AG211" s="6">
        <f>AND(PMI_Costs!$B$4&gt;0,AF211&gt;PMI_Costs!$B$6/100)</f>
        <v/>
      </c>
      <c r="AH211" s="21">
        <f>IF(AG211,ROUND(Segments!$G$5*PMI_Costs!$B$4/100/12,2),0)</f>
        <v/>
      </c>
      <c r="AI211" s="6">
        <f>AND(NOT(AG211),AG210)</f>
        <v/>
      </c>
    </row>
    <row r="212">
      <c r="A212" s="18" t="n">
        <v>208</v>
      </c>
      <c r="B212" s="18">
        <f>SUMPRODUCT((Segments!$J$5:$J$12&lt;&gt;"")*(Segments!$J$5:$J$12&lt;=A212))</f>
        <v/>
      </c>
      <c r="C212" s="19">
        <f>INDEX(Segments!$B$5:$B$12,B212)</f>
        <v/>
      </c>
      <c r="D212" s="18">
        <f>INDEX(Segments!$J$5:$J$12,B212)</f>
        <v/>
      </c>
      <c r="E212" s="19">
        <f>DATE(YEAR(C212)+INT((MONTH(C212)-1+(A212-D212))/12),MOD(MONTH(C212)-1+(A212-D212),12)+1,1)+(DAY(C212)-1)</f>
        <v/>
      </c>
      <c r="F212" s="20">
        <f>INDEX(Segments!$C$5:$C$12,B212)/100/12</f>
        <v/>
      </c>
      <c r="G212" s="21">
        <f>INDEX(Segments!$L$5:$L$12,B212)</f>
        <v/>
      </c>
      <c r="H212" s="6">
        <f>INDEX(Segments!$I$5:$I$12,B212)="Y"</f>
        <v/>
      </c>
      <c r="I212" s="6">
        <f>INDEX(Segments!$F$5:$F$12,B212)=""</f>
        <v/>
      </c>
      <c r="J212" s="18">
        <f>INDEX(Segments!$K$5:$K$12,B212)</f>
        <v/>
      </c>
      <c r="K212" s="18">
        <f>IF(INDEX(Segments!$F$5:$F$12,B212)&lt;&gt;"",INDEX(Segments!$F$5:$F$12,B212),IF(INDEX(Segments!$E$5:$E$12,B212)&lt;&gt;"",INDEX(Segments!$E$5:$E$12,B212),""))</f>
        <v/>
      </c>
      <c r="L212" s="21">
        <f>AA211</f>
        <v/>
      </c>
      <c r="M212" s="21">
        <f>IFERROR(INDEX(Overrides!$C:$C,MATCH(A212,Overrides!$A:$A,0)),"")</f>
        <v/>
      </c>
      <c r="N212" s="21">
        <f>IFERROR(INDEX(Overrides!$E:$E,MATCH(A212,Overrides!$A:$A,0)),"")</f>
        <v/>
      </c>
      <c r="O212" s="21">
        <f>IFERROR(INDEX(Overrides!$D:$D,MATCH(A212,Overrides!$A:$A,0)),"")</f>
        <v/>
      </c>
      <c r="P212" s="21">
        <f>IFERROR(INDEX(Overrides!$B:$B,MATCH(A212,Overrides!$A:$A,0)),"")</f>
        <v/>
      </c>
      <c r="Q212" s="6">
        <f>IFERROR(INDEX(Overrides!$F:$F,MATCH(A212,Overrides!$A:$A,0)),"")</f>
        <v/>
      </c>
      <c r="R212" s="6">
        <f>ISNUMBER(MATCH(A212,Overrides!$A:$A,0))</f>
        <v/>
      </c>
      <c r="S212" s="6">
        <f>OR(ROUND(L212-ROUND(G212-T212,2),2)&lt;=0,AND(I212,K212&lt;&gt;"",(A212-D212+1)=K212))</f>
        <v/>
      </c>
      <c r="T212" s="21">
        <f>IF(M212&lt;&gt;"",M212,ROUND(L212*F212,2))</f>
        <v/>
      </c>
      <c r="U212" s="21">
        <f>IF(R212,IF(O212&lt;&gt;"",O212,IF(N212&lt;&gt;"",ROUND(L212-N212,2),ROUND((IF(P212&lt;&gt;"",P212,G212))-T212,2))),IF(H212,0,IF(S212,L212,ROUND(G212-T212,2))))</f>
        <v/>
      </c>
      <c r="V212" s="21">
        <f>IF(R212,IF(P212&lt;&gt;"",P212,ROUND(T212+U212,2)),IF(H212,T212,IF(S212,ROUND(T212+U212,2),G212)))</f>
        <v/>
      </c>
      <c r="W212" s="21">
        <f>IF(R212,IF(N212&lt;&gt;"",N212,ROUND(L212-U212,2)),IF(H212,L212,IF(S212,0,ROUND(L212-U212,2))))</f>
        <v/>
      </c>
      <c r="X212" s="21">
        <f>IFERROR(MIN(INDEX(LumpSums!$B:$B,MATCH(A212,LumpSums!$A:$A,0)),W212),0)</f>
        <v/>
      </c>
      <c r="Y212" s="21">
        <f>ROUND(U212+X212,2)</f>
        <v/>
      </c>
      <c r="Z212" s="21">
        <f>ROUND(V212+X212,2)</f>
        <v/>
      </c>
      <c r="AA212" s="21">
        <f>ROUND(W212-X212,2)</f>
        <v/>
      </c>
      <c r="AB212" s="6">
        <f>AND(AB211,L212&gt;0)</f>
        <v/>
      </c>
      <c r="AC212" s="21">
        <f>IF(PMI_Costs!$B$8=0,0,ROUND(PMI_Costs!$B$8*(1+PMI_Costs!$B$9/100)^INT((A212-1)/12)/12,2))</f>
        <v/>
      </c>
      <c r="AD212" s="21">
        <f>IF(PMI_Costs!$B$10=0,0,ROUND(PMI_Costs!$B$10*(1+PMI_Costs!$B$11/100)^INT((A212-1)/12)/12,2))</f>
        <v/>
      </c>
      <c r="AE212" s="21">
        <f>IF(PMI_Costs!$B$12=0,0,ROUND(PMI_Costs!$B$12*(1+PMI_Costs!$B$13/100)^INT((A212-1)/12)/12,2))</f>
        <v/>
      </c>
      <c r="AF212" s="22">
        <f>IF(PMI_Costs!$B$5=0,0,AA212/PMI_Costs!$B$5)</f>
        <v/>
      </c>
      <c r="AG212" s="6">
        <f>AND(PMI_Costs!$B$4&gt;0,AF212&gt;PMI_Costs!$B$6/100)</f>
        <v/>
      </c>
      <c r="AH212" s="21">
        <f>IF(AG212,ROUND(Segments!$G$5*PMI_Costs!$B$4/100/12,2),0)</f>
        <v/>
      </c>
      <c r="AI212" s="6">
        <f>AND(NOT(AG212),AG211)</f>
        <v/>
      </c>
    </row>
    <row r="213">
      <c r="A213" s="18" t="n">
        <v>209</v>
      </c>
      <c r="B213" s="18">
        <f>SUMPRODUCT((Segments!$J$5:$J$12&lt;&gt;"")*(Segments!$J$5:$J$12&lt;=A213))</f>
        <v/>
      </c>
      <c r="C213" s="19">
        <f>INDEX(Segments!$B$5:$B$12,B213)</f>
        <v/>
      </c>
      <c r="D213" s="18">
        <f>INDEX(Segments!$J$5:$J$12,B213)</f>
        <v/>
      </c>
      <c r="E213" s="19">
        <f>DATE(YEAR(C213)+INT((MONTH(C213)-1+(A213-D213))/12),MOD(MONTH(C213)-1+(A213-D213),12)+1,1)+(DAY(C213)-1)</f>
        <v/>
      </c>
      <c r="F213" s="20">
        <f>INDEX(Segments!$C$5:$C$12,B213)/100/12</f>
        <v/>
      </c>
      <c r="G213" s="21">
        <f>INDEX(Segments!$L$5:$L$12,B213)</f>
        <v/>
      </c>
      <c r="H213" s="6">
        <f>INDEX(Segments!$I$5:$I$12,B213)="Y"</f>
        <v/>
      </c>
      <c r="I213" s="6">
        <f>INDEX(Segments!$F$5:$F$12,B213)=""</f>
        <v/>
      </c>
      <c r="J213" s="18">
        <f>INDEX(Segments!$K$5:$K$12,B213)</f>
        <v/>
      </c>
      <c r="K213" s="18">
        <f>IF(INDEX(Segments!$F$5:$F$12,B213)&lt;&gt;"",INDEX(Segments!$F$5:$F$12,B213),IF(INDEX(Segments!$E$5:$E$12,B213)&lt;&gt;"",INDEX(Segments!$E$5:$E$12,B213),""))</f>
        <v/>
      </c>
      <c r="L213" s="21">
        <f>AA212</f>
        <v/>
      </c>
      <c r="M213" s="21">
        <f>IFERROR(INDEX(Overrides!$C:$C,MATCH(A213,Overrides!$A:$A,0)),"")</f>
        <v/>
      </c>
      <c r="N213" s="21">
        <f>IFERROR(INDEX(Overrides!$E:$E,MATCH(A213,Overrides!$A:$A,0)),"")</f>
        <v/>
      </c>
      <c r="O213" s="21">
        <f>IFERROR(INDEX(Overrides!$D:$D,MATCH(A213,Overrides!$A:$A,0)),"")</f>
        <v/>
      </c>
      <c r="P213" s="21">
        <f>IFERROR(INDEX(Overrides!$B:$B,MATCH(A213,Overrides!$A:$A,0)),"")</f>
        <v/>
      </c>
      <c r="Q213" s="6">
        <f>IFERROR(INDEX(Overrides!$F:$F,MATCH(A213,Overrides!$A:$A,0)),"")</f>
        <v/>
      </c>
      <c r="R213" s="6">
        <f>ISNUMBER(MATCH(A213,Overrides!$A:$A,0))</f>
        <v/>
      </c>
      <c r="S213" s="6">
        <f>OR(ROUND(L213-ROUND(G213-T213,2),2)&lt;=0,AND(I213,K213&lt;&gt;"",(A213-D213+1)=K213))</f>
        <v/>
      </c>
      <c r="T213" s="21">
        <f>IF(M213&lt;&gt;"",M213,ROUND(L213*F213,2))</f>
        <v/>
      </c>
      <c r="U213" s="21">
        <f>IF(R213,IF(O213&lt;&gt;"",O213,IF(N213&lt;&gt;"",ROUND(L213-N213,2),ROUND((IF(P213&lt;&gt;"",P213,G213))-T213,2))),IF(H213,0,IF(S213,L213,ROUND(G213-T213,2))))</f>
        <v/>
      </c>
      <c r="V213" s="21">
        <f>IF(R213,IF(P213&lt;&gt;"",P213,ROUND(T213+U213,2)),IF(H213,T213,IF(S213,ROUND(T213+U213,2),G213)))</f>
        <v/>
      </c>
      <c r="W213" s="21">
        <f>IF(R213,IF(N213&lt;&gt;"",N213,ROUND(L213-U213,2)),IF(H213,L213,IF(S213,0,ROUND(L213-U213,2))))</f>
        <v/>
      </c>
      <c r="X213" s="21">
        <f>IFERROR(MIN(INDEX(LumpSums!$B:$B,MATCH(A213,LumpSums!$A:$A,0)),W213),0)</f>
        <v/>
      </c>
      <c r="Y213" s="21">
        <f>ROUND(U213+X213,2)</f>
        <v/>
      </c>
      <c r="Z213" s="21">
        <f>ROUND(V213+X213,2)</f>
        <v/>
      </c>
      <c r="AA213" s="21">
        <f>ROUND(W213-X213,2)</f>
        <v/>
      </c>
      <c r="AB213" s="6">
        <f>AND(AB212,L213&gt;0)</f>
        <v/>
      </c>
      <c r="AC213" s="21">
        <f>IF(PMI_Costs!$B$8=0,0,ROUND(PMI_Costs!$B$8*(1+PMI_Costs!$B$9/100)^INT((A213-1)/12)/12,2))</f>
        <v/>
      </c>
      <c r="AD213" s="21">
        <f>IF(PMI_Costs!$B$10=0,0,ROUND(PMI_Costs!$B$10*(1+PMI_Costs!$B$11/100)^INT((A213-1)/12)/12,2))</f>
        <v/>
      </c>
      <c r="AE213" s="21">
        <f>IF(PMI_Costs!$B$12=0,0,ROUND(PMI_Costs!$B$12*(1+PMI_Costs!$B$13/100)^INT((A213-1)/12)/12,2))</f>
        <v/>
      </c>
      <c r="AF213" s="22">
        <f>IF(PMI_Costs!$B$5=0,0,AA213/PMI_Costs!$B$5)</f>
        <v/>
      </c>
      <c r="AG213" s="6">
        <f>AND(PMI_Costs!$B$4&gt;0,AF213&gt;PMI_Costs!$B$6/100)</f>
        <v/>
      </c>
      <c r="AH213" s="21">
        <f>IF(AG213,ROUND(Segments!$G$5*PMI_Costs!$B$4/100/12,2),0)</f>
        <v/>
      </c>
      <c r="AI213" s="6">
        <f>AND(NOT(AG213),AG212)</f>
        <v/>
      </c>
    </row>
    <row r="214">
      <c r="A214" s="18" t="n">
        <v>210</v>
      </c>
      <c r="B214" s="18">
        <f>SUMPRODUCT((Segments!$J$5:$J$12&lt;&gt;"")*(Segments!$J$5:$J$12&lt;=A214))</f>
        <v/>
      </c>
      <c r="C214" s="19">
        <f>INDEX(Segments!$B$5:$B$12,B214)</f>
        <v/>
      </c>
      <c r="D214" s="18">
        <f>INDEX(Segments!$J$5:$J$12,B214)</f>
        <v/>
      </c>
      <c r="E214" s="19">
        <f>DATE(YEAR(C214)+INT((MONTH(C214)-1+(A214-D214))/12),MOD(MONTH(C214)-1+(A214-D214),12)+1,1)+(DAY(C214)-1)</f>
        <v/>
      </c>
      <c r="F214" s="20">
        <f>INDEX(Segments!$C$5:$C$12,B214)/100/12</f>
        <v/>
      </c>
      <c r="G214" s="21">
        <f>INDEX(Segments!$L$5:$L$12,B214)</f>
        <v/>
      </c>
      <c r="H214" s="6">
        <f>INDEX(Segments!$I$5:$I$12,B214)="Y"</f>
        <v/>
      </c>
      <c r="I214" s="6">
        <f>INDEX(Segments!$F$5:$F$12,B214)=""</f>
        <v/>
      </c>
      <c r="J214" s="18">
        <f>INDEX(Segments!$K$5:$K$12,B214)</f>
        <v/>
      </c>
      <c r="K214" s="18">
        <f>IF(INDEX(Segments!$F$5:$F$12,B214)&lt;&gt;"",INDEX(Segments!$F$5:$F$12,B214),IF(INDEX(Segments!$E$5:$E$12,B214)&lt;&gt;"",INDEX(Segments!$E$5:$E$12,B214),""))</f>
        <v/>
      </c>
      <c r="L214" s="21">
        <f>AA213</f>
        <v/>
      </c>
      <c r="M214" s="21">
        <f>IFERROR(INDEX(Overrides!$C:$C,MATCH(A214,Overrides!$A:$A,0)),"")</f>
        <v/>
      </c>
      <c r="N214" s="21">
        <f>IFERROR(INDEX(Overrides!$E:$E,MATCH(A214,Overrides!$A:$A,0)),"")</f>
        <v/>
      </c>
      <c r="O214" s="21">
        <f>IFERROR(INDEX(Overrides!$D:$D,MATCH(A214,Overrides!$A:$A,0)),"")</f>
        <v/>
      </c>
      <c r="P214" s="21">
        <f>IFERROR(INDEX(Overrides!$B:$B,MATCH(A214,Overrides!$A:$A,0)),"")</f>
        <v/>
      </c>
      <c r="Q214" s="6">
        <f>IFERROR(INDEX(Overrides!$F:$F,MATCH(A214,Overrides!$A:$A,0)),"")</f>
        <v/>
      </c>
      <c r="R214" s="6">
        <f>ISNUMBER(MATCH(A214,Overrides!$A:$A,0))</f>
        <v/>
      </c>
      <c r="S214" s="6">
        <f>OR(ROUND(L214-ROUND(G214-T214,2),2)&lt;=0,AND(I214,K214&lt;&gt;"",(A214-D214+1)=K214))</f>
        <v/>
      </c>
      <c r="T214" s="21">
        <f>IF(M214&lt;&gt;"",M214,ROUND(L214*F214,2))</f>
        <v/>
      </c>
      <c r="U214" s="21">
        <f>IF(R214,IF(O214&lt;&gt;"",O214,IF(N214&lt;&gt;"",ROUND(L214-N214,2),ROUND((IF(P214&lt;&gt;"",P214,G214))-T214,2))),IF(H214,0,IF(S214,L214,ROUND(G214-T214,2))))</f>
        <v/>
      </c>
      <c r="V214" s="21">
        <f>IF(R214,IF(P214&lt;&gt;"",P214,ROUND(T214+U214,2)),IF(H214,T214,IF(S214,ROUND(T214+U214,2),G214)))</f>
        <v/>
      </c>
      <c r="W214" s="21">
        <f>IF(R214,IF(N214&lt;&gt;"",N214,ROUND(L214-U214,2)),IF(H214,L214,IF(S214,0,ROUND(L214-U214,2))))</f>
        <v/>
      </c>
      <c r="X214" s="21">
        <f>IFERROR(MIN(INDEX(LumpSums!$B:$B,MATCH(A214,LumpSums!$A:$A,0)),W214),0)</f>
        <v/>
      </c>
      <c r="Y214" s="21">
        <f>ROUND(U214+X214,2)</f>
        <v/>
      </c>
      <c r="Z214" s="21">
        <f>ROUND(V214+X214,2)</f>
        <v/>
      </c>
      <c r="AA214" s="21">
        <f>ROUND(W214-X214,2)</f>
        <v/>
      </c>
      <c r="AB214" s="6">
        <f>AND(AB213,L214&gt;0)</f>
        <v/>
      </c>
      <c r="AC214" s="21">
        <f>IF(PMI_Costs!$B$8=0,0,ROUND(PMI_Costs!$B$8*(1+PMI_Costs!$B$9/100)^INT((A214-1)/12)/12,2))</f>
        <v/>
      </c>
      <c r="AD214" s="21">
        <f>IF(PMI_Costs!$B$10=0,0,ROUND(PMI_Costs!$B$10*(1+PMI_Costs!$B$11/100)^INT((A214-1)/12)/12,2))</f>
        <v/>
      </c>
      <c r="AE214" s="21">
        <f>IF(PMI_Costs!$B$12=0,0,ROUND(PMI_Costs!$B$12*(1+PMI_Costs!$B$13/100)^INT((A214-1)/12)/12,2))</f>
        <v/>
      </c>
      <c r="AF214" s="22">
        <f>IF(PMI_Costs!$B$5=0,0,AA214/PMI_Costs!$B$5)</f>
        <v/>
      </c>
      <c r="AG214" s="6">
        <f>AND(PMI_Costs!$B$4&gt;0,AF214&gt;PMI_Costs!$B$6/100)</f>
        <v/>
      </c>
      <c r="AH214" s="21">
        <f>IF(AG214,ROUND(Segments!$G$5*PMI_Costs!$B$4/100/12,2),0)</f>
        <v/>
      </c>
      <c r="AI214" s="6">
        <f>AND(NOT(AG214),AG213)</f>
        <v/>
      </c>
    </row>
    <row r="215">
      <c r="A215" s="18" t="n">
        <v>211</v>
      </c>
      <c r="B215" s="18">
        <f>SUMPRODUCT((Segments!$J$5:$J$12&lt;&gt;"")*(Segments!$J$5:$J$12&lt;=A215))</f>
        <v/>
      </c>
      <c r="C215" s="19">
        <f>INDEX(Segments!$B$5:$B$12,B215)</f>
        <v/>
      </c>
      <c r="D215" s="18">
        <f>INDEX(Segments!$J$5:$J$12,B215)</f>
        <v/>
      </c>
      <c r="E215" s="19">
        <f>DATE(YEAR(C215)+INT((MONTH(C215)-1+(A215-D215))/12),MOD(MONTH(C215)-1+(A215-D215),12)+1,1)+(DAY(C215)-1)</f>
        <v/>
      </c>
      <c r="F215" s="20">
        <f>INDEX(Segments!$C$5:$C$12,B215)/100/12</f>
        <v/>
      </c>
      <c r="G215" s="21">
        <f>INDEX(Segments!$L$5:$L$12,B215)</f>
        <v/>
      </c>
      <c r="H215" s="6">
        <f>INDEX(Segments!$I$5:$I$12,B215)="Y"</f>
        <v/>
      </c>
      <c r="I215" s="6">
        <f>INDEX(Segments!$F$5:$F$12,B215)=""</f>
        <v/>
      </c>
      <c r="J215" s="18">
        <f>INDEX(Segments!$K$5:$K$12,B215)</f>
        <v/>
      </c>
      <c r="K215" s="18">
        <f>IF(INDEX(Segments!$F$5:$F$12,B215)&lt;&gt;"",INDEX(Segments!$F$5:$F$12,B215),IF(INDEX(Segments!$E$5:$E$12,B215)&lt;&gt;"",INDEX(Segments!$E$5:$E$12,B215),""))</f>
        <v/>
      </c>
      <c r="L215" s="21">
        <f>AA214</f>
        <v/>
      </c>
      <c r="M215" s="21">
        <f>IFERROR(INDEX(Overrides!$C:$C,MATCH(A215,Overrides!$A:$A,0)),"")</f>
        <v/>
      </c>
      <c r="N215" s="21">
        <f>IFERROR(INDEX(Overrides!$E:$E,MATCH(A215,Overrides!$A:$A,0)),"")</f>
        <v/>
      </c>
      <c r="O215" s="21">
        <f>IFERROR(INDEX(Overrides!$D:$D,MATCH(A215,Overrides!$A:$A,0)),"")</f>
        <v/>
      </c>
      <c r="P215" s="21">
        <f>IFERROR(INDEX(Overrides!$B:$B,MATCH(A215,Overrides!$A:$A,0)),"")</f>
        <v/>
      </c>
      <c r="Q215" s="6">
        <f>IFERROR(INDEX(Overrides!$F:$F,MATCH(A215,Overrides!$A:$A,0)),"")</f>
        <v/>
      </c>
      <c r="R215" s="6">
        <f>ISNUMBER(MATCH(A215,Overrides!$A:$A,0))</f>
        <v/>
      </c>
      <c r="S215" s="6">
        <f>OR(ROUND(L215-ROUND(G215-T215,2),2)&lt;=0,AND(I215,K215&lt;&gt;"",(A215-D215+1)=K215))</f>
        <v/>
      </c>
      <c r="T215" s="21">
        <f>IF(M215&lt;&gt;"",M215,ROUND(L215*F215,2))</f>
        <v/>
      </c>
      <c r="U215" s="21">
        <f>IF(R215,IF(O215&lt;&gt;"",O215,IF(N215&lt;&gt;"",ROUND(L215-N215,2),ROUND((IF(P215&lt;&gt;"",P215,G215))-T215,2))),IF(H215,0,IF(S215,L215,ROUND(G215-T215,2))))</f>
        <v/>
      </c>
      <c r="V215" s="21">
        <f>IF(R215,IF(P215&lt;&gt;"",P215,ROUND(T215+U215,2)),IF(H215,T215,IF(S215,ROUND(T215+U215,2),G215)))</f>
        <v/>
      </c>
      <c r="W215" s="21">
        <f>IF(R215,IF(N215&lt;&gt;"",N215,ROUND(L215-U215,2)),IF(H215,L215,IF(S215,0,ROUND(L215-U215,2))))</f>
        <v/>
      </c>
      <c r="X215" s="21">
        <f>IFERROR(MIN(INDEX(LumpSums!$B:$B,MATCH(A215,LumpSums!$A:$A,0)),W215),0)</f>
        <v/>
      </c>
      <c r="Y215" s="21">
        <f>ROUND(U215+X215,2)</f>
        <v/>
      </c>
      <c r="Z215" s="21">
        <f>ROUND(V215+X215,2)</f>
        <v/>
      </c>
      <c r="AA215" s="21">
        <f>ROUND(W215-X215,2)</f>
        <v/>
      </c>
      <c r="AB215" s="6">
        <f>AND(AB214,L215&gt;0)</f>
        <v/>
      </c>
      <c r="AC215" s="21">
        <f>IF(PMI_Costs!$B$8=0,0,ROUND(PMI_Costs!$B$8*(1+PMI_Costs!$B$9/100)^INT((A215-1)/12)/12,2))</f>
        <v/>
      </c>
      <c r="AD215" s="21">
        <f>IF(PMI_Costs!$B$10=0,0,ROUND(PMI_Costs!$B$10*(1+PMI_Costs!$B$11/100)^INT((A215-1)/12)/12,2))</f>
        <v/>
      </c>
      <c r="AE215" s="21">
        <f>IF(PMI_Costs!$B$12=0,0,ROUND(PMI_Costs!$B$12*(1+PMI_Costs!$B$13/100)^INT((A215-1)/12)/12,2))</f>
        <v/>
      </c>
      <c r="AF215" s="22">
        <f>IF(PMI_Costs!$B$5=0,0,AA215/PMI_Costs!$B$5)</f>
        <v/>
      </c>
      <c r="AG215" s="6">
        <f>AND(PMI_Costs!$B$4&gt;0,AF215&gt;PMI_Costs!$B$6/100)</f>
        <v/>
      </c>
      <c r="AH215" s="21">
        <f>IF(AG215,ROUND(Segments!$G$5*PMI_Costs!$B$4/100/12,2),0)</f>
        <v/>
      </c>
      <c r="AI215" s="6">
        <f>AND(NOT(AG215),AG214)</f>
        <v/>
      </c>
    </row>
    <row r="216">
      <c r="A216" s="18" t="n">
        <v>212</v>
      </c>
      <c r="B216" s="18">
        <f>SUMPRODUCT((Segments!$J$5:$J$12&lt;&gt;"")*(Segments!$J$5:$J$12&lt;=A216))</f>
        <v/>
      </c>
      <c r="C216" s="19">
        <f>INDEX(Segments!$B$5:$B$12,B216)</f>
        <v/>
      </c>
      <c r="D216" s="18">
        <f>INDEX(Segments!$J$5:$J$12,B216)</f>
        <v/>
      </c>
      <c r="E216" s="19">
        <f>DATE(YEAR(C216)+INT((MONTH(C216)-1+(A216-D216))/12),MOD(MONTH(C216)-1+(A216-D216),12)+1,1)+(DAY(C216)-1)</f>
        <v/>
      </c>
      <c r="F216" s="20">
        <f>INDEX(Segments!$C$5:$C$12,B216)/100/12</f>
        <v/>
      </c>
      <c r="G216" s="21">
        <f>INDEX(Segments!$L$5:$L$12,B216)</f>
        <v/>
      </c>
      <c r="H216" s="6">
        <f>INDEX(Segments!$I$5:$I$12,B216)="Y"</f>
        <v/>
      </c>
      <c r="I216" s="6">
        <f>INDEX(Segments!$F$5:$F$12,B216)=""</f>
        <v/>
      </c>
      <c r="J216" s="18">
        <f>INDEX(Segments!$K$5:$K$12,B216)</f>
        <v/>
      </c>
      <c r="K216" s="18">
        <f>IF(INDEX(Segments!$F$5:$F$12,B216)&lt;&gt;"",INDEX(Segments!$F$5:$F$12,B216),IF(INDEX(Segments!$E$5:$E$12,B216)&lt;&gt;"",INDEX(Segments!$E$5:$E$12,B216),""))</f>
        <v/>
      </c>
      <c r="L216" s="21">
        <f>AA215</f>
        <v/>
      </c>
      <c r="M216" s="21">
        <f>IFERROR(INDEX(Overrides!$C:$C,MATCH(A216,Overrides!$A:$A,0)),"")</f>
        <v/>
      </c>
      <c r="N216" s="21">
        <f>IFERROR(INDEX(Overrides!$E:$E,MATCH(A216,Overrides!$A:$A,0)),"")</f>
        <v/>
      </c>
      <c r="O216" s="21">
        <f>IFERROR(INDEX(Overrides!$D:$D,MATCH(A216,Overrides!$A:$A,0)),"")</f>
        <v/>
      </c>
      <c r="P216" s="21">
        <f>IFERROR(INDEX(Overrides!$B:$B,MATCH(A216,Overrides!$A:$A,0)),"")</f>
        <v/>
      </c>
      <c r="Q216" s="6">
        <f>IFERROR(INDEX(Overrides!$F:$F,MATCH(A216,Overrides!$A:$A,0)),"")</f>
        <v/>
      </c>
      <c r="R216" s="6">
        <f>ISNUMBER(MATCH(A216,Overrides!$A:$A,0))</f>
        <v/>
      </c>
      <c r="S216" s="6">
        <f>OR(ROUND(L216-ROUND(G216-T216,2),2)&lt;=0,AND(I216,K216&lt;&gt;"",(A216-D216+1)=K216))</f>
        <v/>
      </c>
      <c r="T216" s="21">
        <f>IF(M216&lt;&gt;"",M216,ROUND(L216*F216,2))</f>
        <v/>
      </c>
      <c r="U216" s="21">
        <f>IF(R216,IF(O216&lt;&gt;"",O216,IF(N216&lt;&gt;"",ROUND(L216-N216,2),ROUND((IF(P216&lt;&gt;"",P216,G216))-T216,2))),IF(H216,0,IF(S216,L216,ROUND(G216-T216,2))))</f>
        <v/>
      </c>
      <c r="V216" s="21">
        <f>IF(R216,IF(P216&lt;&gt;"",P216,ROUND(T216+U216,2)),IF(H216,T216,IF(S216,ROUND(T216+U216,2),G216)))</f>
        <v/>
      </c>
      <c r="W216" s="21">
        <f>IF(R216,IF(N216&lt;&gt;"",N216,ROUND(L216-U216,2)),IF(H216,L216,IF(S216,0,ROUND(L216-U216,2))))</f>
        <v/>
      </c>
      <c r="X216" s="21">
        <f>IFERROR(MIN(INDEX(LumpSums!$B:$B,MATCH(A216,LumpSums!$A:$A,0)),W216),0)</f>
        <v/>
      </c>
      <c r="Y216" s="21">
        <f>ROUND(U216+X216,2)</f>
        <v/>
      </c>
      <c r="Z216" s="21">
        <f>ROUND(V216+X216,2)</f>
        <v/>
      </c>
      <c r="AA216" s="21">
        <f>ROUND(W216-X216,2)</f>
        <v/>
      </c>
      <c r="AB216" s="6">
        <f>AND(AB215,L216&gt;0)</f>
        <v/>
      </c>
      <c r="AC216" s="21">
        <f>IF(PMI_Costs!$B$8=0,0,ROUND(PMI_Costs!$B$8*(1+PMI_Costs!$B$9/100)^INT((A216-1)/12)/12,2))</f>
        <v/>
      </c>
      <c r="AD216" s="21">
        <f>IF(PMI_Costs!$B$10=0,0,ROUND(PMI_Costs!$B$10*(1+PMI_Costs!$B$11/100)^INT((A216-1)/12)/12,2))</f>
        <v/>
      </c>
      <c r="AE216" s="21">
        <f>IF(PMI_Costs!$B$12=0,0,ROUND(PMI_Costs!$B$12*(1+PMI_Costs!$B$13/100)^INT((A216-1)/12)/12,2))</f>
        <v/>
      </c>
      <c r="AF216" s="22">
        <f>IF(PMI_Costs!$B$5=0,0,AA216/PMI_Costs!$B$5)</f>
        <v/>
      </c>
      <c r="AG216" s="6">
        <f>AND(PMI_Costs!$B$4&gt;0,AF216&gt;PMI_Costs!$B$6/100)</f>
        <v/>
      </c>
      <c r="AH216" s="21">
        <f>IF(AG216,ROUND(Segments!$G$5*PMI_Costs!$B$4/100/12,2),0)</f>
        <v/>
      </c>
      <c r="AI216" s="6">
        <f>AND(NOT(AG216),AG215)</f>
        <v/>
      </c>
    </row>
    <row r="217">
      <c r="A217" s="18" t="n">
        <v>213</v>
      </c>
      <c r="B217" s="18">
        <f>SUMPRODUCT((Segments!$J$5:$J$12&lt;&gt;"")*(Segments!$J$5:$J$12&lt;=A217))</f>
        <v/>
      </c>
      <c r="C217" s="19">
        <f>INDEX(Segments!$B$5:$B$12,B217)</f>
        <v/>
      </c>
      <c r="D217" s="18">
        <f>INDEX(Segments!$J$5:$J$12,B217)</f>
        <v/>
      </c>
      <c r="E217" s="19">
        <f>DATE(YEAR(C217)+INT((MONTH(C217)-1+(A217-D217))/12),MOD(MONTH(C217)-1+(A217-D217),12)+1,1)+(DAY(C217)-1)</f>
        <v/>
      </c>
      <c r="F217" s="20">
        <f>INDEX(Segments!$C$5:$C$12,B217)/100/12</f>
        <v/>
      </c>
      <c r="G217" s="21">
        <f>INDEX(Segments!$L$5:$L$12,B217)</f>
        <v/>
      </c>
      <c r="H217" s="6">
        <f>INDEX(Segments!$I$5:$I$12,B217)="Y"</f>
        <v/>
      </c>
      <c r="I217" s="6">
        <f>INDEX(Segments!$F$5:$F$12,B217)=""</f>
        <v/>
      </c>
      <c r="J217" s="18">
        <f>INDEX(Segments!$K$5:$K$12,B217)</f>
        <v/>
      </c>
      <c r="K217" s="18">
        <f>IF(INDEX(Segments!$F$5:$F$12,B217)&lt;&gt;"",INDEX(Segments!$F$5:$F$12,B217),IF(INDEX(Segments!$E$5:$E$12,B217)&lt;&gt;"",INDEX(Segments!$E$5:$E$12,B217),""))</f>
        <v/>
      </c>
      <c r="L217" s="21">
        <f>AA216</f>
        <v/>
      </c>
      <c r="M217" s="21">
        <f>IFERROR(INDEX(Overrides!$C:$C,MATCH(A217,Overrides!$A:$A,0)),"")</f>
        <v/>
      </c>
      <c r="N217" s="21">
        <f>IFERROR(INDEX(Overrides!$E:$E,MATCH(A217,Overrides!$A:$A,0)),"")</f>
        <v/>
      </c>
      <c r="O217" s="21">
        <f>IFERROR(INDEX(Overrides!$D:$D,MATCH(A217,Overrides!$A:$A,0)),"")</f>
        <v/>
      </c>
      <c r="P217" s="21">
        <f>IFERROR(INDEX(Overrides!$B:$B,MATCH(A217,Overrides!$A:$A,0)),"")</f>
        <v/>
      </c>
      <c r="Q217" s="6">
        <f>IFERROR(INDEX(Overrides!$F:$F,MATCH(A217,Overrides!$A:$A,0)),"")</f>
        <v/>
      </c>
      <c r="R217" s="6">
        <f>ISNUMBER(MATCH(A217,Overrides!$A:$A,0))</f>
        <v/>
      </c>
      <c r="S217" s="6">
        <f>OR(ROUND(L217-ROUND(G217-T217,2),2)&lt;=0,AND(I217,K217&lt;&gt;"",(A217-D217+1)=K217))</f>
        <v/>
      </c>
      <c r="T217" s="21">
        <f>IF(M217&lt;&gt;"",M217,ROUND(L217*F217,2))</f>
        <v/>
      </c>
      <c r="U217" s="21">
        <f>IF(R217,IF(O217&lt;&gt;"",O217,IF(N217&lt;&gt;"",ROUND(L217-N217,2),ROUND((IF(P217&lt;&gt;"",P217,G217))-T217,2))),IF(H217,0,IF(S217,L217,ROUND(G217-T217,2))))</f>
        <v/>
      </c>
      <c r="V217" s="21">
        <f>IF(R217,IF(P217&lt;&gt;"",P217,ROUND(T217+U217,2)),IF(H217,T217,IF(S217,ROUND(T217+U217,2),G217)))</f>
        <v/>
      </c>
      <c r="W217" s="21">
        <f>IF(R217,IF(N217&lt;&gt;"",N217,ROUND(L217-U217,2)),IF(H217,L217,IF(S217,0,ROUND(L217-U217,2))))</f>
        <v/>
      </c>
      <c r="X217" s="21">
        <f>IFERROR(MIN(INDEX(LumpSums!$B:$B,MATCH(A217,LumpSums!$A:$A,0)),W217),0)</f>
        <v/>
      </c>
      <c r="Y217" s="21">
        <f>ROUND(U217+X217,2)</f>
        <v/>
      </c>
      <c r="Z217" s="21">
        <f>ROUND(V217+X217,2)</f>
        <v/>
      </c>
      <c r="AA217" s="21">
        <f>ROUND(W217-X217,2)</f>
        <v/>
      </c>
      <c r="AB217" s="6">
        <f>AND(AB216,L217&gt;0)</f>
        <v/>
      </c>
      <c r="AC217" s="21">
        <f>IF(PMI_Costs!$B$8=0,0,ROUND(PMI_Costs!$B$8*(1+PMI_Costs!$B$9/100)^INT((A217-1)/12)/12,2))</f>
        <v/>
      </c>
      <c r="AD217" s="21">
        <f>IF(PMI_Costs!$B$10=0,0,ROUND(PMI_Costs!$B$10*(1+PMI_Costs!$B$11/100)^INT((A217-1)/12)/12,2))</f>
        <v/>
      </c>
      <c r="AE217" s="21">
        <f>IF(PMI_Costs!$B$12=0,0,ROUND(PMI_Costs!$B$12*(1+PMI_Costs!$B$13/100)^INT((A217-1)/12)/12,2))</f>
        <v/>
      </c>
      <c r="AF217" s="22">
        <f>IF(PMI_Costs!$B$5=0,0,AA217/PMI_Costs!$B$5)</f>
        <v/>
      </c>
      <c r="AG217" s="6">
        <f>AND(PMI_Costs!$B$4&gt;0,AF217&gt;PMI_Costs!$B$6/100)</f>
        <v/>
      </c>
      <c r="AH217" s="21">
        <f>IF(AG217,ROUND(Segments!$G$5*PMI_Costs!$B$4/100/12,2),0)</f>
        <v/>
      </c>
      <c r="AI217" s="6">
        <f>AND(NOT(AG217),AG216)</f>
        <v/>
      </c>
    </row>
    <row r="218">
      <c r="A218" s="18" t="n">
        <v>214</v>
      </c>
      <c r="B218" s="18">
        <f>SUMPRODUCT((Segments!$J$5:$J$12&lt;&gt;"")*(Segments!$J$5:$J$12&lt;=A218))</f>
        <v/>
      </c>
      <c r="C218" s="19">
        <f>INDEX(Segments!$B$5:$B$12,B218)</f>
        <v/>
      </c>
      <c r="D218" s="18">
        <f>INDEX(Segments!$J$5:$J$12,B218)</f>
        <v/>
      </c>
      <c r="E218" s="19">
        <f>DATE(YEAR(C218)+INT((MONTH(C218)-1+(A218-D218))/12),MOD(MONTH(C218)-1+(A218-D218),12)+1,1)+(DAY(C218)-1)</f>
        <v/>
      </c>
      <c r="F218" s="20">
        <f>INDEX(Segments!$C$5:$C$12,B218)/100/12</f>
        <v/>
      </c>
      <c r="G218" s="21">
        <f>INDEX(Segments!$L$5:$L$12,B218)</f>
        <v/>
      </c>
      <c r="H218" s="6">
        <f>INDEX(Segments!$I$5:$I$12,B218)="Y"</f>
        <v/>
      </c>
      <c r="I218" s="6">
        <f>INDEX(Segments!$F$5:$F$12,B218)=""</f>
        <v/>
      </c>
      <c r="J218" s="18">
        <f>INDEX(Segments!$K$5:$K$12,B218)</f>
        <v/>
      </c>
      <c r="K218" s="18">
        <f>IF(INDEX(Segments!$F$5:$F$12,B218)&lt;&gt;"",INDEX(Segments!$F$5:$F$12,B218),IF(INDEX(Segments!$E$5:$E$12,B218)&lt;&gt;"",INDEX(Segments!$E$5:$E$12,B218),""))</f>
        <v/>
      </c>
      <c r="L218" s="21">
        <f>AA217</f>
        <v/>
      </c>
      <c r="M218" s="21">
        <f>IFERROR(INDEX(Overrides!$C:$C,MATCH(A218,Overrides!$A:$A,0)),"")</f>
        <v/>
      </c>
      <c r="N218" s="21">
        <f>IFERROR(INDEX(Overrides!$E:$E,MATCH(A218,Overrides!$A:$A,0)),"")</f>
        <v/>
      </c>
      <c r="O218" s="21">
        <f>IFERROR(INDEX(Overrides!$D:$D,MATCH(A218,Overrides!$A:$A,0)),"")</f>
        <v/>
      </c>
      <c r="P218" s="21">
        <f>IFERROR(INDEX(Overrides!$B:$B,MATCH(A218,Overrides!$A:$A,0)),"")</f>
        <v/>
      </c>
      <c r="Q218" s="6">
        <f>IFERROR(INDEX(Overrides!$F:$F,MATCH(A218,Overrides!$A:$A,0)),"")</f>
        <v/>
      </c>
      <c r="R218" s="6">
        <f>ISNUMBER(MATCH(A218,Overrides!$A:$A,0))</f>
        <v/>
      </c>
      <c r="S218" s="6">
        <f>OR(ROUND(L218-ROUND(G218-T218,2),2)&lt;=0,AND(I218,K218&lt;&gt;"",(A218-D218+1)=K218))</f>
        <v/>
      </c>
      <c r="T218" s="21">
        <f>IF(M218&lt;&gt;"",M218,ROUND(L218*F218,2))</f>
        <v/>
      </c>
      <c r="U218" s="21">
        <f>IF(R218,IF(O218&lt;&gt;"",O218,IF(N218&lt;&gt;"",ROUND(L218-N218,2),ROUND((IF(P218&lt;&gt;"",P218,G218))-T218,2))),IF(H218,0,IF(S218,L218,ROUND(G218-T218,2))))</f>
        <v/>
      </c>
      <c r="V218" s="21">
        <f>IF(R218,IF(P218&lt;&gt;"",P218,ROUND(T218+U218,2)),IF(H218,T218,IF(S218,ROUND(T218+U218,2),G218)))</f>
        <v/>
      </c>
      <c r="W218" s="21">
        <f>IF(R218,IF(N218&lt;&gt;"",N218,ROUND(L218-U218,2)),IF(H218,L218,IF(S218,0,ROUND(L218-U218,2))))</f>
        <v/>
      </c>
      <c r="X218" s="21">
        <f>IFERROR(MIN(INDEX(LumpSums!$B:$B,MATCH(A218,LumpSums!$A:$A,0)),W218),0)</f>
        <v/>
      </c>
      <c r="Y218" s="21">
        <f>ROUND(U218+X218,2)</f>
        <v/>
      </c>
      <c r="Z218" s="21">
        <f>ROUND(V218+X218,2)</f>
        <v/>
      </c>
      <c r="AA218" s="21">
        <f>ROUND(W218-X218,2)</f>
        <v/>
      </c>
      <c r="AB218" s="6">
        <f>AND(AB217,L218&gt;0)</f>
        <v/>
      </c>
      <c r="AC218" s="21">
        <f>IF(PMI_Costs!$B$8=0,0,ROUND(PMI_Costs!$B$8*(1+PMI_Costs!$B$9/100)^INT((A218-1)/12)/12,2))</f>
        <v/>
      </c>
      <c r="AD218" s="21">
        <f>IF(PMI_Costs!$B$10=0,0,ROUND(PMI_Costs!$B$10*(1+PMI_Costs!$B$11/100)^INT((A218-1)/12)/12,2))</f>
        <v/>
      </c>
      <c r="AE218" s="21">
        <f>IF(PMI_Costs!$B$12=0,0,ROUND(PMI_Costs!$B$12*(1+PMI_Costs!$B$13/100)^INT((A218-1)/12)/12,2))</f>
        <v/>
      </c>
      <c r="AF218" s="22">
        <f>IF(PMI_Costs!$B$5=0,0,AA218/PMI_Costs!$B$5)</f>
        <v/>
      </c>
      <c r="AG218" s="6">
        <f>AND(PMI_Costs!$B$4&gt;0,AF218&gt;PMI_Costs!$B$6/100)</f>
        <v/>
      </c>
      <c r="AH218" s="21">
        <f>IF(AG218,ROUND(Segments!$G$5*PMI_Costs!$B$4/100/12,2),0)</f>
        <v/>
      </c>
      <c r="AI218" s="6">
        <f>AND(NOT(AG218),AG217)</f>
        <v/>
      </c>
    </row>
    <row r="219">
      <c r="A219" s="18" t="n">
        <v>215</v>
      </c>
      <c r="B219" s="18">
        <f>SUMPRODUCT((Segments!$J$5:$J$12&lt;&gt;"")*(Segments!$J$5:$J$12&lt;=A219))</f>
        <v/>
      </c>
      <c r="C219" s="19">
        <f>INDEX(Segments!$B$5:$B$12,B219)</f>
        <v/>
      </c>
      <c r="D219" s="18">
        <f>INDEX(Segments!$J$5:$J$12,B219)</f>
        <v/>
      </c>
      <c r="E219" s="19">
        <f>DATE(YEAR(C219)+INT((MONTH(C219)-1+(A219-D219))/12),MOD(MONTH(C219)-1+(A219-D219),12)+1,1)+(DAY(C219)-1)</f>
        <v/>
      </c>
      <c r="F219" s="20">
        <f>INDEX(Segments!$C$5:$C$12,B219)/100/12</f>
        <v/>
      </c>
      <c r="G219" s="21">
        <f>INDEX(Segments!$L$5:$L$12,B219)</f>
        <v/>
      </c>
      <c r="H219" s="6">
        <f>INDEX(Segments!$I$5:$I$12,B219)="Y"</f>
        <v/>
      </c>
      <c r="I219" s="6">
        <f>INDEX(Segments!$F$5:$F$12,B219)=""</f>
        <v/>
      </c>
      <c r="J219" s="18">
        <f>INDEX(Segments!$K$5:$K$12,B219)</f>
        <v/>
      </c>
      <c r="K219" s="18">
        <f>IF(INDEX(Segments!$F$5:$F$12,B219)&lt;&gt;"",INDEX(Segments!$F$5:$F$12,B219),IF(INDEX(Segments!$E$5:$E$12,B219)&lt;&gt;"",INDEX(Segments!$E$5:$E$12,B219),""))</f>
        <v/>
      </c>
      <c r="L219" s="21">
        <f>AA218</f>
        <v/>
      </c>
      <c r="M219" s="21">
        <f>IFERROR(INDEX(Overrides!$C:$C,MATCH(A219,Overrides!$A:$A,0)),"")</f>
        <v/>
      </c>
      <c r="N219" s="21">
        <f>IFERROR(INDEX(Overrides!$E:$E,MATCH(A219,Overrides!$A:$A,0)),"")</f>
        <v/>
      </c>
      <c r="O219" s="21">
        <f>IFERROR(INDEX(Overrides!$D:$D,MATCH(A219,Overrides!$A:$A,0)),"")</f>
        <v/>
      </c>
      <c r="P219" s="21">
        <f>IFERROR(INDEX(Overrides!$B:$B,MATCH(A219,Overrides!$A:$A,0)),"")</f>
        <v/>
      </c>
      <c r="Q219" s="6">
        <f>IFERROR(INDEX(Overrides!$F:$F,MATCH(A219,Overrides!$A:$A,0)),"")</f>
        <v/>
      </c>
      <c r="R219" s="6">
        <f>ISNUMBER(MATCH(A219,Overrides!$A:$A,0))</f>
        <v/>
      </c>
      <c r="S219" s="6">
        <f>OR(ROUND(L219-ROUND(G219-T219,2),2)&lt;=0,AND(I219,K219&lt;&gt;"",(A219-D219+1)=K219))</f>
        <v/>
      </c>
      <c r="T219" s="21">
        <f>IF(M219&lt;&gt;"",M219,ROUND(L219*F219,2))</f>
        <v/>
      </c>
      <c r="U219" s="21">
        <f>IF(R219,IF(O219&lt;&gt;"",O219,IF(N219&lt;&gt;"",ROUND(L219-N219,2),ROUND((IF(P219&lt;&gt;"",P219,G219))-T219,2))),IF(H219,0,IF(S219,L219,ROUND(G219-T219,2))))</f>
        <v/>
      </c>
      <c r="V219" s="21">
        <f>IF(R219,IF(P219&lt;&gt;"",P219,ROUND(T219+U219,2)),IF(H219,T219,IF(S219,ROUND(T219+U219,2),G219)))</f>
        <v/>
      </c>
      <c r="W219" s="21">
        <f>IF(R219,IF(N219&lt;&gt;"",N219,ROUND(L219-U219,2)),IF(H219,L219,IF(S219,0,ROUND(L219-U219,2))))</f>
        <v/>
      </c>
      <c r="X219" s="21">
        <f>IFERROR(MIN(INDEX(LumpSums!$B:$B,MATCH(A219,LumpSums!$A:$A,0)),W219),0)</f>
        <v/>
      </c>
      <c r="Y219" s="21">
        <f>ROUND(U219+X219,2)</f>
        <v/>
      </c>
      <c r="Z219" s="21">
        <f>ROUND(V219+X219,2)</f>
        <v/>
      </c>
      <c r="AA219" s="21">
        <f>ROUND(W219-X219,2)</f>
        <v/>
      </c>
      <c r="AB219" s="6">
        <f>AND(AB218,L219&gt;0)</f>
        <v/>
      </c>
      <c r="AC219" s="21">
        <f>IF(PMI_Costs!$B$8=0,0,ROUND(PMI_Costs!$B$8*(1+PMI_Costs!$B$9/100)^INT((A219-1)/12)/12,2))</f>
        <v/>
      </c>
      <c r="AD219" s="21">
        <f>IF(PMI_Costs!$B$10=0,0,ROUND(PMI_Costs!$B$10*(1+PMI_Costs!$B$11/100)^INT((A219-1)/12)/12,2))</f>
        <v/>
      </c>
      <c r="AE219" s="21">
        <f>IF(PMI_Costs!$B$12=0,0,ROUND(PMI_Costs!$B$12*(1+PMI_Costs!$B$13/100)^INT((A219-1)/12)/12,2))</f>
        <v/>
      </c>
      <c r="AF219" s="22">
        <f>IF(PMI_Costs!$B$5=0,0,AA219/PMI_Costs!$B$5)</f>
        <v/>
      </c>
      <c r="AG219" s="6">
        <f>AND(PMI_Costs!$B$4&gt;0,AF219&gt;PMI_Costs!$B$6/100)</f>
        <v/>
      </c>
      <c r="AH219" s="21">
        <f>IF(AG219,ROUND(Segments!$G$5*PMI_Costs!$B$4/100/12,2),0)</f>
        <v/>
      </c>
      <c r="AI219" s="6">
        <f>AND(NOT(AG219),AG218)</f>
        <v/>
      </c>
    </row>
    <row r="220">
      <c r="A220" s="18" t="n">
        <v>216</v>
      </c>
      <c r="B220" s="18">
        <f>SUMPRODUCT((Segments!$J$5:$J$12&lt;&gt;"")*(Segments!$J$5:$J$12&lt;=A220))</f>
        <v/>
      </c>
      <c r="C220" s="19">
        <f>INDEX(Segments!$B$5:$B$12,B220)</f>
        <v/>
      </c>
      <c r="D220" s="18">
        <f>INDEX(Segments!$J$5:$J$12,B220)</f>
        <v/>
      </c>
      <c r="E220" s="19">
        <f>DATE(YEAR(C220)+INT((MONTH(C220)-1+(A220-D220))/12),MOD(MONTH(C220)-1+(A220-D220),12)+1,1)+(DAY(C220)-1)</f>
        <v/>
      </c>
      <c r="F220" s="20">
        <f>INDEX(Segments!$C$5:$C$12,B220)/100/12</f>
        <v/>
      </c>
      <c r="G220" s="21">
        <f>INDEX(Segments!$L$5:$L$12,B220)</f>
        <v/>
      </c>
      <c r="H220" s="6">
        <f>INDEX(Segments!$I$5:$I$12,B220)="Y"</f>
        <v/>
      </c>
      <c r="I220" s="6">
        <f>INDEX(Segments!$F$5:$F$12,B220)=""</f>
        <v/>
      </c>
      <c r="J220" s="18">
        <f>INDEX(Segments!$K$5:$K$12,B220)</f>
        <v/>
      </c>
      <c r="K220" s="18">
        <f>IF(INDEX(Segments!$F$5:$F$12,B220)&lt;&gt;"",INDEX(Segments!$F$5:$F$12,B220),IF(INDEX(Segments!$E$5:$E$12,B220)&lt;&gt;"",INDEX(Segments!$E$5:$E$12,B220),""))</f>
        <v/>
      </c>
      <c r="L220" s="21">
        <f>AA219</f>
        <v/>
      </c>
      <c r="M220" s="21">
        <f>IFERROR(INDEX(Overrides!$C:$C,MATCH(A220,Overrides!$A:$A,0)),"")</f>
        <v/>
      </c>
      <c r="N220" s="21">
        <f>IFERROR(INDEX(Overrides!$E:$E,MATCH(A220,Overrides!$A:$A,0)),"")</f>
        <v/>
      </c>
      <c r="O220" s="21">
        <f>IFERROR(INDEX(Overrides!$D:$D,MATCH(A220,Overrides!$A:$A,0)),"")</f>
        <v/>
      </c>
      <c r="P220" s="21">
        <f>IFERROR(INDEX(Overrides!$B:$B,MATCH(A220,Overrides!$A:$A,0)),"")</f>
        <v/>
      </c>
      <c r="Q220" s="6">
        <f>IFERROR(INDEX(Overrides!$F:$F,MATCH(A220,Overrides!$A:$A,0)),"")</f>
        <v/>
      </c>
      <c r="R220" s="6">
        <f>ISNUMBER(MATCH(A220,Overrides!$A:$A,0))</f>
        <v/>
      </c>
      <c r="S220" s="6">
        <f>OR(ROUND(L220-ROUND(G220-T220,2),2)&lt;=0,AND(I220,K220&lt;&gt;"",(A220-D220+1)=K220))</f>
        <v/>
      </c>
      <c r="T220" s="21">
        <f>IF(M220&lt;&gt;"",M220,ROUND(L220*F220,2))</f>
        <v/>
      </c>
      <c r="U220" s="21">
        <f>IF(R220,IF(O220&lt;&gt;"",O220,IF(N220&lt;&gt;"",ROUND(L220-N220,2),ROUND((IF(P220&lt;&gt;"",P220,G220))-T220,2))),IF(H220,0,IF(S220,L220,ROUND(G220-T220,2))))</f>
        <v/>
      </c>
      <c r="V220" s="21">
        <f>IF(R220,IF(P220&lt;&gt;"",P220,ROUND(T220+U220,2)),IF(H220,T220,IF(S220,ROUND(T220+U220,2),G220)))</f>
        <v/>
      </c>
      <c r="W220" s="21">
        <f>IF(R220,IF(N220&lt;&gt;"",N220,ROUND(L220-U220,2)),IF(H220,L220,IF(S220,0,ROUND(L220-U220,2))))</f>
        <v/>
      </c>
      <c r="X220" s="21">
        <f>IFERROR(MIN(INDEX(LumpSums!$B:$B,MATCH(A220,LumpSums!$A:$A,0)),W220),0)</f>
        <v/>
      </c>
      <c r="Y220" s="21">
        <f>ROUND(U220+X220,2)</f>
        <v/>
      </c>
      <c r="Z220" s="21">
        <f>ROUND(V220+X220,2)</f>
        <v/>
      </c>
      <c r="AA220" s="21">
        <f>ROUND(W220-X220,2)</f>
        <v/>
      </c>
      <c r="AB220" s="6">
        <f>AND(AB219,L220&gt;0)</f>
        <v/>
      </c>
      <c r="AC220" s="21">
        <f>IF(PMI_Costs!$B$8=0,0,ROUND(PMI_Costs!$B$8*(1+PMI_Costs!$B$9/100)^INT((A220-1)/12)/12,2))</f>
        <v/>
      </c>
      <c r="AD220" s="21">
        <f>IF(PMI_Costs!$B$10=0,0,ROUND(PMI_Costs!$B$10*(1+PMI_Costs!$B$11/100)^INT((A220-1)/12)/12,2))</f>
        <v/>
      </c>
      <c r="AE220" s="21">
        <f>IF(PMI_Costs!$B$12=0,0,ROUND(PMI_Costs!$B$12*(1+PMI_Costs!$B$13/100)^INT((A220-1)/12)/12,2))</f>
        <v/>
      </c>
      <c r="AF220" s="22">
        <f>IF(PMI_Costs!$B$5=0,0,AA220/PMI_Costs!$B$5)</f>
        <v/>
      </c>
      <c r="AG220" s="6">
        <f>AND(PMI_Costs!$B$4&gt;0,AF220&gt;PMI_Costs!$B$6/100)</f>
        <v/>
      </c>
      <c r="AH220" s="21">
        <f>IF(AG220,ROUND(Segments!$G$5*PMI_Costs!$B$4/100/12,2),0)</f>
        <v/>
      </c>
      <c r="AI220" s="6">
        <f>AND(NOT(AG220),AG219)</f>
        <v/>
      </c>
    </row>
    <row r="221">
      <c r="A221" s="18" t="n">
        <v>217</v>
      </c>
      <c r="B221" s="18">
        <f>SUMPRODUCT((Segments!$J$5:$J$12&lt;&gt;"")*(Segments!$J$5:$J$12&lt;=A221))</f>
        <v/>
      </c>
      <c r="C221" s="19">
        <f>INDEX(Segments!$B$5:$B$12,B221)</f>
        <v/>
      </c>
      <c r="D221" s="18">
        <f>INDEX(Segments!$J$5:$J$12,B221)</f>
        <v/>
      </c>
      <c r="E221" s="19">
        <f>DATE(YEAR(C221)+INT((MONTH(C221)-1+(A221-D221))/12),MOD(MONTH(C221)-1+(A221-D221),12)+1,1)+(DAY(C221)-1)</f>
        <v/>
      </c>
      <c r="F221" s="20">
        <f>INDEX(Segments!$C$5:$C$12,B221)/100/12</f>
        <v/>
      </c>
      <c r="G221" s="21">
        <f>INDEX(Segments!$L$5:$L$12,B221)</f>
        <v/>
      </c>
      <c r="H221" s="6">
        <f>INDEX(Segments!$I$5:$I$12,B221)="Y"</f>
        <v/>
      </c>
      <c r="I221" s="6">
        <f>INDEX(Segments!$F$5:$F$12,B221)=""</f>
        <v/>
      </c>
      <c r="J221" s="18">
        <f>INDEX(Segments!$K$5:$K$12,B221)</f>
        <v/>
      </c>
      <c r="K221" s="18">
        <f>IF(INDEX(Segments!$F$5:$F$12,B221)&lt;&gt;"",INDEX(Segments!$F$5:$F$12,B221),IF(INDEX(Segments!$E$5:$E$12,B221)&lt;&gt;"",INDEX(Segments!$E$5:$E$12,B221),""))</f>
        <v/>
      </c>
      <c r="L221" s="21">
        <f>AA220</f>
        <v/>
      </c>
      <c r="M221" s="21">
        <f>IFERROR(INDEX(Overrides!$C:$C,MATCH(A221,Overrides!$A:$A,0)),"")</f>
        <v/>
      </c>
      <c r="N221" s="21">
        <f>IFERROR(INDEX(Overrides!$E:$E,MATCH(A221,Overrides!$A:$A,0)),"")</f>
        <v/>
      </c>
      <c r="O221" s="21">
        <f>IFERROR(INDEX(Overrides!$D:$D,MATCH(A221,Overrides!$A:$A,0)),"")</f>
        <v/>
      </c>
      <c r="P221" s="21">
        <f>IFERROR(INDEX(Overrides!$B:$B,MATCH(A221,Overrides!$A:$A,0)),"")</f>
        <v/>
      </c>
      <c r="Q221" s="6">
        <f>IFERROR(INDEX(Overrides!$F:$F,MATCH(A221,Overrides!$A:$A,0)),"")</f>
        <v/>
      </c>
      <c r="R221" s="6">
        <f>ISNUMBER(MATCH(A221,Overrides!$A:$A,0))</f>
        <v/>
      </c>
      <c r="S221" s="6">
        <f>OR(ROUND(L221-ROUND(G221-T221,2),2)&lt;=0,AND(I221,K221&lt;&gt;"",(A221-D221+1)=K221))</f>
        <v/>
      </c>
      <c r="T221" s="21">
        <f>IF(M221&lt;&gt;"",M221,ROUND(L221*F221,2))</f>
        <v/>
      </c>
      <c r="U221" s="21">
        <f>IF(R221,IF(O221&lt;&gt;"",O221,IF(N221&lt;&gt;"",ROUND(L221-N221,2),ROUND((IF(P221&lt;&gt;"",P221,G221))-T221,2))),IF(H221,0,IF(S221,L221,ROUND(G221-T221,2))))</f>
        <v/>
      </c>
      <c r="V221" s="21">
        <f>IF(R221,IF(P221&lt;&gt;"",P221,ROUND(T221+U221,2)),IF(H221,T221,IF(S221,ROUND(T221+U221,2),G221)))</f>
        <v/>
      </c>
      <c r="W221" s="21">
        <f>IF(R221,IF(N221&lt;&gt;"",N221,ROUND(L221-U221,2)),IF(H221,L221,IF(S221,0,ROUND(L221-U221,2))))</f>
        <v/>
      </c>
      <c r="X221" s="21">
        <f>IFERROR(MIN(INDEX(LumpSums!$B:$B,MATCH(A221,LumpSums!$A:$A,0)),W221),0)</f>
        <v/>
      </c>
      <c r="Y221" s="21">
        <f>ROUND(U221+X221,2)</f>
        <v/>
      </c>
      <c r="Z221" s="21">
        <f>ROUND(V221+X221,2)</f>
        <v/>
      </c>
      <c r="AA221" s="21">
        <f>ROUND(W221-X221,2)</f>
        <v/>
      </c>
      <c r="AB221" s="6">
        <f>AND(AB220,L221&gt;0)</f>
        <v/>
      </c>
      <c r="AC221" s="21">
        <f>IF(PMI_Costs!$B$8=0,0,ROUND(PMI_Costs!$B$8*(1+PMI_Costs!$B$9/100)^INT((A221-1)/12)/12,2))</f>
        <v/>
      </c>
      <c r="AD221" s="21">
        <f>IF(PMI_Costs!$B$10=0,0,ROUND(PMI_Costs!$B$10*(1+PMI_Costs!$B$11/100)^INT((A221-1)/12)/12,2))</f>
        <v/>
      </c>
      <c r="AE221" s="21">
        <f>IF(PMI_Costs!$B$12=0,0,ROUND(PMI_Costs!$B$12*(1+PMI_Costs!$B$13/100)^INT((A221-1)/12)/12,2))</f>
        <v/>
      </c>
      <c r="AF221" s="22">
        <f>IF(PMI_Costs!$B$5=0,0,AA221/PMI_Costs!$B$5)</f>
        <v/>
      </c>
      <c r="AG221" s="6">
        <f>AND(PMI_Costs!$B$4&gt;0,AF221&gt;PMI_Costs!$B$6/100)</f>
        <v/>
      </c>
      <c r="AH221" s="21">
        <f>IF(AG221,ROUND(Segments!$G$5*PMI_Costs!$B$4/100/12,2),0)</f>
        <v/>
      </c>
      <c r="AI221" s="6">
        <f>AND(NOT(AG221),AG220)</f>
        <v/>
      </c>
    </row>
    <row r="222">
      <c r="A222" s="18" t="n">
        <v>218</v>
      </c>
      <c r="B222" s="18">
        <f>SUMPRODUCT((Segments!$J$5:$J$12&lt;&gt;"")*(Segments!$J$5:$J$12&lt;=A222))</f>
        <v/>
      </c>
      <c r="C222" s="19">
        <f>INDEX(Segments!$B$5:$B$12,B222)</f>
        <v/>
      </c>
      <c r="D222" s="18">
        <f>INDEX(Segments!$J$5:$J$12,B222)</f>
        <v/>
      </c>
      <c r="E222" s="19">
        <f>DATE(YEAR(C222)+INT((MONTH(C222)-1+(A222-D222))/12),MOD(MONTH(C222)-1+(A222-D222),12)+1,1)+(DAY(C222)-1)</f>
        <v/>
      </c>
      <c r="F222" s="20">
        <f>INDEX(Segments!$C$5:$C$12,B222)/100/12</f>
        <v/>
      </c>
      <c r="G222" s="21">
        <f>INDEX(Segments!$L$5:$L$12,B222)</f>
        <v/>
      </c>
      <c r="H222" s="6">
        <f>INDEX(Segments!$I$5:$I$12,B222)="Y"</f>
        <v/>
      </c>
      <c r="I222" s="6">
        <f>INDEX(Segments!$F$5:$F$12,B222)=""</f>
        <v/>
      </c>
      <c r="J222" s="18">
        <f>INDEX(Segments!$K$5:$K$12,B222)</f>
        <v/>
      </c>
      <c r="K222" s="18">
        <f>IF(INDEX(Segments!$F$5:$F$12,B222)&lt;&gt;"",INDEX(Segments!$F$5:$F$12,B222),IF(INDEX(Segments!$E$5:$E$12,B222)&lt;&gt;"",INDEX(Segments!$E$5:$E$12,B222),""))</f>
        <v/>
      </c>
      <c r="L222" s="21">
        <f>AA221</f>
        <v/>
      </c>
      <c r="M222" s="21">
        <f>IFERROR(INDEX(Overrides!$C:$C,MATCH(A222,Overrides!$A:$A,0)),"")</f>
        <v/>
      </c>
      <c r="N222" s="21">
        <f>IFERROR(INDEX(Overrides!$E:$E,MATCH(A222,Overrides!$A:$A,0)),"")</f>
        <v/>
      </c>
      <c r="O222" s="21">
        <f>IFERROR(INDEX(Overrides!$D:$D,MATCH(A222,Overrides!$A:$A,0)),"")</f>
        <v/>
      </c>
      <c r="P222" s="21">
        <f>IFERROR(INDEX(Overrides!$B:$B,MATCH(A222,Overrides!$A:$A,0)),"")</f>
        <v/>
      </c>
      <c r="Q222" s="6">
        <f>IFERROR(INDEX(Overrides!$F:$F,MATCH(A222,Overrides!$A:$A,0)),"")</f>
        <v/>
      </c>
      <c r="R222" s="6">
        <f>ISNUMBER(MATCH(A222,Overrides!$A:$A,0))</f>
        <v/>
      </c>
      <c r="S222" s="6">
        <f>OR(ROUND(L222-ROUND(G222-T222,2),2)&lt;=0,AND(I222,K222&lt;&gt;"",(A222-D222+1)=K222))</f>
        <v/>
      </c>
      <c r="T222" s="21">
        <f>IF(M222&lt;&gt;"",M222,ROUND(L222*F222,2))</f>
        <v/>
      </c>
      <c r="U222" s="21">
        <f>IF(R222,IF(O222&lt;&gt;"",O222,IF(N222&lt;&gt;"",ROUND(L222-N222,2),ROUND((IF(P222&lt;&gt;"",P222,G222))-T222,2))),IF(H222,0,IF(S222,L222,ROUND(G222-T222,2))))</f>
        <v/>
      </c>
      <c r="V222" s="21">
        <f>IF(R222,IF(P222&lt;&gt;"",P222,ROUND(T222+U222,2)),IF(H222,T222,IF(S222,ROUND(T222+U222,2),G222)))</f>
        <v/>
      </c>
      <c r="W222" s="21">
        <f>IF(R222,IF(N222&lt;&gt;"",N222,ROUND(L222-U222,2)),IF(H222,L222,IF(S222,0,ROUND(L222-U222,2))))</f>
        <v/>
      </c>
      <c r="X222" s="21">
        <f>IFERROR(MIN(INDEX(LumpSums!$B:$B,MATCH(A222,LumpSums!$A:$A,0)),W222),0)</f>
        <v/>
      </c>
      <c r="Y222" s="21">
        <f>ROUND(U222+X222,2)</f>
        <v/>
      </c>
      <c r="Z222" s="21">
        <f>ROUND(V222+X222,2)</f>
        <v/>
      </c>
      <c r="AA222" s="21">
        <f>ROUND(W222-X222,2)</f>
        <v/>
      </c>
      <c r="AB222" s="6">
        <f>AND(AB221,L222&gt;0)</f>
        <v/>
      </c>
      <c r="AC222" s="21">
        <f>IF(PMI_Costs!$B$8=0,0,ROUND(PMI_Costs!$B$8*(1+PMI_Costs!$B$9/100)^INT((A222-1)/12)/12,2))</f>
        <v/>
      </c>
      <c r="AD222" s="21">
        <f>IF(PMI_Costs!$B$10=0,0,ROUND(PMI_Costs!$B$10*(1+PMI_Costs!$B$11/100)^INT((A222-1)/12)/12,2))</f>
        <v/>
      </c>
      <c r="AE222" s="21">
        <f>IF(PMI_Costs!$B$12=0,0,ROUND(PMI_Costs!$B$12*(1+PMI_Costs!$B$13/100)^INT((A222-1)/12)/12,2))</f>
        <v/>
      </c>
      <c r="AF222" s="22">
        <f>IF(PMI_Costs!$B$5=0,0,AA222/PMI_Costs!$B$5)</f>
        <v/>
      </c>
      <c r="AG222" s="6">
        <f>AND(PMI_Costs!$B$4&gt;0,AF222&gt;PMI_Costs!$B$6/100)</f>
        <v/>
      </c>
      <c r="AH222" s="21">
        <f>IF(AG222,ROUND(Segments!$G$5*PMI_Costs!$B$4/100/12,2),0)</f>
        <v/>
      </c>
      <c r="AI222" s="6">
        <f>AND(NOT(AG222),AG221)</f>
        <v/>
      </c>
    </row>
    <row r="223">
      <c r="A223" s="18" t="n">
        <v>219</v>
      </c>
      <c r="B223" s="18">
        <f>SUMPRODUCT((Segments!$J$5:$J$12&lt;&gt;"")*(Segments!$J$5:$J$12&lt;=A223))</f>
        <v/>
      </c>
      <c r="C223" s="19">
        <f>INDEX(Segments!$B$5:$B$12,B223)</f>
        <v/>
      </c>
      <c r="D223" s="18">
        <f>INDEX(Segments!$J$5:$J$12,B223)</f>
        <v/>
      </c>
      <c r="E223" s="19">
        <f>DATE(YEAR(C223)+INT((MONTH(C223)-1+(A223-D223))/12),MOD(MONTH(C223)-1+(A223-D223),12)+1,1)+(DAY(C223)-1)</f>
        <v/>
      </c>
      <c r="F223" s="20">
        <f>INDEX(Segments!$C$5:$C$12,B223)/100/12</f>
        <v/>
      </c>
      <c r="G223" s="21">
        <f>INDEX(Segments!$L$5:$L$12,B223)</f>
        <v/>
      </c>
      <c r="H223" s="6">
        <f>INDEX(Segments!$I$5:$I$12,B223)="Y"</f>
        <v/>
      </c>
      <c r="I223" s="6">
        <f>INDEX(Segments!$F$5:$F$12,B223)=""</f>
        <v/>
      </c>
      <c r="J223" s="18">
        <f>INDEX(Segments!$K$5:$K$12,B223)</f>
        <v/>
      </c>
      <c r="K223" s="18">
        <f>IF(INDEX(Segments!$F$5:$F$12,B223)&lt;&gt;"",INDEX(Segments!$F$5:$F$12,B223),IF(INDEX(Segments!$E$5:$E$12,B223)&lt;&gt;"",INDEX(Segments!$E$5:$E$12,B223),""))</f>
        <v/>
      </c>
      <c r="L223" s="21">
        <f>AA222</f>
        <v/>
      </c>
      <c r="M223" s="21">
        <f>IFERROR(INDEX(Overrides!$C:$C,MATCH(A223,Overrides!$A:$A,0)),"")</f>
        <v/>
      </c>
      <c r="N223" s="21">
        <f>IFERROR(INDEX(Overrides!$E:$E,MATCH(A223,Overrides!$A:$A,0)),"")</f>
        <v/>
      </c>
      <c r="O223" s="21">
        <f>IFERROR(INDEX(Overrides!$D:$D,MATCH(A223,Overrides!$A:$A,0)),"")</f>
        <v/>
      </c>
      <c r="P223" s="21">
        <f>IFERROR(INDEX(Overrides!$B:$B,MATCH(A223,Overrides!$A:$A,0)),"")</f>
        <v/>
      </c>
      <c r="Q223" s="6">
        <f>IFERROR(INDEX(Overrides!$F:$F,MATCH(A223,Overrides!$A:$A,0)),"")</f>
        <v/>
      </c>
      <c r="R223" s="6">
        <f>ISNUMBER(MATCH(A223,Overrides!$A:$A,0))</f>
        <v/>
      </c>
      <c r="S223" s="6">
        <f>OR(ROUND(L223-ROUND(G223-T223,2),2)&lt;=0,AND(I223,K223&lt;&gt;"",(A223-D223+1)=K223))</f>
        <v/>
      </c>
      <c r="T223" s="21">
        <f>IF(M223&lt;&gt;"",M223,ROUND(L223*F223,2))</f>
        <v/>
      </c>
      <c r="U223" s="21">
        <f>IF(R223,IF(O223&lt;&gt;"",O223,IF(N223&lt;&gt;"",ROUND(L223-N223,2),ROUND((IF(P223&lt;&gt;"",P223,G223))-T223,2))),IF(H223,0,IF(S223,L223,ROUND(G223-T223,2))))</f>
        <v/>
      </c>
      <c r="V223" s="21">
        <f>IF(R223,IF(P223&lt;&gt;"",P223,ROUND(T223+U223,2)),IF(H223,T223,IF(S223,ROUND(T223+U223,2),G223)))</f>
        <v/>
      </c>
      <c r="W223" s="21">
        <f>IF(R223,IF(N223&lt;&gt;"",N223,ROUND(L223-U223,2)),IF(H223,L223,IF(S223,0,ROUND(L223-U223,2))))</f>
        <v/>
      </c>
      <c r="X223" s="21">
        <f>IFERROR(MIN(INDEX(LumpSums!$B:$B,MATCH(A223,LumpSums!$A:$A,0)),W223),0)</f>
        <v/>
      </c>
      <c r="Y223" s="21">
        <f>ROUND(U223+X223,2)</f>
        <v/>
      </c>
      <c r="Z223" s="21">
        <f>ROUND(V223+X223,2)</f>
        <v/>
      </c>
      <c r="AA223" s="21">
        <f>ROUND(W223-X223,2)</f>
        <v/>
      </c>
      <c r="AB223" s="6">
        <f>AND(AB222,L223&gt;0)</f>
        <v/>
      </c>
      <c r="AC223" s="21">
        <f>IF(PMI_Costs!$B$8=0,0,ROUND(PMI_Costs!$B$8*(1+PMI_Costs!$B$9/100)^INT((A223-1)/12)/12,2))</f>
        <v/>
      </c>
      <c r="AD223" s="21">
        <f>IF(PMI_Costs!$B$10=0,0,ROUND(PMI_Costs!$B$10*(1+PMI_Costs!$B$11/100)^INT((A223-1)/12)/12,2))</f>
        <v/>
      </c>
      <c r="AE223" s="21">
        <f>IF(PMI_Costs!$B$12=0,0,ROUND(PMI_Costs!$B$12*(1+PMI_Costs!$B$13/100)^INT((A223-1)/12)/12,2))</f>
        <v/>
      </c>
      <c r="AF223" s="22">
        <f>IF(PMI_Costs!$B$5=0,0,AA223/PMI_Costs!$B$5)</f>
        <v/>
      </c>
      <c r="AG223" s="6">
        <f>AND(PMI_Costs!$B$4&gt;0,AF223&gt;PMI_Costs!$B$6/100)</f>
        <v/>
      </c>
      <c r="AH223" s="21">
        <f>IF(AG223,ROUND(Segments!$G$5*PMI_Costs!$B$4/100/12,2),0)</f>
        <v/>
      </c>
      <c r="AI223" s="6">
        <f>AND(NOT(AG223),AG222)</f>
        <v/>
      </c>
    </row>
    <row r="224">
      <c r="A224" s="18" t="n">
        <v>220</v>
      </c>
      <c r="B224" s="18">
        <f>SUMPRODUCT((Segments!$J$5:$J$12&lt;&gt;"")*(Segments!$J$5:$J$12&lt;=A224))</f>
        <v/>
      </c>
      <c r="C224" s="19">
        <f>INDEX(Segments!$B$5:$B$12,B224)</f>
        <v/>
      </c>
      <c r="D224" s="18">
        <f>INDEX(Segments!$J$5:$J$12,B224)</f>
        <v/>
      </c>
      <c r="E224" s="19">
        <f>DATE(YEAR(C224)+INT((MONTH(C224)-1+(A224-D224))/12),MOD(MONTH(C224)-1+(A224-D224),12)+1,1)+(DAY(C224)-1)</f>
        <v/>
      </c>
      <c r="F224" s="20">
        <f>INDEX(Segments!$C$5:$C$12,B224)/100/12</f>
        <v/>
      </c>
      <c r="G224" s="21">
        <f>INDEX(Segments!$L$5:$L$12,B224)</f>
        <v/>
      </c>
      <c r="H224" s="6">
        <f>INDEX(Segments!$I$5:$I$12,B224)="Y"</f>
        <v/>
      </c>
      <c r="I224" s="6">
        <f>INDEX(Segments!$F$5:$F$12,B224)=""</f>
        <v/>
      </c>
      <c r="J224" s="18">
        <f>INDEX(Segments!$K$5:$K$12,B224)</f>
        <v/>
      </c>
      <c r="K224" s="18">
        <f>IF(INDEX(Segments!$F$5:$F$12,B224)&lt;&gt;"",INDEX(Segments!$F$5:$F$12,B224),IF(INDEX(Segments!$E$5:$E$12,B224)&lt;&gt;"",INDEX(Segments!$E$5:$E$12,B224),""))</f>
        <v/>
      </c>
      <c r="L224" s="21">
        <f>AA223</f>
        <v/>
      </c>
      <c r="M224" s="21">
        <f>IFERROR(INDEX(Overrides!$C:$C,MATCH(A224,Overrides!$A:$A,0)),"")</f>
        <v/>
      </c>
      <c r="N224" s="21">
        <f>IFERROR(INDEX(Overrides!$E:$E,MATCH(A224,Overrides!$A:$A,0)),"")</f>
        <v/>
      </c>
      <c r="O224" s="21">
        <f>IFERROR(INDEX(Overrides!$D:$D,MATCH(A224,Overrides!$A:$A,0)),"")</f>
        <v/>
      </c>
      <c r="P224" s="21">
        <f>IFERROR(INDEX(Overrides!$B:$B,MATCH(A224,Overrides!$A:$A,0)),"")</f>
        <v/>
      </c>
      <c r="Q224" s="6">
        <f>IFERROR(INDEX(Overrides!$F:$F,MATCH(A224,Overrides!$A:$A,0)),"")</f>
        <v/>
      </c>
      <c r="R224" s="6">
        <f>ISNUMBER(MATCH(A224,Overrides!$A:$A,0))</f>
        <v/>
      </c>
      <c r="S224" s="6">
        <f>OR(ROUND(L224-ROUND(G224-T224,2),2)&lt;=0,AND(I224,K224&lt;&gt;"",(A224-D224+1)=K224))</f>
        <v/>
      </c>
      <c r="T224" s="21">
        <f>IF(M224&lt;&gt;"",M224,ROUND(L224*F224,2))</f>
        <v/>
      </c>
      <c r="U224" s="21">
        <f>IF(R224,IF(O224&lt;&gt;"",O224,IF(N224&lt;&gt;"",ROUND(L224-N224,2),ROUND((IF(P224&lt;&gt;"",P224,G224))-T224,2))),IF(H224,0,IF(S224,L224,ROUND(G224-T224,2))))</f>
        <v/>
      </c>
      <c r="V224" s="21">
        <f>IF(R224,IF(P224&lt;&gt;"",P224,ROUND(T224+U224,2)),IF(H224,T224,IF(S224,ROUND(T224+U224,2),G224)))</f>
        <v/>
      </c>
      <c r="W224" s="21">
        <f>IF(R224,IF(N224&lt;&gt;"",N224,ROUND(L224-U224,2)),IF(H224,L224,IF(S224,0,ROUND(L224-U224,2))))</f>
        <v/>
      </c>
      <c r="X224" s="21">
        <f>IFERROR(MIN(INDEX(LumpSums!$B:$B,MATCH(A224,LumpSums!$A:$A,0)),W224),0)</f>
        <v/>
      </c>
      <c r="Y224" s="21">
        <f>ROUND(U224+X224,2)</f>
        <v/>
      </c>
      <c r="Z224" s="21">
        <f>ROUND(V224+X224,2)</f>
        <v/>
      </c>
      <c r="AA224" s="21">
        <f>ROUND(W224-X224,2)</f>
        <v/>
      </c>
      <c r="AB224" s="6">
        <f>AND(AB223,L224&gt;0)</f>
        <v/>
      </c>
      <c r="AC224" s="21">
        <f>IF(PMI_Costs!$B$8=0,0,ROUND(PMI_Costs!$B$8*(1+PMI_Costs!$B$9/100)^INT((A224-1)/12)/12,2))</f>
        <v/>
      </c>
      <c r="AD224" s="21">
        <f>IF(PMI_Costs!$B$10=0,0,ROUND(PMI_Costs!$B$10*(1+PMI_Costs!$B$11/100)^INT((A224-1)/12)/12,2))</f>
        <v/>
      </c>
      <c r="AE224" s="21">
        <f>IF(PMI_Costs!$B$12=0,0,ROUND(PMI_Costs!$B$12*(1+PMI_Costs!$B$13/100)^INT((A224-1)/12)/12,2))</f>
        <v/>
      </c>
      <c r="AF224" s="22">
        <f>IF(PMI_Costs!$B$5=0,0,AA224/PMI_Costs!$B$5)</f>
        <v/>
      </c>
      <c r="AG224" s="6">
        <f>AND(PMI_Costs!$B$4&gt;0,AF224&gt;PMI_Costs!$B$6/100)</f>
        <v/>
      </c>
      <c r="AH224" s="21">
        <f>IF(AG224,ROUND(Segments!$G$5*PMI_Costs!$B$4/100/12,2),0)</f>
        <v/>
      </c>
      <c r="AI224" s="6">
        <f>AND(NOT(AG224),AG223)</f>
        <v/>
      </c>
    </row>
    <row r="225">
      <c r="A225" s="18" t="n">
        <v>221</v>
      </c>
      <c r="B225" s="18">
        <f>SUMPRODUCT((Segments!$J$5:$J$12&lt;&gt;"")*(Segments!$J$5:$J$12&lt;=A225))</f>
        <v/>
      </c>
      <c r="C225" s="19">
        <f>INDEX(Segments!$B$5:$B$12,B225)</f>
        <v/>
      </c>
      <c r="D225" s="18">
        <f>INDEX(Segments!$J$5:$J$12,B225)</f>
        <v/>
      </c>
      <c r="E225" s="19">
        <f>DATE(YEAR(C225)+INT((MONTH(C225)-1+(A225-D225))/12),MOD(MONTH(C225)-1+(A225-D225),12)+1,1)+(DAY(C225)-1)</f>
        <v/>
      </c>
      <c r="F225" s="20">
        <f>INDEX(Segments!$C$5:$C$12,B225)/100/12</f>
        <v/>
      </c>
      <c r="G225" s="21">
        <f>INDEX(Segments!$L$5:$L$12,B225)</f>
        <v/>
      </c>
      <c r="H225" s="6">
        <f>INDEX(Segments!$I$5:$I$12,B225)="Y"</f>
        <v/>
      </c>
      <c r="I225" s="6">
        <f>INDEX(Segments!$F$5:$F$12,B225)=""</f>
        <v/>
      </c>
      <c r="J225" s="18">
        <f>INDEX(Segments!$K$5:$K$12,B225)</f>
        <v/>
      </c>
      <c r="K225" s="18">
        <f>IF(INDEX(Segments!$F$5:$F$12,B225)&lt;&gt;"",INDEX(Segments!$F$5:$F$12,B225),IF(INDEX(Segments!$E$5:$E$12,B225)&lt;&gt;"",INDEX(Segments!$E$5:$E$12,B225),""))</f>
        <v/>
      </c>
      <c r="L225" s="21">
        <f>AA224</f>
        <v/>
      </c>
      <c r="M225" s="21">
        <f>IFERROR(INDEX(Overrides!$C:$C,MATCH(A225,Overrides!$A:$A,0)),"")</f>
        <v/>
      </c>
      <c r="N225" s="21">
        <f>IFERROR(INDEX(Overrides!$E:$E,MATCH(A225,Overrides!$A:$A,0)),"")</f>
        <v/>
      </c>
      <c r="O225" s="21">
        <f>IFERROR(INDEX(Overrides!$D:$D,MATCH(A225,Overrides!$A:$A,0)),"")</f>
        <v/>
      </c>
      <c r="P225" s="21">
        <f>IFERROR(INDEX(Overrides!$B:$B,MATCH(A225,Overrides!$A:$A,0)),"")</f>
        <v/>
      </c>
      <c r="Q225" s="6">
        <f>IFERROR(INDEX(Overrides!$F:$F,MATCH(A225,Overrides!$A:$A,0)),"")</f>
        <v/>
      </c>
      <c r="R225" s="6">
        <f>ISNUMBER(MATCH(A225,Overrides!$A:$A,0))</f>
        <v/>
      </c>
      <c r="S225" s="6">
        <f>OR(ROUND(L225-ROUND(G225-T225,2),2)&lt;=0,AND(I225,K225&lt;&gt;"",(A225-D225+1)=K225))</f>
        <v/>
      </c>
      <c r="T225" s="21">
        <f>IF(M225&lt;&gt;"",M225,ROUND(L225*F225,2))</f>
        <v/>
      </c>
      <c r="U225" s="21">
        <f>IF(R225,IF(O225&lt;&gt;"",O225,IF(N225&lt;&gt;"",ROUND(L225-N225,2),ROUND((IF(P225&lt;&gt;"",P225,G225))-T225,2))),IF(H225,0,IF(S225,L225,ROUND(G225-T225,2))))</f>
        <v/>
      </c>
      <c r="V225" s="21">
        <f>IF(R225,IF(P225&lt;&gt;"",P225,ROUND(T225+U225,2)),IF(H225,T225,IF(S225,ROUND(T225+U225,2),G225)))</f>
        <v/>
      </c>
      <c r="W225" s="21">
        <f>IF(R225,IF(N225&lt;&gt;"",N225,ROUND(L225-U225,2)),IF(H225,L225,IF(S225,0,ROUND(L225-U225,2))))</f>
        <v/>
      </c>
      <c r="X225" s="21">
        <f>IFERROR(MIN(INDEX(LumpSums!$B:$B,MATCH(A225,LumpSums!$A:$A,0)),W225),0)</f>
        <v/>
      </c>
      <c r="Y225" s="21">
        <f>ROUND(U225+X225,2)</f>
        <v/>
      </c>
      <c r="Z225" s="21">
        <f>ROUND(V225+X225,2)</f>
        <v/>
      </c>
      <c r="AA225" s="21">
        <f>ROUND(W225-X225,2)</f>
        <v/>
      </c>
      <c r="AB225" s="6">
        <f>AND(AB224,L225&gt;0)</f>
        <v/>
      </c>
      <c r="AC225" s="21">
        <f>IF(PMI_Costs!$B$8=0,0,ROUND(PMI_Costs!$B$8*(1+PMI_Costs!$B$9/100)^INT((A225-1)/12)/12,2))</f>
        <v/>
      </c>
      <c r="AD225" s="21">
        <f>IF(PMI_Costs!$B$10=0,0,ROUND(PMI_Costs!$B$10*(1+PMI_Costs!$B$11/100)^INT((A225-1)/12)/12,2))</f>
        <v/>
      </c>
      <c r="AE225" s="21">
        <f>IF(PMI_Costs!$B$12=0,0,ROUND(PMI_Costs!$B$12*(1+PMI_Costs!$B$13/100)^INT((A225-1)/12)/12,2))</f>
        <v/>
      </c>
      <c r="AF225" s="22">
        <f>IF(PMI_Costs!$B$5=0,0,AA225/PMI_Costs!$B$5)</f>
        <v/>
      </c>
      <c r="AG225" s="6">
        <f>AND(PMI_Costs!$B$4&gt;0,AF225&gt;PMI_Costs!$B$6/100)</f>
        <v/>
      </c>
      <c r="AH225" s="21">
        <f>IF(AG225,ROUND(Segments!$G$5*PMI_Costs!$B$4/100/12,2),0)</f>
        <v/>
      </c>
      <c r="AI225" s="6">
        <f>AND(NOT(AG225),AG224)</f>
        <v/>
      </c>
    </row>
    <row r="226">
      <c r="A226" s="18" t="n">
        <v>222</v>
      </c>
      <c r="B226" s="18">
        <f>SUMPRODUCT((Segments!$J$5:$J$12&lt;&gt;"")*(Segments!$J$5:$J$12&lt;=A226))</f>
        <v/>
      </c>
      <c r="C226" s="19">
        <f>INDEX(Segments!$B$5:$B$12,B226)</f>
        <v/>
      </c>
      <c r="D226" s="18">
        <f>INDEX(Segments!$J$5:$J$12,B226)</f>
        <v/>
      </c>
      <c r="E226" s="19">
        <f>DATE(YEAR(C226)+INT((MONTH(C226)-1+(A226-D226))/12),MOD(MONTH(C226)-1+(A226-D226),12)+1,1)+(DAY(C226)-1)</f>
        <v/>
      </c>
      <c r="F226" s="20">
        <f>INDEX(Segments!$C$5:$C$12,B226)/100/12</f>
        <v/>
      </c>
      <c r="G226" s="21">
        <f>INDEX(Segments!$L$5:$L$12,B226)</f>
        <v/>
      </c>
      <c r="H226" s="6">
        <f>INDEX(Segments!$I$5:$I$12,B226)="Y"</f>
        <v/>
      </c>
      <c r="I226" s="6">
        <f>INDEX(Segments!$F$5:$F$12,B226)=""</f>
        <v/>
      </c>
      <c r="J226" s="18">
        <f>INDEX(Segments!$K$5:$K$12,B226)</f>
        <v/>
      </c>
      <c r="K226" s="18">
        <f>IF(INDEX(Segments!$F$5:$F$12,B226)&lt;&gt;"",INDEX(Segments!$F$5:$F$12,B226),IF(INDEX(Segments!$E$5:$E$12,B226)&lt;&gt;"",INDEX(Segments!$E$5:$E$12,B226),""))</f>
        <v/>
      </c>
      <c r="L226" s="21">
        <f>AA225</f>
        <v/>
      </c>
      <c r="M226" s="21">
        <f>IFERROR(INDEX(Overrides!$C:$C,MATCH(A226,Overrides!$A:$A,0)),"")</f>
        <v/>
      </c>
      <c r="N226" s="21">
        <f>IFERROR(INDEX(Overrides!$E:$E,MATCH(A226,Overrides!$A:$A,0)),"")</f>
        <v/>
      </c>
      <c r="O226" s="21">
        <f>IFERROR(INDEX(Overrides!$D:$D,MATCH(A226,Overrides!$A:$A,0)),"")</f>
        <v/>
      </c>
      <c r="P226" s="21">
        <f>IFERROR(INDEX(Overrides!$B:$B,MATCH(A226,Overrides!$A:$A,0)),"")</f>
        <v/>
      </c>
      <c r="Q226" s="6">
        <f>IFERROR(INDEX(Overrides!$F:$F,MATCH(A226,Overrides!$A:$A,0)),"")</f>
        <v/>
      </c>
      <c r="R226" s="6">
        <f>ISNUMBER(MATCH(A226,Overrides!$A:$A,0))</f>
        <v/>
      </c>
      <c r="S226" s="6">
        <f>OR(ROUND(L226-ROUND(G226-T226,2),2)&lt;=0,AND(I226,K226&lt;&gt;"",(A226-D226+1)=K226))</f>
        <v/>
      </c>
      <c r="T226" s="21">
        <f>IF(M226&lt;&gt;"",M226,ROUND(L226*F226,2))</f>
        <v/>
      </c>
      <c r="U226" s="21">
        <f>IF(R226,IF(O226&lt;&gt;"",O226,IF(N226&lt;&gt;"",ROUND(L226-N226,2),ROUND((IF(P226&lt;&gt;"",P226,G226))-T226,2))),IF(H226,0,IF(S226,L226,ROUND(G226-T226,2))))</f>
        <v/>
      </c>
      <c r="V226" s="21">
        <f>IF(R226,IF(P226&lt;&gt;"",P226,ROUND(T226+U226,2)),IF(H226,T226,IF(S226,ROUND(T226+U226,2),G226)))</f>
        <v/>
      </c>
      <c r="W226" s="21">
        <f>IF(R226,IF(N226&lt;&gt;"",N226,ROUND(L226-U226,2)),IF(H226,L226,IF(S226,0,ROUND(L226-U226,2))))</f>
        <v/>
      </c>
      <c r="X226" s="21">
        <f>IFERROR(MIN(INDEX(LumpSums!$B:$B,MATCH(A226,LumpSums!$A:$A,0)),W226),0)</f>
        <v/>
      </c>
      <c r="Y226" s="21">
        <f>ROUND(U226+X226,2)</f>
        <v/>
      </c>
      <c r="Z226" s="21">
        <f>ROUND(V226+X226,2)</f>
        <v/>
      </c>
      <c r="AA226" s="21">
        <f>ROUND(W226-X226,2)</f>
        <v/>
      </c>
      <c r="AB226" s="6">
        <f>AND(AB225,L226&gt;0)</f>
        <v/>
      </c>
      <c r="AC226" s="21">
        <f>IF(PMI_Costs!$B$8=0,0,ROUND(PMI_Costs!$B$8*(1+PMI_Costs!$B$9/100)^INT((A226-1)/12)/12,2))</f>
        <v/>
      </c>
      <c r="AD226" s="21">
        <f>IF(PMI_Costs!$B$10=0,0,ROUND(PMI_Costs!$B$10*(1+PMI_Costs!$B$11/100)^INT((A226-1)/12)/12,2))</f>
        <v/>
      </c>
      <c r="AE226" s="21">
        <f>IF(PMI_Costs!$B$12=0,0,ROUND(PMI_Costs!$B$12*(1+PMI_Costs!$B$13/100)^INT((A226-1)/12)/12,2))</f>
        <v/>
      </c>
      <c r="AF226" s="22">
        <f>IF(PMI_Costs!$B$5=0,0,AA226/PMI_Costs!$B$5)</f>
        <v/>
      </c>
      <c r="AG226" s="6">
        <f>AND(PMI_Costs!$B$4&gt;0,AF226&gt;PMI_Costs!$B$6/100)</f>
        <v/>
      </c>
      <c r="AH226" s="21">
        <f>IF(AG226,ROUND(Segments!$G$5*PMI_Costs!$B$4/100/12,2),0)</f>
        <v/>
      </c>
      <c r="AI226" s="6">
        <f>AND(NOT(AG226),AG225)</f>
        <v/>
      </c>
    </row>
    <row r="227">
      <c r="A227" s="18" t="n">
        <v>223</v>
      </c>
      <c r="B227" s="18">
        <f>SUMPRODUCT((Segments!$J$5:$J$12&lt;&gt;"")*(Segments!$J$5:$J$12&lt;=A227))</f>
        <v/>
      </c>
      <c r="C227" s="19">
        <f>INDEX(Segments!$B$5:$B$12,B227)</f>
        <v/>
      </c>
      <c r="D227" s="18">
        <f>INDEX(Segments!$J$5:$J$12,B227)</f>
        <v/>
      </c>
      <c r="E227" s="19">
        <f>DATE(YEAR(C227)+INT((MONTH(C227)-1+(A227-D227))/12),MOD(MONTH(C227)-1+(A227-D227),12)+1,1)+(DAY(C227)-1)</f>
        <v/>
      </c>
      <c r="F227" s="20">
        <f>INDEX(Segments!$C$5:$C$12,B227)/100/12</f>
        <v/>
      </c>
      <c r="G227" s="21">
        <f>INDEX(Segments!$L$5:$L$12,B227)</f>
        <v/>
      </c>
      <c r="H227" s="6">
        <f>INDEX(Segments!$I$5:$I$12,B227)="Y"</f>
        <v/>
      </c>
      <c r="I227" s="6">
        <f>INDEX(Segments!$F$5:$F$12,B227)=""</f>
        <v/>
      </c>
      <c r="J227" s="18">
        <f>INDEX(Segments!$K$5:$K$12,B227)</f>
        <v/>
      </c>
      <c r="K227" s="18">
        <f>IF(INDEX(Segments!$F$5:$F$12,B227)&lt;&gt;"",INDEX(Segments!$F$5:$F$12,B227),IF(INDEX(Segments!$E$5:$E$12,B227)&lt;&gt;"",INDEX(Segments!$E$5:$E$12,B227),""))</f>
        <v/>
      </c>
      <c r="L227" s="21">
        <f>AA226</f>
        <v/>
      </c>
      <c r="M227" s="21">
        <f>IFERROR(INDEX(Overrides!$C:$C,MATCH(A227,Overrides!$A:$A,0)),"")</f>
        <v/>
      </c>
      <c r="N227" s="21">
        <f>IFERROR(INDEX(Overrides!$E:$E,MATCH(A227,Overrides!$A:$A,0)),"")</f>
        <v/>
      </c>
      <c r="O227" s="21">
        <f>IFERROR(INDEX(Overrides!$D:$D,MATCH(A227,Overrides!$A:$A,0)),"")</f>
        <v/>
      </c>
      <c r="P227" s="21">
        <f>IFERROR(INDEX(Overrides!$B:$B,MATCH(A227,Overrides!$A:$A,0)),"")</f>
        <v/>
      </c>
      <c r="Q227" s="6">
        <f>IFERROR(INDEX(Overrides!$F:$F,MATCH(A227,Overrides!$A:$A,0)),"")</f>
        <v/>
      </c>
      <c r="R227" s="6">
        <f>ISNUMBER(MATCH(A227,Overrides!$A:$A,0))</f>
        <v/>
      </c>
      <c r="S227" s="6">
        <f>OR(ROUND(L227-ROUND(G227-T227,2),2)&lt;=0,AND(I227,K227&lt;&gt;"",(A227-D227+1)=K227))</f>
        <v/>
      </c>
      <c r="T227" s="21">
        <f>IF(M227&lt;&gt;"",M227,ROUND(L227*F227,2))</f>
        <v/>
      </c>
      <c r="U227" s="21">
        <f>IF(R227,IF(O227&lt;&gt;"",O227,IF(N227&lt;&gt;"",ROUND(L227-N227,2),ROUND((IF(P227&lt;&gt;"",P227,G227))-T227,2))),IF(H227,0,IF(S227,L227,ROUND(G227-T227,2))))</f>
        <v/>
      </c>
      <c r="V227" s="21">
        <f>IF(R227,IF(P227&lt;&gt;"",P227,ROUND(T227+U227,2)),IF(H227,T227,IF(S227,ROUND(T227+U227,2),G227)))</f>
        <v/>
      </c>
      <c r="W227" s="21">
        <f>IF(R227,IF(N227&lt;&gt;"",N227,ROUND(L227-U227,2)),IF(H227,L227,IF(S227,0,ROUND(L227-U227,2))))</f>
        <v/>
      </c>
      <c r="X227" s="21">
        <f>IFERROR(MIN(INDEX(LumpSums!$B:$B,MATCH(A227,LumpSums!$A:$A,0)),W227),0)</f>
        <v/>
      </c>
      <c r="Y227" s="21">
        <f>ROUND(U227+X227,2)</f>
        <v/>
      </c>
      <c r="Z227" s="21">
        <f>ROUND(V227+X227,2)</f>
        <v/>
      </c>
      <c r="AA227" s="21">
        <f>ROUND(W227-X227,2)</f>
        <v/>
      </c>
      <c r="AB227" s="6">
        <f>AND(AB226,L227&gt;0)</f>
        <v/>
      </c>
      <c r="AC227" s="21">
        <f>IF(PMI_Costs!$B$8=0,0,ROUND(PMI_Costs!$B$8*(1+PMI_Costs!$B$9/100)^INT((A227-1)/12)/12,2))</f>
        <v/>
      </c>
      <c r="AD227" s="21">
        <f>IF(PMI_Costs!$B$10=0,0,ROUND(PMI_Costs!$B$10*(1+PMI_Costs!$B$11/100)^INT((A227-1)/12)/12,2))</f>
        <v/>
      </c>
      <c r="AE227" s="21">
        <f>IF(PMI_Costs!$B$12=0,0,ROUND(PMI_Costs!$B$12*(1+PMI_Costs!$B$13/100)^INT((A227-1)/12)/12,2))</f>
        <v/>
      </c>
      <c r="AF227" s="22">
        <f>IF(PMI_Costs!$B$5=0,0,AA227/PMI_Costs!$B$5)</f>
        <v/>
      </c>
      <c r="AG227" s="6">
        <f>AND(PMI_Costs!$B$4&gt;0,AF227&gt;PMI_Costs!$B$6/100)</f>
        <v/>
      </c>
      <c r="AH227" s="21">
        <f>IF(AG227,ROUND(Segments!$G$5*PMI_Costs!$B$4/100/12,2),0)</f>
        <v/>
      </c>
      <c r="AI227" s="6">
        <f>AND(NOT(AG227),AG226)</f>
        <v/>
      </c>
    </row>
    <row r="228">
      <c r="A228" s="18" t="n">
        <v>224</v>
      </c>
      <c r="B228" s="18">
        <f>SUMPRODUCT((Segments!$J$5:$J$12&lt;&gt;"")*(Segments!$J$5:$J$12&lt;=A228))</f>
        <v/>
      </c>
      <c r="C228" s="19">
        <f>INDEX(Segments!$B$5:$B$12,B228)</f>
        <v/>
      </c>
      <c r="D228" s="18">
        <f>INDEX(Segments!$J$5:$J$12,B228)</f>
        <v/>
      </c>
      <c r="E228" s="19">
        <f>DATE(YEAR(C228)+INT((MONTH(C228)-1+(A228-D228))/12),MOD(MONTH(C228)-1+(A228-D228),12)+1,1)+(DAY(C228)-1)</f>
        <v/>
      </c>
      <c r="F228" s="20">
        <f>INDEX(Segments!$C$5:$C$12,B228)/100/12</f>
        <v/>
      </c>
      <c r="G228" s="21">
        <f>INDEX(Segments!$L$5:$L$12,B228)</f>
        <v/>
      </c>
      <c r="H228" s="6">
        <f>INDEX(Segments!$I$5:$I$12,B228)="Y"</f>
        <v/>
      </c>
      <c r="I228" s="6">
        <f>INDEX(Segments!$F$5:$F$12,B228)=""</f>
        <v/>
      </c>
      <c r="J228" s="18">
        <f>INDEX(Segments!$K$5:$K$12,B228)</f>
        <v/>
      </c>
      <c r="K228" s="18">
        <f>IF(INDEX(Segments!$F$5:$F$12,B228)&lt;&gt;"",INDEX(Segments!$F$5:$F$12,B228),IF(INDEX(Segments!$E$5:$E$12,B228)&lt;&gt;"",INDEX(Segments!$E$5:$E$12,B228),""))</f>
        <v/>
      </c>
      <c r="L228" s="21">
        <f>AA227</f>
        <v/>
      </c>
      <c r="M228" s="21">
        <f>IFERROR(INDEX(Overrides!$C:$C,MATCH(A228,Overrides!$A:$A,0)),"")</f>
        <v/>
      </c>
      <c r="N228" s="21">
        <f>IFERROR(INDEX(Overrides!$E:$E,MATCH(A228,Overrides!$A:$A,0)),"")</f>
        <v/>
      </c>
      <c r="O228" s="21">
        <f>IFERROR(INDEX(Overrides!$D:$D,MATCH(A228,Overrides!$A:$A,0)),"")</f>
        <v/>
      </c>
      <c r="P228" s="21">
        <f>IFERROR(INDEX(Overrides!$B:$B,MATCH(A228,Overrides!$A:$A,0)),"")</f>
        <v/>
      </c>
      <c r="Q228" s="6">
        <f>IFERROR(INDEX(Overrides!$F:$F,MATCH(A228,Overrides!$A:$A,0)),"")</f>
        <v/>
      </c>
      <c r="R228" s="6">
        <f>ISNUMBER(MATCH(A228,Overrides!$A:$A,0))</f>
        <v/>
      </c>
      <c r="S228" s="6">
        <f>OR(ROUND(L228-ROUND(G228-T228,2),2)&lt;=0,AND(I228,K228&lt;&gt;"",(A228-D228+1)=K228))</f>
        <v/>
      </c>
      <c r="T228" s="21">
        <f>IF(M228&lt;&gt;"",M228,ROUND(L228*F228,2))</f>
        <v/>
      </c>
      <c r="U228" s="21">
        <f>IF(R228,IF(O228&lt;&gt;"",O228,IF(N228&lt;&gt;"",ROUND(L228-N228,2),ROUND((IF(P228&lt;&gt;"",P228,G228))-T228,2))),IF(H228,0,IF(S228,L228,ROUND(G228-T228,2))))</f>
        <v/>
      </c>
      <c r="V228" s="21">
        <f>IF(R228,IF(P228&lt;&gt;"",P228,ROUND(T228+U228,2)),IF(H228,T228,IF(S228,ROUND(T228+U228,2),G228)))</f>
        <v/>
      </c>
      <c r="W228" s="21">
        <f>IF(R228,IF(N228&lt;&gt;"",N228,ROUND(L228-U228,2)),IF(H228,L228,IF(S228,0,ROUND(L228-U228,2))))</f>
        <v/>
      </c>
      <c r="X228" s="21">
        <f>IFERROR(MIN(INDEX(LumpSums!$B:$B,MATCH(A228,LumpSums!$A:$A,0)),W228),0)</f>
        <v/>
      </c>
      <c r="Y228" s="21">
        <f>ROUND(U228+X228,2)</f>
        <v/>
      </c>
      <c r="Z228" s="21">
        <f>ROUND(V228+X228,2)</f>
        <v/>
      </c>
      <c r="AA228" s="21">
        <f>ROUND(W228-X228,2)</f>
        <v/>
      </c>
      <c r="AB228" s="6">
        <f>AND(AB227,L228&gt;0)</f>
        <v/>
      </c>
      <c r="AC228" s="21">
        <f>IF(PMI_Costs!$B$8=0,0,ROUND(PMI_Costs!$B$8*(1+PMI_Costs!$B$9/100)^INT((A228-1)/12)/12,2))</f>
        <v/>
      </c>
      <c r="AD228" s="21">
        <f>IF(PMI_Costs!$B$10=0,0,ROUND(PMI_Costs!$B$10*(1+PMI_Costs!$B$11/100)^INT((A228-1)/12)/12,2))</f>
        <v/>
      </c>
      <c r="AE228" s="21">
        <f>IF(PMI_Costs!$B$12=0,0,ROUND(PMI_Costs!$B$12*(1+PMI_Costs!$B$13/100)^INT((A228-1)/12)/12,2))</f>
        <v/>
      </c>
      <c r="AF228" s="22">
        <f>IF(PMI_Costs!$B$5=0,0,AA228/PMI_Costs!$B$5)</f>
        <v/>
      </c>
      <c r="AG228" s="6">
        <f>AND(PMI_Costs!$B$4&gt;0,AF228&gt;PMI_Costs!$B$6/100)</f>
        <v/>
      </c>
      <c r="AH228" s="21">
        <f>IF(AG228,ROUND(Segments!$G$5*PMI_Costs!$B$4/100/12,2),0)</f>
        <v/>
      </c>
      <c r="AI228" s="6">
        <f>AND(NOT(AG228),AG227)</f>
        <v/>
      </c>
    </row>
    <row r="229">
      <c r="A229" s="18" t="n">
        <v>225</v>
      </c>
      <c r="B229" s="18">
        <f>SUMPRODUCT((Segments!$J$5:$J$12&lt;&gt;"")*(Segments!$J$5:$J$12&lt;=A229))</f>
        <v/>
      </c>
      <c r="C229" s="19">
        <f>INDEX(Segments!$B$5:$B$12,B229)</f>
        <v/>
      </c>
      <c r="D229" s="18">
        <f>INDEX(Segments!$J$5:$J$12,B229)</f>
        <v/>
      </c>
      <c r="E229" s="19">
        <f>DATE(YEAR(C229)+INT((MONTH(C229)-1+(A229-D229))/12),MOD(MONTH(C229)-1+(A229-D229),12)+1,1)+(DAY(C229)-1)</f>
        <v/>
      </c>
      <c r="F229" s="20">
        <f>INDEX(Segments!$C$5:$C$12,B229)/100/12</f>
        <v/>
      </c>
      <c r="G229" s="21">
        <f>INDEX(Segments!$L$5:$L$12,B229)</f>
        <v/>
      </c>
      <c r="H229" s="6">
        <f>INDEX(Segments!$I$5:$I$12,B229)="Y"</f>
        <v/>
      </c>
      <c r="I229" s="6">
        <f>INDEX(Segments!$F$5:$F$12,B229)=""</f>
        <v/>
      </c>
      <c r="J229" s="18">
        <f>INDEX(Segments!$K$5:$K$12,B229)</f>
        <v/>
      </c>
      <c r="K229" s="18">
        <f>IF(INDEX(Segments!$F$5:$F$12,B229)&lt;&gt;"",INDEX(Segments!$F$5:$F$12,B229),IF(INDEX(Segments!$E$5:$E$12,B229)&lt;&gt;"",INDEX(Segments!$E$5:$E$12,B229),""))</f>
        <v/>
      </c>
      <c r="L229" s="21">
        <f>AA228</f>
        <v/>
      </c>
      <c r="M229" s="21">
        <f>IFERROR(INDEX(Overrides!$C:$C,MATCH(A229,Overrides!$A:$A,0)),"")</f>
        <v/>
      </c>
      <c r="N229" s="21">
        <f>IFERROR(INDEX(Overrides!$E:$E,MATCH(A229,Overrides!$A:$A,0)),"")</f>
        <v/>
      </c>
      <c r="O229" s="21">
        <f>IFERROR(INDEX(Overrides!$D:$D,MATCH(A229,Overrides!$A:$A,0)),"")</f>
        <v/>
      </c>
      <c r="P229" s="21">
        <f>IFERROR(INDEX(Overrides!$B:$B,MATCH(A229,Overrides!$A:$A,0)),"")</f>
        <v/>
      </c>
      <c r="Q229" s="6">
        <f>IFERROR(INDEX(Overrides!$F:$F,MATCH(A229,Overrides!$A:$A,0)),"")</f>
        <v/>
      </c>
      <c r="R229" s="6">
        <f>ISNUMBER(MATCH(A229,Overrides!$A:$A,0))</f>
        <v/>
      </c>
      <c r="S229" s="6">
        <f>OR(ROUND(L229-ROUND(G229-T229,2),2)&lt;=0,AND(I229,K229&lt;&gt;"",(A229-D229+1)=K229))</f>
        <v/>
      </c>
      <c r="T229" s="21">
        <f>IF(M229&lt;&gt;"",M229,ROUND(L229*F229,2))</f>
        <v/>
      </c>
      <c r="U229" s="21">
        <f>IF(R229,IF(O229&lt;&gt;"",O229,IF(N229&lt;&gt;"",ROUND(L229-N229,2),ROUND((IF(P229&lt;&gt;"",P229,G229))-T229,2))),IF(H229,0,IF(S229,L229,ROUND(G229-T229,2))))</f>
        <v/>
      </c>
      <c r="V229" s="21">
        <f>IF(R229,IF(P229&lt;&gt;"",P229,ROUND(T229+U229,2)),IF(H229,T229,IF(S229,ROUND(T229+U229,2),G229)))</f>
        <v/>
      </c>
      <c r="W229" s="21">
        <f>IF(R229,IF(N229&lt;&gt;"",N229,ROUND(L229-U229,2)),IF(H229,L229,IF(S229,0,ROUND(L229-U229,2))))</f>
        <v/>
      </c>
      <c r="X229" s="21">
        <f>IFERROR(MIN(INDEX(LumpSums!$B:$B,MATCH(A229,LumpSums!$A:$A,0)),W229),0)</f>
        <v/>
      </c>
      <c r="Y229" s="21">
        <f>ROUND(U229+X229,2)</f>
        <v/>
      </c>
      <c r="Z229" s="21">
        <f>ROUND(V229+X229,2)</f>
        <v/>
      </c>
      <c r="AA229" s="21">
        <f>ROUND(W229-X229,2)</f>
        <v/>
      </c>
      <c r="AB229" s="6">
        <f>AND(AB228,L229&gt;0)</f>
        <v/>
      </c>
      <c r="AC229" s="21">
        <f>IF(PMI_Costs!$B$8=0,0,ROUND(PMI_Costs!$B$8*(1+PMI_Costs!$B$9/100)^INT((A229-1)/12)/12,2))</f>
        <v/>
      </c>
      <c r="AD229" s="21">
        <f>IF(PMI_Costs!$B$10=0,0,ROUND(PMI_Costs!$B$10*(1+PMI_Costs!$B$11/100)^INT((A229-1)/12)/12,2))</f>
        <v/>
      </c>
      <c r="AE229" s="21">
        <f>IF(PMI_Costs!$B$12=0,0,ROUND(PMI_Costs!$B$12*(1+PMI_Costs!$B$13/100)^INT((A229-1)/12)/12,2))</f>
        <v/>
      </c>
      <c r="AF229" s="22">
        <f>IF(PMI_Costs!$B$5=0,0,AA229/PMI_Costs!$B$5)</f>
        <v/>
      </c>
      <c r="AG229" s="6">
        <f>AND(PMI_Costs!$B$4&gt;0,AF229&gt;PMI_Costs!$B$6/100)</f>
        <v/>
      </c>
      <c r="AH229" s="21">
        <f>IF(AG229,ROUND(Segments!$G$5*PMI_Costs!$B$4/100/12,2),0)</f>
        <v/>
      </c>
      <c r="AI229" s="6">
        <f>AND(NOT(AG229),AG228)</f>
        <v/>
      </c>
    </row>
    <row r="230">
      <c r="A230" s="18" t="n">
        <v>226</v>
      </c>
      <c r="B230" s="18">
        <f>SUMPRODUCT((Segments!$J$5:$J$12&lt;&gt;"")*(Segments!$J$5:$J$12&lt;=A230))</f>
        <v/>
      </c>
      <c r="C230" s="19">
        <f>INDEX(Segments!$B$5:$B$12,B230)</f>
        <v/>
      </c>
      <c r="D230" s="18">
        <f>INDEX(Segments!$J$5:$J$12,B230)</f>
        <v/>
      </c>
      <c r="E230" s="19">
        <f>DATE(YEAR(C230)+INT((MONTH(C230)-1+(A230-D230))/12),MOD(MONTH(C230)-1+(A230-D230),12)+1,1)+(DAY(C230)-1)</f>
        <v/>
      </c>
      <c r="F230" s="20">
        <f>INDEX(Segments!$C$5:$C$12,B230)/100/12</f>
        <v/>
      </c>
      <c r="G230" s="21">
        <f>INDEX(Segments!$L$5:$L$12,B230)</f>
        <v/>
      </c>
      <c r="H230" s="6">
        <f>INDEX(Segments!$I$5:$I$12,B230)="Y"</f>
        <v/>
      </c>
      <c r="I230" s="6">
        <f>INDEX(Segments!$F$5:$F$12,B230)=""</f>
        <v/>
      </c>
      <c r="J230" s="18">
        <f>INDEX(Segments!$K$5:$K$12,B230)</f>
        <v/>
      </c>
      <c r="K230" s="18">
        <f>IF(INDEX(Segments!$F$5:$F$12,B230)&lt;&gt;"",INDEX(Segments!$F$5:$F$12,B230),IF(INDEX(Segments!$E$5:$E$12,B230)&lt;&gt;"",INDEX(Segments!$E$5:$E$12,B230),""))</f>
        <v/>
      </c>
      <c r="L230" s="21">
        <f>AA229</f>
        <v/>
      </c>
      <c r="M230" s="21">
        <f>IFERROR(INDEX(Overrides!$C:$C,MATCH(A230,Overrides!$A:$A,0)),"")</f>
        <v/>
      </c>
      <c r="N230" s="21">
        <f>IFERROR(INDEX(Overrides!$E:$E,MATCH(A230,Overrides!$A:$A,0)),"")</f>
        <v/>
      </c>
      <c r="O230" s="21">
        <f>IFERROR(INDEX(Overrides!$D:$D,MATCH(A230,Overrides!$A:$A,0)),"")</f>
        <v/>
      </c>
      <c r="P230" s="21">
        <f>IFERROR(INDEX(Overrides!$B:$B,MATCH(A230,Overrides!$A:$A,0)),"")</f>
        <v/>
      </c>
      <c r="Q230" s="6">
        <f>IFERROR(INDEX(Overrides!$F:$F,MATCH(A230,Overrides!$A:$A,0)),"")</f>
        <v/>
      </c>
      <c r="R230" s="6">
        <f>ISNUMBER(MATCH(A230,Overrides!$A:$A,0))</f>
        <v/>
      </c>
      <c r="S230" s="6">
        <f>OR(ROUND(L230-ROUND(G230-T230,2),2)&lt;=0,AND(I230,K230&lt;&gt;"",(A230-D230+1)=K230))</f>
        <v/>
      </c>
      <c r="T230" s="21">
        <f>IF(M230&lt;&gt;"",M230,ROUND(L230*F230,2))</f>
        <v/>
      </c>
      <c r="U230" s="21">
        <f>IF(R230,IF(O230&lt;&gt;"",O230,IF(N230&lt;&gt;"",ROUND(L230-N230,2),ROUND((IF(P230&lt;&gt;"",P230,G230))-T230,2))),IF(H230,0,IF(S230,L230,ROUND(G230-T230,2))))</f>
        <v/>
      </c>
      <c r="V230" s="21">
        <f>IF(R230,IF(P230&lt;&gt;"",P230,ROUND(T230+U230,2)),IF(H230,T230,IF(S230,ROUND(T230+U230,2),G230)))</f>
        <v/>
      </c>
      <c r="W230" s="21">
        <f>IF(R230,IF(N230&lt;&gt;"",N230,ROUND(L230-U230,2)),IF(H230,L230,IF(S230,0,ROUND(L230-U230,2))))</f>
        <v/>
      </c>
      <c r="X230" s="21">
        <f>IFERROR(MIN(INDEX(LumpSums!$B:$B,MATCH(A230,LumpSums!$A:$A,0)),W230),0)</f>
        <v/>
      </c>
      <c r="Y230" s="21">
        <f>ROUND(U230+X230,2)</f>
        <v/>
      </c>
      <c r="Z230" s="21">
        <f>ROUND(V230+X230,2)</f>
        <v/>
      </c>
      <c r="AA230" s="21">
        <f>ROUND(W230-X230,2)</f>
        <v/>
      </c>
      <c r="AB230" s="6">
        <f>AND(AB229,L230&gt;0)</f>
        <v/>
      </c>
      <c r="AC230" s="21">
        <f>IF(PMI_Costs!$B$8=0,0,ROUND(PMI_Costs!$B$8*(1+PMI_Costs!$B$9/100)^INT((A230-1)/12)/12,2))</f>
        <v/>
      </c>
      <c r="AD230" s="21">
        <f>IF(PMI_Costs!$B$10=0,0,ROUND(PMI_Costs!$B$10*(1+PMI_Costs!$B$11/100)^INT((A230-1)/12)/12,2))</f>
        <v/>
      </c>
      <c r="AE230" s="21">
        <f>IF(PMI_Costs!$B$12=0,0,ROUND(PMI_Costs!$B$12*(1+PMI_Costs!$B$13/100)^INT((A230-1)/12)/12,2))</f>
        <v/>
      </c>
      <c r="AF230" s="22">
        <f>IF(PMI_Costs!$B$5=0,0,AA230/PMI_Costs!$B$5)</f>
        <v/>
      </c>
      <c r="AG230" s="6">
        <f>AND(PMI_Costs!$B$4&gt;0,AF230&gt;PMI_Costs!$B$6/100)</f>
        <v/>
      </c>
      <c r="AH230" s="21">
        <f>IF(AG230,ROUND(Segments!$G$5*PMI_Costs!$B$4/100/12,2),0)</f>
        <v/>
      </c>
      <c r="AI230" s="6">
        <f>AND(NOT(AG230),AG229)</f>
        <v/>
      </c>
    </row>
    <row r="231">
      <c r="A231" s="18" t="n">
        <v>227</v>
      </c>
      <c r="B231" s="18">
        <f>SUMPRODUCT((Segments!$J$5:$J$12&lt;&gt;"")*(Segments!$J$5:$J$12&lt;=A231))</f>
        <v/>
      </c>
      <c r="C231" s="19">
        <f>INDEX(Segments!$B$5:$B$12,B231)</f>
        <v/>
      </c>
      <c r="D231" s="18">
        <f>INDEX(Segments!$J$5:$J$12,B231)</f>
        <v/>
      </c>
      <c r="E231" s="19">
        <f>DATE(YEAR(C231)+INT((MONTH(C231)-1+(A231-D231))/12),MOD(MONTH(C231)-1+(A231-D231),12)+1,1)+(DAY(C231)-1)</f>
        <v/>
      </c>
      <c r="F231" s="20">
        <f>INDEX(Segments!$C$5:$C$12,B231)/100/12</f>
        <v/>
      </c>
      <c r="G231" s="21">
        <f>INDEX(Segments!$L$5:$L$12,B231)</f>
        <v/>
      </c>
      <c r="H231" s="6">
        <f>INDEX(Segments!$I$5:$I$12,B231)="Y"</f>
        <v/>
      </c>
      <c r="I231" s="6">
        <f>INDEX(Segments!$F$5:$F$12,B231)=""</f>
        <v/>
      </c>
      <c r="J231" s="18">
        <f>INDEX(Segments!$K$5:$K$12,B231)</f>
        <v/>
      </c>
      <c r="K231" s="18">
        <f>IF(INDEX(Segments!$F$5:$F$12,B231)&lt;&gt;"",INDEX(Segments!$F$5:$F$12,B231),IF(INDEX(Segments!$E$5:$E$12,B231)&lt;&gt;"",INDEX(Segments!$E$5:$E$12,B231),""))</f>
        <v/>
      </c>
      <c r="L231" s="21">
        <f>AA230</f>
        <v/>
      </c>
      <c r="M231" s="21">
        <f>IFERROR(INDEX(Overrides!$C:$C,MATCH(A231,Overrides!$A:$A,0)),"")</f>
        <v/>
      </c>
      <c r="N231" s="21">
        <f>IFERROR(INDEX(Overrides!$E:$E,MATCH(A231,Overrides!$A:$A,0)),"")</f>
        <v/>
      </c>
      <c r="O231" s="21">
        <f>IFERROR(INDEX(Overrides!$D:$D,MATCH(A231,Overrides!$A:$A,0)),"")</f>
        <v/>
      </c>
      <c r="P231" s="21">
        <f>IFERROR(INDEX(Overrides!$B:$B,MATCH(A231,Overrides!$A:$A,0)),"")</f>
        <v/>
      </c>
      <c r="Q231" s="6">
        <f>IFERROR(INDEX(Overrides!$F:$F,MATCH(A231,Overrides!$A:$A,0)),"")</f>
        <v/>
      </c>
      <c r="R231" s="6">
        <f>ISNUMBER(MATCH(A231,Overrides!$A:$A,0))</f>
        <v/>
      </c>
      <c r="S231" s="6">
        <f>OR(ROUND(L231-ROUND(G231-T231,2),2)&lt;=0,AND(I231,K231&lt;&gt;"",(A231-D231+1)=K231))</f>
        <v/>
      </c>
      <c r="T231" s="21">
        <f>IF(M231&lt;&gt;"",M231,ROUND(L231*F231,2))</f>
        <v/>
      </c>
      <c r="U231" s="21">
        <f>IF(R231,IF(O231&lt;&gt;"",O231,IF(N231&lt;&gt;"",ROUND(L231-N231,2),ROUND((IF(P231&lt;&gt;"",P231,G231))-T231,2))),IF(H231,0,IF(S231,L231,ROUND(G231-T231,2))))</f>
        <v/>
      </c>
      <c r="V231" s="21">
        <f>IF(R231,IF(P231&lt;&gt;"",P231,ROUND(T231+U231,2)),IF(H231,T231,IF(S231,ROUND(T231+U231,2),G231)))</f>
        <v/>
      </c>
      <c r="W231" s="21">
        <f>IF(R231,IF(N231&lt;&gt;"",N231,ROUND(L231-U231,2)),IF(H231,L231,IF(S231,0,ROUND(L231-U231,2))))</f>
        <v/>
      </c>
      <c r="X231" s="21">
        <f>IFERROR(MIN(INDEX(LumpSums!$B:$B,MATCH(A231,LumpSums!$A:$A,0)),W231),0)</f>
        <v/>
      </c>
      <c r="Y231" s="21">
        <f>ROUND(U231+X231,2)</f>
        <v/>
      </c>
      <c r="Z231" s="21">
        <f>ROUND(V231+X231,2)</f>
        <v/>
      </c>
      <c r="AA231" s="21">
        <f>ROUND(W231-X231,2)</f>
        <v/>
      </c>
      <c r="AB231" s="6">
        <f>AND(AB230,L231&gt;0)</f>
        <v/>
      </c>
      <c r="AC231" s="21">
        <f>IF(PMI_Costs!$B$8=0,0,ROUND(PMI_Costs!$B$8*(1+PMI_Costs!$B$9/100)^INT((A231-1)/12)/12,2))</f>
        <v/>
      </c>
      <c r="AD231" s="21">
        <f>IF(PMI_Costs!$B$10=0,0,ROUND(PMI_Costs!$B$10*(1+PMI_Costs!$B$11/100)^INT((A231-1)/12)/12,2))</f>
        <v/>
      </c>
      <c r="AE231" s="21">
        <f>IF(PMI_Costs!$B$12=0,0,ROUND(PMI_Costs!$B$12*(1+PMI_Costs!$B$13/100)^INT((A231-1)/12)/12,2))</f>
        <v/>
      </c>
      <c r="AF231" s="22">
        <f>IF(PMI_Costs!$B$5=0,0,AA231/PMI_Costs!$B$5)</f>
        <v/>
      </c>
      <c r="AG231" s="6">
        <f>AND(PMI_Costs!$B$4&gt;0,AF231&gt;PMI_Costs!$B$6/100)</f>
        <v/>
      </c>
      <c r="AH231" s="21">
        <f>IF(AG231,ROUND(Segments!$G$5*PMI_Costs!$B$4/100/12,2),0)</f>
        <v/>
      </c>
      <c r="AI231" s="6">
        <f>AND(NOT(AG231),AG230)</f>
        <v/>
      </c>
    </row>
    <row r="232">
      <c r="A232" s="18" t="n">
        <v>228</v>
      </c>
      <c r="B232" s="18">
        <f>SUMPRODUCT((Segments!$J$5:$J$12&lt;&gt;"")*(Segments!$J$5:$J$12&lt;=A232))</f>
        <v/>
      </c>
      <c r="C232" s="19">
        <f>INDEX(Segments!$B$5:$B$12,B232)</f>
        <v/>
      </c>
      <c r="D232" s="18">
        <f>INDEX(Segments!$J$5:$J$12,B232)</f>
        <v/>
      </c>
      <c r="E232" s="19">
        <f>DATE(YEAR(C232)+INT((MONTH(C232)-1+(A232-D232))/12),MOD(MONTH(C232)-1+(A232-D232),12)+1,1)+(DAY(C232)-1)</f>
        <v/>
      </c>
      <c r="F232" s="20">
        <f>INDEX(Segments!$C$5:$C$12,B232)/100/12</f>
        <v/>
      </c>
      <c r="G232" s="21">
        <f>INDEX(Segments!$L$5:$L$12,B232)</f>
        <v/>
      </c>
      <c r="H232" s="6">
        <f>INDEX(Segments!$I$5:$I$12,B232)="Y"</f>
        <v/>
      </c>
      <c r="I232" s="6">
        <f>INDEX(Segments!$F$5:$F$12,B232)=""</f>
        <v/>
      </c>
      <c r="J232" s="18">
        <f>INDEX(Segments!$K$5:$K$12,B232)</f>
        <v/>
      </c>
      <c r="K232" s="18">
        <f>IF(INDEX(Segments!$F$5:$F$12,B232)&lt;&gt;"",INDEX(Segments!$F$5:$F$12,B232),IF(INDEX(Segments!$E$5:$E$12,B232)&lt;&gt;"",INDEX(Segments!$E$5:$E$12,B232),""))</f>
        <v/>
      </c>
      <c r="L232" s="21">
        <f>AA231</f>
        <v/>
      </c>
      <c r="M232" s="21">
        <f>IFERROR(INDEX(Overrides!$C:$C,MATCH(A232,Overrides!$A:$A,0)),"")</f>
        <v/>
      </c>
      <c r="N232" s="21">
        <f>IFERROR(INDEX(Overrides!$E:$E,MATCH(A232,Overrides!$A:$A,0)),"")</f>
        <v/>
      </c>
      <c r="O232" s="21">
        <f>IFERROR(INDEX(Overrides!$D:$D,MATCH(A232,Overrides!$A:$A,0)),"")</f>
        <v/>
      </c>
      <c r="P232" s="21">
        <f>IFERROR(INDEX(Overrides!$B:$B,MATCH(A232,Overrides!$A:$A,0)),"")</f>
        <v/>
      </c>
      <c r="Q232" s="6">
        <f>IFERROR(INDEX(Overrides!$F:$F,MATCH(A232,Overrides!$A:$A,0)),"")</f>
        <v/>
      </c>
      <c r="R232" s="6">
        <f>ISNUMBER(MATCH(A232,Overrides!$A:$A,0))</f>
        <v/>
      </c>
      <c r="S232" s="6">
        <f>OR(ROUND(L232-ROUND(G232-T232,2),2)&lt;=0,AND(I232,K232&lt;&gt;"",(A232-D232+1)=K232))</f>
        <v/>
      </c>
      <c r="T232" s="21">
        <f>IF(M232&lt;&gt;"",M232,ROUND(L232*F232,2))</f>
        <v/>
      </c>
      <c r="U232" s="21">
        <f>IF(R232,IF(O232&lt;&gt;"",O232,IF(N232&lt;&gt;"",ROUND(L232-N232,2),ROUND((IF(P232&lt;&gt;"",P232,G232))-T232,2))),IF(H232,0,IF(S232,L232,ROUND(G232-T232,2))))</f>
        <v/>
      </c>
      <c r="V232" s="21">
        <f>IF(R232,IF(P232&lt;&gt;"",P232,ROUND(T232+U232,2)),IF(H232,T232,IF(S232,ROUND(T232+U232,2),G232)))</f>
        <v/>
      </c>
      <c r="W232" s="21">
        <f>IF(R232,IF(N232&lt;&gt;"",N232,ROUND(L232-U232,2)),IF(H232,L232,IF(S232,0,ROUND(L232-U232,2))))</f>
        <v/>
      </c>
      <c r="X232" s="21">
        <f>IFERROR(MIN(INDEX(LumpSums!$B:$B,MATCH(A232,LumpSums!$A:$A,0)),W232),0)</f>
        <v/>
      </c>
      <c r="Y232" s="21">
        <f>ROUND(U232+X232,2)</f>
        <v/>
      </c>
      <c r="Z232" s="21">
        <f>ROUND(V232+X232,2)</f>
        <v/>
      </c>
      <c r="AA232" s="21">
        <f>ROUND(W232-X232,2)</f>
        <v/>
      </c>
      <c r="AB232" s="6">
        <f>AND(AB231,L232&gt;0)</f>
        <v/>
      </c>
      <c r="AC232" s="21">
        <f>IF(PMI_Costs!$B$8=0,0,ROUND(PMI_Costs!$B$8*(1+PMI_Costs!$B$9/100)^INT((A232-1)/12)/12,2))</f>
        <v/>
      </c>
      <c r="AD232" s="21">
        <f>IF(PMI_Costs!$B$10=0,0,ROUND(PMI_Costs!$B$10*(1+PMI_Costs!$B$11/100)^INT((A232-1)/12)/12,2))</f>
        <v/>
      </c>
      <c r="AE232" s="21">
        <f>IF(PMI_Costs!$B$12=0,0,ROUND(PMI_Costs!$B$12*(1+PMI_Costs!$B$13/100)^INT((A232-1)/12)/12,2))</f>
        <v/>
      </c>
      <c r="AF232" s="22">
        <f>IF(PMI_Costs!$B$5=0,0,AA232/PMI_Costs!$B$5)</f>
        <v/>
      </c>
      <c r="AG232" s="6">
        <f>AND(PMI_Costs!$B$4&gt;0,AF232&gt;PMI_Costs!$B$6/100)</f>
        <v/>
      </c>
      <c r="AH232" s="21">
        <f>IF(AG232,ROUND(Segments!$G$5*PMI_Costs!$B$4/100/12,2),0)</f>
        <v/>
      </c>
      <c r="AI232" s="6">
        <f>AND(NOT(AG232),AG231)</f>
        <v/>
      </c>
    </row>
    <row r="233">
      <c r="A233" s="18" t="n">
        <v>229</v>
      </c>
      <c r="B233" s="18">
        <f>SUMPRODUCT((Segments!$J$5:$J$12&lt;&gt;"")*(Segments!$J$5:$J$12&lt;=A233))</f>
        <v/>
      </c>
      <c r="C233" s="19">
        <f>INDEX(Segments!$B$5:$B$12,B233)</f>
        <v/>
      </c>
      <c r="D233" s="18">
        <f>INDEX(Segments!$J$5:$J$12,B233)</f>
        <v/>
      </c>
      <c r="E233" s="19">
        <f>DATE(YEAR(C233)+INT((MONTH(C233)-1+(A233-D233))/12),MOD(MONTH(C233)-1+(A233-D233),12)+1,1)+(DAY(C233)-1)</f>
        <v/>
      </c>
      <c r="F233" s="20">
        <f>INDEX(Segments!$C$5:$C$12,B233)/100/12</f>
        <v/>
      </c>
      <c r="G233" s="21">
        <f>INDEX(Segments!$L$5:$L$12,B233)</f>
        <v/>
      </c>
      <c r="H233" s="6">
        <f>INDEX(Segments!$I$5:$I$12,B233)="Y"</f>
        <v/>
      </c>
      <c r="I233" s="6">
        <f>INDEX(Segments!$F$5:$F$12,B233)=""</f>
        <v/>
      </c>
      <c r="J233" s="18">
        <f>INDEX(Segments!$K$5:$K$12,B233)</f>
        <v/>
      </c>
      <c r="K233" s="18">
        <f>IF(INDEX(Segments!$F$5:$F$12,B233)&lt;&gt;"",INDEX(Segments!$F$5:$F$12,B233),IF(INDEX(Segments!$E$5:$E$12,B233)&lt;&gt;"",INDEX(Segments!$E$5:$E$12,B233),""))</f>
        <v/>
      </c>
      <c r="L233" s="21">
        <f>AA232</f>
        <v/>
      </c>
      <c r="M233" s="21">
        <f>IFERROR(INDEX(Overrides!$C:$C,MATCH(A233,Overrides!$A:$A,0)),"")</f>
        <v/>
      </c>
      <c r="N233" s="21">
        <f>IFERROR(INDEX(Overrides!$E:$E,MATCH(A233,Overrides!$A:$A,0)),"")</f>
        <v/>
      </c>
      <c r="O233" s="21">
        <f>IFERROR(INDEX(Overrides!$D:$D,MATCH(A233,Overrides!$A:$A,0)),"")</f>
        <v/>
      </c>
      <c r="P233" s="21">
        <f>IFERROR(INDEX(Overrides!$B:$B,MATCH(A233,Overrides!$A:$A,0)),"")</f>
        <v/>
      </c>
      <c r="Q233" s="6">
        <f>IFERROR(INDEX(Overrides!$F:$F,MATCH(A233,Overrides!$A:$A,0)),"")</f>
        <v/>
      </c>
      <c r="R233" s="6">
        <f>ISNUMBER(MATCH(A233,Overrides!$A:$A,0))</f>
        <v/>
      </c>
      <c r="S233" s="6">
        <f>OR(ROUND(L233-ROUND(G233-T233,2),2)&lt;=0,AND(I233,K233&lt;&gt;"",(A233-D233+1)=K233))</f>
        <v/>
      </c>
      <c r="T233" s="21">
        <f>IF(M233&lt;&gt;"",M233,ROUND(L233*F233,2))</f>
        <v/>
      </c>
      <c r="U233" s="21">
        <f>IF(R233,IF(O233&lt;&gt;"",O233,IF(N233&lt;&gt;"",ROUND(L233-N233,2),ROUND((IF(P233&lt;&gt;"",P233,G233))-T233,2))),IF(H233,0,IF(S233,L233,ROUND(G233-T233,2))))</f>
        <v/>
      </c>
      <c r="V233" s="21">
        <f>IF(R233,IF(P233&lt;&gt;"",P233,ROUND(T233+U233,2)),IF(H233,T233,IF(S233,ROUND(T233+U233,2),G233)))</f>
        <v/>
      </c>
      <c r="W233" s="21">
        <f>IF(R233,IF(N233&lt;&gt;"",N233,ROUND(L233-U233,2)),IF(H233,L233,IF(S233,0,ROUND(L233-U233,2))))</f>
        <v/>
      </c>
      <c r="X233" s="21">
        <f>IFERROR(MIN(INDEX(LumpSums!$B:$B,MATCH(A233,LumpSums!$A:$A,0)),W233),0)</f>
        <v/>
      </c>
      <c r="Y233" s="21">
        <f>ROUND(U233+X233,2)</f>
        <v/>
      </c>
      <c r="Z233" s="21">
        <f>ROUND(V233+X233,2)</f>
        <v/>
      </c>
      <c r="AA233" s="21">
        <f>ROUND(W233-X233,2)</f>
        <v/>
      </c>
      <c r="AB233" s="6">
        <f>AND(AB232,L233&gt;0)</f>
        <v/>
      </c>
      <c r="AC233" s="21">
        <f>IF(PMI_Costs!$B$8=0,0,ROUND(PMI_Costs!$B$8*(1+PMI_Costs!$B$9/100)^INT((A233-1)/12)/12,2))</f>
        <v/>
      </c>
      <c r="AD233" s="21">
        <f>IF(PMI_Costs!$B$10=0,0,ROUND(PMI_Costs!$B$10*(1+PMI_Costs!$B$11/100)^INT((A233-1)/12)/12,2))</f>
        <v/>
      </c>
      <c r="AE233" s="21">
        <f>IF(PMI_Costs!$B$12=0,0,ROUND(PMI_Costs!$B$12*(1+PMI_Costs!$B$13/100)^INT((A233-1)/12)/12,2))</f>
        <v/>
      </c>
      <c r="AF233" s="22">
        <f>IF(PMI_Costs!$B$5=0,0,AA233/PMI_Costs!$B$5)</f>
        <v/>
      </c>
      <c r="AG233" s="6">
        <f>AND(PMI_Costs!$B$4&gt;0,AF233&gt;PMI_Costs!$B$6/100)</f>
        <v/>
      </c>
      <c r="AH233" s="21">
        <f>IF(AG233,ROUND(Segments!$G$5*PMI_Costs!$B$4/100/12,2),0)</f>
        <v/>
      </c>
      <c r="AI233" s="6">
        <f>AND(NOT(AG233),AG232)</f>
        <v/>
      </c>
    </row>
    <row r="234">
      <c r="A234" s="18" t="n">
        <v>230</v>
      </c>
      <c r="B234" s="18">
        <f>SUMPRODUCT((Segments!$J$5:$J$12&lt;&gt;"")*(Segments!$J$5:$J$12&lt;=A234))</f>
        <v/>
      </c>
      <c r="C234" s="19">
        <f>INDEX(Segments!$B$5:$B$12,B234)</f>
        <v/>
      </c>
      <c r="D234" s="18">
        <f>INDEX(Segments!$J$5:$J$12,B234)</f>
        <v/>
      </c>
      <c r="E234" s="19">
        <f>DATE(YEAR(C234)+INT((MONTH(C234)-1+(A234-D234))/12),MOD(MONTH(C234)-1+(A234-D234),12)+1,1)+(DAY(C234)-1)</f>
        <v/>
      </c>
      <c r="F234" s="20">
        <f>INDEX(Segments!$C$5:$C$12,B234)/100/12</f>
        <v/>
      </c>
      <c r="G234" s="21">
        <f>INDEX(Segments!$L$5:$L$12,B234)</f>
        <v/>
      </c>
      <c r="H234" s="6">
        <f>INDEX(Segments!$I$5:$I$12,B234)="Y"</f>
        <v/>
      </c>
      <c r="I234" s="6">
        <f>INDEX(Segments!$F$5:$F$12,B234)=""</f>
        <v/>
      </c>
      <c r="J234" s="18">
        <f>INDEX(Segments!$K$5:$K$12,B234)</f>
        <v/>
      </c>
      <c r="K234" s="18">
        <f>IF(INDEX(Segments!$F$5:$F$12,B234)&lt;&gt;"",INDEX(Segments!$F$5:$F$12,B234),IF(INDEX(Segments!$E$5:$E$12,B234)&lt;&gt;"",INDEX(Segments!$E$5:$E$12,B234),""))</f>
        <v/>
      </c>
      <c r="L234" s="21">
        <f>AA233</f>
        <v/>
      </c>
      <c r="M234" s="21">
        <f>IFERROR(INDEX(Overrides!$C:$C,MATCH(A234,Overrides!$A:$A,0)),"")</f>
        <v/>
      </c>
      <c r="N234" s="21">
        <f>IFERROR(INDEX(Overrides!$E:$E,MATCH(A234,Overrides!$A:$A,0)),"")</f>
        <v/>
      </c>
      <c r="O234" s="21">
        <f>IFERROR(INDEX(Overrides!$D:$D,MATCH(A234,Overrides!$A:$A,0)),"")</f>
        <v/>
      </c>
      <c r="P234" s="21">
        <f>IFERROR(INDEX(Overrides!$B:$B,MATCH(A234,Overrides!$A:$A,0)),"")</f>
        <v/>
      </c>
      <c r="Q234" s="6">
        <f>IFERROR(INDEX(Overrides!$F:$F,MATCH(A234,Overrides!$A:$A,0)),"")</f>
        <v/>
      </c>
      <c r="R234" s="6">
        <f>ISNUMBER(MATCH(A234,Overrides!$A:$A,0))</f>
        <v/>
      </c>
      <c r="S234" s="6">
        <f>OR(ROUND(L234-ROUND(G234-T234,2),2)&lt;=0,AND(I234,K234&lt;&gt;"",(A234-D234+1)=K234))</f>
        <v/>
      </c>
      <c r="T234" s="21">
        <f>IF(M234&lt;&gt;"",M234,ROUND(L234*F234,2))</f>
        <v/>
      </c>
      <c r="U234" s="21">
        <f>IF(R234,IF(O234&lt;&gt;"",O234,IF(N234&lt;&gt;"",ROUND(L234-N234,2),ROUND((IF(P234&lt;&gt;"",P234,G234))-T234,2))),IF(H234,0,IF(S234,L234,ROUND(G234-T234,2))))</f>
        <v/>
      </c>
      <c r="V234" s="21">
        <f>IF(R234,IF(P234&lt;&gt;"",P234,ROUND(T234+U234,2)),IF(H234,T234,IF(S234,ROUND(T234+U234,2),G234)))</f>
        <v/>
      </c>
      <c r="W234" s="21">
        <f>IF(R234,IF(N234&lt;&gt;"",N234,ROUND(L234-U234,2)),IF(H234,L234,IF(S234,0,ROUND(L234-U234,2))))</f>
        <v/>
      </c>
      <c r="X234" s="21">
        <f>IFERROR(MIN(INDEX(LumpSums!$B:$B,MATCH(A234,LumpSums!$A:$A,0)),W234),0)</f>
        <v/>
      </c>
      <c r="Y234" s="21">
        <f>ROUND(U234+X234,2)</f>
        <v/>
      </c>
      <c r="Z234" s="21">
        <f>ROUND(V234+X234,2)</f>
        <v/>
      </c>
      <c r="AA234" s="21">
        <f>ROUND(W234-X234,2)</f>
        <v/>
      </c>
      <c r="AB234" s="6">
        <f>AND(AB233,L234&gt;0)</f>
        <v/>
      </c>
      <c r="AC234" s="21">
        <f>IF(PMI_Costs!$B$8=0,0,ROUND(PMI_Costs!$B$8*(1+PMI_Costs!$B$9/100)^INT((A234-1)/12)/12,2))</f>
        <v/>
      </c>
      <c r="AD234" s="21">
        <f>IF(PMI_Costs!$B$10=0,0,ROUND(PMI_Costs!$B$10*(1+PMI_Costs!$B$11/100)^INT((A234-1)/12)/12,2))</f>
        <v/>
      </c>
      <c r="AE234" s="21">
        <f>IF(PMI_Costs!$B$12=0,0,ROUND(PMI_Costs!$B$12*(1+PMI_Costs!$B$13/100)^INT((A234-1)/12)/12,2))</f>
        <v/>
      </c>
      <c r="AF234" s="22">
        <f>IF(PMI_Costs!$B$5=0,0,AA234/PMI_Costs!$B$5)</f>
        <v/>
      </c>
      <c r="AG234" s="6">
        <f>AND(PMI_Costs!$B$4&gt;0,AF234&gt;PMI_Costs!$B$6/100)</f>
        <v/>
      </c>
      <c r="AH234" s="21">
        <f>IF(AG234,ROUND(Segments!$G$5*PMI_Costs!$B$4/100/12,2),0)</f>
        <v/>
      </c>
      <c r="AI234" s="6">
        <f>AND(NOT(AG234),AG233)</f>
        <v/>
      </c>
    </row>
    <row r="235">
      <c r="A235" s="18" t="n">
        <v>231</v>
      </c>
      <c r="B235" s="18">
        <f>SUMPRODUCT((Segments!$J$5:$J$12&lt;&gt;"")*(Segments!$J$5:$J$12&lt;=A235))</f>
        <v/>
      </c>
      <c r="C235" s="19">
        <f>INDEX(Segments!$B$5:$B$12,B235)</f>
        <v/>
      </c>
      <c r="D235" s="18">
        <f>INDEX(Segments!$J$5:$J$12,B235)</f>
        <v/>
      </c>
      <c r="E235" s="19">
        <f>DATE(YEAR(C235)+INT((MONTH(C235)-1+(A235-D235))/12),MOD(MONTH(C235)-1+(A235-D235),12)+1,1)+(DAY(C235)-1)</f>
        <v/>
      </c>
      <c r="F235" s="20">
        <f>INDEX(Segments!$C$5:$C$12,B235)/100/12</f>
        <v/>
      </c>
      <c r="G235" s="21">
        <f>INDEX(Segments!$L$5:$L$12,B235)</f>
        <v/>
      </c>
      <c r="H235" s="6">
        <f>INDEX(Segments!$I$5:$I$12,B235)="Y"</f>
        <v/>
      </c>
      <c r="I235" s="6">
        <f>INDEX(Segments!$F$5:$F$12,B235)=""</f>
        <v/>
      </c>
      <c r="J235" s="18">
        <f>INDEX(Segments!$K$5:$K$12,B235)</f>
        <v/>
      </c>
      <c r="K235" s="18">
        <f>IF(INDEX(Segments!$F$5:$F$12,B235)&lt;&gt;"",INDEX(Segments!$F$5:$F$12,B235),IF(INDEX(Segments!$E$5:$E$12,B235)&lt;&gt;"",INDEX(Segments!$E$5:$E$12,B235),""))</f>
        <v/>
      </c>
      <c r="L235" s="21">
        <f>AA234</f>
        <v/>
      </c>
      <c r="M235" s="21">
        <f>IFERROR(INDEX(Overrides!$C:$C,MATCH(A235,Overrides!$A:$A,0)),"")</f>
        <v/>
      </c>
      <c r="N235" s="21">
        <f>IFERROR(INDEX(Overrides!$E:$E,MATCH(A235,Overrides!$A:$A,0)),"")</f>
        <v/>
      </c>
      <c r="O235" s="21">
        <f>IFERROR(INDEX(Overrides!$D:$D,MATCH(A235,Overrides!$A:$A,0)),"")</f>
        <v/>
      </c>
      <c r="P235" s="21">
        <f>IFERROR(INDEX(Overrides!$B:$B,MATCH(A235,Overrides!$A:$A,0)),"")</f>
        <v/>
      </c>
      <c r="Q235" s="6">
        <f>IFERROR(INDEX(Overrides!$F:$F,MATCH(A235,Overrides!$A:$A,0)),"")</f>
        <v/>
      </c>
      <c r="R235" s="6">
        <f>ISNUMBER(MATCH(A235,Overrides!$A:$A,0))</f>
        <v/>
      </c>
      <c r="S235" s="6">
        <f>OR(ROUND(L235-ROUND(G235-T235,2),2)&lt;=0,AND(I235,K235&lt;&gt;"",(A235-D235+1)=K235))</f>
        <v/>
      </c>
      <c r="T235" s="21">
        <f>IF(M235&lt;&gt;"",M235,ROUND(L235*F235,2))</f>
        <v/>
      </c>
      <c r="U235" s="21">
        <f>IF(R235,IF(O235&lt;&gt;"",O235,IF(N235&lt;&gt;"",ROUND(L235-N235,2),ROUND((IF(P235&lt;&gt;"",P235,G235))-T235,2))),IF(H235,0,IF(S235,L235,ROUND(G235-T235,2))))</f>
        <v/>
      </c>
      <c r="V235" s="21">
        <f>IF(R235,IF(P235&lt;&gt;"",P235,ROUND(T235+U235,2)),IF(H235,T235,IF(S235,ROUND(T235+U235,2),G235)))</f>
        <v/>
      </c>
      <c r="W235" s="21">
        <f>IF(R235,IF(N235&lt;&gt;"",N235,ROUND(L235-U235,2)),IF(H235,L235,IF(S235,0,ROUND(L235-U235,2))))</f>
        <v/>
      </c>
      <c r="X235" s="21">
        <f>IFERROR(MIN(INDEX(LumpSums!$B:$B,MATCH(A235,LumpSums!$A:$A,0)),W235),0)</f>
        <v/>
      </c>
      <c r="Y235" s="21">
        <f>ROUND(U235+X235,2)</f>
        <v/>
      </c>
      <c r="Z235" s="21">
        <f>ROUND(V235+X235,2)</f>
        <v/>
      </c>
      <c r="AA235" s="21">
        <f>ROUND(W235-X235,2)</f>
        <v/>
      </c>
      <c r="AB235" s="6">
        <f>AND(AB234,L235&gt;0)</f>
        <v/>
      </c>
      <c r="AC235" s="21">
        <f>IF(PMI_Costs!$B$8=0,0,ROUND(PMI_Costs!$B$8*(1+PMI_Costs!$B$9/100)^INT((A235-1)/12)/12,2))</f>
        <v/>
      </c>
      <c r="AD235" s="21">
        <f>IF(PMI_Costs!$B$10=0,0,ROUND(PMI_Costs!$B$10*(1+PMI_Costs!$B$11/100)^INT((A235-1)/12)/12,2))</f>
        <v/>
      </c>
      <c r="AE235" s="21">
        <f>IF(PMI_Costs!$B$12=0,0,ROUND(PMI_Costs!$B$12*(1+PMI_Costs!$B$13/100)^INT((A235-1)/12)/12,2))</f>
        <v/>
      </c>
      <c r="AF235" s="22">
        <f>IF(PMI_Costs!$B$5=0,0,AA235/PMI_Costs!$B$5)</f>
        <v/>
      </c>
      <c r="AG235" s="6">
        <f>AND(PMI_Costs!$B$4&gt;0,AF235&gt;PMI_Costs!$B$6/100)</f>
        <v/>
      </c>
      <c r="AH235" s="21">
        <f>IF(AG235,ROUND(Segments!$G$5*PMI_Costs!$B$4/100/12,2),0)</f>
        <v/>
      </c>
      <c r="AI235" s="6">
        <f>AND(NOT(AG235),AG234)</f>
        <v/>
      </c>
    </row>
    <row r="236">
      <c r="A236" s="18" t="n">
        <v>232</v>
      </c>
      <c r="B236" s="18">
        <f>SUMPRODUCT((Segments!$J$5:$J$12&lt;&gt;"")*(Segments!$J$5:$J$12&lt;=A236))</f>
        <v/>
      </c>
      <c r="C236" s="19">
        <f>INDEX(Segments!$B$5:$B$12,B236)</f>
        <v/>
      </c>
      <c r="D236" s="18">
        <f>INDEX(Segments!$J$5:$J$12,B236)</f>
        <v/>
      </c>
      <c r="E236" s="19">
        <f>DATE(YEAR(C236)+INT((MONTH(C236)-1+(A236-D236))/12),MOD(MONTH(C236)-1+(A236-D236),12)+1,1)+(DAY(C236)-1)</f>
        <v/>
      </c>
      <c r="F236" s="20">
        <f>INDEX(Segments!$C$5:$C$12,B236)/100/12</f>
        <v/>
      </c>
      <c r="G236" s="21">
        <f>INDEX(Segments!$L$5:$L$12,B236)</f>
        <v/>
      </c>
      <c r="H236" s="6">
        <f>INDEX(Segments!$I$5:$I$12,B236)="Y"</f>
        <v/>
      </c>
      <c r="I236" s="6">
        <f>INDEX(Segments!$F$5:$F$12,B236)=""</f>
        <v/>
      </c>
      <c r="J236" s="18">
        <f>INDEX(Segments!$K$5:$K$12,B236)</f>
        <v/>
      </c>
      <c r="K236" s="18">
        <f>IF(INDEX(Segments!$F$5:$F$12,B236)&lt;&gt;"",INDEX(Segments!$F$5:$F$12,B236),IF(INDEX(Segments!$E$5:$E$12,B236)&lt;&gt;"",INDEX(Segments!$E$5:$E$12,B236),""))</f>
        <v/>
      </c>
      <c r="L236" s="21">
        <f>AA235</f>
        <v/>
      </c>
      <c r="M236" s="21">
        <f>IFERROR(INDEX(Overrides!$C:$C,MATCH(A236,Overrides!$A:$A,0)),"")</f>
        <v/>
      </c>
      <c r="N236" s="21">
        <f>IFERROR(INDEX(Overrides!$E:$E,MATCH(A236,Overrides!$A:$A,0)),"")</f>
        <v/>
      </c>
      <c r="O236" s="21">
        <f>IFERROR(INDEX(Overrides!$D:$D,MATCH(A236,Overrides!$A:$A,0)),"")</f>
        <v/>
      </c>
      <c r="P236" s="21">
        <f>IFERROR(INDEX(Overrides!$B:$B,MATCH(A236,Overrides!$A:$A,0)),"")</f>
        <v/>
      </c>
      <c r="Q236" s="6">
        <f>IFERROR(INDEX(Overrides!$F:$F,MATCH(A236,Overrides!$A:$A,0)),"")</f>
        <v/>
      </c>
      <c r="R236" s="6">
        <f>ISNUMBER(MATCH(A236,Overrides!$A:$A,0))</f>
        <v/>
      </c>
      <c r="S236" s="6">
        <f>OR(ROUND(L236-ROUND(G236-T236,2),2)&lt;=0,AND(I236,K236&lt;&gt;"",(A236-D236+1)=K236))</f>
        <v/>
      </c>
      <c r="T236" s="21">
        <f>IF(M236&lt;&gt;"",M236,ROUND(L236*F236,2))</f>
        <v/>
      </c>
      <c r="U236" s="21">
        <f>IF(R236,IF(O236&lt;&gt;"",O236,IF(N236&lt;&gt;"",ROUND(L236-N236,2),ROUND((IF(P236&lt;&gt;"",P236,G236))-T236,2))),IF(H236,0,IF(S236,L236,ROUND(G236-T236,2))))</f>
        <v/>
      </c>
      <c r="V236" s="21">
        <f>IF(R236,IF(P236&lt;&gt;"",P236,ROUND(T236+U236,2)),IF(H236,T236,IF(S236,ROUND(T236+U236,2),G236)))</f>
        <v/>
      </c>
      <c r="W236" s="21">
        <f>IF(R236,IF(N236&lt;&gt;"",N236,ROUND(L236-U236,2)),IF(H236,L236,IF(S236,0,ROUND(L236-U236,2))))</f>
        <v/>
      </c>
      <c r="X236" s="21">
        <f>IFERROR(MIN(INDEX(LumpSums!$B:$B,MATCH(A236,LumpSums!$A:$A,0)),W236),0)</f>
        <v/>
      </c>
      <c r="Y236" s="21">
        <f>ROUND(U236+X236,2)</f>
        <v/>
      </c>
      <c r="Z236" s="21">
        <f>ROUND(V236+X236,2)</f>
        <v/>
      </c>
      <c r="AA236" s="21">
        <f>ROUND(W236-X236,2)</f>
        <v/>
      </c>
      <c r="AB236" s="6">
        <f>AND(AB235,L236&gt;0)</f>
        <v/>
      </c>
      <c r="AC236" s="21">
        <f>IF(PMI_Costs!$B$8=0,0,ROUND(PMI_Costs!$B$8*(1+PMI_Costs!$B$9/100)^INT((A236-1)/12)/12,2))</f>
        <v/>
      </c>
      <c r="AD236" s="21">
        <f>IF(PMI_Costs!$B$10=0,0,ROUND(PMI_Costs!$B$10*(1+PMI_Costs!$B$11/100)^INT((A236-1)/12)/12,2))</f>
        <v/>
      </c>
      <c r="AE236" s="21">
        <f>IF(PMI_Costs!$B$12=0,0,ROUND(PMI_Costs!$B$12*(1+PMI_Costs!$B$13/100)^INT((A236-1)/12)/12,2))</f>
        <v/>
      </c>
      <c r="AF236" s="22">
        <f>IF(PMI_Costs!$B$5=0,0,AA236/PMI_Costs!$B$5)</f>
        <v/>
      </c>
      <c r="AG236" s="6">
        <f>AND(PMI_Costs!$B$4&gt;0,AF236&gt;PMI_Costs!$B$6/100)</f>
        <v/>
      </c>
      <c r="AH236" s="21">
        <f>IF(AG236,ROUND(Segments!$G$5*PMI_Costs!$B$4/100/12,2),0)</f>
        <v/>
      </c>
      <c r="AI236" s="6">
        <f>AND(NOT(AG236),AG235)</f>
        <v/>
      </c>
    </row>
    <row r="237">
      <c r="A237" s="18" t="n">
        <v>233</v>
      </c>
      <c r="B237" s="18">
        <f>SUMPRODUCT((Segments!$J$5:$J$12&lt;&gt;"")*(Segments!$J$5:$J$12&lt;=A237))</f>
        <v/>
      </c>
      <c r="C237" s="19">
        <f>INDEX(Segments!$B$5:$B$12,B237)</f>
        <v/>
      </c>
      <c r="D237" s="18">
        <f>INDEX(Segments!$J$5:$J$12,B237)</f>
        <v/>
      </c>
      <c r="E237" s="19">
        <f>DATE(YEAR(C237)+INT((MONTH(C237)-1+(A237-D237))/12),MOD(MONTH(C237)-1+(A237-D237),12)+1,1)+(DAY(C237)-1)</f>
        <v/>
      </c>
      <c r="F237" s="20">
        <f>INDEX(Segments!$C$5:$C$12,B237)/100/12</f>
        <v/>
      </c>
      <c r="G237" s="21">
        <f>INDEX(Segments!$L$5:$L$12,B237)</f>
        <v/>
      </c>
      <c r="H237" s="6">
        <f>INDEX(Segments!$I$5:$I$12,B237)="Y"</f>
        <v/>
      </c>
      <c r="I237" s="6">
        <f>INDEX(Segments!$F$5:$F$12,B237)=""</f>
        <v/>
      </c>
      <c r="J237" s="18">
        <f>INDEX(Segments!$K$5:$K$12,B237)</f>
        <v/>
      </c>
      <c r="K237" s="18">
        <f>IF(INDEX(Segments!$F$5:$F$12,B237)&lt;&gt;"",INDEX(Segments!$F$5:$F$12,B237),IF(INDEX(Segments!$E$5:$E$12,B237)&lt;&gt;"",INDEX(Segments!$E$5:$E$12,B237),""))</f>
        <v/>
      </c>
      <c r="L237" s="21">
        <f>AA236</f>
        <v/>
      </c>
      <c r="M237" s="21">
        <f>IFERROR(INDEX(Overrides!$C:$C,MATCH(A237,Overrides!$A:$A,0)),"")</f>
        <v/>
      </c>
      <c r="N237" s="21">
        <f>IFERROR(INDEX(Overrides!$E:$E,MATCH(A237,Overrides!$A:$A,0)),"")</f>
        <v/>
      </c>
      <c r="O237" s="21">
        <f>IFERROR(INDEX(Overrides!$D:$D,MATCH(A237,Overrides!$A:$A,0)),"")</f>
        <v/>
      </c>
      <c r="P237" s="21">
        <f>IFERROR(INDEX(Overrides!$B:$B,MATCH(A237,Overrides!$A:$A,0)),"")</f>
        <v/>
      </c>
      <c r="Q237" s="6">
        <f>IFERROR(INDEX(Overrides!$F:$F,MATCH(A237,Overrides!$A:$A,0)),"")</f>
        <v/>
      </c>
      <c r="R237" s="6">
        <f>ISNUMBER(MATCH(A237,Overrides!$A:$A,0))</f>
        <v/>
      </c>
      <c r="S237" s="6">
        <f>OR(ROUND(L237-ROUND(G237-T237,2),2)&lt;=0,AND(I237,K237&lt;&gt;"",(A237-D237+1)=K237))</f>
        <v/>
      </c>
      <c r="T237" s="21">
        <f>IF(M237&lt;&gt;"",M237,ROUND(L237*F237,2))</f>
        <v/>
      </c>
      <c r="U237" s="21">
        <f>IF(R237,IF(O237&lt;&gt;"",O237,IF(N237&lt;&gt;"",ROUND(L237-N237,2),ROUND((IF(P237&lt;&gt;"",P237,G237))-T237,2))),IF(H237,0,IF(S237,L237,ROUND(G237-T237,2))))</f>
        <v/>
      </c>
      <c r="V237" s="21">
        <f>IF(R237,IF(P237&lt;&gt;"",P237,ROUND(T237+U237,2)),IF(H237,T237,IF(S237,ROUND(T237+U237,2),G237)))</f>
        <v/>
      </c>
      <c r="W237" s="21">
        <f>IF(R237,IF(N237&lt;&gt;"",N237,ROUND(L237-U237,2)),IF(H237,L237,IF(S237,0,ROUND(L237-U237,2))))</f>
        <v/>
      </c>
      <c r="X237" s="21">
        <f>IFERROR(MIN(INDEX(LumpSums!$B:$B,MATCH(A237,LumpSums!$A:$A,0)),W237),0)</f>
        <v/>
      </c>
      <c r="Y237" s="21">
        <f>ROUND(U237+X237,2)</f>
        <v/>
      </c>
      <c r="Z237" s="21">
        <f>ROUND(V237+X237,2)</f>
        <v/>
      </c>
      <c r="AA237" s="21">
        <f>ROUND(W237-X237,2)</f>
        <v/>
      </c>
      <c r="AB237" s="6">
        <f>AND(AB236,L237&gt;0)</f>
        <v/>
      </c>
      <c r="AC237" s="21">
        <f>IF(PMI_Costs!$B$8=0,0,ROUND(PMI_Costs!$B$8*(1+PMI_Costs!$B$9/100)^INT((A237-1)/12)/12,2))</f>
        <v/>
      </c>
      <c r="AD237" s="21">
        <f>IF(PMI_Costs!$B$10=0,0,ROUND(PMI_Costs!$B$10*(1+PMI_Costs!$B$11/100)^INT((A237-1)/12)/12,2))</f>
        <v/>
      </c>
      <c r="AE237" s="21">
        <f>IF(PMI_Costs!$B$12=0,0,ROUND(PMI_Costs!$B$12*(1+PMI_Costs!$B$13/100)^INT((A237-1)/12)/12,2))</f>
        <v/>
      </c>
      <c r="AF237" s="22">
        <f>IF(PMI_Costs!$B$5=0,0,AA237/PMI_Costs!$B$5)</f>
        <v/>
      </c>
      <c r="AG237" s="6">
        <f>AND(PMI_Costs!$B$4&gt;0,AF237&gt;PMI_Costs!$B$6/100)</f>
        <v/>
      </c>
      <c r="AH237" s="21">
        <f>IF(AG237,ROUND(Segments!$G$5*PMI_Costs!$B$4/100/12,2),0)</f>
        <v/>
      </c>
      <c r="AI237" s="6">
        <f>AND(NOT(AG237),AG236)</f>
        <v/>
      </c>
    </row>
    <row r="238">
      <c r="A238" s="18" t="n">
        <v>234</v>
      </c>
      <c r="B238" s="18">
        <f>SUMPRODUCT((Segments!$J$5:$J$12&lt;&gt;"")*(Segments!$J$5:$J$12&lt;=A238))</f>
        <v/>
      </c>
      <c r="C238" s="19">
        <f>INDEX(Segments!$B$5:$B$12,B238)</f>
        <v/>
      </c>
      <c r="D238" s="18">
        <f>INDEX(Segments!$J$5:$J$12,B238)</f>
        <v/>
      </c>
      <c r="E238" s="19">
        <f>DATE(YEAR(C238)+INT((MONTH(C238)-1+(A238-D238))/12),MOD(MONTH(C238)-1+(A238-D238),12)+1,1)+(DAY(C238)-1)</f>
        <v/>
      </c>
      <c r="F238" s="20">
        <f>INDEX(Segments!$C$5:$C$12,B238)/100/12</f>
        <v/>
      </c>
      <c r="G238" s="21">
        <f>INDEX(Segments!$L$5:$L$12,B238)</f>
        <v/>
      </c>
      <c r="H238" s="6">
        <f>INDEX(Segments!$I$5:$I$12,B238)="Y"</f>
        <v/>
      </c>
      <c r="I238" s="6">
        <f>INDEX(Segments!$F$5:$F$12,B238)=""</f>
        <v/>
      </c>
      <c r="J238" s="18">
        <f>INDEX(Segments!$K$5:$K$12,B238)</f>
        <v/>
      </c>
      <c r="K238" s="18">
        <f>IF(INDEX(Segments!$F$5:$F$12,B238)&lt;&gt;"",INDEX(Segments!$F$5:$F$12,B238),IF(INDEX(Segments!$E$5:$E$12,B238)&lt;&gt;"",INDEX(Segments!$E$5:$E$12,B238),""))</f>
        <v/>
      </c>
      <c r="L238" s="21">
        <f>AA237</f>
        <v/>
      </c>
      <c r="M238" s="21">
        <f>IFERROR(INDEX(Overrides!$C:$C,MATCH(A238,Overrides!$A:$A,0)),"")</f>
        <v/>
      </c>
      <c r="N238" s="21">
        <f>IFERROR(INDEX(Overrides!$E:$E,MATCH(A238,Overrides!$A:$A,0)),"")</f>
        <v/>
      </c>
      <c r="O238" s="21">
        <f>IFERROR(INDEX(Overrides!$D:$D,MATCH(A238,Overrides!$A:$A,0)),"")</f>
        <v/>
      </c>
      <c r="P238" s="21">
        <f>IFERROR(INDEX(Overrides!$B:$B,MATCH(A238,Overrides!$A:$A,0)),"")</f>
        <v/>
      </c>
      <c r="Q238" s="6">
        <f>IFERROR(INDEX(Overrides!$F:$F,MATCH(A238,Overrides!$A:$A,0)),"")</f>
        <v/>
      </c>
      <c r="R238" s="6">
        <f>ISNUMBER(MATCH(A238,Overrides!$A:$A,0))</f>
        <v/>
      </c>
      <c r="S238" s="6">
        <f>OR(ROUND(L238-ROUND(G238-T238,2),2)&lt;=0,AND(I238,K238&lt;&gt;"",(A238-D238+1)=K238))</f>
        <v/>
      </c>
      <c r="T238" s="21">
        <f>IF(M238&lt;&gt;"",M238,ROUND(L238*F238,2))</f>
        <v/>
      </c>
      <c r="U238" s="21">
        <f>IF(R238,IF(O238&lt;&gt;"",O238,IF(N238&lt;&gt;"",ROUND(L238-N238,2),ROUND((IF(P238&lt;&gt;"",P238,G238))-T238,2))),IF(H238,0,IF(S238,L238,ROUND(G238-T238,2))))</f>
        <v/>
      </c>
      <c r="V238" s="21">
        <f>IF(R238,IF(P238&lt;&gt;"",P238,ROUND(T238+U238,2)),IF(H238,T238,IF(S238,ROUND(T238+U238,2),G238)))</f>
        <v/>
      </c>
      <c r="W238" s="21">
        <f>IF(R238,IF(N238&lt;&gt;"",N238,ROUND(L238-U238,2)),IF(H238,L238,IF(S238,0,ROUND(L238-U238,2))))</f>
        <v/>
      </c>
      <c r="X238" s="21">
        <f>IFERROR(MIN(INDEX(LumpSums!$B:$B,MATCH(A238,LumpSums!$A:$A,0)),W238),0)</f>
        <v/>
      </c>
      <c r="Y238" s="21">
        <f>ROUND(U238+X238,2)</f>
        <v/>
      </c>
      <c r="Z238" s="21">
        <f>ROUND(V238+X238,2)</f>
        <v/>
      </c>
      <c r="AA238" s="21">
        <f>ROUND(W238-X238,2)</f>
        <v/>
      </c>
      <c r="AB238" s="6">
        <f>AND(AB237,L238&gt;0)</f>
        <v/>
      </c>
      <c r="AC238" s="21">
        <f>IF(PMI_Costs!$B$8=0,0,ROUND(PMI_Costs!$B$8*(1+PMI_Costs!$B$9/100)^INT((A238-1)/12)/12,2))</f>
        <v/>
      </c>
      <c r="AD238" s="21">
        <f>IF(PMI_Costs!$B$10=0,0,ROUND(PMI_Costs!$B$10*(1+PMI_Costs!$B$11/100)^INT((A238-1)/12)/12,2))</f>
        <v/>
      </c>
      <c r="AE238" s="21">
        <f>IF(PMI_Costs!$B$12=0,0,ROUND(PMI_Costs!$B$12*(1+PMI_Costs!$B$13/100)^INT((A238-1)/12)/12,2))</f>
        <v/>
      </c>
      <c r="AF238" s="22">
        <f>IF(PMI_Costs!$B$5=0,0,AA238/PMI_Costs!$B$5)</f>
        <v/>
      </c>
      <c r="AG238" s="6">
        <f>AND(PMI_Costs!$B$4&gt;0,AF238&gt;PMI_Costs!$B$6/100)</f>
        <v/>
      </c>
      <c r="AH238" s="21">
        <f>IF(AG238,ROUND(Segments!$G$5*PMI_Costs!$B$4/100/12,2),0)</f>
        <v/>
      </c>
      <c r="AI238" s="6">
        <f>AND(NOT(AG238),AG237)</f>
        <v/>
      </c>
    </row>
    <row r="239">
      <c r="A239" s="18" t="n">
        <v>235</v>
      </c>
      <c r="B239" s="18">
        <f>SUMPRODUCT((Segments!$J$5:$J$12&lt;&gt;"")*(Segments!$J$5:$J$12&lt;=A239))</f>
        <v/>
      </c>
      <c r="C239" s="19">
        <f>INDEX(Segments!$B$5:$B$12,B239)</f>
        <v/>
      </c>
      <c r="D239" s="18">
        <f>INDEX(Segments!$J$5:$J$12,B239)</f>
        <v/>
      </c>
      <c r="E239" s="19">
        <f>DATE(YEAR(C239)+INT((MONTH(C239)-1+(A239-D239))/12),MOD(MONTH(C239)-1+(A239-D239),12)+1,1)+(DAY(C239)-1)</f>
        <v/>
      </c>
      <c r="F239" s="20">
        <f>INDEX(Segments!$C$5:$C$12,B239)/100/12</f>
        <v/>
      </c>
      <c r="G239" s="21">
        <f>INDEX(Segments!$L$5:$L$12,B239)</f>
        <v/>
      </c>
      <c r="H239" s="6">
        <f>INDEX(Segments!$I$5:$I$12,B239)="Y"</f>
        <v/>
      </c>
      <c r="I239" s="6">
        <f>INDEX(Segments!$F$5:$F$12,B239)=""</f>
        <v/>
      </c>
      <c r="J239" s="18">
        <f>INDEX(Segments!$K$5:$K$12,B239)</f>
        <v/>
      </c>
      <c r="K239" s="18">
        <f>IF(INDEX(Segments!$F$5:$F$12,B239)&lt;&gt;"",INDEX(Segments!$F$5:$F$12,B239),IF(INDEX(Segments!$E$5:$E$12,B239)&lt;&gt;"",INDEX(Segments!$E$5:$E$12,B239),""))</f>
        <v/>
      </c>
      <c r="L239" s="21">
        <f>AA238</f>
        <v/>
      </c>
      <c r="M239" s="21">
        <f>IFERROR(INDEX(Overrides!$C:$C,MATCH(A239,Overrides!$A:$A,0)),"")</f>
        <v/>
      </c>
      <c r="N239" s="21">
        <f>IFERROR(INDEX(Overrides!$E:$E,MATCH(A239,Overrides!$A:$A,0)),"")</f>
        <v/>
      </c>
      <c r="O239" s="21">
        <f>IFERROR(INDEX(Overrides!$D:$D,MATCH(A239,Overrides!$A:$A,0)),"")</f>
        <v/>
      </c>
      <c r="P239" s="21">
        <f>IFERROR(INDEX(Overrides!$B:$B,MATCH(A239,Overrides!$A:$A,0)),"")</f>
        <v/>
      </c>
      <c r="Q239" s="6">
        <f>IFERROR(INDEX(Overrides!$F:$F,MATCH(A239,Overrides!$A:$A,0)),"")</f>
        <v/>
      </c>
      <c r="R239" s="6">
        <f>ISNUMBER(MATCH(A239,Overrides!$A:$A,0))</f>
        <v/>
      </c>
      <c r="S239" s="6">
        <f>OR(ROUND(L239-ROUND(G239-T239,2),2)&lt;=0,AND(I239,K239&lt;&gt;"",(A239-D239+1)=K239))</f>
        <v/>
      </c>
      <c r="T239" s="21">
        <f>IF(M239&lt;&gt;"",M239,ROUND(L239*F239,2))</f>
        <v/>
      </c>
      <c r="U239" s="21">
        <f>IF(R239,IF(O239&lt;&gt;"",O239,IF(N239&lt;&gt;"",ROUND(L239-N239,2),ROUND((IF(P239&lt;&gt;"",P239,G239))-T239,2))),IF(H239,0,IF(S239,L239,ROUND(G239-T239,2))))</f>
        <v/>
      </c>
      <c r="V239" s="21">
        <f>IF(R239,IF(P239&lt;&gt;"",P239,ROUND(T239+U239,2)),IF(H239,T239,IF(S239,ROUND(T239+U239,2),G239)))</f>
        <v/>
      </c>
      <c r="W239" s="21">
        <f>IF(R239,IF(N239&lt;&gt;"",N239,ROUND(L239-U239,2)),IF(H239,L239,IF(S239,0,ROUND(L239-U239,2))))</f>
        <v/>
      </c>
      <c r="X239" s="21">
        <f>IFERROR(MIN(INDEX(LumpSums!$B:$B,MATCH(A239,LumpSums!$A:$A,0)),W239),0)</f>
        <v/>
      </c>
      <c r="Y239" s="21">
        <f>ROUND(U239+X239,2)</f>
        <v/>
      </c>
      <c r="Z239" s="21">
        <f>ROUND(V239+X239,2)</f>
        <v/>
      </c>
      <c r="AA239" s="21">
        <f>ROUND(W239-X239,2)</f>
        <v/>
      </c>
      <c r="AB239" s="6">
        <f>AND(AB238,L239&gt;0)</f>
        <v/>
      </c>
      <c r="AC239" s="21">
        <f>IF(PMI_Costs!$B$8=0,0,ROUND(PMI_Costs!$B$8*(1+PMI_Costs!$B$9/100)^INT((A239-1)/12)/12,2))</f>
        <v/>
      </c>
      <c r="AD239" s="21">
        <f>IF(PMI_Costs!$B$10=0,0,ROUND(PMI_Costs!$B$10*(1+PMI_Costs!$B$11/100)^INT((A239-1)/12)/12,2))</f>
        <v/>
      </c>
      <c r="AE239" s="21">
        <f>IF(PMI_Costs!$B$12=0,0,ROUND(PMI_Costs!$B$12*(1+PMI_Costs!$B$13/100)^INT((A239-1)/12)/12,2))</f>
        <v/>
      </c>
      <c r="AF239" s="22">
        <f>IF(PMI_Costs!$B$5=0,0,AA239/PMI_Costs!$B$5)</f>
        <v/>
      </c>
      <c r="AG239" s="6">
        <f>AND(PMI_Costs!$B$4&gt;0,AF239&gt;PMI_Costs!$B$6/100)</f>
        <v/>
      </c>
      <c r="AH239" s="21">
        <f>IF(AG239,ROUND(Segments!$G$5*PMI_Costs!$B$4/100/12,2),0)</f>
        <v/>
      </c>
      <c r="AI239" s="6">
        <f>AND(NOT(AG239),AG238)</f>
        <v/>
      </c>
    </row>
    <row r="240">
      <c r="A240" s="18" t="n">
        <v>236</v>
      </c>
      <c r="B240" s="18">
        <f>SUMPRODUCT((Segments!$J$5:$J$12&lt;&gt;"")*(Segments!$J$5:$J$12&lt;=A240))</f>
        <v/>
      </c>
      <c r="C240" s="19">
        <f>INDEX(Segments!$B$5:$B$12,B240)</f>
        <v/>
      </c>
      <c r="D240" s="18">
        <f>INDEX(Segments!$J$5:$J$12,B240)</f>
        <v/>
      </c>
      <c r="E240" s="19">
        <f>DATE(YEAR(C240)+INT((MONTH(C240)-1+(A240-D240))/12),MOD(MONTH(C240)-1+(A240-D240),12)+1,1)+(DAY(C240)-1)</f>
        <v/>
      </c>
      <c r="F240" s="20">
        <f>INDEX(Segments!$C$5:$C$12,B240)/100/12</f>
        <v/>
      </c>
      <c r="G240" s="21">
        <f>INDEX(Segments!$L$5:$L$12,B240)</f>
        <v/>
      </c>
      <c r="H240" s="6">
        <f>INDEX(Segments!$I$5:$I$12,B240)="Y"</f>
        <v/>
      </c>
      <c r="I240" s="6">
        <f>INDEX(Segments!$F$5:$F$12,B240)=""</f>
        <v/>
      </c>
      <c r="J240" s="18">
        <f>INDEX(Segments!$K$5:$K$12,B240)</f>
        <v/>
      </c>
      <c r="K240" s="18">
        <f>IF(INDEX(Segments!$F$5:$F$12,B240)&lt;&gt;"",INDEX(Segments!$F$5:$F$12,B240),IF(INDEX(Segments!$E$5:$E$12,B240)&lt;&gt;"",INDEX(Segments!$E$5:$E$12,B240),""))</f>
        <v/>
      </c>
      <c r="L240" s="21">
        <f>AA239</f>
        <v/>
      </c>
      <c r="M240" s="21">
        <f>IFERROR(INDEX(Overrides!$C:$C,MATCH(A240,Overrides!$A:$A,0)),"")</f>
        <v/>
      </c>
      <c r="N240" s="21">
        <f>IFERROR(INDEX(Overrides!$E:$E,MATCH(A240,Overrides!$A:$A,0)),"")</f>
        <v/>
      </c>
      <c r="O240" s="21">
        <f>IFERROR(INDEX(Overrides!$D:$D,MATCH(A240,Overrides!$A:$A,0)),"")</f>
        <v/>
      </c>
      <c r="P240" s="21">
        <f>IFERROR(INDEX(Overrides!$B:$B,MATCH(A240,Overrides!$A:$A,0)),"")</f>
        <v/>
      </c>
      <c r="Q240" s="6">
        <f>IFERROR(INDEX(Overrides!$F:$F,MATCH(A240,Overrides!$A:$A,0)),"")</f>
        <v/>
      </c>
      <c r="R240" s="6">
        <f>ISNUMBER(MATCH(A240,Overrides!$A:$A,0))</f>
        <v/>
      </c>
      <c r="S240" s="6">
        <f>OR(ROUND(L240-ROUND(G240-T240,2),2)&lt;=0,AND(I240,K240&lt;&gt;"",(A240-D240+1)=K240))</f>
        <v/>
      </c>
      <c r="T240" s="21">
        <f>IF(M240&lt;&gt;"",M240,ROUND(L240*F240,2))</f>
        <v/>
      </c>
      <c r="U240" s="21">
        <f>IF(R240,IF(O240&lt;&gt;"",O240,IF(N240&lt;&gt;"",ROUND(L240-N240,2),ROUND((IF(P240&lt;&gt;"",P240,G240))-T240,2))),IF(H240,0,IF(S240,L240,ROUND(G240-T240,2))))</f>
        <v/>
      </c>
      <c r="V240" s="21">
        <f>IF(R240,IF(P240&lt;&gt;"",P240,ROUND(T240+U240,2)),IF(H240,T240,IF(S240,ROUND(T240+U240,2),G240)))</f>
        <v/>
      </c>
      <c r="W240" s="21">
        <f>IF(R240,IF(N240&lt;&gt;"",N240,ROUND(L240-U240,2)),IF(H240,L240,IF(S240,0,ROUND(L240-U240,2))))</f>
        <v/>
      </c>
      <c r="X240" s="21">
        <f>IFERROR(MIN(INDEX(LumpSums!$B:$B,MATCH(A240,LumpSums!$A:$A,0)),W240),0)</f>
        <v/>
      </c>
      <c r="Y240" s="21">
        <f>ROUND(U240+X240,2)</f>
        <v/>
      </c>
      <c r="Z240" s="21">
        <f>ROUND(V240+X240,2)</f>
        <v/>
      </c>
      <c r="AA240" s="21">
        <f>ROUND(W240-X240,2)</f>
        <v/>
      </c>
      <c r="AB240" s="6">
        <f>AND(AB239,L240&gt;0)</f>
        <v/>
      </c>
      <c r="AC240" s="21">
        <f>IF(PMI_Costs!$B$8=0,0,ROUND(PMI_Costs!$B$8*(1+PMI_Costs!$B$9/100)^INT((A240-1)/12)/12,2))</f>
        <v/>
      </c>
      <c r="AD240" s="21">
        <f>IF(PMI_Costs!$B$10=0,0,ROUND(PMI_Costs!$B$10*(1+PMI_Costs!$B$11/100)^INT((A240-1)/12)/12,2))</f>
        <v/>
      </c>
      <c r="AE240" s="21">
        <f>IF(PMI_Costs!$B$12=0,0,ROUND(PMI_Costs!$B$12*(1+PMI_Costs!$B$13/100)^INT((A240-1)/12)/12,2))</f>
        <v/>
      </c>
      <c r="AF240" s="22">
        <f>IF(PMI_Costs!$B$5=0,0,AA240/PMI_Costs!$B$5)</f>
        <v/>
      </c>
      <c r="AG240" s="6">
        <f>AND(PMI_Costs!$B$4&gt;0,AF240&gt;PMI_Costs!$B$6/100)</f>
        <v/>
      </c>
      <c r="AH240" s="21">
        <f>IF(AG240,ROUND(Segments!$G$5*PMI_Costs!$B$4/100/12,2),0)</f>
        <v/>
      </c>
      <c r="AI240" s="6">
        <f>AND(NOT(AG240),AG239)</f>
        <v/>
      </c>
    </row>
    <row r="241">
      <c r="A241" s="18" t="n">
        <v>237</v>
      </c>
      <c r="B241" s="18">
        <f>SUMPRODUCT((Segments!$J$5:$J$12&lt;&gt;"")*(Segments!$J$5:$J$12&lt;=A241))</f>
        <v/>
      </c>
      <c r="C241" s="19">
        <f>INDEX(Segments!$B$5:$B$12,B241)</f>
        <v/>
      </c>
      <c r="D241" s="18">
        <f>INDEX(Segments!$J$5:$J$12,B241)</f>
        <v/>
      </c>
      <c r="E241" s="19">
        <f>DATE(YEAR(C241)+INT((MONTH(C241)-1+(A241-D241))/12),MOD(MONTH(C241)-1+(A241-D241),12)+1,1)+(DAY(C241)-1)</f>
        <v/>
      </c>
      <c r="F241" s="20">
        <f>INDEX(Segments!$C$5:$C$12,B241)/100/12</f>
        <v/>
      </c>
      <c r="G241" s="21">
        <f>INDEX(Segments!$L$5:$L$12,B241)</f>
        <v/>
      </c>
      <c r="H241" s="6">
        <f>INDEX(Segments!$I$5:$I$12,B241)="Y"</f>
        <v/>
      </c>
      <c r="I241" s="6">
        <f>INDEX(Segments!$F$5:$F$12,B241)=""</f>
        <v/>
      </c>
      <c r="J241" s="18">
        <f>INDEX(Segments!$K$5:$K$12,B241)</f>
        <v/>
      </c>
      <c r="K241" s="18">
        <f>IF(INDEX(Segments!$F$5:$F$12,B241)&lt;&gt;"",INDEX(Segments!$F$5:$F$12,B241),IF(INDEX(Segments!$E$5:$E$12,B241)&lt;&gt;"",INDEX(Segments!$E$5:$E$12,B241),""))</f>
        <v/>
      </c>
      <c r="L241" s="21">
        <f>AA240</f>
        <v/>
      </c>
      <c r="M241" s="21">
        <f>IFERROR(INDEX(Overrides!$C:$C,MATCH(A241,Overrides!$A:$A,0)),"")</f>
        <v/>
      </c>
      <c r="N241" s="21">
        <f>IFERROR(INDEX(Overrides!$E:$E,MATCH(A241,Overrides!$A:$A,0)),"")</f>
        <v/>
      </c>
      <c r="O241" s="21">
        <f>IFERROR(INDEX(Overrides!$D:$D,MATCH(A241,Overrides!$A:$A,0)),"")</f>
        <v/>
      </c>
      <c r="P241" s="21">
        <f>IFERROR(INDEX(Overrides!$B:$B,MATCH(A241,Overrides!$A:$A,0)),"")</f>
        <v/>
      </c>
      <c r="Q241" s="6">
        <f>IFERROR(INDEX(Overrides!$F:$F,MATCH(A241,Overrides!$A:$A,0)),"")</f>
        <v/>
      </c>
      <c r="R241" s="6">
        <f>ISNUMBER(MATCH(A241,Overrides!$A:$A,0))</f>
        <v/>
      </c>
      <c r="S241" s="6">
        <f>OR(ROUND(L241-ROUND(G241-T241,2),2)&lt;=0,AND(I241,K241&lt;&gt;"",(A241-D241+1)=K241))</f>
        <v/>
      </c>
      <c r="T241" s="21">
        <f>IF(M241&lt;&gt;"",M241,ROUND(L241*F241,2))</f>
        <v/>
      </c>
      <c r="U241" s="21">
        <f>IF(R241,IF(O241&lt;&gt;"",O241,IF(N241&lt;&gt;"",ROUND(L241-N241,2),ROUND((IF(P241&lt;&gt;"",P241,G241))-T241,2))),IF(H241,0,IF(S241,L241,ROUND(G241-T241,2))))</f>
        <v/>
      </c>
      <c r="V241" s="21">
        <f>IF(R241,IF(P241&lt;&gt;"",P241,ROUND(T241+U241,2)),IF(H241,T241,IF(S241,ROUND(T241+U241,2),G241)))</f>
        <v/>
      </c>
      <c r="W241" s="21">
        <f>IF(R241,IF(N241&lt;&gt;"",N241,ROUND(L241-U241,2)),IF(H241,L241,IF(S241,0,ROUND(L241-U241,2))))</f>
        <v/>
      </c>
      <c r="X241" s="21">
        <f>IFERROR(MIN(INDEX(LumpSums!$B:$B,MATCH(A241,LumpSums!$A:$A,0)),W241),0)</f>
        <v/>
      </c>
      <c r="Y241" s="21">
        <f>ROUND(U241+X241,2)</f>
        <v/>
      </c>
      <c r="Z241" s="21">
        <f>ROUND(V241+X241,2)</f>
        <v/>
      </c>
      <c r="AA241" s="21">
        <f>ROUND(W241-X241,2)</f>
        <v/>
      </c>
      <c r="AB241" s="6">
        <f>AND(AB240,L241&gt;0)</f>
        <v/>
      </c>
      <c r="AC241" s="21">
        <f>IF(PMI_Costs!$B$8=0,0,ROUND(PMI_Costs!$B$8*(1+PMI_Costs!$B$9/100)^INT((A241-1)/12)/12,2))</f>
        <v/>
      </c>
      <c r="AD241" s="21">
        <f>IF(PMI_Costs!$B$10=0,0,ROUND(PMI_Costs!$B$10*(1+PMI_Costs!$B$11/100)^INT((A241-1)/12)/12,2))</f>
        <v/>
      </c>
      <c r="AE241" s="21">
        <f>IF(PMI_Costs!$B$12=0,0,ROUND(PMI_Costs!$B$12*(1+PMI_Costs!$B$13/100)^INT((A241-1)/12)/12,2))</f>
        <v/>
      </c>
      <c r="AF241" s="22">
        <f>IF(PMI_Costs!$B$5=0,0,AA241/PMI_Costs!$B$5)</f>
        <v/>
      </c>
      <c r="AG241" s="6">
        <f>AND(PMI_Costs!$B$4&gt;0,AF241&gt;PMI_Costs!$B$6/100)</f>
        <v/>
      </c>
      <c r="AH241" s="21">
        <f>IF(AG241,ROUND(Segments!$G$5*PMI_Costs!$B$4/100/12,2),0)</f>
        <v/>
      </c>
      <c r="AI241" s="6">
        <f>AND(NOT(AG241),AG240)</f>
        <v/>
      </c>
    </row>
    <row r="242">
      <c r="A242" s="18" t="n">
        <v>238</v>
      </c>
      <c r="B242" s="18">
        <f>SUMPRODUCT((Segments!$J$5:$J$12&lt;&gt;"")*(Segments!$J$5:$J$12&lt;=A242))</f>
        <v/>
      </c>
      <c r="C242" s="19">
        <f>INDEX(Segments!$B$5:$B$12,B242)</f>
        <v/>
      </c>
      <c r="D242" s="18">
        <f>INDEX(Segments!$J$5:$J$12,B242)</f>
        <v/>
      </c>
      <c r="E242" s="19">
        <f>DATE(YEAR(C242)+INT((MONTH(C242)-1+(A242-D242))/12),MOD(MONTH(C242)-1+(A242-D242),12)+1,1)+(DAY(C242)-1)</f>
        <v/>
      </c>
      <c r="F242" s="20">
        <f>INDEX(Segments!$C$5:$C$12,B242)/100/12</f>
        <v/>
      </c>
      <c r="G242" s="21">
        <f>INDEX(Segments!$L$5:$L$12,B242)</f>
        <v/>
      </c>
      <c r="H242" s="6">
        <f>INDEX(Segments!$I$5:$I$12,B242)="Y"</f>
        <v/>
      </c>
      <c r="I242" s="6">
        <f>INDEX(Segments!$F$5:$F$12,B242)=""</f>
        <v/>
      </c>
      <c r="J242" s="18">
        <f>INDEX(Segments!$K$5:$K$12,B242)</f>
        <v/>
      </c>
      <c r="K242" s="18">
        <f>IF(INDEX(Segments!$F$5:$F$12,B242)&lt;&gt;"",INDEX(Segments!$F$5:$F$12,B242),IF(INDEX(Segments!$E$5:$E$12,B242)&lt;&gt;"",INDEX(Segments!$E$5:$E$12,B242),""))</f>
        <v/>
      </c>
      <c r="L242" s="21">
        <f>AA241</f>
        <v/>
      </c>
      <c r="M242" s="21">
        <f>IFERROR(INDEX(Overrides!$C:$C,MATCH(A242,Overrides!$A:$A,0)),"")</f>
        <v/>
      </c>
      <c r="N242" s="21">
        <f>IFERROR(INDEX(Overrides!$E:$E,MATCH(A242,Overrides!$A:$A,0)),"")</f>
        <v/>
      </c>
      <c r="O242" s="21">
        <f>IFERROR(INDEX(Overrides!$D:$D,MATCH(A242,Overrides!$A:$A,0)),"")</f>
        <v/>
      </c>
      <c r="P242" s="21">
        <f>IFERROR(INDEX(Overrides!$B:$B,MATCH(A242,Overrides!$A:$A,0)),"")</f>
        <v/>
      </c>
      <c r="Q242" s="6">
        <f>IFERROR(INDEX(Overrides!$F:$F,MATCH(A242,Overrides!$A:$A,0)),"")</f>
        <v/>
      </c>
      <c r="R242" s="6">
        <f>ISNUMBER(MATCH(A242,Overrides!$A:$A,0))</f>
        <v/>
      </c>
      <c r="S242" s="6">
        <f>OR(ROUND(L242-ROUND(G242-T242,2),2)&lt;=0,AND(I242,K242&lt;&gt;"",(A242-D242+1)=K242))</f>
        <v/>
      </c>
      <c r="T242" s="21">
        <f>IF(M242&lt;&gt;"",M242,ROUND(L242*F242,2))</f>
        <v/>
      </c>
      <c r="U242" s="21">
        <f>IF(R242,IF(O242&lt;&gt;"",O242,IF(N242&lt;&gt;"",ROUND(L242-N242,2),ROUND((IF(P242&lt;&gt;"",P242,G242))-T242,2))),IF(H242,0,IF(S242,L242,ROUND(G242-T242,2))))</f>
        <v/>
      </c>
      <c r="V242" s="21">
        <f>IF(R242,IF(P242&lt;&gt;"",P242,ROUND(T242+U242,2)),IF(H242,T242,IF(S242,ROUND(T242+U242,2),G242)))</f>
        <v/>
      </c>
      <c r="W242" s="21">
        <f>IF(R242,IF(N242&lt;&gt;"",N242,ROUND(L242-U242,2)),IF(H242,L242,IF(S242,0,ROUND(L242-U242,2))))</f>
        <v/>
      </c>
      <c r="X242" s="21">
        <f>IFERROR(MIN(INDEX(LumpSums!$B:$B,MATCH(A242,LumpSums!$A:$A,0)),W242),0)</f>
        <v/>
      </c>
      <c r="Y242" s="21">
        <f>ROUND(U242+X242,2)</f>
        <v/>
      </c>
      <c r="Z242" s="21">
        <f>ROUND(V242+X242,2)</f>
        <v/>
      </c>
      <c r="AA242" s="21">
        <f>ROUND(W242-X242,2)</f>
        <v/>
      </c>
      <c r="AB242" s="6">
        <f>AND(AB241,L242&gt;0)</f>
        <v/>
      </c>
      <c r="AC242" s="21">
        <f>IF(PMI_Costs!$B$8=0,0,ROUND(PMI_Costs!$B$8*(1+PMI_Costs!$B$9/100)^INT((A242-1)/12)/12,2))</f>
        <v/>
      </c>
      <c r="AD242" s="21">
        <f>IF(PMI_Costs!$B$10=0,0,ROUND(PMI_Costs!$B$10*(1+PMI_Costs!$B$11/100)^INT((A242-1)/12)/12,2))</f>
        <v/>
      </c>
      <c r="AE242" s="21">
        <f>IF(PMI_Costs!$B$12=0,0,ROUND(PMI_Costs!$B$12*(1+PMI_Costs!$B$13/100)^INT((A242-1)/12)/12,2))</f>
        <v/>
      </c>
      <c r="AF242" s="22">
        <f>IF(PMI_Costs!$B$5=0,0,AA242/PMI_Costs!$B$5)</f>
        <v/>
      </c>
      <c r="AG242" s="6">
        <f>AND(PMI_Costs!$B$4&gt;0,AF242&gt;PMI_Costs!$B$6/100)</f>
        <v/>
      </c>
      <c r="AH242" s="21">
        <f>IF(AG242,ROUND(Segments!$G$5*PMI_Costs!$B$4/100/12,2),0)</f>
        <v/>
      </c>
      <c r="AI242" s="6">
        <f>AND(NOT(AG242),AG241)</f>
        <v/>
      </c>
    </row>
    <row r="243">
      <c r="A243" s="18" t="n">
        <v>239</v>
      </c>
      <c r="B243" s="18">
        <f>SUMPRODUCT((Segments!$J$5:$J$12&lt;&gt;"")*(Segments!$J$5:$J$12&lt;=A243))</f>
        <v/>
      </c>
      <c r="C243" s="19">
        <f>INDEX(Segments!$B$5:$B$12,B243)</f>
        <v/>
      </c>
      <c r="D243" s="18">
        <f>INDEX(Segments!$J$5:$J$12,B243)</f>
        <v/>
      </c>
      <c r="E243" s="19">
        <f>DATE(YEAR(C243)+INT((MONTH(C243)-1+(A243-D243))/12),MOD(MONTH(C243)-1+(A243-D243),12)+1,1)+(DAY(C243)-1)</f>
        <v/>
      </c>
      <c r="F243" s="20">
        <f>INDEX(Segments!$C$5:$C$12,B243)/100/12</f>
        <v/>
      </c>
      <c r="G243" s="21">
        <f>INDEX(Segments!$L$5:$L$12,B243)</f>
        <v/>
      </c>
      <c r="H243" s="6">
        <f>INDEX(Segments!$I$5:$I$12,B243)="Y"</f>
        <v/>
      </c>
      <c r="I243" s="6">
        <f>INDEX(Segments!$F$5:$F$12,B243)=""</f>
        <v/>
      </c>
      <c r="J243" s="18">
        <f>INDEX(Segments!$K$5:$K$12,B243)</f>
        <v/>
      </c>
      <c r="K243" s="18">
        <f>IF(INDEX(Segments!$F$5:$F$12,B243)&lt;&gt;"",INDEX(Segments!$F$5:$F$12,B243),IF(INDEX(Segments!$E$5:$E$12,B243)&lt;&gt;"",INDEX(Segments!$E$5:$E$12,B243),""))</f>
        <v/>
      </c>
      <c r="L243" s="21">
        <f>AA242</f>
        <v/>
      </c>
      <c r="M243" s="21">
        <f>IFERROR(INDEX(Overrides!$C:$C,MATCH(A243,Overrides!$A:$A,0)),"")</f>
        <v/>
      </c>
      <c r="N243" s="21">
        <f>IFERROR(INDEX(Overrides!$E:$E,MATCH(A243,Overrides!$A:$A,0)),"")</f>
        <v/>
      </c>
      <c r="O243" s="21">
        <f>IFERROR(INDEX(Overrides!$D:$D,MATCH(A243,Overrides!$A:$A,0)),"")</f>
        <v/>
      </c>
      <c r="P243" s="21">
        <f>IFERROR(INDEX(Overrides!$B:$B,MATCH(A243,Overrides!$A:$A,0)),"")</f>
        <v/>
      </c>
      <c r="Q243" s="6">
        <f>IFERROR(INDEX(Overrides!$F:$F,MATCH(A243,Overrides!$A:$A,0)),"")</f>
        <v/>
      </c>
      <c r="R243" s="6">
        <f>ISNUMBER(MATCH(A243,Overrides!$A:$A,0))</f>
        <v/>
      </c>
      <c r="S243" s="6">
        <f>OR(ROUND(L243-ROUND(G243-T243,2),2)&lt;=0,AND(I243,K243&lt;&gt;"",(A243-D243+1)=K243))</f>
        <v/>
      </c>
      <c r="T243" s="21">
        <f>IF(M243&lt;&gt;"",M243,ROUND(L243*F243,2))</f>
        <v/>
      </c>
      <c r="U243" s="21">
        <f>IF(R243,IF(O243&lt;&gt;"",O243,IF(N243&lt;&gt;"",ROUND(L243-N243,2),ROUND((IF(P243&lt;&gt;"",P243,G243))-T243,2))),IF(H243,0,IF(S243,L243,ROUND(G243-T243,2))))</f>
        <v/>
      </c>
      <c r="V243" s="21">
        <f>IF(R243,IF(P243&lt;&gt;"",P243,ROUND(T243+U243,2)),IF(H243,T243,IF(S243,ROUND(T243+U243,2),G243)))</f>
        <v/>
      </c>
      <c r="W243" s="21">
        <f>IF(R243,IF(N243&lt;&gt;"",N243,ROUND(L243-U243,2)),IF(H243,L243,IF(S243,0,ROUND(L243-U243,2))))</f>
        <v/>
      </c>
      <c r="X243" s="21">
        <f>IFERROR(MIN(INDEX(LumpSums!$B:$B,MATCH(A243,LumpSums!$A:$A,0)),W243),0)</f>
        <v/>
      </c>
      <c r="Y243" s="21">
        <f>ROUND(U243+X243,2)</f>
        <v/>
      </c>
      <c r="Z243" s="21">
        <f>ROUND(V243+X243,2)</f>
        <v/>
      </c>
      <c r="AA243" s="21">
        <f>ROUND(W243-X243,2)</f>
        <v/>
      </c>
      <c r="AB243" s="6">
        <f>AND(AB242,L243&gt;0)</f>
        <v/>
      </c>
      <c r="AC243" s="21">
        <f>IF(PMI_Costs!$B$8=0,0,ROUND(PMI_Costs!$B$8*(1+PMI_Costs!$B$9/100)^INT((A243-1)/12)/12,2))</f>
        <v/>
      </c>
      <c r="AD243" s="21">
        <f>IF(PMI_Costs!$B$10=0,0,ROUND(PMI_Costs!$B$10*(1+PMI_Costs!$B$11/100)^INT((A243-1)/12)/12,2))</f>
        <v/>
      </c>
      <c r="AE243" s="21">
        <f>IF(PMI_Costs!$B$12=0,0,ROUND(PMI_Costs!$B$12*(1+PMI_Costs!$B$13/100)^INT((A243-1)/12)/12,2))</f>
        <v/>
      </c>
      <c r="AF243" s="22">
        <f>IF(PMI_Costs!$B$5=0,0,AA243/PMI_Costs!$B$5)</f>
        <v/>
      </c>
      <c r="AG243" s="6">
        <f>AND(PMI_Costs!$B$4&gt;0,AF243&gt;PMI_Costs!$B$6/100)</f>
        <v/>
      </c>
      <c r="AH243" s="21">
        <f>IF(AG243,ROUND(Segments!$G$5*PMI_Costs!$B$4/100/12,2),0)</f>
        <v/>
      </c>
      <c r="AI243" s="6">
        <f>AND(NOT(AG243),AG242)</f>
        <v/>
      </c>
    </row>
    <row r="244">
      <c r="A244" s="18" t="n">
        <v>240</v>
      </c>
      <c r="B244" s="18">
        <f>SUMPRODUCT((Segments!$J$5:$J$12&lt;&gt;"")*(Segments!$J$5:$J$12&lt;=A244))</f>
        <v/>
      </c>
      <c r="C244" s="19">
        <f>INDEX(Segments!$B$5:$B$12,B244)</f>
        <v/>
      </c>
      <c r="D244" s="18">
        <f>INDEX(Segments!$J$5:$J$12,B244)</f>
        <v/>
      </c>
      <c r="E244" s="19">
        <f>DATE(YEAR(C244)+INT((MONTH(C244)-1+(A244-D244))/12),MOD(MONTH(C244)-1+(A244-D244),12)+1,1)+(DAY(C244)-1)</f>
        <v/>
      </c>
      <c r="F244" s="20">
        <f>INDEX(Segments!$C$5:$C$12,B244)/100/12</f>
        <v/>
      </c>
      <c r="G244" s="21">
        <f>INDEX(Segments!$L$5:$L$12,B244)</f>
        <v/>
      </c>
      <c r="H244" s="6">
        <f>INDEX(Segments!$I$5:$I$12,B244)="Y"</f>
        <v/>
      </c>
      <c r="I244" s="6">
        <f>INDEX(Segments!$F$5:$F$12,B244)=""</f>
        <v/>
      </c>
      <c r="J244" s="18">
        <f>INDEX(Segments!$K$5:$K$12,B244)</f>
        <v/>
      </c>
      <c r="K244" s="18">
        <f>IF(INDEX(Segments!$F$5:$F$12,B244)&lt;&gt;"",INDEX(Segments!$F$5:$F$12,B244),IF(INDEX(Segments!$E$5:$E$12,B244)&lt;&gt;"",INDEX(Segments!$E$5:$E$12,B244),""))</f>
        <v/>
      </c>
      <c r="L244" s="21">
        <f>AA243</f>
        <v/>
      </c>
      <c r="M244" s="21">
        <f>IFERROR(INDEX(Overrides!$C:$C,MATCH(A244,Overrides!$A:$A,0)),"")</f>
        <v/>
      </c>
      <c r="N244" s="21">
        <f>IFERROR(INDEX(Overrides!$E:$E,MATCH(A244,Overrides!$A:$A,0)),"")</f>
        <v/>
      </c>
      <c r="O244" s="21">
        <f>IFERROR(INDEX(Overrides!$D:$D,MATCH(A244,Overrides!$A:$A,0)),"")</f>
        <v/>
      </c>
      <c r="P244" s="21">
        <f>IFERROR(INDEX(Overrides!$B:$B,MATCH(A244,Overrides!$A:$A,0)),"")</f>
        <v/>
      </c>
      <c r="Q244" s="6">
        <f>IFERROR(INDEX(Overrides!$F:$F,MATCH(A244,Overrides!$A:$A,0)),"")</f>
        <v/>
      </c>
      <c r="R244" s="6">
        <f>ISNUMBER(MATCH(A244,Overrides!$A:$A,0))</f>
        <v/>
      </c>
      <c r="S244" s="6">
        <f>OR(ROUND(L244-ROUND(G244-T244,2),2)&lt;=0,AND(I244,K244&lt;&gt;"",(A244-D244+1)=K244))</f>
        <v/>
      </c>
      <c r="T244" s="21">
        <f>IF(M244&lt;&gt;"",M244,ROUND(L244*F244,2))</f>
        <v/>
      </c>
      <c r="U244" s="21">
        <f>IF(R244,IF(O244&lt;&gt;"",O244,IF(N244&lt;&gt;"",ROUND(L244-N244,2),ROUND((IF(P244&lt;&gt;"",P244,G244))-T244,2))),IF(H244,0,IF(S244,L244,ROUND(G244-T244,2))))</f>
        <v/>
      </c>
      <c r="V244" s="21">
        <f>IF(R244,IF(P244&lt;&gt;"",P244,ROUND(T244+U244,2)),IF(H244,T244,IF(S244,ROUND(T244+U244,2),G244)))</f>
        <v/>
      </c>
      <c r="W244" s="21">
        <f>IF(R244,IF(N244&lt;&gt;"",N244,ROUND(L244-U244,2)),IF(H244,L244,IF(S244,0,ROUND(L244-U244,2))))</f>
        <v/>
      </c>
      <c r="X244" s="21">
        <f>IFERROR(MIN(INDEX(LumpSums!$B:$B,MATCH(A244,LumpSums!$A:$A,0)),W244),0)</f>
        <v/>
      </c>
      <c r="Y244" s="21">
        <f>ROUND(U244+X244,2)</f>
        <v/>
      </c>
      <c r="Z244" s="21">
        <f>ROUND(V244+X244,2)</f>
        <v/>
      </c>
      <c r="AA244" s="21">
        <f>ROUND(W244-X244,2)</f>
        <v/>
      </c>
      <c r="AB244" s="6">
        <f>AND(AB243,L244&gt;0)</f>
        <v/>
      </c>
      <c r="AC244" s="21">
        <f>IF(PMI_Costs!$B$8=0,0,ROUND(PMI_Costs!$B$8*(1+PMI_Costs!$B$9/100)^INT((A244-1)/12)/12,2))</f>
        <v/>
      </c>
      <c r="AD244" s="21">
        <f>IF(PMI_Costs!$B$10=0,0,ROUND(PMI_Costs!$B$10*(1+PMI_Costs!$B$11/100)^INT((A244-1)/12)/12,2))</f>
        <v/>
      </c>
      <c r="AE244" s="21">
        <f>IF(PMI_Costs!$B$12=0,0,ROUND(PMI_Costs!$B$12*(1+PMI_Costs!$B$13/100)^INT((A244-1)/12)/12,2))</f>
        <v/>
      </c>
      <c r="AF244" s="22">
        <f>IF(PMI_Costs!$B$5=0,0,AA244/PMI_Costs!$B$5)</f>
        <v/>
      </c>
      <c r="AG244" s="6">
        <f>AND(PMI_Costs!$B$4&gt;0,AF244&gt;PMI_Costs!$B$6/100)</f>
        <v/>
      </c>
      <c r="AH244" s="21">
        <f>IF(AG244,ROUND(Segments!$G$5*PMI_Costs!$B$4/100/12,2),0)</f>
        <v/>
      </c>
      <c r="AI244" s="6">
        <f>AND(NOT(AG244),AG243)</f>
        <v/>
      </c>
    </row>
    <row r="245">
      <c r="A245" s="18" t="n">
        <v>241</v>
      </c>
      <c r="B245" s="18">
        <f>SUMPRODUCT((Segments!$J$5:$J$12&lt;&gt;"")*(Segments!$J$5:$J$12&lt;=A245))</f>
        <v/>
      </c>
      <c r="C245" s="19">
        <f>INDEX(Segments!$B$5:$B$12,B245)</f>
        <v/>
      </c>
      <c r="D245" s="18">
        <f>INDEX(Segments!$J$5:$J$12,B245)</f>
        <v/>
      </c>
      <c r="E245" s="19">
        <f>DATE(YEAR(C245)+INT((MONTH(C245)-1+(A245-D245))/12),MOD(MONTH(C245)-1+(A245-D245),12)+1,1)+(DAY(C245)-1)</f>
        <v/>
      </c>
      <c r="F245" s="20">
        <f>INDEX(Segments!$C$5:$C$12,B245)/100/12</f>
        <v/>
      </c>
      <c r="G245" s="21">
        <f>INDEX(Segments!$L$5:$L$12,B245)</f>
        <v/>
      </c>
      <c r="H245" s="6">
        <f>INDEX(Segments!$I$5:$I$12,B245)="Y"</f>
        <v/>
      </c>
      <c r="I245" s="6">
        <f>INDEX(Segments!$F$5:$F$12,B245)=""</f>
        <v/>
      </c>
      <c r="J245" s="18">
        <f>INDEX(Segments!$K$5:$K$12,B245)</f>
        <v/>
      </c>
      <c r="K245" s="18">
        <f>IF(INDEX(Segments!$F$5:$F$12,B245)&lt;&gt;"",INDEX(Segments!$F$5:$F$12,B245),IF(INDEX(Segments!$E$5:$E$12,B245)&lt;&gt;"",INDEX(Segments!$E$5:$E$12,B245),""))</f>
        <v/>
      </c>
      <c r="L245" s="21">
        <f>AA244</f>
        <v/>
      </c>
      <c r="M245" s="21">
        <f>IFERROR(INDEX(Overrides!$C:$C,MATCH(A245,Overrides!$A:$A,0)),"")</f>
        <v/>
      </c>
      <c r="N245" s="21">
        <f>IFERROR(INDEX(Overrides!$E:$E,MATCH(A245,Overrides!$A:$A,0)),"")</f>
        <v/>
      </c>
      <c r="O245" s="21">
        <f>IFERROR(INDEX(Overrides!$D:$D,MATCH(A245,Overrides!$A:$A,0)),"")</f>
        <v/>
      </c>
      <c r="P245" s="21">
        <f>IFERROR(INDEX(Overrides!$B:$B,MATCH(A245,Overrides!$A:$A,0)),"")</f>
        <v/>
      </c>
      <c r="Q245" s="6">
        <f>IFERROR(INDEX(Overrides!$F:$F,MATCH(A245,Overrides!$A:$A,0)),"")</f>
        <v/>
      </c>
      <c r="R245" s="6">
        <f>ISNUMBER(MATCH(A245,Overrides!$A:$A,0))</f>
        <v/>
      </c>
      <c r="S245" s="6">
        <f>OR(ROUND(L245-ROUND(G245-T245,2),2)&lt;=0,AND(I245,K245&lt;&gt;"",(A245-D245+1)=K245))</f>
        <v/>
      </c>
      <c r="T245" s="21">
        <f>IF(M245&lt;&gt;"",M245,ROUND(L245*F245,2))</f>
        <v/>
      </c>
      <c r="U245" s="21">
        <f>IF(R245,IF(O245&lt;&gt;"",O245,IF(N245&lt;&gt;"",ROUND(L245-N245,2),ROUND((IF(P245&lt;&gt;"",P245,G245))-T245,2))),IF(H245,0,IF(S245,L245,ROUND(G245-T245,2))))</f>
        <v/>
      </c>
      <c r="V245" s="21">
        <f>IF(R245,IF(P245&lt;&gt;"",P245,ROUND(T245+U245,2)),IF(H245,T245,IF(S245,ROUND(T245+U245,2),G245)))</f>
        <v/>
      </c>
      <c r="W245" s="21">
        <f>IF(R245,IF(N245&lt;&gt;"",N245,ROUND(L245-U245,2)),IF(H245,L245,IF(S245,0,ROUND(L245-U245,2))))</f>
        <v/>
      </c>
      <c r="X245" s="21">
        <f>IFERROR(MIN(INDEX(LumpSums!$B:$B,MATCH(A245,LumpSums!$A:$A,0)),W245),0)</f>
        <v/>
      </c>
      <c r="Y245" s="21">
        <f>ROUND(U245+X245,2)</f>
        <v/>
      </c>
      <c r="Z245" s="21">
        <f>ROUND(V245+X245,2)</f>
        <v/>
      </c>
      <c r="AA245" s="21">
        <f>ROUND(W245-X245,2)</f>
        <v/>
      </c>
      <c r="AB245" s="6">
        <f>AND(AB244,L245&gt;0)</f>
        <v/>
      </c>
      <c r="AC245" s="21">
        <f>IF(PMI_Costs!$B$8=0,0,ROUND(PMI_Costs!$B$8*(1+PMI_Costs!$B$9/100)^INT((A245-1)/12)/12,2))</f>
        <v/>
      </c>
      <c r="AD245" s="21">
        <f>IF(PMI_Costs!$B$10=0,0,ROUND(PMI_Costs!$B$10*(1+PMI_Costs!$B$11/100)^INT((A245-1)/12)/12,2))</f>
        <v/>
      </c>
      <c r="AE245" s="21">
        <f>IF(PMI_Costs!$B$12=0,0,ROUND(PMI_Costs!$B$12*(1+PMI_Costs!$B$13/100)^INT((A245-1)/12)/12,2))</f>
        <v/>
      </c>
      <c r="AF245" s="22">
        <f>IF(PMI_Costs!$B$5=0,0,AA245/PMI_Costs!$B$5)</f>
        <v/>
      </c>
      <c r="AG245" s="6">
        <f>AND(PMI_Costs!$B$4&gt;0,AF245&gt;PMI_Costs!$B$6/100)</f>
        <v/>
      </c>
      <c r="AH245" s="21">
        <f>IF(AG245,ROUND(Segments!$G$5*PMI_Costs!$B$4/100/12,2),0)</f>
        <v/>
      </c>
      <c r="AI245" s="6">
        <f>AND(NOT(AG245),AG244)</f>
        <v/>
      </c>
    </row>
    <row r="246">
      <c r="A246" s="18" t="n">
        <v>242</v>
      </c>
      <c r="B246" s="18">
        <f>SUMPRODUCT((Segments!$J$5:$J$12&lt;&gt;"")*(Segments!$J$5:$J$12&lt;=A246))</f>
        <v/>
      </c>
      <c r="C246" s="19">
        <f>INDEX(Segments!$B$5:$B$12,B246)</f>
        <v/>
      </c>
      <c r="D246" s="18">
        <f>INDEX(Segments!$J$5:$J$12,B246)</f>
        <v/>
      </c>
      <c r="E246" s="19">
        <f>DATE(YEAR(C246)+INT((MONTH(C246)-1+(A246-D246))/12),MOD(MONTH(C246)-1+(A246-D246),12)+1,1)+(DAY(C246)-1)</f>
        <v/>
      </c>
      <c r="F246" s="20">
        <f>INDEX(Segments!$C$5:$C$12,B246)/100/12</f>
        <v/>
      </c>
      <c r="G246" s="21">
        <f>INDEX(Segments!$L$5:$L$12,B246)</f>
        <v/>
      </c>
      <c r="H246" s="6">
        <f>INDEX(Segments!$I$5:$I$12,B246)="Y"</f>
        <v/>
      </c>
      <c r="I246" s="6">
        <f>INDEX(Segments!$F$5:$F$12,B246)=""</f>
        <v/>
      </c>
      <c r="J246" s="18">
        <f>INDEX(Segments!$K$5:$K$12,B246)</f>
        <v/>
      </c>
      <c r="K246" s="18">
        <f>IF(INDEX(Segments!$F$5:$F$12,B246)&lt;&gt;"",INDEX(Segments!$F$5:$F$12,B246),IF(INDEX(Segments!$E$5:$E$12,B246)&lt;&gt;"",INDEX(Segments!$E$5:$E$12,B246),""))</f>
        <v/>
      </c>
      <c r="L246" s="21">
        <f>AA245</f>
        <v/>
      </c>
      <c r="M246" s="21">
        <f>IFERROR(INDEX(Overrides!$C:$C,MATCH(A246,Overrides!$A:$A,0)),"")</f>
        <v/>
      </c>
      <c r="N246" s="21">
        <f>IFERROR(INDEX(Overrides!$E:$E,MATCH(A246,Overrides!$A:$A,0)),"")</f>
        <v/>
      </c>
      <c r="O246" s="21">
        <f>IFERROR(INDEX(Overrides!$D:$D,MATCH(A246,Overrides!$A:$A,0)),"")</f>
        <v/>
      </c>
      <c r="P246" s="21">
        <f>IFERROR(INDEX(Overrides!$B:$B,MATCH(A246,Overrides!$A:$A,0)),"")</f>
        <v/>
      </c>
      <c r="Q246" s="6">
        <f>IFERROR(INDEX(Overrides!$F:$F,MATCH(A246,Overrides!$A:$A,0)),"")</f>
        <v/>
      </c>
      <c r="R246" s="6">
        <f>ISNUMBER(MATCH(A246,Overrides!$A:$A,0))</f>
        <v/>
      </c>
      <c r="S246" s="6">
        <f>OR(ROUND(L246-ROUND(G246-T246,2),2)&lt;=0,AND(I246,K246&lt;&gt;"",(A246-D246+1)=K246))</f>
        <v/>
      </c>
      <c r="T246" s="21">
        <f>IF(M246&lt;&gt;"",M246,ROUND(L246*F246,2))</f>
        <v/>
      </c>
      <c r="U246" s="21">
        <f>IF(R246,IF(O246&lt;&gt;"",O246,IF(N246&lt;&gt;"",ROUND(L246-N246,2),ROUND((IF(P246&lt;&gt;"",P246,G246))-T246,2))),IF(H246,0,IF(S246,L246,ROUND(G246-T246,2))))</f>
        <v/>
      </c>
      <c r="V246" s="21">
        <f>IF(R246,IF(P246&lt;&gt;"",P246,ROUND(T246+U246,2)),IF(H246,T246,IF(S246,ROUND(T246+U246,2),G246)))</f>
        <v/>
      </c>
      <c r="W246" s="21">
        <f>IF(R246,IF(N246&lt;&gt;"",N246,ROUND(L246-U246,2)),IF(H246,L246,IF(S246,0,ROUND(L246-U246,2))))</f>
        <v/>
      </c>
      <c r="X246" s="21">
        <f>IFERROR(MIN(INDEX(LumpSums!$B:$B,MATCH(A246,LumpSums!$A:$A,0)),W246),0)</f>
        <v/>
      </c>
      <c r="Y246" s="21">
        <f>ROUND(U246+X246,2)</f>
        <v/>
      </c>
      <c r="Z246" s="21">
        <f>ROUND(V246+X246,2)</f>
        <v/>
      </c>
      <c r="AA246" s="21">
        <f>ROUND(W246-X246,2)</f>
        <v/>
      </c>
      <c r="AB246" s="6">
        <f>AND(AB245,L246&gt;0)</f>
        <v/>
      </c>
      <c r="AC246" s="21">
        <f>IF(PMI_Costs!$B$8=0,0,ROUND(PMI_Costs!$B$8*(1+PMI_Costs!$B$9/100)^INT((A246-1)/12)/12,2))</f>
        <v/>
      </c>
      <c r="AD246" s="21">
        <f>IF(PMI_Costs!$B$10=0,0,ROUND(PMI_Costs!$B$10*(1+PMI_Costs!$B$11/100)^INT((A246-1)/12)/12,2))</f>
        <v/>
      </c>
      <c r="AE246" s="21">
        <f>IF(PMI_Costs!$B$12=0,0,ROUND(PMI_Costs!$B$12*(1+PMI_Costs!$B$13/100)^INT((A246-1)/12)/12,2))</f>
        <v/>
      </c>
      <c r="AF246" s="22">
        <f>IF(PMI_Costs!$B$5=0,0,AA246/PMI_Costs!$B$5)</f>
        <v/>
      </c>
      <c r="AG246" s="6">
        <f>AND(PMI_Costs!$B$4&gt;0,AF246&gt;PMI_Costs!$B$6/100)</f>
        <v/>
      </c>
      <c r="AH246" s="21">
        <f>IF(AG246,ROUND(Segments!$G$5*PMI_Costs!$B$4/100/12,2),0)</f>
        <v/>
      </c>
      <c r="AI246" s="6">
        <f>AND(NOT(AG246),AG245)</f>
        <v/>
      </c>
    </row>
    <row r="247">
      <c r="A247" s="18" t="n">
        <v>243</v>
      </c>
      <c r="B247" s="18">
        <f>SUMPRODUCT((Segments!$J$5:$J$12&lt;&gt;"")*(Segments!$J$5:$J$12&lt;=A247))</f>
        <v/>
      </c>
      <c r="C247" s="19">
        <f>INDEX(Segments!$B$5:$B$12,B247)</f>
        <v/>
      </c>
      <c r="D247" s="18">
        <f>INDEX(Segments!$J$5:$J$12,B247)</f>
        <v/>
      </c>
      <c r="E247" s="19">
        <f>DATE(YEAR(C247)+INT((MONTH(C247)-1+(A247-D247))/12),MOD(MONTH(C247)-1+(A247-D247),12)+1,1)+(DAY(C247)-1)</f>
        <v/>
      </c>
      <c r="F247" s="20">
        <f>INDEX(Segments!$C$5:$C$12,B247)/100/12</f>
        <v/>
      </c>
      <c r="G247" s="21">
        <f>INDEX(Segments!$L$5:$L$12,B247)</f>
        <v/>
      </c>
      <c r="H247" s="6">
        <f>INDEX(Segments!$I$5:$I$12,B247)="Y"</f>
        <v/>
      </c>
      <c r="I247" s="6">
        <f>INDEX(Segments!$F$5:$F$12,B247)=""</f>
        <v/>
      </c>
      <c r="J247" s="18">
        <f>INDEX(Segments!$K$5:$K$12,B247)</f>
        <v/>
      </c>
      <c r="K247" s="18">
        <f>IF(INDEX(Segments!$F$5:$F$12,B247)&lt;&gt;"",INDEX(Segments!$F$5:$F$12,B247),IF(INDEX(Segments!$E$5:$E$12,B247)&lt;&gt;"",INDEX(Segments!$E$5:$E$12,B247),""))</f>
        <v/>
      </c>
      <c r="L247" s="21">
        <f>AA246</f>
        <v/>
      </c>
      <c r="M247" s="21">
        <f>IFERROR(INDEX(Overrides!$C:$C,MATCH(A247,Overrides!$A:$A,0)),"")</f>
        <v/>
      </c>
      <c r="N247" s="21">
        <f>IFERROR(INDEX(Overrides!$E:$E,MATCH(A247,Overrides!$A:$A,0)),"")</f>
        <v/>
      </c>
      <c r="O247" s="21">
        <f>IFERROR(INDEX(Overrides!$D:$D,MATCH(A247,Overrides!$A:$A,0)),"")</f>
        <v/>
      </c>
      <c r="P247" s="21">
        <f>IFERROR(INDEX(Overrides!$B:$B,MATCH(A247,Overrides!$A:$A,0)),"")</f>
        <v/>
      </c>
      <c r="Q247" s="6">
        <f>IFERROR(INDEX(Overrides!$F:$F,MATCH(A247,Overrides!$A:$A,0)),"")</f>
        <v/>
      </c>
      <c r="R247" s="6">
        <f>ISNUMBER(MATCH(A247,Overrides!$A:$A,0))</f>
        <v/>
      </c>
      <c r="S247" s="6">
        <f>OR(ROUND(L247-ROUND(G247-T247,2),2)&lt;=0,AND(I247,K247&lt;&gt;"",(A247-D247+1)=K247))</f>
        <v/>
      </c>
      <c r="T247" s="21">
        <f>IF(M247&lt;&gt;"",M247,ROUND(L247*F247,2))</f>
        <v/>
      </c>
      <c r="U247" s="21">
        <f>IF(R247,IF(O247&lt;&gt;"",O247,IF(N247&lt;&gt;"",ROUND(L247-N247,2),ROUND((IF(P247&lt;&gt;"",P247,G247))-T247,2))),IF(H247,0,IF(S247,L247,ROUND(G247-T247,2))))</f>
        <v/>
      </c>
      <c r="V247" s="21">
        <f>IF(R247,IF(P247&lt;&gt;"",P247,ROUND(T247+U247,2)),IF(H247,T247,IF(S247,ROUND(T247+U247,2),G247)))</f>
        <v/>
      </c>
      <c r="W247" s="21">
        <f>IF(R247,IF(N247&lt;&gt;"",N247,ROUND(L247-U247,2)),IF(H247,L247,IF(S247,0,ROUND(L247-U247,2))))</f>
        <v/>
      </c>
      <c r="X247" s="21">
        <f>IFERROR(MIN(INDEX(LumpSums!$B:$B,MATCH(A247,LumpSums!$A:$A,0)),W247),0)</f>
        <v/>
      </c>
      <c r="Y247" s="21">
        <f>ROUND(U247+X247,2)</f>
        <v/>
      </c>
      <c r="Z247" s="21">
        <f>ROUND(V247+X247,2)</f>
        <v/>
      </c>
      <c r="AA247" s="21">
        <f>ROUND(W247-X247,2)</f>
        <v/>
      </c>
      <c r="AB247" s="6">
        <f>AND(AB246,L247&gt;0)</f>
        <v/>
      </c>
      <c r="AC247" s="21">
        <f>IF(PMI_Costs!$B$8=0,0,ROUND(PMI_Costs!$B$8*(1+PMI_Costs!$B$9/100)^INT((A247-1)/12)/12,2))</f>
        <v/>
      </c>
      <c r="AD247" s="21">
        <f>IF(PMI_Costs!$B$10=0,0,ROUND(PMI_Costs!$B$10*(1+PMI_Costs!$B$11/100)^INT((A247-1)/12)/12,2))</f>
        <v/>
      </c>
      <c r="AE247" s="21">
        <f>IF(PMI_Costs!$B$12=0,0,ROUND(PMI_Costs!$B$12*(1+PMI_Costs!$B$13/100)^INT((A247-1)/12)/12,2))</f>
        <v/>
      </c>
      <c r="AF247" s="22">
        <f>IF(PMI_Costs!$B$5=0,0,AA247/PMI_Costs!$B$5)</f>
        <v/>
      </c>
      <c r="AG247" s="6">
        <f>AND(PMI_Costs!$B$4&gt;0,AF247&gt;PMI_Costs!$B$6/100)</f>
        <v/>
      </c>
      <c r="AH247" s="21">
        <f>IF(AG247,ROUND(Segments!$G$5*PMI_Costs!$B$4/100/12,2),0)</f>
        <v/>
      </c>
      <c r="AI247" s="6">
        <f>AND(NOT(AG247),AG246)</f>
        <v/>
      </c>
    </row>
    <row r="248">
      <c r="A248" s="18" t="n">
        <v>244</v>
      </c>
      <c r="B248" s="18">
        <f>SUMPRODUCT((Segments!$J$5:$J$12&lt;&gt;"")*(Segments!$J$5:$J$12&lt;=A248))</f>
        <v/>
      </c>
      <c r="C248" s="19">
        <f>INDEX(Segments!$B$5:$B$12,B248)</f>
        <v/>
      </c>
      <c r="D248" s="18">
        <f>INDEX(Segments!$J$5:$J$12,B248)</f>
        <v/>
      </c>
      <c r="E248" s="19">
        <f>DATE(YEAR(C248)+INT((MONTH(C248)-1+(A248-D248))/12),MOD(MONTH(C248)-1+(A248-D248),12)+1,1)+(DAY(C248)-1)</f>
        <v/>
      </c>
      <c r="F248" s="20">
        <f>INDEX(Segments!$C$5:$C$12,B248)/100/12</f>
        <v/>
      </c>
      <c r="G248" s="21">
        <f>INDEX(Segments!$L$5:$L$12,B248)</f>
        <v/>
      </c>
      <c r="H248" s="6">
        <f>INDEX(Segments!$I$5:$I$12,B248)="Y"</f>
        <v/>
      </c>
      <c r="I248" s="6">
        <f>INDEX(Segments!$F$5:$F$12,B248)=""</f>
        <v/>
      </c>
      <c r="J248" s="18">
        <f>INDEX(Segments!$K$5:$K$12,B248)</f>
        <v/>
      </c>
      <c r="K248" s="18">
        <f>IF(INDEX(Segments!$F$5:$F$12,B248)&lt;&gt;"",INDEX(Segments!$F$5:$F$12,B248),IF(INDEX(Segments!$E$5:$E$12,B248)&lt;&gt;"",INDEX(Segments!$E$5:$E$12,B248),""))</f>
        <v/>
      </c>
      <c r="L248" s="21">
        <f>AA247</f>
        <v/>
      </c>
      <c r="M248" s="21">
        <f>IFERROR(INDEX(Overrides!$C:$C,MATCH(A248,Overrides!$A:$A,0)),"")</f>
        <v/>
      </c>
      <c r="N248" s="21">
        <f>IFERROR(INDEX(Overrides!$E:$E,MATCH(A248,Overrides!$A:$A,0)),"")</f>
        <v/>
      </c>
      <c r="O248" s="21">
        <f>IFERROR(INDEX(Overrides!$D:$D,MATCH(A248,Overrides!$A:$A,0)),"")</f>
        <v/>
      </c>
      <c r="P248" s="21">
        <f>IFERROR(INDEX(Overrides!$B:$B,MATCH(A248,Overrides!$A:$A,0)),"")</f>
        <v/>
      </c>
      <c r="Q248" s="6">
        <f>IFERROR(INDEX(Overrides!$F:$F,MATCH(A248,Overrides!$A:$A,0)),"")</f>
        <v/>
      </c>
      <c r="R248" s="6">
        <f>ISNUMBER(MATCH(A248,Overrides!$A:$A,0))</f>
        <v/>
      </c>
      <c r="S248" s="6">
        <f>OR(ROUND(L248-ROUND(G248-T248,2),2)&lt;=0,AND(I248,K248&lt;&gt;"",(A248-D248+1)=K248))</f>
        <v/>
      </c>
      <c r="T248" s="21">
        <f>IF(M248&lt;&gt;"",M248,ROUND(L248*F248,2))</f>
        <v/>
      </c>
      <c r="U248" s="21">
        <f>IF(R248,IF(O248&lt;&gt;"",O248,IF(N248&lt;&gt;"",ROUND(L248-N248,2),ROUND((IF(P248&lt;&gt;"",P248,G248))-T248,2))),IF(H248,0,IF(S248,L248,ROUND(G248-T248,2))))</f>
        <v/>
      </c>
      <c r="V248" s="21">
        <f>IF(R248,IF(P248&lt;&gt;"",P248,ROUND(T248+U248,2)),IF(H248,T248,IF(S248,ROUND(T248+U248,2),G248)))</f>
        <v/>
      </c>
      <c r="W248" s="21">
        <f>IF(R248,IF(N248&lt;&gt;"",N248,ROUND(L248-U248,2)),IF(H248,L248,IF(S248,0,ROUND(L248-U248,2))))</f>
        <v/>
      </c>
      <c r="X248" s="21">
        <f>IFERROR(MIN(INDEX(LumpSums!$B:$B,MATCH(A248,LumpSums!$A:$A,0)),W248),0)</f>
        <v/>
      </c>
      <c r="Y248" s="21">
        <f>ROUND(U248+X248,2)</f>
        <v/>
      </c>
      <c r="Z248" s="21">
        <f>ROUND(V248+X248,2)</f>
        <v/>
      </c>
      <c r="AA248" s="21">
        <f>ROUND(W248-X248,2)</f>
        <v/>
      </c>
      <c r="AB248" s="6">
        <f>AND(AB247,L248&gt;0)</f>
        <v/>
      </c>
      <c r="AC248" s="21">
        <f>IF(PMI_Costs!$B$8=0,0,ROUND(PMI_Costs!$B$8*(1+PMI_Costs!$B$9/100)^INT((A248-1)/12)/12,2))</f>
        <v/>
      </c>
      <c r="AD248" s="21">
        <f>IF(PMI_Costs!$B$10=0,0,ROUND(PMI_Costs!$B$10*(1+PMI_Costs!$B$11/100)^INT((A248-1)/12)/12,2))</f>
        <v/>
      </c>
      <c r="AE248" s="21">
        <f>IF(PMI_Costs!$B$12=0,0,ROUND(PMI_Costs!$B$12*(1+PMI_Costs!$B$13/100)^INT((A248-1)/12)/12,2))</f>
        <v/>
      </c>
      <c r="AF248" s="22">
        <f>IF(PMI_Costs!$B$5=0,0,AA248/PMI_Costs!$B$5)</f>
        <v/>
      </c>
      <c r="AG248" s="6">
        <f>AND(PMI_Costs!$B$4&gt;0,AF248&gt;PMI_Costs!$B$6/100)</f>
        <v/>
      </c>
      <c r="AH248" s="21">
        <f>IF(AG248,ROUND(Segments!$G$5*PMI_Costs!$B$4/100/12,2),0)</f>
        <v/>
      </c>
      <c r="AI248" s="6">
        <f>AND(NOT(AG248),AG247)</f>
        <v/>
      </c>
    </row>
    <row r="249">
      <c r="A249" s="18" t="n">
        <v>245</v>
      </c>
      <c r="B249" s="18">
        <f>SUMPRODUCT((Segments!$J$5:$J$12&lt;&gt;"")*(Segments!$J$5:$J$12&lt;=A249))</f>
        <v/>
      </c>
      <c r="C249" s="19">
        <f>INDEX(Segments!$B$5:$B$12,B249)</f>
        <v/>
      </c>
      <c r="D249" s="18">
        <f>INDEX(Segments!$J$5:$J$12,B249)</f>
        <v/>
      </c>
      <c r="E249" s="19">
        <f>DATE(YEAR(C249)+INT((MONTH(C249)-1+(A249-D249))/12),MOD(MONTH(C249)-1+(A249-D249),12)+1,1)+(DAY(C249)-1)</f>
        <v/>
      </c>
      <c r="F249" s="20">
        <f>INDEX(Segments!$C$5:$C$12,B249)/100/12</f>
        <v/>
      </c>
      <c r="G249" s="21">
        <f>INDEX(Segments!$L$5:$L$12,B249)</f>
        <v/>
      </c>
      <c r="H249" s="6">
        <f>INDEX(Segments!$I$5:$I$12,B249)="Y"</f>
        <v/>
      </c>
      <c r="I249" s="6">
        <f>INDEX(Segments!$F$5:$F$12,B249)=""</f>
        <v/>
      </c>
      <c r="J249" s="18">
        <f>INDEX(Segments!$K$5:$K$12,B249)</f>
        <v/>
      </c>
      <c r="K249" s="18">
        <f>IF(INDEX(Segments!$F$5:$F$12,B249)&lt;&gt;"",INDEX(Segments!$F$5:$F$12,B249),IF(INDEX(Segments!$E$5:$E$12,B249)&lt;&gt;"",INDEX(Segments!$E$5:$E$12,B249),""))</f>
        <v/>
      </c>
      <c r="L249" s="21">
        <f>AA248</f>
        <v/>
      </c>
      <c r="M249" s="21">
        <f>IFERROR(INDEX(Overrides!$C:$C,MATCH(A249,Overrides!$A:$A,0)),"")</f>
        <v/>
      </c>
      <c r="N249" s="21">
        <f>IFERROR(INDEX(Overrides!$E:$E,MATCH(A249,Overrides!$A:$A,0)),"")</f>
        <v/>
      </c>
      <c r="O249" s="21">
        <f>IFERROR(INDEX(Overrides!$D:$D,MATCH(A249,Overrides!$A:$A,0)),"")</f>
        <v/>
      </c>
      <c r="P249" s="21">
        <f>IFERROR(INDEX(Overrides!$B:$B,MATCH(A249,Overrides!$A:$A,0)),"")</f>
        <v/>
      </c>
      <c r="Q249" s="6">
        <f>IFERROR(INDEX(Overrides!$F:$F,MATCH(A249,Overrides!$A:$A,0)),"")</f>
        <v/>
      </c>
      <c r="R249" s="6">
        <f>ISNUMBER(MATCH(A249,Overrides!$A:$A,0))</f>
        <v/>
      </c>
      <c r="S249" s="6">
        <f>OR(ROUND(L249-ROUND(G249-T249,2),2)&lt;=0,AND(I249,K249&lt;&gt;"",(A249-D249+1)=K249))</f>
        <v/>
      </c>
      <c r="T249" s="21">
        <f>IF(M249&lt;&gt;"",M249,ROUND(L249*F249,2))</f>
        <v/>
      </c>
      <c r="U249" s="21">
        <f>IF(R249,IF(O249&lt;&gt;"",O249,IF(N249&lt;&gt;"",ROUND(L249-N249,2),ROUND((IF(P249&lt;&gt;"",P249,G249))-T249,2))),IF(H249,0,IF(S249,L249,ROUND(G249-T249,2))))</f>
        <v/>
      </c>
      <c r="V249" s="21">
        <f>IF(R249,IF(P249&lt;&gt;"",P249,ROUND(T249+U249,2)),IF(H249,T249,IF(S249,ROUND(T249+U249,2),G249)))</f>
        <v/>
      </c>
      <c r="W249" s="21">
        <f>IF(R249,IF(N249&lt;&gt;"",N249,ROUND(L249-U249,2)),IF(H249,L249,IF(S249,0,ROUND(L249-U249,2))))</f>
        <v/>
      </c>
      <c r="X249" s="21">
        <f>IFERROR(MIN(INDEX(LumpSums!$B:$B,MATCH(A249,LumpSums!$A:$A,0)),W249),0)</f>
        <v/>
      </c>
      <c r="Y249" s="21">
        <f>ROUND(U249+X249,2)</f>
        <v/>
      </c>
      <c r="Z249" s="21">
        <f>ROUND(V249+X249,2)</f>
        <v/>
      </c>
      <c r="AA249" s="21">
        <f>ROUND(W249-X249,2)</f>
        <v/>
      </c>
      <c r="AB249" s="6">
        <f>AND(AB248,L249&gt;0)</f>
        <v/>
      </c>
      <c r="AC249" s="21">
        <f>IF(PMI_Costs!$B$8=0,0,ROUND(PMI_Costs!$B$8*(1+PMI_Costs!$B$9/100)^INT((A249-1)/12)/12,2))</f>
        <v/>
      </c>
      <c r="AD249" s="21">
        <f>IF(PMI_Costs!$B$10=0,0,ROUND(PMI_Costs!$B$10*(1+PMI_Costs!$B$11/100)^INT((A249-1)/12)/12,2))</f>
        <v/>
      </c>
      <c r="AE249" s="21">
        <f>IF(PMI_Costs!$B$12=0,0,ROUND(PMI_Costs!$B$12*(1+PMI_Costs!$B$13/100)^INT((A249-1)/12)/12,2))</f>
        <v/>
      </c>
      <c r="AF249" s="22">
        <f>IF(PMI_Costs!$B$5=0,0,AA249/PMI_Costs!$B$5)</f>
        <v/>
      </c>
      <c r="AG249" s="6">
        <f>AND(PMI_Costs!$B$4&gt;0,AF249&gt;PMI_Costs!$B$6/100)</f>
        <v/>
      </c>
      <c r="AH249" s="21">
        <f>IF(AG249,ROUND(Segments!$G$5*PMI_Costs!$B$4/100/12,2),0)</f>
        <v/>
      </c>
      <c r="AI249" s="6">
        <f>AND(NOT(AG249),AG248)</f>
        <v/>
      </c>
    </row>
    <row r="250">
      <c r="A250" s="18" t="n">
        <v>246</v>
      </c>
      <c r="B250" s="18">
        <f>SUMPRODUCT((Segments!$J$5:$J$12&lt;&gt;"")*(Segments!$J$5:$J$12&lt;=A250))</f>
        <v/>
      </c>
      <c r="C250" s="19">
        <f>INDEX(Segments!$B$5:$B$12,B250)</f>
        <v/>
      </c>
      <c r="D250" s="18">
        <f>INDEX(Segments!$J$5:$J$12,B250)</f>
        <v/>
      </c>
      <c r="E250" s="19">
        <f>DATE(YEAR(C250)+INT((MONTH(C250)-1+(A250-D250))/12),MOD(MONTH(C250)-1+(A250-D250),12)+1,1)+(DAY(C250)-1)</f>
        <v/>
      </c>
      <c r="F250" s="20">
        <f>INDEX(Segments!$C$5:$C$12,B250)/100/12</f>
        <v/>
      </c>
      <c r="G250" s="21">
        <f>INDEX(Segments!$L$5:$L$12,B250)</f>
        <v/>
      </c>
      <c r="H250" s="6">
        <f>INDEX(Segments!$I$5:$I$12,B250)="Y"</f>
        <v/>
      </c>
      <c r="I250" s="6">
        <f>INDEX(Segments!$F$5:$F$12,B250)=""</f>
        <v/>
      </c>
      <c r="J250" s="18">
        <f>INDEX(Segments!$K$5:$K$12,B250)</f>
        <v/>
      </c>
      <c r="K250" s="18">
        <f>IF(INDEX(Segments!$F$5:$F$12,B250)&lt;&gt;"",INDEX(Segments!$F$5:$F$12,B250),IF(INDEX(Segments!$E$5:$E$12,B250)&lt;&gt;"",INDEX(Segments!$E$5:$E$12,B250),""))</f>
        <v/>
      </c>
      <c r="L250" s="21">
        <f>AA249</f>
        <v/>
      </c>
      <c r="M250" s="21">
        <f>IFERROR(INDEX(Overrides!$C:$C,MATCH(A250,Overrides!$A:$A,0)),"")</f>
        <v/>
      </c>
      <c r="N250" s="21">
        <f>IFERROR(INDEX(Overrides!$E:$E,MATCH(A250,Overrides!$A:$A,0)),"")</f>
        <v/>
      </c>
      <c r="O250" s="21">
        <f>IFERROR(INDEX(Overrides!$D:$D,MATCH(A250,Overrides!$A:$A,0)),"")</f>
        <v/>
      </c>
      <c r="P250" s="21">
        <f>IFERROR(INDEX(Overrides!$B:$B,MATCH(A250,Overrides!$A:$A,0)),"")</f>
        <v/>
      </c>
      <c r="Q250" s="6">
        <f>IFERROR(INDEX(Overrides!$F:$F,MATCH(A250,Overrides!$A:$A,0)),"")</f>
        <v/>
      </c>
      <c r="R250" s="6">
        <f>ISNUMBER(MATCH(A250,Overrides!$A:$A,0))</f>
        <v/>
      </c>
      <c r="S250" s="6">
        <f>OR(ROUND(L250-ROUND(G250-T250,2),2)&lt;=0,AND(I250,K250&lt;&gt;"",(A250-D250+1)=K250))</f>
        <v/>
      </c>
      <c r="T250" s="21">
        <f>IF(M250&lt;&gt;"",M250,ROUND(L250*F250,2))</f>
        <v/>
      </c>
      <c r="U250" s="21">
        <f>IF(R250,IF(O250&lt;&gt;"",O250,IF(N250&lt;&gt;"",ROUND(L250-N250,2),ROUND((IF(P250&lt;&gt;"",P250,G250))-T250,2))),IF(H250,0,IF(S250,L250,ROUND(G250-T250,2))))</f>
        <v/>
      </c>
      <c r="V250" s="21">
        <f>IF(R250,IF(P250&lt;&gt;"",P250,ROUND(T250+U250,2)),IF(H250,T250,IF(S250,ROUND(T250+U250,2),G250)))</f>
        <v/>
      </c>
      <c r="W250" s="21">
        <f>IF(R250,IF(N250&lt;&gt;"",N250,ROUND(L250-U250,2)),IF(H250,L250,IF(S250,0,ROUND(L250-U250,2))))</f>
        <v/>
      </c>
      <c r="X250" s="21">
        <f>IFERROR(MIN(INDEX(LumpSums!$B:$B,MATCH(A250,LumpSums!$A:$A,0)),W250),0)</f>
        <v/>
      </c>
      <c r="Y250" s="21">
        <f>ROUND(U250+X250,2)</f>
        <v/>
      </c>
      <c r="Z250" s="21">
        <f>ROUND(V250+X250,2)</f>
        <v/>
      </c>
      <c r="AA250" s="21">
        <f>ROUND(W250-X250,2)</f>
        <v/>
      </c>
      <c r="AB250" s="6">
        <f>AND(AB249,L250&gt;0)</f>
        <v/>
      </c>
      <c r="AC250" s="21">
        <f>IF(PMI_Costs!$B$8=0,0,ROUND(PMI_Costs!$B$8*(1+PMI_Costs!$B$9/100)^INT((A250-1)/12)/12,2))</f>
        <v/>
      </c>
      <c r="AD250" s="21">
        <f>IF(PMI_Costs!$B$10=0,0,ROUND(PMI_Costs!$B$10*(1+PMI_Costs!$B$11/100)^INT((A250-1)/12)/12,2))</f>
        <v/>
      </c>
      <c r="AE250" s="21">
        <f>IF(PMI_Costs!$B$12=0,0,ROUND(PMI_Costs!$B$12*(1+PMI_Costs!$B$13/100)^INT((A250-1)/12)/12,2))</f>
        <v/>
      </c>
      <c r="AF250" s="22">
        <f>IF(PMI_Costs!$B$5=0,0,AA250/PMI_Costs!$B$5)</f>
        <v/>
      </c>
      <c r="AG250" s="6">
        <f>AND(PMI_Costs!$B$4&gt;0,AF250&gt;PMI_Costs!$B$6/100)</f>
        <v/>
      </c>
      <c r="AH250" s="21">
        <f>IF(AG250,ROUND(Segments!$G$5*PMI_Costs!$B$4/100/12,2),0)</f>
        <v/>
      </c>
      <c r="AI250" s="6">
        <f>AND(NOT(AG250),AG249)</f>
        <v/>
      </c>
    </row>
    <row r="251">
      <c r="A251" s="18" t="n">
        <v>247</v>
      </c>
      <c r="B251" s="18">
        <f>SUMPRODUCT((Segments!$J$5:$J$12&lt;&gt;"")*(Segments!$J$5:$J$12&lt;=A251))</f>
        <v/>
      </c>
      <c r="C251" s="19">
        <f>INDEX(Segments!$B$5:$B$12,B251)</f>
        <v/>
      </c>
      <c r="D251" s="18">
        <f>INDEX(Segments!$J$5:$J$12,B251)</f>
        <v/>
      </c>
      <c r="E251" s="19">
        <f>DATE(YEAR(C251)+INT((MONTH(C251)-1+(A251-D251))/12),MOD(MONTH(C251)-1+(A251-D251),12)+1,1)+(DAY(C251)-1)</f>
        <v/>
      </c>
      <c r="F251" s="20">
        <f>INDEX(Segments!$C$5:$C$12,B251)/100/12</f>
        <v/>
      </c>
      <c r="G251" s="21">
        <f>INDEX(Segments!$L$5:$L$12,B251)</f>
        <v/>
      </c>
      <c r="H251" s="6">
        <f>INDEX(Segments!$I$5:$I$12,B251)="Y"</f>
        <v/>
      </c>
      <c r="I251" s="6">
        <f>INDEX(Segments!$F$5:$F$12,B251)=""</f>
        <v/>
      </c>
      <c r="J251" s="18">
        <f>INDEX(Segments!$K$5:$K$12,B251)</f>
        <v/>
      </c>
      <c r="K251" s="18">
        <f>IF(INDEX(Segments!$F$5:$F$12,B251)&lt;&gt;"",INDEX(Segments!$F$5:$F$12,B251),IF(INDEX(Segments!$E$5:$E$12,B251)&lt;&gt;"",INDEX(Segments!$E$5:$E$12,B251),""))</f>
        <v/>
      </c>
      <c r="L251" s="21">
        <f>AA250</f>
        <v/>
      </c>
      <c r="M251" s="21">
        <f>IFERROR(INDEX(Overrides!$C:$C,MATCH(A251,Overrides!$A:$A,0)),"")</f>
        <v/>
      </c>
      <c r="N251" s="21">
        <f>IFERROR(INDEX(Overrides!$E:$E,MATCH(A251,Overrides!$A:$A,0)),"")</f>
        <v/>
      </c>
      <c r="O251" s="21">
        <f>IFERROR(INDEX(Overrides!$D:$D,MATCH(A251,Overrides!$A:$A,0)),"")</f>
        <v/>
      </c>
      <c r="P251" s="21">
        <f>IFERROR(INDEX(Overrides!$B:$B,MATCH(A251,Overrides!$A:$A,0)),"")</f>
        <v/>
      </c>
      <c r="Q251" s="6">
        <f>IFERROR(INDEX(Overrides!$F:$F,MATCH(A251,Overrides!$A:$A,0)),"")</f>
        <v/>
      </c>
      <c r="R251" s="6">
        <f>ISNUMBER(MATCH(A251,Overrides!$A:$A,0))</f>
        <v/>
      </c>
      <c r="S251" s="6">
        <f>OR(ROUND(L251-ROUND(G251-T251,2),2)&lt;=0,AND(I251,K251&lt;&gt;"",(A251-D251+1)=K251))</f>
        <v/>
      </c>
      <c r="T251" s="21">
        <f>IF(M251&lt;&gt;"",M251,ROUND(L251*F251,2))</f>
        <v/>
      </c>
      <c r="U251" s="21">
        <f>IF(R251,IF(O251&lt;&gt;"",O251,IF(N251&lt;&gt;"",ROUND(L251-N251,2),ROUND((IF(P251&lt;&gt;"",P251,G251))-T251,2))),IF(H251,0,IF(S251,L251,ROUND(G251-T251,2))))</f>
        <v/>
      </c>
      <c r="V251" s="21">
        <f>IF(R251,IF(P251&lt;&gt;"",P251,ROUND(T251+U251,2)),IF(H251,T251,IF(S251,ROUND(T251+U251,2),G251)))</f>
        <v/>
      </c>
      <c r="W251" s="21">
        <f>IF(R251,IF(N251&lt;&gt;"",N251,ROUND(L251-U251,2)),IF(H251,L251,IF(S251,0,ROUND(L251-U251,2))))</f>
        <v/>
      </c>
      <c r="X251" s="21">
        <f>IFERROR(MIN(INDEX(LumpSums!$B:$B,MATCH(A251,LumpSums!$A:$A,0)),W251),0)</f>
        <v/>
      </c>
      <c r="Y251" s="21">
        <f>ROUND(U251+X251,2)</f>
        <v/>
      </c>
      <c r="Z251" s="21">
        <f>ROUND(V251+X251,2)</f>
        <v/>
      </c>
      <c r="AA251" s="21">
        <f>ROUND(W251-X251,2)</f>
        <v/>
      </c>
      <c r="AB251" s="6">
        <f>AND(AB250,L251&gt;0)</f>
        <v/>
      </c>
      <c r="AC251" s="21">
        <f>IF(PMI_Costs!$B$8=0,0,ROUND(PMI_Costs!$B$8*(1+PMI_Costs!$B$9/100)^INT((A251-1)/12)/12,2))</f>
        <v/>
      </c>
      <c r="AD251" s="21">
        <f>IF(PMI_Costs!$B$10=0,0,ROUND(PMI_Costs!$B$10*(1+PMI_Costs!$B$11/100)^INT((A251-1)/12)/12,2))</f>
        <v/>
      </c>
      <c r="AE251" s="21">
        <f>IF(PMI_Costs!$B$12=0,0,ROUND(PMI_Costs!$B$12*(1+PMI_Costs!$B$13/100)^INT((A251-1)/12)/12,2))</f>
        <v/>
      </c>
      <c r="AF251" s="22">
        <f>IF(PMI_Costs!$B$5=0,0,AA251/PMI_Costs!$B$5)</f>
        <v/>
      </c>
      <c r="AG251" s="6">
        <f>AND(PMI_Costs!$B$4&gt;0,AF251&gt;PMI_Costs!$B$6/100)</f>
        <v/>
      </c>
      <c r="AH251" s="21">
        <f>IF(AG251,ROUND(Segments!$G$5*PMI_Costs!$B$4/100/12,2),0)</f>
        <v/>
      </c>
      <c r="AI251" s="6">
        <f>AND(NOT(AG251),AG250)</f>
        <v/>
      </c>
    </row>
    <row r="252">
      <c r="A252" s="18" t="n">
        <v>248</v>
      </c>
      <c r="B252" s="18">
        <f>SUMPRODUCT((Segments!$J$5:$J$12&lt;&gt;"")*(Segments!$J$5:$J$12&lt;=A252))</f>
        <v/>
      </c>
      <c r="C252" s="19">
        <f>INDEX(Segments!$B$5:$B$12,B252)</f>
        <v/>
      </c>
      <c r="D252" s="18">
        <f>INDEX(Segments!$J$5:$J$12,B252)</f>
        <v/>
      </c>
      <c r="E252" s="19">
        <f>DATE(YEAR(C252)+INT((MONTH(C252)-1+(A252-D252))/12),MOD(MONTH(C252)-1+(A252-D252),12)+1,1)+(DAY(C252)-1)</f>
        <v/>
      </c>
      <c r="F252" s="20">
        <f>INDEX(Segments!$C$5:$C$12,B252)/100/12</f>
        <v/>
      </c>
      <c r="G252" s="21">
        <f>INDEX(Segments!$L$5:$L$12,B252)</f>
        <v/>
      </c>
      <c r="H252" s="6">
        <f>INDEX(Segments!$I$5:$I$12,B252)="Y"</f>
        <v/>
      </c>
      <c r="I252" s="6">
        <f>INDEX(Segments!$F$5:$F$12,B252)=""</f>
        <v/>
      </c>
      <c r="J252" s="18">
        <f>INDEX(Segments!$K$5:$K$12,B252)</f>
        <v/>
      </c>
      <c r="K252" s="18">
        <f>IF(INDEX(Segments!$F$5:$F$12,B252)&lt;&gt;"",INDEX(Segments!$F$5:$F$12,B252),IF(INDEX(Segments!$E$5:$E$12,B252)&lt;&gt;"",INDEX(Segments!$E$5:$E$12,B252),""))</f>
        <v/>
      </c>
      <c r="L252" s="21">
        <f>AA251</f>
        <v/>
      </c>
      <c r="M252" s="21">
        <f>IFERROR(INDEX(Overrides!$C:$C,MATCH(A252,Overrides!$A:$A,0)),"")</f>
        <v/>
      </c>
      <c r="N252" s="21">
        <f>IFERROR(INDEX(Overrides!$E:$E,MATCH(A252,Overrides!$A:$A,0)),"")</f>
        <v/>
      </c>
      <c r="O252" s="21">
        <f>IFERROR(INDEX(Overrides!$D:$D,MATCH(A252,Overrides!$A:$A,0)),"")</f>
        <v/>
      </c>
      <c r="P252" s="21">
        <f>IFERROR(INDEX(Overrides!$B:$B,MATCH(A252,Overrides!$A:$A,0)),"")</f>
        <v/>
      </c>
      <c r="Q252" s="6">
        <f>IFERROR(INDEX(Overrides!$F:$F,MATCH(A252,Overrides!$A:$A,0)),"")</f>
        <v/>
      </c>
      <c r="R252" s="6">
        <f>ISNUMBER(MATCH(A252,Overrides!$A:$A,0))</f>
        <v/>
      </c>
      <c r="S252" s="6">
        <f>OR(ROUND(L252-ROUND(G252-T252,2),2)&lt;=0,AND(I252,K252&lt;&gt;"",(A252-D252+1)=K252))</f>
        <v/>
      </c>
      <c r="T252" s="21">
        <f>IF(M252&lt;&gt;"",M252,ROUND(L252*F252,2))</f>
        <v/>
      </c>
      <c r="U252" s="21">
        <f>IF(R252,IF(O252&lt;&gt;"",O252,IF(N252&lt;&gt;"",ROUND(L252-N252,2),ROUND((IF(P252&lt;&gt;"",P252,G252))-T252,2))),IF(H252,0,IF(S252,L252,ROUND(G252-T252,2))))</f>
        <v/>
      </c>
      <c r="V252" s="21">
        <f>IF(R252,IF(P252&lt;&gt;"",P252,ROUND(T252+U252,2)),IF(H252,T252,IF(S252,ROUND(T252+U252,2),G252)))</f>
        <v/>
      </c>
      <c r="W252" s="21">
        <f>IF(R252,IF(N252&lt;&gt;"",N252,ROUND(L252-U252,2)),IF(H252,L252,IF(S252,0,ROUND(L252-U252,2))))</f>
        <v/>
      </c>
      <c r="X252" s="21">
        <f>IFERROR(MIN(INDEX(LumpSums!$B:$B,MATCH(A252,LumpSums!$A:$A,0)),W252),0)</f>
        <v/>
      </c>
      <c r="Y252" s="21">
        <f>ROUND(U252+X252,2)</f>
        <v/>
      </c>
      <c r="Z252" s="21">
        <f>ROUND(V252+X252,2)</f>
        <v/>
      </c>
      <c r="AA252" s="21">
        <f>ROUND(W252-X252,2)</f>
        <v/>
      </c>
      <c r="AB252" s="6">
        <f>AND(AB251,L252&gt;0)</f>
        <v/>
      </c>
      <c r="AC252" s="21">
        <f>IF(PMI_Costs!$B$8=0,0,ROUND(PMI_Costs!$B$8*(1+PMI_Costs!$B$9/100)^INT((A252-1)/12)/12,2))</f>
        <v/>
      </c>
      <c r="AD252" s="21">
        <f>IF(PMI_Costs!$B$10=0,0,ROUND(PMI_Costs!$B$10*(1+PMI_Costs!$B$11/100)^INT((A252-1)/12)/12,2))</f>
        <v/>
      </c>
      <c r="AE252" s="21">
        <f>IF(PMI_Costs!$B$12=0,0,ROUND(PMI_Costs!$B$12*(1+PMI_Costs!$B$13/100)^INT((A252-1)/12)/12,2))</f>
        <v/>
      </c>
      <c r="AF252" s="22">
        <f>IF(PMI_Costs!$B$5=0,0,AA252/PMI_Costs!$B$5)</f>
        <v/>
      </c>
      <c r="AG252" s="6">
        <f>AND(PMI_Costs!$B$4&gt;0,AF252&gt;PMI_Costs!$B$6/100)</f>
        <v/>
      </c>
      <c r="AH252" s="21">
        <f>IF(AG252,ROUND(Segments!$G$5*PMI_Costs!$B$4/100/12,2),0)</f>
        <v/>
      </c>
      <c r="AI252" s="6">
        <f>AND(NOT(AG252),AG251)</f>
        <v/>
      </c>
    </row>
    <row r="253">
      <c r="A253" s="18" t="n">
        <v>249</v>
      </c>
      <c r="B253" s="18">
        <f>SUMPRODUCT((Segments!$J$5:$J$12&lt;&gt;"")*(Segments!$J$5:$J$12&lt;=A253))</f>
        <v/>
      </c>
      <c r="C253" s="19">
        <f>INDEX(Segments!$B$5:$B$12,B253)</f>
        <v/>
      </c>
      <c r="D253" s="18">
        <f>INDEX(Segments!$J$5:$J$12,B253)</f>
        <v/>
      </c>
      <c r="E253" s="19">
        <f>DATE(YEAR(C253)+INT((MONTH(C253)-1+(A253-D253))/12),MOD(MONTH(C253)-1+(A253-D253),12)+1,1)+(DAY(C253)-1)</f>
        <v/>
      </c>
      <c r="F253" s="20">
        <f>INDEX(Segments!$C$5:$C$12,B253)/100/12</f>
        <v/>
      </c>
      <c r="G253" s="21">
        <f>INDEX(Segments!$L$5:$L$12,B253)</f>
        <v/>
      </c>
      <c r="H253" s="6">
        <f>INDEX(Segments!$I$5:$I$12,B253)="Y"</f>
        <v/>
      </c>
      <c r="I253" s="6">
        <f>INDEX(Segments!$F$5:$F$12,B253)=""</f>
        <v/>
      </c>
      <c r="J253" s="18">
        <f>INDEX(Segments!$K$5:$K$12,B253)</f>
        <v/>
      </c>
      <c r="K253" s="18">
        <f>IF(INDEX(Segments!$F$5:$F$12,B253)&lt;&gt;"",INDEX(Segments!$F$5:$F$12,B253),IF(INDEX(Segments!$E$5:$E$12,B253)&lt;&gt;"",INDEX(Segments!$E$5:$E$12,B253),""))</f>
        <v/>
      </c>
      <c r="L253" s="21">
        <f>AA252</f>
        <v/>
      </c>
      <c r="M253" s="21">
        <f>IFERROR(INDEX(Overrides!$C:$C,MATCH(A253,Overrides!$A:$A,0)),"")</f>
        <v/>
      </c>
      <c r="N253" s="21">
        <f>IFERROR(INDEX(Overrides!$E:$E,MATCH(A253,Overrides!$A:$A,0)),"")</f>
        <v/>
      </c>
      <c r="O253" s="21">
        <f>IFERROR(INDEX(Overrides!$D:$D,MATCH(A253,Overrides!$A:$A,0)),"")</f>
        <v/>
      </c>
      <c r="P253" s="21">
        <f>IFERROR(INDEX(Overrides!$B:$B,MATCH(A253,Overrides!$A:$A,0)),"")</f>
        <v/>
      </c>
      <c r="Q253" s="6">
        <f>IFERROR(INDEX(Overrides!$F:$F,MATCH(A253,Overrides!$A:$A,0)),"")</f>
        <v/>
      </c>
      <c r="R253" s="6">
        <f>ISNUMBER(MATCH(A253,Overrides!$A:$A,0))</f>
        <v/>
      </c>
      <c r="S253" s="6">
        <f>OR(ROUND(L253-ROUND(G253-T253,2),2)&lt;=0,AND(I253,K253&lt;&gt;"",(A253-D253+1)=K253))</f>
        <v/>
      </c>
      <c r="T253" s="21">
        <f>IF(M253&lt;&gt;"",M253,ROUND(L253*F253,2))</f>
        <v/>
      </c>
      <c r="U253" s="21">
        <f>IF(R253,IF(O253&lt;&gt;"",O253,IF(N253&lt;&gt;"",ROUND(L253-N253,2),ROUND((IF(P253&lt;&gt;"",P253,G253))-T253,2))),IF(H253,0,IF(S253,L253,ROUND(G253-T253,2))))</f>
        <v/>
      </c>
      <c r="V253" s="21">
        <f>IF(R253,IF(P253&lt;&gt;"",P253,ROUND(T253+U253,2)),IF(H253,T253,IF(S253,ROUND(T253+U253,2),G253)))</f>
        <v/>
      </c>
      <c r="W253" s="21">
        <f>IF(R253,IF(N253&lt;&gt;"",N253,ROUND(L253-U253,2)),IF(H253,L253,IF(S253,0,ROUND(L253-U253,2))))</f>
        <v/>
      </c>
      <c r="X253" s="21">
        <f>IFERROR(MIN(INDEX(LumpSums!$B:$B,MATCH(A253,LumpSums!$A:$A,0)),W253),0)</f>
        <v/>
      </c>
      <c r="Y253" s="21">
        <f>ROUND(U253+X253,2)</f>
        <v/>
      </c>
      <c r="Z253" s="21">
        <f>ROUND(V253+X253,2)</f>
        <v/>
      </c>
      <c r="AA253" s="21">
        <f>ROUND(W253-X253,2)</f>
        <v/>
      </c>
      <c r="AB253" s="6">
        <f>AND(AB252,L253&gt;0)</f>
        <v/>
      </c>
      <c r="AC253" s="21">
        <f>IF(PMI_Costs!$B$8=0,0,ROUND(PMI_Costs!$B$8*(1+PMI_Costs!$B$9/100)^INT((A253-1)/12)/12,2))</f>
        <v/>
      </c>
      <c r="AD253" s="21">
        <f>IF(PMI_Costs!$B$10=0,0,ROUND(PMI_Costs!$B$10*(1+PMI_Costs!$B$11/100)^INT((A253-1)/12)/12,2))</f>
        <v/>
      </c>
      <c r="AE253" s="21">
        <f>IF(PMI_Costs!$B$12=0,0,ROUND(PMI_Costs!$B$12*(1+PMI_Costs!$B$13/100)^INT((A253-1)/12)/12,2))</f>
        <v/>
      </c>
      <c r="AF253" s="22">
        <f>IF(PMI_Costs!$B$5=0,0,AA253/PMI_Costs!$B$5)</f>
        <v/>
      </c>
      <c r="AG253" s="6">
        <f>AND(PMI_Costs!$B$4&gt;0,AF253&gt;PMI_Costs!$B$6/100)</f>
        <v/>
      </c>
      <c r="AH253" s="21">
        <f>IF(AG253,ROUND(Segments!$G$5*PMI_Costs!$B$4/100/12,2),0)</f>
        <v/>
      </c>
      <c r="AI253" s="6">
        <f>AND(NOT(AG253),AG252)</f>
        <v/>
      </c>
    </row>
    <row r="254">
      <c r="A254" s="18" t="n">
        <v>250</v>
      </c>
      <c r="B254" s="18">
        <f>SUMPRODUCT((Segments!$J$5:$J$12&lt;&gt;"")*(Segments!$J$5:$J$12&lt;=A254))</f>
        <v/>
      </c>
      <c r="C254" s="19">
        <f>INDEX(Segments!$B$5:$B$12,B254)</f>
        <v/>
      </c>
      <c r="D254" s="18">
        <f>INDEX(Segments!$J$5:$J$12,B254)</f>
        <v/>
      </c>
      <c r="E254" s="19">
        <f>DATE(YEAR(C254)+INT((MONTH(C254)-1+(A254-D254))/12),MOD(MONTH(C254)-1+(A254-D254),12)+1,1)+(DAY(C254)-1)</f>
        <v/>
      </c>
      <c r="F254" s="20">
        <f>INDEX(Segments!$C$5:$C$12,B254)/100/12</f>
        <v/>
      </c>
      <c r="G254" s="21">
        <f>INDEX(Segments!$L$5:$L$12,B254)</f>
        <v/>
      </c>
      <c r="H254" s="6">
        <f>INDEX(Segments!$I$5:$I$12,B254)="Y"</f>
        <v/>
      </c>
      <c r="I254" s="6">
        <f>INDEX(Segments!$F$5:$F$12,B254)=""</f>
        <v/>
      </c>
      <c r="J254" s="18">
        <f>INDEX(Segments!$K$5:$K$12,B254)</f>
        <v/>
      </c>
      <c r="K254" s="18">
        <f>IF(INDEX(Segments!$F$5:$F$12,B254)&lt;&gt;"",INDEX(Segments!$F$5:$F$12,B254),IF(INDEX(Segments!$E$5:$E$12,B254)&lt;&gt;"",INDEX(Segments!$E$5:$E$12,B254),""))</f>
        <v/>
      </c>
      <c r="L254" s="21">
        <f>AA253</f>
        <v/>
      </c>
      <c r="M254" s="21">
        <f>IFERROR(INDEX(Overrides!$C:$C,MATCH(A254,Overrides!$A:$A,0)),"")</f>
        <v/>
      </c>
      <c r="N254" s="21">
        <f>IFERROR(INDEX(Overrides!$E:$E,MATCH(A254,Overrides!$A:$A,0)),"")</f>
        <v/>
      </c>
      <c r="O254" s="21">
        <f>IFERROR(INDEX(Overrides!$D:$D,MATCH(A254,Overrides!$A:$A,0)),"")</f>
        <v/>
      </c>
      <c r="P254" s="21">
        <f>IFERROR(INDEX(Overrides!$B:$B,MATCH(A254,Overrides!$A:$A,0)),"")</f>
        <v/>
      </c>
      <c r="Q254" s="6">
        <f>IFERROR(INDEX(Overrides!$F:$F,MATCH(A254,Overrides!$A:$A,0)),"")</f>
        <v/>
      </c>
      <c r="R254" s="6">
        <f>ISNUMBER(MATCH(A254,Overrides!$A:$A,0))</f>
        <v/>
      </c>
      <c r="S254" s="6">
        <f>OR(ROUND(L254-ROUND(G254-T254,2),2)&lt;=0,AND(I254,K254&lt;&gt;"",(A254-D254+1)=K254))</f>
        <v/>
      </c>
      <c r="T254" s="21">
        <f>IF(M254&lt;&gt;"",M254,ROUND(L254*F254,2))</f>
        <v/>
      </c>
      <c r="U254" s="21">
        <f>IF(R254,IF(O254&lt;&gt;"",O254,IF(N254&lt;&gt;"",ROUND(L254-N254,2),ROUND((IF(P254&lt;&gt;"",P254,G254))-T254,2))),IF(H254,0,IF(S254,L254,ROUND(G254-T254,2))))</f>
        <v/>
      </c>
      <c r="V254" s="21">
        <f>IF(R254,IF(P254&lt;&gt;"",P254,ROUND(T254+U254,2)),IF(H254,T254,IF(S254,ROUND(T254+U254,2),G254)))</f>
        <v/>
      </c>
      <c r="W254" s="21">
        <f>IF(R254,IF(N254&lt;&gt;"",N254,ROUND(L254-U254,2)),IF(H254,L254,IF(S254,0,ROUND(L254-U254,2))))</f>
        <v/>
      </c>
      <c r="X254" s="21">
        <f>IFERROR(MIN(INDEX(LumpSums!$B:$B,MATCH(A254,LumpSums!$A:$A,0)),W254),0)</f>
        <v/>
      </c>
      <c r="Y254" s="21">
        <f>ROUND(U254+X254,2)</f>
        <v/>
      </c>
      <c r="Z254" s="21">
        <f>ROUND(V254+X254,2)</f>
        <v/>
      </c>
      <c r="AA254" s="21">
        <f>ROUND(W254-X254,2)</f>
        <v/>
      </c>
      <c r="AB254" s="6">
        <f>AND(AB253,L254&gt;0)</f>
        <v/>
      </c>
      <c r="AC254" s="21">
        <f>IF(PMI_Costs!$B$8=0,0,ROUND(PMI_Costs!$B$8*(1+PMI_Costs!$B$9/100)^INT((A254-1)/12)/12,2))</f>
        <v/>
      </c>
      <c r="AD254" s="21">
        <f>IF(PMI_Costs!$B$10=0,0,ROUND(PMI_Costs!$B$10*(1+PMI_Costs!$B$11/100)^INT((A254-1)/12)/12,2))</f>
        <v/>
      </c>
      <c r="AE254" s="21">
        <f>IF(PMI_Costs!$B$12=0,0,ROUND(PMI_Costs!$B$12*(1+PMI_Costs!$B$13/100)^INT((A254-1)/12)/12,2))</f>
        <v/>
      </c>
      <c r="AF254" s="22">
        <f>IF(PMI_Costs!$B$5=0,0,AA254/PMI_Costs!$B$5)</f>
        <v/>
      </c>
      <c r="AG254" s="6">
        <f>AND(PMI_Costs!$B$4&gt;0,AF254&gt;PMI_Costs!$B$6/100)</f>
        <v/>
      </c>
      <c r="AH254" s="21">
        <f>IF(AG254,ROUND(Segments!$G$5*PMI_Costs!$B$4/100/12,2),0)</f>
        <v/>
      </c>
      <c r="AI254" s="6">
        <f>AND(NOT(AG254),AG253)</f>
        <v/>
      </c>
    </row>
    <row r="255">
      <c r="A255" s="18" t="n">
        <v>251</v>
      </c>
      <c r="B255" s="18">
        <f>SUMPRODUCT((Segments!$J$5:$J$12&lt;&gt;"")*(Segments!$J$5:$J$12&lt;=A255))</f>
        <v/>
      </c>
      <c r="C255" s="19">
        <f>INDEX(Segments!$B$5:$B$12,B255)</f>
        <v/>
      </c>
      <c r="D255" s="18">
        <f>INDEX(Segments!$J$5:$J$12,B255)</f>
        <v/>
      </c>
      <c r="E255" s="19">
        <f>DATE(YEAR(C255)+INT((MONTH(C255)-1+(A255-D255))/12),MOD(MONTH(C255)-1+(A255-D255),12)+1,1)+(DAY(C255)-1)</f>
        <v/>
      </c>
      <c r="F255" s="20">
        <f>INDEX(Segments!$C$5:$C$12,B255)/100/12</f>
        <v/>
      </c>
      <c r="G255" s="21">
        <f>INDEX(Segments!$L$5:$L$12,B255)</f>
        <v/>
      </c>
      <c r="H255" s="6">
        <f>INDEX(Segments!$I$5:$I$12,B255)="Y"</f>
        <v/>
      </c>
      <c r="I255" s="6">
        <f>INDEX(Segments!$F$5:$F$12,B255)=""</f>
        <v/>
      </c>
      <c r="J255" s="18">
        <f>INDEX(Segments!$K$5:$K$12,B255)</f>
        <v/>
      </c>
      <c r="K255" s="18">
        <f>IF(INDEX(Segments!$F$5:$F$12,B255)&lt;&gt;"",INDEX(Segments!$F$5:$F$12,B255),IF(INDEX(Segments!$E$5:$E$12,B255)&lt;&gt;"",INDEX(Segments!$E$5:$E$12,B255),""))</f>
        <v/>
      </c>
      <c r="L255" s="21">
        <f>AA254</f>
        <v/>
      </c>
      <c r="M255" s="21">
        <f>IFERROR(INDEX(Overrides!$C:$C,MATCH(A255,Overrides!$A:$A,0)),"")</f>
        <v/>
      </c>
      <c r="N255" s="21">
        <f>IFERROR(INDEX(Overrides!$E:$E,MATCH(A255,Overrides!$A:$A,0)),"")</f>
        <v/>
      </c>
      <c r="O255" s="21">
        <f>IFERROR(INDEX(Overrides!$D:$D,MATCH(A255,Overrides!$A:$A,0)),"")</f>
        <v/>
      </c>
      <c r="P255" s="21">
        <f>IFERROR(INDEX(Overrides!$B:$B,MATCH(A255,Overrides!$A:$A,0)),"")</f>
        <v/>
      </c>
      <c r="Q255" s="6">
        <f>IFERROR(INDEX(Overrides!$F:$F,MATCH(A255,Overrides!$A:$A,0)),"")</f>
        <v/>
      </c>
      <c r="R255" s="6">
        <f>ISNUMBER(MATCH(A255,Overrides!$A:$A,0))</f>
        <v/>
      </c>
      <c r="S255" s="6">
        <f>OR(ROUND(L255-ROUND(G255-T255,2),2)&lt;=0,AND(I255,K255&lt;&gt;"",(A255-D255+1)=K255))</f>
        <v/>
      </c>
      <c r="T255" s="21">
        <f>IF(M255&lt;&gt;"",M255,ROUND(L255*F255,2))</f>
        <v/>
      </c>
      <c r="U255" s="21">
        <f>IF(R255,IF(O255&lt;&gt;"",O255,IF(N255&lt;&gt;"",ROUND(L255-N255,2),ROUND((IF(P255&lt;&gt;"",P255,G255))-T255,2))),IF(H255,0,IF(S255,L255,ROUND(G255-T255,2))))</f>
        <v/>
      </c>
      <c r="V255" s="21">
        <f>IF(R255,IF(P255&lt;&gt;"",P255,ROUND(T255+U255,2)),IF(H255,T255,IF(S255,ROUND(T255+U255,2),G255)))</f>
        <v/>
      </c>
      <c r="W255" s="21">
        <f>IF(R255,IF(N255&lt;&gt;"",N255,ROUND(L255-U255,2)),IF(H255,L255,IF(S255,0,ROUND(L255-U255,2))))</f>
        <v/>
      </c>
      <c r="X255" s="21">
        <f>IFERROR(MIN(INDEX(LumpSums!$B:$B,MATCH(A255,LumpSums!$A:$A,0)),W255),0)</f>
        <v/>
      </c>
      <c r="Y255" s="21">
        <f>ROUND(U255+X255,2)</f>
        <v/>
      </c>
      <c r="Z255" s="21">
        <f>ROUND(V255+X255,2)</f>
        <v/>
      </c>
      <c r="AA255" s="21">
        <f>ROUND(W255-X255,2)</f>
        <v/>
      </c>
      <c r="AB255" s="6">
        <f>AND(AB254,L255&gt;0)</f>
        <v/>
      </c>
      <c r="AC255" s="21">
        <f>IF(PMI_Costs!$B$8=0,0,ROUND(PMI_Costs!$B$8*(1+PMI_Costs!$B$9/100)^INT((A255-1)/12)/12,2))</f>
        <v/>
      </c>
      <c r="AD255" s="21">
        <f>IF(PMI_Costs!$B$10=0,0,ROUND(PMI_Costs!$B$10*(1+PMI_Costs!$B$11/100)^INT((A255-1)/12)/12,2))</f>
        <v/>
      </c>
      <c r="AE255" s="21">
        <f>IF(PMI_Costs!$B$12=0,0,ROUND(PMI_Costs!$B$12*(1+PMI_Costs!$B$13/100)^INT((A255-1)/12)/12,2))</f>
        <v/>
      </c>
      <c r="AF255" s="22">
        <f>IF(PMI_Costs!$B$5=0,0,AA255/PMI_Costs!$B$5)</f>
        <v/>
      </c>
      <c r="AG255" s="6">
        <f>AND(PMI_Costs!$B$4&gt;0,AF255&gt;PMI_Costs!$B$6/100)</f>
        <v/>
      </c>
      <c r="AH255" s="21">
        <f>IF(AG255,ROUND(Segments!$G$5*PMI_Costs!$B$4/100/12,2),0)</f>
        <v/>
      </c>
      <c r="AI255" s="6">
        <f>AND(NOT(AG255),AG254)</f>
        <v/>
      </c>
    </row>
    <row r="256">
      <c r="A256" s="18" t="n">
        <v>252</v>
      </c>
      <c r="B256" s="18">
        <f>SUMPRODUCT((Segments!$J$5:$J$12&lt;&gt;"")*(Segments!$J$5:$J$12&lt;=A256))</f>
        <v/>
      </c>
      <c r="C256" s="19">
        <f>INDEX(Segments!$B$5:$B$12,B256)</f>
        <v/>
      </c>
      <c r="D256" s="18">
        <f>INDEX(Segments!$J$5:$J$12,B256)</f>
        <v/>
      </c>
      <c r="E256" s="19">
        <f>DATE(YEAR(C256)+INT((MONTH(C256)-1+(A256-D256))/12),MOD(MONTH(C256)-1+(A256-D256),12)+1,1)+(DAY(C256)-1)</f>
        <v/>
      </c>
      <c r="F256" s="20">
        <f>INDEX(Segments!$C$5:$C$12,B256)/100/12</f>
        <v/>
      </c>
      <c r="G256" s="21">
        <f>INDEX(Segments!$L$5:$L$12,B256)</f>
        <v/>
      </c>
      <c r="H256" s="6">
        <f>INDEX(Segments!$I$5:$I$12,B256)="Y"</f>
        <v/>
      </c>
      <c r="I256" s="6">
        <f>INDEX(Segments!$F$5:$F$12,B256)=""</f>
        <v/>
      </c>
      <c r="J256" s="18">
        <f>INDEX(Segments!$K$5:$K$12,B256)</f>
        <v/>
      </c>
      <c r="K256" s="18">
        <f>IF(INDEX(Segments!$F$5:$F$12,B256)&lt;&gt;"",INDEX(Segments!$F$5:$F$12,B256),IF(INDEX(Segments!$E$5:$E$12,B256)&lt;&gt;"",INDEX(Segments!$E$5:$E$12,B256),""))</f>
        <v/>
      </c>
      <c r="L256" s="21">
        <f>AA255</f>
        <v/>
      </c>
      <c r="M256" s="21">
        <f>IFERROR(INDEX(Overrides!$C:$C,MATCH(A256,Overrides!$A:$A,0)),"")</f>
        <v/>
      </c>
      <c r="N256" s="21">
        <f>IFERROR(INDEX(Overrides!$E:$E,MATCH(A256,Overrides!$A:$A,0)),"")</f>
        <v/>
      </c>
      <c r="O256" s="21">
        <f>IFERROR(INDEX(Overrides!$D:$D,MATCH(A256,Overrides!$A:$A,0)),"")</f>
        <v/>
      </c>
      <c r="P256" s="21">
        <f>IFERROR(INDEX(Overrides!$B:$B,MATCH(A256,Overrides!$A:$A,0)),"")</f>
        <v/>
      </c>
      <c r="Q256" s="6">
        <f>IFERROR(INDEX(Overrides!$F:$F,MATCH(A256,Overrides!$A:$A,0)),"")</f>
        <v/>
      </c>
      <c r="R256" s="6">
        <f>ISNUMBER(MATCH(A256,Overrides!$A:$A,0))</f>
        <v/>
      </c>
      <c r="S256" s="6">
        <f>OR(ROUND(L256-ROUND(G256-T256,2),2)&lt;=0,AND(I256,K256&lt;&gt;"",(A256-D256+1)=K256))</f>
        <v/>
      </c>
      <c r="T256" s="21">
        <f>IF(M256&lt;&gt;"",M256,ROUND(L256*F256,2))</f>
        <v/>
      </c>
      <c r="U256" s="21">
        <f>IF(R256,IF(O256&lt;&gt;"",O256,IF(N256&lt;&gt;"",ROUND(L256-N256,2),ROUND((IF(P256&lt;&gt;"",P256,G256))-T256,2))),IF(H256,0,IF(S256,L256,ROUND(G256-T256,2))))</f>
        <v/>
      </c>
      <c r="V256" s="21">
        <f>IF(R256,IF(P256&lt;&gt;"",P256,ROUND(T256+U256,2)),IF(H256,T256,IF(S256,ROUND(T256+U256,2),G256)))</f>
        <v/>
      </c>
      <c r="W256" s="21">
        <f>IF(R256,IF(N256&lt;&gt;"",N256,ROUND(L256-U256,2)),IF(H256,L256,IF(S256,0,ROUND(L256-U256,2))))</f>
        <v/>
      </c>
      <c r="X256" s="21">
        <f>IFERROR(MIN(INDEX(LumpSums!$B:$B,MATCH(A256,LumpSums!$A:$A,0)),W256),0)</f>
        <v/>
      </c>
      <c r="Y256" s="21">
        <f>ROUND(U256+X256,2)</f>
        <v/>
      </c>
      <c r="Z256" s="21">
        <f>ROUND(V256+X256,2)</f>
        <v/>
      </c>
      <c r="AA256" s="21">
        <f>ROUND(W256-X256,2)</f>
        <v/>
      </c>
      <c r="AB256" s="6">
        <f>AND(AB255,L256&gt;0)</f>
        <v/>
      </c>
      <c r="AC256" s="21">
        <f>IF(PMI_Costs!$B$8=0,0,ROUND(PMI_Costs!$B$8*(1+PMI_Costs!$B$9/100)^INT((A256-1)/12)/12,2))</f>
        <v/>
      </c>
      <c r="AD256" s="21">
        <f>IF(PMI_Costs!$B$10=0,0,ROUND(PMI_Costs!$B$10*(1+PMI_Costs!$B$11/100)^INT((A256-1)/12)/12,2))</f>
        <v/>
      </c>
      <c r="AE256" s="21">
        <f>IF(PMI_Costs!$B$12=0,0,ROUND(PMI_Costs!$B$12*(1+PMI_Costs!$B$13/100)^INT((A256-1)/12)/12,2))</f>
        <v/>
      </c>
      <c r="AF256" s="22">
        <f>IF(PMI_Costs!$B$5=0,0,AA256/PMI_Costs!$B$5)</f>
        <v/>
      </c>
      <c r="AG256" s="6">
        <f>AND(PMI_Costs!$B$4&gt;0,AF256&gt;PMI_Costs!$B$6/100)</f>
        <v/>
      </c>
      <c r="AH256" s="21">
        <f>IF(AG256,ROUND(Segments!$G$5*PMI_Costs!$B$4/100/12,2),0)</f>
        <v/>
      </c>
      <c r="AI256" s="6">
        <f>AND(NOT(AG256),AG255)</f>
        <v/>
      </c>
    </row>
    <row r="257">
      <c r="A257" s="18" t="n">
        <v>253</v>
      </c>
      <c r="B257" s="18">
        <f>SUMPRODUCT((Segments!$J$5:$J$12&lt;&gt;"")*(Segments!$J$5:$J$12&lt;=A257))</f>
        <v/>
      </c>
      <c r="C257" s="19">
        <f>INDEX(Segments!$B$5:$B$12,B257)</f>
        <v/>
      </c>
      <c r="D257" s="18">
        <f>INDEX(Segments!$J$5:$J$12,B257)</f>
        <v/>
      </c>
      <c r="E257" s="19">
        <f>DATE(YEAR(C257)+INT((MONTH(C257)-1+(A257-D257))/12),MOD(MONTH(C257)-1+(A257-D257),12)+1,1)+(DAY(C257)-1)</f>
        <v/>
      </c>
      <c r="F257" s="20">
        <f>INDEX(Segments!$C$5:$C$12,B257)/100/12</f>
        <v/>
      </c>
      <c r="G257" s="21">
        <f>INDEX(Segments!$L$5:$L$12,B257)</f>
        <v/>
      </c>
      <c r="H257" s="6">
        <f>INDEX(Segments!$I$5:$I$12,B257)="Y"</f>
        <v/>
      </c>
      <c r="I257" s="6">
        <f>INDEX(Segments!$F$5:$F$12,B257)=""</f>
        <v/>
      </c>
      <c r="J257" s="18">
        <f>INDEX(Segments!$K$5:$K$12,B257)</f>
        <v/>
      </c>
      <c r="K257" s="18">
        <f>IF(INDEX(Segments!$F$5:$F$12,B257)&lt;&gt;"",INDEX(Segments!$F$5:$F$12,B257),IF(INDEX(Segments!$E$5:$E$12,B257)&lt;&gt;"",INDEX(Segments!$E$5:$E$12,B257),""))</f>
        <v/>
      </c>
      <c r="L257" s="21">
        <f>AA256</f>
        <v/>
      </c>
      <c r="M257" s="21">
        <f>IFERROR(INDEX(Overrides!$C:$C,MATCH(A257,Overrides!$A:$A,0)),"")</f>
        <v/>
      </c>
      <c r="N257" s="21">
        <f>IFERROR(INDEX(Overrides!$E:$E,MATCH(A257,Overrides!$A:$A,0)),"")</f>
        <v/>
      </c>
      <c r="O257" s="21">
        <f>IFERROR(INDEX(Overrides!$D:$D,MATCH(A257,Overrides!$A:$A,0)),"")</f>
        <v/>
      </c>
      <c r="P257" s="21">
        <f>IFERROR(INDEX(Overrides!$B:$B,MATCH(A257,Overrides!$A:$A,0)),"")</f>
        <v/>
      </c>
      <c r="Q257" s="6">
        <f>IFERROR(INDEX(Overrides!$F:$F,MATCH(A257,Overrides!$A:$A,0)),"")</f>
        <v/>
      </c>
      <c r="R257" s="6">
        <f>ISNUMBER(MATCH(A257,Overrides!$A:$A,0))</f>
        <v/>
      </c>
      <c r="S257" s="6">
        <f>OR(ROUND(L257-ROUND(G257-T257,2),2)&lt;=0,AND(I257,K257&lt;&gt;"",(A257-D257+1)=K257))</f>
        <v/>
      </c>
      <c r="T257" s="21">
        <f>IF(M257&lt;&gt;"",M257,ROUND(L257*F257,2))</f>
        <v/>
      </c>
      <c r="U257" s="21">
        <f>IF(R257,IF(O257&lt;&gt;"",O257,IF(N257&lt;&gt;"",ROUND(L257-N257,2),ROUND((IF(P257&lt;&gt;"",P257,G257))-T257,2))),IF(H257,0,IF(S257,L257,ROUND(G257-T257,2))))</f>
        <v/>
      </c>
      <c r="V257" s="21">
        <f>IF(R257,IF(P257&lt;&gt;"",P257,ROUND(T257+U257,2)),IF(H257,T257,IF(S257,ROUND(T257+U257,2),G257)))</f>
        <v/>
      </c>
      <c r="W257" s="21">
        <f>IF(R257,IF(N257&lt;&gt;"",N257,ROUND(L257-U257,2)),IF(H257,L257,IF(S257,0,ROUND(L257-U257,2))))</f>
        <v/>
      </c>
      <c r="X257" s="21">
        <f>IFERROR(MIN(INDEX(LumpSums!$B:$B,MATCH(A257,LumpSums!$A:$A,0)),W257),0)</f>
        <v/>
      </c>
      <c r="Y257" s="21">
        <f>ROUND(U257+X257,2)</f>
        <v/>
      </c>
      <c r="Z257" s="21">
        <f>ROUND(V257+X257,2)</f>
        <v/>
      </c>
      <c r="AA257" s="21">
        <f>ROUND(W257-X257,2)</f>
        <v/>
      </c>
      <c r="AB257" s="6">
        <f>AND(AB256,L257&gt;0)</f>
        <v/>
      </c>
      <c r="AC257" s="21">
        <f>IF(PMI_Costs!$B$8=0,0,ROUND(PMI_Costs!$B$8*(1+PMI_Costs!$B$9/100)^INT((A257-1)/12)/12,2))</f>
        <v/>
      </c>
      <c r="AD257" s="21">
        <f>IF(PMI_Costs!$B$10=0,0,ROUND(PMI_Costs!$B$10*(1+PMI_Costs!$B$11/100)^INT((A257-1)/12)/12,2))</f>
        <v/>
      </c>
      <c r="AE257" s="21">
        <f>IF(PMI_Costs!$B$12=0,0,ROUND(PMI_Costs!$B$12*(1+PMI_Costs!$B$13/100)^INT((A257-1)/12)/12,2))</f>
        <v/>
      </c>
      <c r="AF257" s="22">
        <f>IF(PMI_Costs!$B$5=0,0,AA257/PMI_Costs!$B$5)</f>
        <v/>
      </c>
      <c r="AG257" s="6">
        <f>AND(PMI_Costs!$B$4&gt;0,AF257&gt;PMI_Costs!$B$6/100)</f>
        <v/>
      </c>
      <c r="AH257" s="21">
        <f>IF(AG257,ROUND(Segments!$G$5*PMI_Costs!$B$4/100/12,2),0)</f>
        <v/>
      </c>
      <c r="AI257" s="6">
        <f>AND(NOT(AG257),AG256)</f>
        <v/>
      </c>
    </row>
    <row r="258">
      <c r="A258" s="18" t="n">
        <v>254</v>
      </c>
      <c r="B258" s="18">
        <f>SUMPRODUCT((Segments!$J$5:$J$12&lt;&gt;"")*(Segments!$J$5:$J$12&lt;=A258))</f>
        <v/>
      </c>
      <c r="C258" s="19">
        <f>INDEX(Segments!$B$5:$B$12,B258)</f>
        <v/>
      </c>
      <c r="D258" s="18">
        <f>INDEX(Segments!$J$5:$J$12,B258)</f>
        <v/>
      </c>
      <c r="E258" s="19">
        <f>DATE(YEAR(C258)+INT((MONTH(C258)-1+(A258-D258))/12),MOD(MONTH(C258)-1+(A258-D258),12)+1,1)+(DAY(C258)-1)</f>
        <v/>
      </c>
      <c r="F258" s="20">
        <f>INDEX(Segments!$C$5:$C$12,B258)/100/12</f>
        <v/>
      </c>
      <c r="G258" s="21">
        <f>INDEX(Segments!$L$5:$L$12,B258)</f>
        <v/>
      </c>
      <c r="H258" s="6">
        <f>INDEX(Segments!$I$5:$I$12,B258)="Y"</f>
        <v/>
      </c>
      <c r="I258" s="6">
        <f>INDEX(Segments!$F$5:$F$12,B258)=""</f>
        <v/>
      </c>
      <c r="J258" s="18">
        <f>INDEX(Segments!$K$5:$K$12,B258)</f>
        <v/>
      </c>
      <c r="K258" s="18">
        <f>IF(INDEX(Segments!$F$5:$F$12,B258)&lt;&gt;"",INDEX(Segments!$F$5:$F$12,B258),IF(INDEX(Segments!$E$5:$E$12,B258)&lt;&gt;"",INDEX(Segments!$E$5:$E$12,B258),""))</f>
        <v/>
      </c>
      <c r="L258" s="21">
        <f>AA257</f>
        <v/>
      </c>
      <c r="M258" s="21">
        <f>IFERROR(INDEX(Overrides!$C:$C,MATCH(A258,Overrides!$A:$A,0)),"")</f>
        <v/>
      </c>
      <c r="N258" s="21">
        <f>IFERROR(INDEX(Overrides!$E:$E,MATCH(A258,Overrides!$A:$A,0)),"")</f>
        <v/>
      </c>
      <c r="O258" s="21">
        <f>IFERROR(INDEX(Overrides!$D:$D,MATCH(A258,Overrides!$A:$A,0)),"")</f>
        <v/>
      </c>
      <c r="P258" s="21">
        <f>IFERROR(INDEX(Overrides!$B:$B,MATCH(A258,Overrides!$A:$A,0)),"")</f>
        <v/>
      </c>
      <c r="Q258" s="6">
        <f>IFERROR(INDEX(Overrides!$F:$F,MATCH(A258,Overrides!$A:$A,0)),"")</f>
        <v/>
      </c>
      <c r="R258" s="6">
        <f>ISNUMBER(MATCH(A258,Overrides!$A:$A,0))</f>
        <v/>
      </c>
      <c r="S258" s="6">
        <f>OR(ROUND(L258-ROUND(G258-T258,2),2)&lt;=0,AND(I258,K258&lt;&gt;"",(A258-D258+1)=K258))</f>
        <v/>
      </c>
      <c r="T258" s="21">
        <f>IF(M258&lt;&gt;"",M258,ROUND(L258*F258,2))</f>
        <v/>
      </c>
      <c r="U258" s="21">
        <f>IF(R258,IF(O258&lt;&gt;"",O258,IF(N258&lt;&gt;"",ROUND(L258-N258,2),ROUND((IF(P258&lt;&gt;"",P258,G258))-T258,2))),IF(H258,0,IF(S258,L258,ROUND(G258-T258,2))))</f>
        <v/>
      </c>
      <c r="V258" s="21">
        <f>IF(R258,IF(P258&lt;&gt;"",P258,ROUND(T258+U258,2)),IF(H258,T258,IF(S258,ROUND(T258+U258,2),G258)))</f>
        <v/>
      </c>
      <c r="W258" s="21">
        <f>IF(R258,IF(N258&lt;&gt;"",N258,ROUND(L258-U258,2)),IF(H258,L258,IF(S258,0,ROUND(L258-U258,2))))</f>
        <v/>
      </c>
      <c r="X258" s="21">
        <f>IFERROR(MIN(INDEX(LumpSums!$B:$B,MATCH(A258,LumpSums!$A:$A,0)),W258),0)</f>
        <v/>
      </c>
      <c r="Y258" s="21">
        <f>ROUND(U258+X258,2)</f>
        <v/>
      </c>
      <c r="Z258" s="21">
        <f>ROUND(V258+X258,2)</f>
        <v/>
      </c>
      <c r="AA258" s="21">
        <f>ROUND(W258-X258,2)</f>
        <v/>
      </c>
      <c r="AB258" s="6">
        <f>AND(AB257,L258&gt;0)</f>
        <v/>
      </c>
      <c r="AC258" s="21">
        <f>IF(PMI_Costs!$B$8=0,0,ROUND(PMI_Costs!$B$8*(1+PMI_Costs!$B$9/100)^INT((A258-1)/12)/12,2))</f>
        <v/>
      </c>
      <c r="AD258" s="21">
        <f>IF(PMI_Costs!$B$10=0,0,ROUND(PMI_Costs!$B$10*(1+PMI_Costs!$B$11/100)^INT((A258-1)/12)/12,2))</f>
        <v/>
      </c>
      <c r="AE258" s="21">
        <f>IF(PMI_Costs!$B$12=0,0,ROUND(PMI_Costs!$B$12*(1+PMI_Costs!$B$13/100)^INT((A258-1)/12)/12,2))</f>
        <v/>
      </c>
      <c r="AF258" s="22">
        <f>IF(PMI_Costs!$B$5=0,0,AA258/PMI_Costs!$B$5)</f>
        <v/>
      </c>
      <c r="AG258" s="6">
        <f>AND(PMI_Costs!$B$4&gt;0,AF258&gt;PMI_Costs!$B$6/100)</f>
        <v/>
      </c>
      <c r="AH258" s="21">
        <f>IF(AG258,ROUND(Segments!$G$5*PMI_Costs!$B$4/100/12,2),0)</f>
        <v/>
      </c>
      <c r="AI258" s="6">
        <f>AND(NOT(AG258),AG257)</f>
        <v/>
      </c>
    </row>
    <row r="259">
      <c r="A259" s="18" t="n">
        <v>255</v>
      </c>
      <c r="B259" s="18">
        <f>SUMPRODUCT((Segments!$J$5:$J$12&lt;&gt;"")*(Segments!$J$5:$J$12&lt;=A259))</f>
        <v/>
      </c>
      <c r="C259" s="19">
        <f>INDEX(Segments!$B$5:$B$12,B259)</f>
        <v/>
      </c>
      <c r="D259" s="18">
        <f>INDEX(Segments!$J$5:$J$12,B259)</f>
        <v/>
      </c>
      <c r="E259" s="19">
        <f>DATE(YEAR(C259)+INT((MONTH(C259)-1+(A259-D259))/12),MOD(MONTH(C259)-1+(A259-D259),12)+1,1)+(DAY(C259)-1)</f>
        <v/>
      </c>
      <c r="F259" s="20">
        <f>INDEX(Segments!$C$5:$C$12,B259)/100/12</f>
        <v/>
      </c>
      <c r="G259" s="21">
        <f>INDEX(Segments!$L$5:$L$12,B259)</f>
        <v/>
      </c>
      <c r="H259" s="6">
        <f>INDEX(Segments!$I$5:$I$12,B259)="Y"</f>
        <v/>
      </c>
      <c r="I259" s="6">
        <f>INDEX(Segments!$F$5:$F$12,B259)=""</f>
        <v/>
      </c>
      <c r="J259" s="18">
        <f>INDEX(Segments!$K$5:$K$12,B259)</f>
        <v/>
      </c>
      <c r="K259" s="18">
        <f>IF(INDEX(Segments!$F$5:$F$12,B259)&lt;&gt;"",INDEX(Segments!$F$5:$F$12,B259),IF(INDEX(Segments!$E$5:$E$12,B259)&lt;&gt;"",INDEX(Segments!$E$5:$E$12,B259),""))</f>
        <v/>
      </c>
      <c r="L259" s="21">
        <f>AA258</f>
        <v/>
      </c>
      <c r="M259" s="21">
        <f>IFERROR(INDEX(Overrides!$C:$C,MATCH(A259,Overrides!$A:$A,0)),"")</f>
        <v/>
      </c>
      <c r="N259" s="21">
        <f>IFERROR(INDEX(Overrides!$E:$E,MATCH(A259,Overrides!$A:$A,0)),"")</f>
        <v/>
      </c>
      <c r="O259" s="21">
        <f>IFERROR(INDEX(Overrides!$D:$D,MATCH(A259,Overrides!$A:$A,0)),"")</f>
        <v/>
      </c>
      <c r="P259" s="21">
        <f>IFERROR(INDEX(Overrides!$B:$B,MATCH(A259,Overrides!$A:$A,0)),"")</f>
        <v/>
      </c>
      <c r="Q259" s="6">
        <f>IFERROR(INDEX(Overrides!$F:$F,MATCH(A259,Overrides!$A:$A,0)),"")</f>
        <v/>
      </c>
      <c r="R259" s="6">
        <f>ISNUMBER(MATCH(A259,Overrides!$A:$A,0))</f>
        <v/>
      </c>
      <c r="S259" s="6">
        <f>OR(ROUND(L259-ROUND(G259-T259,2),2)&lt;=0,AND(I259,K259&lt;&gt;"",(A259-D259+1)=K259))</f>
        <v/>
      </c>
      <c r="T259" s="21">
        <f>IF(M259&lt;&gt;"",M259,ROUND(L259*F259,2))</f>
        <v/>
      </c>
      <c r="U259" s="21">
        <f>IF(R259,IF(O259&lt;&gt;"",O259,IF(N259&lt;&gt;"",ROUND(L259-N259,2),ROUND((IF(P259&lt;&gt;"",P259,G259))-T259,2))),IF(H259,0,IF(S259,L259,ROUND(G259-T259,2))))</f>
        <v/>
      </c>
      <c r="V259" s="21">
        <f>IF(R259,IF(P259&lt;&gt;"",P259,ROUND(T259+U259,2)),IF(H259,T259,IF(S259,ROUND(T259+U259,2),G259)))</f>
        <v/>
      </c>
      <c r="W259" s="21">
        <f>IF(R259,IF(N259&lt;&gt;"",N259,ROUND(L259-U259,2)),IF(H259,L259,IF(S259,0,ROUND(L259-U259,2))))</f>
        <v/>
      </c>
      <c r="X259" s="21">
        <f>IFERROR(MIN(INDEX(LumpSums!$B:$B,MATCH(A259,LumpSums!$A:$A,0)),W259),0)</f>
        <v/>
      </c>
      <c r="Y259" s="21">
        <f>ROUND(U259+X259,2)</f>
        <v/>
      </c>
      <c r="Z259" s="21">
        <f>ROUND(V259+X259,2)</f>
        <v/>
      </c>
      <c r="AA259" s="21">
        <f>ROUND(W259-X259,2)</f>
        <v/>
      </c>
      <c r="AB259" s="6">
        <f>AND(AB258,L259&gt;0)</f>
        <v/>
      </c>
      <c r="AC259" s="21">
        <f>IF(PMI_Costs!$B$8=0,0,ROUND(PMI_Costs!$B$8*(1+PMI_Costs!$B$9/100)^INT((A259-1)/12)/12,2))</f>
        <v/>
      </c>
      <c r="AD259" s="21">
        <f>IF(PMI_Costs!$B$10=0,0,ROUND(PMI_Costs!$B$10*(1+PMI_Costs!$B$11/100)^INT((A259-1)/12)/12,2))</f>
        <v/>
      </c>
      <c r="AE259" s="21">
        <f>IF(PMI_Costs!$B$12=0,0,ROUND(PMI_Costs!$B$12*(1+PMI_Costs!$B$13/100)^INT((A259-1)/12)/12,2))</f>
        <v/>
      </c>
      <c r="AF259" s="22">
        <f>IF(PMI_Costs!$B$5=0,0,AA259/PMI_Costs!$B$5)</f>
        <v/>
      </c>
      <c r="AG259" s="6">
        <f>AND(PMI_Costs!$B$4&gt;0,AF259&gt;PMI_Costs!$B$6/100)</f>
        <v/>
      </c>
      <c r="AH259" s="21">
        <f>IF(AG259,ROUND(Segments!$G$5*PMI_Costs!$B$4/100/12,2),0)</f>
        <v/>
      </c>
      <c r="AI259" s="6">
        <f>AND(NOT(AG259),AG258)</f>
        <v/>
      </c>
    </row>
    <row r="260">
      <c r="A260" s="18" t="n">
        <v>256</v>
      </c>
      <c r="B260" s="18">
        <f>SUMPRODUCT((Segments!$J$5:$J$12&lt;&gt;"")*(Segments!$J$5:$J$12&lt;=A260))</f>
        <v/>
      </c>
      <c r="C260" s="19">
        <f>INDEX(Segments!$B$5:$B$12,B260)</f>
        <v/>
      </c>
      <c r="D260" s="18">
        <f>INDEX(Segments!$J$5:$J$12,B260)</f>
        <v/>
      </c>
      <c r="E260" s="19">
        <f>DATE(YEAR(C260)+INT((MONTH(C260)-1+(A260-D260))/12),MOD(MONTH(C260)-1+(A260-D260),12)+1,1)+(DAY(C260)-1)</f>
        <v/>
      </c>
      <c r="F260" s="20">
        <f>INDEX(Segments!$C$5:$C$12,B260)/100/12</f>
        <v/>
      </c>
      <c r="G260" s="21">
        <f>INDEX(Segments!$L$5:$L$12,B260)</f>
        <v/>
      </c>
      <c r="H260" s="6">
        <f>INDEX(Segments!$I$5:$I$12,B260)="Y"</f>
        <v/>
      </c>
      <c r="I260" s="6">
        <f>INDEX(Segments!$F$5:$F$12,B260)=""</f>
        <v/>
      </c>
      <c r="J260" s="18">
        <f>INDEX(Segments!$K$5:$K$12,B260)</f>
        <v/>
      </c>
      <c r="K260" s="18">
        <f>IF(INDEX(Segments!$F$5:$F$12,B260)&lt;&gt;"",INDEX(Segments!$F$5:$F$12,B260),IF(INDEX(Segments!$E$5:$E$12,B260)&lt;&gt;"",INDEX(Segments!$E$5:$E$12,B260),""))</f>
        <v/>
      </c>
      <c r="L260" s="21">
        <f>AA259</f>
        <v/>
      </c>
      <c r="M260" s="21">
        <f>IFERROR(INDEX(Overrides!$C:$C,MATCH(A260,Overrides!$A:$A,0)),"")</f>
        <v/>
      </c>
      <c r="N260" s="21">
        <f>IFERROR(INDEX(Overrides!$E:$E,MATCH(A260,Overrides!$A:$A,0)),"")</f>
        <v/>
      </c>
      <c r="O260" s="21">
        <f>IFERROR(INDEX(Overrides!$D:$D,MATCH(A260,Overrides!$A:$A,0)),"")</f>
        <v/>
      </c>
      <c r="P260" s="21">
        <f>IFERROR(INDEX(Overrides!$B:$B,MATCH(A260,Overrides!$A:$A,0)),"")</f>
        <v/>
      </c>
      <c r="Q260" s="6">
        <f>IFERROR(INDEX(Overrides!$F:$F,MATCH(A260,Overrides!$A:$A,0)),"")</f>
        <v/>
      </c>
      <c r="R260" s="6">
        <f>ISNUMBER(MATCH(A260,Overrides!$A:$A,0))</f>
        <v/>
      </c>
      <c r="S260" s="6">
        <f>OR(ROUND(L260-ROUND(G260-T260,2),2)&lt;=0,AND(I260,K260&lt;&gt;"",(A260-D260+1)=K260))</f>
        <v/>
      </c>
      <c r="T260" s="21">
        <f>IF(M260&lt;&gt;"",M260,ROUND(L260*F260,2))</f>
        <v/>
      </c>
      <c r="U260" s="21">
        <f>IF(R260,IF(O260&lt;&gt;"",O260,IF(N260&lt;&gt;"",ROUND(L260-N260,2),ROUND((IF(P260&lt;&gt;"",P260,G260))-T260,2))),IF(H260,0,IF(S260,L260,ROUND(G260-T260,2))))</f>
        <v/>
      </c>
      <c r="V260" s="21">
        <f>IF(R260,IF(P260&lt;&gt;"",P260,ROUND(T260+U260,2)),IF(H260,T260,IF(S260,ROUND(T260+U260,2),G260)))</f>
        <v/>
      </c>
      <c r="W260" s="21">
        <f>IF(R260,IF(N260&lt;&gt;"",N260,ROUND(L260-U260,2)),IF(H260,L260,IF(S260,0,ROUND(L260-U260,2))))</f>
        <v/>
      </c>
      <c r="X260" s="21">
        <f>IFERROR(MIN(INDEX(LumpSums!$B:$B,MATCH(A260,LumpSums!$A:$A,0)),W260),0)</f>
        <v/>
      </c>
      <c r="Y260" s="21">
        <f>ROUND(U260+X260,2)</f>
        <v/>
      </c>
      <c r="Z260" s="21">
        <f>ROUND(V260+X260,2)</f>
        <v/>
      </c>
      <c r="AA260" s="21">
        <f>ROUND(W260-X260,2)</f>
        <v/>
      </c>
      <c r="AB260" s="6">
        <f>AND(AB259,L260&gt;0)</f>
        <v/>
      </c>
      <c r="AC260" s="21">
        <f>IF(PMI_Costs!$B$8=0,0,ROUND(PMI_Costs!$B$8*(1+PMI_Costs!$B$9/100)^INT((A260-1)/12)/12,2))</f>
        <v/>
      </c>
      <c r="AD260" s="21">
        <f>IF(PMI_Costs!$B$10=0,0,ROUND(PMI_Costs!$B$10*(1+PMI_Costs!$B$11/100)^INT((A260-1)/12)/12,2))</f>
        <v/>
      </c>
      <c r="AE260" s="21">
        <f>IF(PMI_Costs!$B$12=0,0,ROUND(PMI_Costs!$B$12*(1+PMI_Costs!$B$13/100)^INT((A260-1)/12)/12,2))</f>
        <v/>
      </c>
      <c r="AF260" s="22">
        <f>IF(PMI_Costs!$B$5=0,0,AA260/PMI_Costs!$B$5)</f>
        <v/>
      </c>
      <c r="AG260" s="6">
        <f>AND(PMI_Costs!$B$4&gt;0,AF260&gt;PMI_Costs!$B$6/100)</f>
        <v/>
      </c>
      <c r="AH260" s="21">
        <f>IF(AG260,ROUND(Segments!$G$5*PMI_Costs!$B$4/100/12,2),0)</f>
        <v/>
      </c>
      <c r="AI260" s="6">
        <f>AND(NOT(AG260),AG259)</f>
        <v/>
      </c>
    </row>
    <row r="261">
      <c r="A261" s="18" t="n">
        <v>257</v>
      </c>
      <c r="B261" s="18">
        <f>SUMPRODUCT((Segments!$J$5:$J$12&lt;&gt;"")*(Segments!$J$5:$J$12&lt;=A261))</f>
        <v/>
      </c>
      <c r="C261" s="19">
        <f>INDEX(Segments!$B$5:$B$12,B261)</f>
        <v/>
      </c>
      <c r="D261" s="18">
        <f>INDEX(Segments!$J$5:$J$12,B261)</f>
        <v/>
      </c>
      <c r="E261" s="19">
        <f>DATE(YEAR(C261)+INT((MONTH(C261)-1+(A261-D261))/12),MOD(MONTH(C261)-1+(A261-D261),12)+1,1)+(DAY(C261)-1)</f>
        <v/>
      </c>
      <c r="F261" s="20">
        <f>INDEX(Segments!$C$5:$C$12,B261)/100/12</f>
        <v/>
      </c>
      <c r="G261" s="21">
        <f>INDEX(Segments!$L$5:$L$12,B261)</f>
        <v/>
      </c>
      <c r="H261" s="6">
        <f>INDEX(Segments!$I$5:$I$12,B261)="Y"</f>
        <v/>
      </c>
      <c r="I261" s="6">
        <f>INDEX(Segments!$F$5:$F$12,B261)=""</f>
        <v/>
      </c>
      <c r="J261" s="18">
        <f>INDEX(Segments!$K$5:$K$12,B261)</f>
        <v/>
      </c>
      <c r="K261" s="18">
        <f>IF(INDEX(Segments!$F$5:$F$12,B261)&lt;&gt;"",INDEX(Segments!$F$5:$F$12,B261),IF(INDEX(Segments!$E$5:$E$12,B261)&lt;&gt;"",INDEX(Segments!$E$5:$E$12,B261),""))</f>
        <v/>
      </c>
      <c r="L261" s="21">
        <f>AA260</f>
        <v/>
      </c>
      <c r="M261" s="21">
        <f>IFERROR(INDEX(Overrides!$C:$C,MATCH(A261,Overrides!$A:$A,0)),"")</f>
        <v/>
      </c>
      <c r="N261" s="21">
        <f>IFERROR(INDEX(Overrides!$E:$E,MATCH(A261,Overrides!$A:$A,0)),"")</f>
        <v/>
      </c>
      <c r="O261" s="21">
        <f>IFERROR(INDEX(Overrides!$D:$D,MATCH(A261,Overrides!$A:$A,0)),"")</f>
        <v/>
      </c>
      <c r="P261" s="21">
        <f>IFERROR(INDEX(Overrides!$B:$B,MATCH(A261,Overrides!$A:$A,0)),"")</f>
        <v/>
      </c>
      <c r="Q261" s="6">
        <f>IFERROR(INDEX(Overrides!$F:$F,MATCH(A261,Overrides!$A:$A,0)),"")</f>
        <v/>
      </c>
      <c r="R261" s="6">
        <f>ISNUMBER(MATCH(A261,Overrides!$A:$A,0))</f>
        <v/>
      </c>
      <c r="S261" s="6">
        <f>OR(ROUND(L261-ROUND(G261-T261,2),2)&lt;=0,AND(I261,K261&lt;&gt;"",(A261-D261+1)=K261))</f>
        <v/>
      </c>
      <c r="T261" s="21">
        <f>IF(M261&lt;&gt;"",M261,ROUND(L261*F261,2))</f>
        <v/>
      </c>
      <c r="U261" s="21">
        <f>IF(R261,IF(O261&lt;&gt;"",O261,IF(N261&lt;&gt;"",ROUND(L261-N261,2),ROUND((IF(P261&lt;&gt;"",P261,G261))-T261,2))),IF(H261,0,IF(S261,L261,ROUND(G261-T261,2))))</f>
        <v/>
      </c>
      <c r="V261" s="21">
        <f>IF(R261,IF(P261&lt;&gt;"",P261,ROUND(T261+U261,2)),IF(H261,T261,IF(S261,ROUND(T261+U261,2),G261)))</f>
        <v/>
      </c>
      <c r="W261" s="21">
        <f>IF(R261,IF(N261&lt;&gt;"",N261,ROUND(L261-U261,2)),IF(H261,L261,IF(S261,0,ROUND(L261-U261,2))))</f>
        <v/>
      </c>
      <c r="X261" s="21">
        <f>IFERROR(MIN(INDEX(LumpSums!$B:$B,MATCH(A261,LumpSums!$A:$A,0)),W261),0)</f>
        <v/>
      </c>
      <c r="Y261" s="21">
        <f>ROUND(U261+X261,2)</f>
        <v/>
      </c>
      <c r="Z261" s="21">
        <f>ROUND(V261+X261,2)</f>
        <v/>
      </c>
      <c r="AA261" s="21">
        <f>ROUND(W261-X261,2)</f>
        <v/>
      </c>
      <c r="AB261" s="6">
        <f>AND(AB260,L261&gt;0)</f>
        <v/>
      </c>
      <c r="AC261" s="21">
        <f>IF(PMI_Costs!$B$8=0,0,ROUND(PMI_Costs!$B$8*(1+PMI_Costs!$B$9/100)^INT((A261-1)/12)/12,2))</f>
        <v/>
      </c>
      <c r="AD261" s="21">
        <f>IF(PMI_Costs!$B$10=0,0,ROUND(PMI_Costs!$B$10*(1+PMI_Costs!$B$11/100)^INT((A261-1)/12)/12,2))</f>
        <v/>
      </c>
      <c r="AE261" s="21">
        <f>IF(PMI_Costs!$B$12=0,0,ROUND(PMI_Costs!$B$12*(1+PMI_Costs!$B$13/100)^INT((A261-1)/12)/12,2))</f>
        <v/>
      </c>
      <c r="AF261" s="22">
        <f>IF(PMI_Costs!$B$5=0,0,AA261/PMI_Costs!$B$5)</f>
        <v/>
      </c>
      <c r="AG261" s="6">
        <f>AND(PMI_Costs!$B$4&gt;0,AF261&gt;PMI_Costs!$B$6/100)</f>
        <v/>
      </c>
      <c r="AH261" s="21">
        <f>IF(AG261,ROUND(Segments!$G$5*PMI_Costs!$B$4/100/12,2),0)</f>
        <v/>
      </c>
      <c r="AI261" s="6">
        <f>AND(NOT(AG261),AG260)</f>
        <v/>
      </c>
    </row>
    <row r="262">
      <c r="A262" s="18" t="n">
        <v>258</v>
      </c>
      <c r="B262" s="18">
        <f>SUMPRODUCT((Segments!$J$5:$J$12&lt;&gt;"")*(Segments!$J$5:$J$12&lt;=A262))</f>
        <v/>
      </c>
      <c r="C262" s="19">
        <f>INDEX(Segments!$B$5:$B$12,B262)</f>
        <v/>
      </c>
      <c r="D262" s="18">
        <f>INDEX(Segments!$J$5:$J$12,B262)</f>
        <v/>
      </c>
      <c r="E262" s="19">
        <f>DATE(YEAR(C262)+INT((MONTH(C262)-1+(A262-D262))/12),MOD(MONTH(C262)-1+(A262-D262),12)+1,1)+(DAY(C262)-1)</f>
        <v/>
      </c>
      <c r="F262" s="20">
        <f>INDEX(Segments!$C$5:$C$12,B262)/100/12</f>
        <v/>
      </c>
      <c r="G262" s="21">
        <f>INDEX(Segments!$L$5:$L$12,B262)</f>
        <v/>
      </c>
      <c r="H262" s="6">
        <f>INDEX(Segments!$I$5:$I$12,B262)="Y"</f>
        <v/>
      </c>
      <c r="I262" s="6">
        <f>INDEX(Segments!$F$5:$F$12,B262)=""</f>
        <v/>
      </c>
      <c r="J262" s="18">
        <f>INDEX(Segments!$K$5:$K$12,B262)</f>
        <v/>
      </c>
      <c r="K262" s="18">
        <f>IF(INDEX(Segments!$F$5:$F$12,B262)&lt;&gt;"",INDEX(Segments!$F$5:$F$12,B262),IF(INDEX(Segments!$E$5:$E$12,B262)&lt;&gt;"",INDEX(Segments!$E$5:$E$12,B262),""))</f>
        <v/>
      </c>
      <c r="L262" s="21">
        <f>AA261</f>
        <v/>
      </c>
      <c r="M262" s="21">
        <f>IFERROR(INDEX(Overrides!$C:$C,MATCH(A262,Overrides!$A:$A,0)),"")</f>
        <v/>
      </c>
      <c r="N262" s="21">
        <f>IFERROR(INDEX(Overrides!$E:$E,MATCH(A262,Overrides!$A:$A,0)),"")</f>
        <v/>
      </c>
      <c r="O262" s="21">
        <f>IFERROR(INDEX(Overrides!$D:$D,MATCH(A262,Overrides!$A:$A,0)),"")</f>
        <v/>
      </c>
      <c r="P262" s="21">
        <f>IFERROR(INDEX(Overrides!$B:$B,MATCH(A262,Overrides!$A:$A,0)),"")</f>
        <v/>
      </c>
      <c r="Q262" s="6">
        <f>IFERROR(INDEX(Overrides!$F:$F,MATCH(A262,Overrides!$A:$A,0)),"")</f>
        <v/>
      </c>
      <c r="R262" s="6">
        <f>ISNUMBER(MATCH(A262,Overrides!$A:$A,0))</f>
        <v/>
      </c>
      <c r="S262" s="6">
        <f>OR(ROUND(L262-ROUND(G262-T262,2),2)&lt;=0,AND(I262,K262&lt;&gt;"",(A262-D262+1)=K262))</f>
        <v/>
      </c>
      <c r="T262" s="21">
        <f>IF(M262&lt;&gt;"",M262,ROUND(L262*F262,2))</f>
        <v/>
      </c>
      <c r="U262" s="21">
        <f>IF(R262,IF(O262&lt;&gt;"",O262,IF(N262&lt;&gt;"",ROUND(L262-N262,2),ROUND((IF(P262&lt;&gt;"",P262,G262))-T262,2))),IF(H262,0,IF(S262,L262,ROUND(G262-T262,2))))</f>
        <v/>
      </c>
      <c r="V262" s="21">
        <f>IF(R262,IF(P262&lt;&gt;"",P262,ROUND(T262+U262,2)),IF(H262,T262,IF(S262,ROUND(T262+U262,2),G262)))</f>
        <v/>
      </c>
      <c r="W262" s="21">
        <f>IF(R262,IF(N262&lt;&gt;"",N262,ROUND(L262-U262,2)),IF(H262,L262,IF(S262,0,ROUND(L262-U262,2))))</f>
        <v/>
      </c>
      <c r="X262" s="21">
        <f>IFERROR(MIN(INDEX(LumpSums!$B:$B,MATCH(A262,LumpSums!$A:$A,0)),W262),0)</f>
        <v/>
      </c>
      <c r="Y262" s="21">
        <f>ROUND(U262+X262,2)</f>
        <v/>
      </c>
      <c r="Z262" s="21">
        <f>ROUND(V262+X262,2)</f>
        <v/>
      </c>
      <c r="AA262" s="21">
        <f>ROUND(W262-X262,2)</f>
        <v/>
      </c>
      <c r="AB262" s="6">
        <f>AND(AB261,L262&gt;0)</f>
        <v/>
      </c>
      <c r="AC262" s="21">
        <f>IF(PMI_Costs!$B$8=0,0,ROUND(PMI_Costs!$B$8*(1+PMI_Costs!$B$9/100)^INT((A262-1)/12)/12,2))</f>
        <v/>
      </c>
      <c r="AD262" s="21">
        <f>IF(PMI_Costs!$B$10=0,0,ROUND(PMI_Costs!$B$10*(1+PMI_Costs!$B$11/100)^INT((A262-1)/12)/12,2))</f>
        <v/>
      </c>
      <c r="AE262" s="21">
        <f>IF(PMI_Costs!$B$12=0,0,ROUND(PMI_Costs!$B$12*(1+PMI_Costs!$B$13/100)^INT((A262-1)/12)/12,2))</f>
        <v/>
      </c>
      <c r="AF262" s="22">
        <f>IF(PMI_Costs!$B$5=0,0,AA262/PMI_Costs!$B$5)</f>
        <v/>
      </c>
      <c r="AG262" s="6">
        <f>AND(PMI_Costs!$B$4&gt;0,AF262&gt;PMI_Costs!$B$6/100)</f>
        <v/>
      </c>
      <c r="AH262" s="21">
        <f>IF(AG262,ROUND(Segments!$G$5*PMI_Costs!$B$4/100/12,2),0)</f>
        <v/>
      </c>
      <c r="AI262" s="6">
        <f>AND(NOT(AG262),AG261)</f>
        <v/>
      </c>
    </row>
    <row r="263">
      <c r="A263" s="18" t="n">
        <v>259</v>
      </c>
      <c r="B263" s="18">
        <f>SUMPRODUCT((Segments!$J$5:$J$12&lt;&gt;"")*(Segments!$J$5:$J$12&lt;=A263))</f>
        <v/>
      </c>
      <c r="C263" s="19">
        <f>INDEX(Segments!$B$5:$B$12,B263)</f>
        <v/>
      </c>
      <c r="D263" s="18">
        <f>INDEX(Segments!$J$5:$J$12,B263)</f>
        <v/>
      </c>
      <c r="E263" s="19">
        <f>DATE(YEAR(C263)+INT((MONTH(C263)-1+(A263-D263))/12),MOD(MONTH(C263)-1+(A263-D263),12)+1,1)+(DAY(C263)-1)</f>
        <v/>
      </c>
      <c r="F263" s="20">
        <f>INDEX(Segments!$C$5:$C$12,B263)/100/12</f>
        <v/>
      </c>
      <c r="G263" s="21">
        <f>INDEX(Segments!$L$5:$L$12,B263)</f>
        <v/>
      </c>
      <c r="H263" s="6">
        <f>INDEX(Segments!$I$5:$I$12,B263)="Y"</f>
        <v/>
      </c>
      <c r="I263" s="6">
        <f>INDEX(Segments!$F$5:$F$12,B263)=""</f>
        <v/>
      </c>
      <c r="J263" s="18">
        <f>INDEX(Segments!$K$5:$K$12,B263)</f>
        <v/>
      </c>
      <c r="K263" s="18">
        <f>IF(INDEX(Segments!$F$5:$F$12,B263)&lt;&gt;"",INDEX(Segments!$F$5:$F$12,B263),IF(INDEX(Segments!$E$5:$E$12,B263)&lt;&gt;"",INDEX(Segments!$E$5:$E$12,B263),""))</f>
        <v/>
      </c>
      <c r="L263" s="21">
        <f>AA262</f>
        <v/>
      </c>
      <c r="M263" s="21">
        <f>IFERROR(INDEX(Overrides!$C:$C,MATCH(A263,Overrides!$A:$A,0)),"")</f>
        <v/>
      </c>
      <c r="N263" s="21">
        <f>IFERROR(INDEX(Overrides!$E:$E,MATCH(A263,Overrides!$A:$A,0)),"")</f>
        <v/>
      </c>
      <c r="O263" s="21">
        <f>IFERROR(INDEX(Overrides!$D:$D,MATCH(A263,Overrides!$A:$A,0)),"")</f>
        <v/>
      </c>
      <c r="P263" s="21">
        <f>IFERROR(INDEX(Overrides!$B:$B,MATCH(A263,Overrides!$A:$A,0)),"")</f>
        <v/>
      </c>
      <c r="Q263" s="6">
        <f>IFERROR(INDEX(Overrides!$F:$F,MATCH(A263,Overrides!$A:$A,0)),"")</f>
        <v/>
      </c>
      <c r="R263" s="6">
        <f>ISNUMBER(MATCH(A263,Overrides!$A:$A,0))</f>
        <v/>
      </c>
      <c r="S263" s="6">
        <f>OR(ROUND(L263-ROUND(G263-T263,2),2)&lt;=0,AND(I263,K263&lt;&gt;"",(A263-D263+1)=K263))</f>
        <v/>
      </c>
      <c r="T263" s="21">
        <f>IF(M263&lt;&gt;"",M263,ROUND(L263*F263,2))</f>
        <v/>
      </c>
      <c r="U263" s="21">
        <f>IF(R263,IF(O263&lt;&gt;"",O263,IF(N263&lt;&gt;"",ROUND(L263-N263,2),ROUND((IF(P263&lt;&gt;"",P263,G263))-T263,2))),IF(H263,0,IF(S263,L263,ROUND(G263-T263,2))))</f>
        <v/>
      </c>
      <c r="V263" s="21">
        <f>IF(R263,IF(P263&lt;&gt;"",P263,ROUND(T263+U263,2)),IF(H263,T263,IF(S263,ROUND(T263+U263,2),G263)))</f>
        <v/>
      </c>
      <c r="W263" s="21">
        <f>IF(R263,IF(N263&lt;&gt;"",N263,ROUND(L263-U263,2)),IF(H263,L263,IF(S263,0,ROUND(L263-U263,2))))</f>
        <v/>
      </c>
      <c r="X263" s="21">
        <f>IFERROR(MIN(INDEX(LumpSums!$B:$B,MATCH(A263,LumpSums!$A:$A,0)),W263),0)</f>
        <v/>
      </c>
      <c r="Y263" s="21">
        <f>ROUND(U263+X263,2)</f>
        <v/>
      </c>
      <c r="Z263" s="21">
        <f>ROUND(V263+X263,2)</f>
        <v/>
      </c>
      <c r="AA263" s="21">
        <f>ROUND(W263-X263,2)</f>
        <v/>
      </c>
      <c r="AB263" s="6">
        <f>AND(AB262,L263&gt;0)</f>
        <v/>
      </c>
      <c r="AC263" s="21">
        <f>IF(PMI_Costs!$B$8=0,0,ROUND(PMI_Costs!$B$8*(1+PMI_Costs!$B$9/100)^INT((A263-1)/12)/12,2))</f>
        <v/>
      </c>
      <c r="AD263" s="21">
        <f>IF(PMI_Costs!$B$10=0,0,ROUND(PMI_Costs!$B$10*(1+PMI_Costs!$B$11/100)^INT((A263-1)/12)/12,2))</f>
        <v/>
      </c>
      <c r="AE263" s="21">
        <f>IF(PMI_Costs!$B$12=0,0,ROUND(PMI_Costs!$B$12*(1+PMI_Costs!$B$13/100)^INT((A263-1)/12)/12,2))</f>
        <v/>
      </c>
      <c r="AF263" s="22">
        <f>IF(PMI_Costs!$B$5=0,0,AA263/PMI_Costs!$B$5)</f>
        <v/>
      </c>
      <c r="AG263" s="6">
        <f>AND(PMI_Costs!$B$4&gt;0,AF263&gt;PMI_Costs!$B$6/100)</f>
        <v/>
      </c>
      <c r="AH263" s="21">
        <f>IF(AG263,ROUND(Segments!$G$5*PMI_Costs!$B$4/100/12,2),0)</f>
        <v/>
      </c>
      <c r="AI263" s="6">
        <f>AND(NOT(AG263),AG262)</f>
        <v/>
      </c>
    </row>
    <row r="264">
      <c r="A264" s="18" t="n">
        <v>260</v>
      </c>
      <c r="B264" s="18">
        <f>SUMPRODUCT((Segments!$J$5:$J$12&lt;&gt;"")*(Segments!$J$5:$J$12&lt;=A264))</f>
        <v/>
      </c>
      <c r="C264" s="19">
        <f>INDEX(Segments!$B$5:$B$12,B264)</f>
        <v/>
      </c>
      <c r="D264" s="18">
        <f>INDEX(Segments!$J$5:$J$12,B264)</f>
        <v/>
      </c>
      <c r="E264" s="19">
        <f>DATE(YEAR(C264)+INT((MONTH(C264)-1+(A264-D264))/12),MOD(MONTH(C264)-1+(A264-D264),12)+1,1)+(DAY(C264)-1)</f>
        <v/>
      </c>
      <c r="F264" s="20">
        <f>INDEX(Segments!$C$5:$C$12,B264)/100/12</f>
        <v/>
      </c>
      <c r="G264" s="21">
        <f>INDEX(Segments!$L$5:$L$12,B264)</f>
        <v/>
      </c>
      <c r="H264" s="6">
        <f>INDEX(Segments!$I$5:$I$12,B264)="Y"</f>
        <v/>
      </c>
      <c r="I264" s="6">
        <f>INDEX(Segments!$F$5:$F$12,B264)=""</f>
        <v/>
      </c>
      <c r="J264" s="18">
        <f>INDEX(Segments!$K$5:$K$12,B264)</f>
        <v/>
      </c>
      <c r="K264" s="18">
        <f>IF(INDEX(Segments!$F$5:$F$12,B264)&lt;&gt;"",INDEX(Segments!$F$5:$F$12,B264),IF(INDEX(Segments!$E$5:$E$12,B264)&lt;&gt;"",INDEX(Segments!$E$5:$E$12,B264),""))</f>
        <v/>
      </c>
      <c r="L264" s="21">
        <f>AA263</f>
        <v/>
      </c>
      <c r="M264" s="21">
        <f>IFERROR(INDEX(Overrides!$C:$C,MATCH(A264,Overrides!$A:$A,0)),"")</f>
        <v/>
      </c>
      <c r="N264" s="21">
        <f>IFERROR(INDEX(Overrides!$E:$E,MATCH(A264,Overrides!$A:$A,0)),"")</f>
        <v/>
      </c>
      <c r="O264" s="21">
        <f>IFERROR(INDEX(Overrides!$D:$D,MATCH(A264,Overrides!$A:$A,0)),"")</f>
        <v/>
      </c>
      <c r="P264" s="21">
        <f>IFERROR(INDEX(Overrides!$B:$B,MATCH(A264,Overrides!$A:$A,0)),"")</f>
        <v/>
      </c>
      <c r="Q264" s="6">
        <f>IFERROR(INDEX(Overrides!$F:$F,MATCH(A264,Overrides!$A:$A,0)),"")</f>
        <v/>
      </c>
      <c r="R264" s="6">
        <f>ISNUMBER(MATCH(A264,Overrides!$A:$A,0))</f>
        <v/>
      </c>
      <c r="S264" s="6">
        <f>OR(ROUND(L264-ROUND(G264-T264,2),2)&lt;=0,AND(I264,K264&lt;&gt;"",(A264-D264+1)=K264))</f>
        <v/>
      </c>
      <c r="T264" s="21">
        <f>IF(M264&lt;&gt;"",M264,ROUND(L264*F264,2))</f>
        <v/>
      </c>
      <c r="U264" s="21">
        <f>IF(R264,IF(O264&lt;&gt;"",O264,IF(N264&lt;&gt;"",ROUND(L264-N264,2),ROUND((IF(P264&lt;&gt;"",P264,G264))-T264,2))),IF(H264,0,IF(S264,L264,ROUND(G264-T264,2))))</f>
        <v/>
      </c>
      <c r="V264" s="21">
        <f>IF(R264,IF(P264&lt;&gt;"",P264,ROUND(T264+U264,2)),IF(H264,T264,IF(S264,ROUND(T264+U264,2),G264)))</f>
        <v/>
      </c>
      <c r="W264" s="21">
        <f>IF(R264,IF(N264&lt;&gt;"",N264,ROUND(L264-U264,2)),IF(H264,L264,IF(S264,0,ROUND(L264-U264,2))))</f>
        <v/>
      </c>
      <c r="X264" s="21">
        <f>IFERROR(MIN(INDEX(LumpSums!$B:$B,MATCH(A264,LumpSums!$A:$A,0)),W264),0)</f>
        <v/>
      </c>
      <c r="Y264" s="21">
        <f>ROUND(U264+X264,2)</f>
        <v/>
      </c>
      <c r="Z264" s="21">
        <f>ROUND(V264+X264,2)</f>
        <v/>
      </c>
      <c r="AA264" s="21">
        <f>ROUND(W264-X264,2)</f>
        <v/>
      </c>
      <c r="AB264" s="6">
        <f>AND(AB263,L264&gt;0)</f>
        <v/>
      </c>
      <c r="AC264" s="21">
        <f>IF(PMI_Costs!$B$8=0,0,ROUND(PMI_Costs!$B$8*(1+PMI_Costs!$B$9/100)^INT((A264-1)/12)/12,2))</f>
        <v/>
      </c>
      <c r="AD264" s="21">
        <f>IF(PMI_Costs!$B$10=0,0,ROUND(PMI_Costs!$B$10*(1+PMI_Costs!$B$11/100)^INT((A264-1)/12)/12,2))</f>
        <v/>
      </c>
      <c r="AE264" s="21">
        <f>IF(PMI_Costs!$B$12=0,0,ROUND(PMI_Costs!$B$12*(1+PMI_Costs!$B$13/100)^INT((A264-1)/12)/12,2))</f>
        <v/>
      </c>
      <c r="AF264" s="22">
        <f>IF(PMI_Costs!$B$5=0,0,AA264/PMI_Costs!$B$5)</f>
        <v/>
      </c>
      <c r="AG264" s="6">
        <f>AND(PMI_Costs!$B$4&gt;0,AF264&gt;PMI_Costs!$B$6/100)</f>
        <v/>
      </c>
      <c r="AH264" s="21">
        <f>IF(AG264,ROUND(Segments!$G$5*PMI_Costs!$B$4/100/12,2),0)</f>
        <v/>
      </c>
      <c r="AI264" s="6">
        <f>AND(NOT(AG264),AG263)</f>
        <v/>
      </c>
    </row>
    <row r="265">
      <c r="A265" s="18" t="n">
        <v>261</v>
      </c>
      <c r="B265" s="18">
        <f>SUMPRODUCT((Segments!$J$5:$J$12&lt;&gt;"")*(Segments!$J$5:$J$12&lt;=A265))</f>
        <v/>
      </c>
      <c r="C265" s="19">
        <f>INDEX(Segments!$B$5:$B$12,B265)</f>
        <v/>
      </c>
      <c r="D265" s="18">
        <f>INDEX(Segments!$J$5:$J$12,B265)</f>
        <v/>
      </c>
      <c r="E265" s="19">
        <f>DATE(YEAR(C265)+INT((MONTH(C265)-1+(A265-D265))/12),MOD(MONTH(C265)-1+(A265-D265),12)+1,1)+(DAY(C265)-1)</f>
        <v/>
      </c>
      <c r="F265" s="20">
        <f>INDEX(Segments!$C$5:$C$12,B265)/100/12</f>
        <v/>
      </c>
      <c r="G265" s="21">
        <f>INDEX(Segments!$L$5:$L$12,B265)</f>
        <v/>
      </c>
      <c r="H265" s="6">
        <f>INDEX(Segments!$I$5:$I$12,B265)="Y"</f>
        <v/>
      </c>
      <c r="I265" s="6">
        <f>INDEX(Segments!$F$5:$F$12,B265)=""</f>
        <v/>
      </c>
      <c r="J265" s="18">
        <f>INDEX(Segments!$K$5:$K$12,B265)</f>
        <v/>
      </c>
      <c r="K265" s="18">
        <f>IF(INDEX(Segments!$F$5:$F$12,B265)&lt;&gt;"",INDEX(Segments!$F$5:$F$12,B265),IF(INDEX(Segments!$E$5:$E$12,B265)&lt;&gt;"",INDEX(Segments!$E$5:$E$12,B265),""))</f>
        <v/>
      </c>
      <c r="L265" s="21">
        <f>AA264</f>
        <v/>
      </c>
      <c r="M265" s="21">
        <f>IFERROR(INDEX(Overrides!$C:$C,MATCH(A265,Overrides!$A:$A,0)),"")</f>
        <v/>
      </c>
      <c r="N265" s="21">
        <f>IFERROR(INDEX(Overrides!$E:$E,MATCH(A265,Overrides!$A:$A,0)),"")</f>
        <v/>
      </c>
      <c r="O265" s="21">
        <f>IFERROR(INDEX(Overrides!$D:$D,MATCH(A265,Overrides!$A:$A,0)),"")</f>
        <v/>
      </c>
      <c r="P265" s="21">
        <f>IFERROR(INDEX(Overrides!$B:$B,MATCH(A265,Overrides!$A:$A,0)),"")</f>
        <v/>
      </c>
      <c r="Q265" s="6">
        <f>IFERROR(INDEX(Overrides!$F:$F,MATCH(A265,Overrides!$A:$A,0)),"")</f>
        <v/>
      </c>
      <c r="R265" s="6">
        <f>ISNUMBER(MATCH(A265,Overrides!$A:$A,0))</f>
        <v/>
      </c>
      <c r="S265" s="6">
        <f>OR(ROUND(L265-ROUND(G265-T265,2),2)&lt;=0,AND(I265,K265&lt;&gt;"",(A265-D265+1)=K265))</f>
        <v/>
      </c>
      <c r="T265" s="21">
        <f>IF(M265&lt;&gt;"",M265,ROUND(L265*F265,2))</f>
        <v/>
      </c>
      <c r="U265" s="21">
        <f>IF(R265,IF(O265&lt;&gt;"",O265,IF(N265&lt;&gt;"",ROUND(L265-N265,2),ROUND((IF(P265&lt;&gt;"",P265,G265))-T265,2))),IF(H265,0,IF(S265,L265,ROUND(G265-T265,2))))</f>
        <v/>
      </c>
      <c r="V265" s="21">
        <f>IF(R265,IF(P265&lt;&gt;"",P265,ROUND(T265+U265,2)),IF(H265,T265,IF(S265,ROUND(T265+U265,2),G265)))</f>
        <v/>
      </c>
      <c r="W265" s="21">
        <f>IF(R265,IF(N265&lt;&gt;"",N265,ROUND(L265-U265,2)),IF(H265,L265,IF(S265,0,ROUND(L265-U265,2))))</f>
        <v/>
      </c>
      <c r="X265" s="21">
        <f>IFERROR(MIN(INDEX(LumpSums!$B:$B,MATCH(A265,LumpSums!$A:$A,0)),W265),0)</f>
        <v/>
      </c>
      <c r="Y265" s="21">
        <f>ROUND(U265+X265,2)</f>
        <v/>
      </c>
      <c r="Z265" s="21">
        <f>ROUND(V265+X265,2)</f>
        <v/>
      </c>
      <c r="AA265" s="21">
        <f>ROUND(W265-X265,2)</f>
        <v/>
      </c>
      <c r="AB265" s="6">
        <f>AND(AB264,L265&gt;0)</f>
        <v/>
      </c>
      <c r="AC265" s="21">
        <f>IF(PMI_Costs!$B$8=0,0,ROUND(PMI_Costs!$B$8*(1+PMI_Costs!$B$9/100)^INT((A265-1)/12)/12,2))</f>
        <v/>
      </c>
      <c r="AD265" s="21">
        <f>IF(PMI_Costs!$B$10=0,0,ROUND(PMI_Costs!$B$10*(1+PMI_Costs!$B$11/100)^INT((A265-1)/12)/12,2))</f>
        <v/>
      </c>
      <c r="AE265" s="21">
        <f>IF(PMI_Costs!$B$12=0,0,ROUND(PMI_Costs!$B$12*(1+PMI_Costs!$B$13/100)^INT((A265-1)/12)/12,2))</f>
        <v/>
      </c>
      <c r="AF265" s="22">
        <f>IF(PMI_Costs!$B$5=0,0,AA265/PMI_Costs!$B$5)</f>
        <v/>
      </c>
      <c r="AG265" s="6">
        <f>AND(PMI_Costs!$B$4&gt;0,AF265&gt;PMI_Costs!$B$6/100)</f>
        <v/>
      </c>
      <c r="AH265" s="21">
        <f>IF(AG265,ROUND(Segments!$G$5*PMI_Costs!$B$4/100/12,2),0)</f>
        <v/>
      </c>
      <c r="AI265" s="6">
        <f>AND(NOT(AG265),AG264)</f>
        <v/>
      </c>
    </row>
    <row r="266">
      <c r="A266" s="18" t="n">
        <v>262</v>
      </c>
      <c r="B266" s="18">
        <f>SUMPRODUCT((Segments!$J$5:$J$12&lt;&gt;"")*(Segments!$J$5:$J$12&lt;=A266))</f>
        <v/>
      </c>
      <c r="C266" s="19">
        <f>INDEX(Segments!$B$5:$B$12,B266)</f>
        <v/>
      </c>
      <c r="D266" s="18">
        <f>INDEX(Segments!$J$5:$J$12,B266)</f>
        <v/>
      </c>
      <c r="E266" s="19">
        <f>DATE(YEAR(C266)+INT((MONTH(C266)-1+(A266-D266))/12),MOD(MONTH(C266)-1+(A266-D266),12)+1,1)+(DAY(C266)-1)</f>
        <v/>
      </c>
      <c r="F266" s="20">
        <f>INDEX(Segments!$C$5:$C$12,B266)/100/12</f>
        <v/>
      </c>
      <c r="G266" s="21">
        <f>INDEX(Segments!$L$5:$L$12,B266)</f>
        <v/>
      </c>
      <c r="H266" s="6">
        <f>INDEX(Segments!$I$5:$I$12,B266)="Y"</f>
        <v/>
      </c>
      <c r="I266" s="6">
        <f>INDEX(Segments!$F$5:$F$12,B266)=""</f>
        <v/>
      </c>
      <c r="J266" s="18">
        <f>INDEX(Segments!$K$5:$K$12,B266)</f>
        <v/>
      </c>
      <c r="K266" s="18">
        <f>IF(INDEX(Segments!$F$5:$F$12,B266)&lt;&gt;"",INDEX(Segments!$F$5:$F$12,B266),IF(INDEX(Segments!$E$5:$E$12,B266)&lt;&gt;"",INDEX(Segments!$E$5:$E$12,B266),""))</f>
        <v/>
      </c>
      <c r="L266" s="21">
        <f>AA265</f>
        <v/>
      </c>
      <c r="M266" s="21">
        <f>IFERROR(INDEX(Overrides!$C:$C,MATCH(A266,Overrides!$A:$A,0)),"")</f>
        <v/>
      </c>
      <c r="N266" s="21">
        <f>IFERROR(INDEX(Overrides!$E:$E,MATCH(A266,Overrides!$A:$A,0)),"")</f>
        <v/>
      </c>
      <c r="O266" s="21">
        <f>IFERROR(INDEX(Overrides!$D:$D,MATCH(A266,Overrides!$A:$A,0)),"")</f>
        <v/>
      </c>
      <c r="P266" s="21">
        <f>IFERROR(INDEX(Overrides!$B:$B,MATCH(A266,Overrides!$A:$A,0)),"")</f>
        <v/>
      </c>
      <c r="Q266" s="6">
        <f>IFERROR(INDEX(Overrides!$F:$F,MATCH(A266,Overrides!$A:$A,0)),"")</f>
        <v/>
      </c>
      <c r="R266" s="6">
        <f>ISNUMBER(MATCH(A266,Overrides!$A:$A,0))</f>
        <v/>
      </c>
      <c r="S266" s="6">
        <f>OR(ROUND(L266-ROUND(G266-T266,2),2)&lt;=0,AND(I266,K266&lt;&gt;"",(A266-D266+1)=K266))</f>
        <v/>
      </c>
      <c r="T266" s="21">
        <f>IF(M266&lt;&gt;"",M266,ROUND(L266*F266,2))</f>
        <v/>
      </c>
      <c r="U266" s="21">
        <f>IF(R266,IF(O266&lt;&gt;"",O266,IF(N266&lt;&gt;"",ROUND(L266-N266,2),ROUND((IF(P266&lt;&gt;"",P266,G266))-T266,2))),IF(H266,0,IF(S266,L266,ROUND(G266-T266,2))))</f>
        <v/>
      </c>
      <c r="V266" s="21">
        <f>IF(R266,IF(P266&lt;&gt;"",P266,ROUND(T266+U266,2)),IF(H266,T266,IF(S266,ROUND(T266+U266,2),G266)))</f>
        <v/>
      </c>
      <c r="W266" s="21">
        <f>IF(R266,IF(N266&lt;&gt;"",N266,ROUND(L266-U266,2)),IF(H266,L266,IF(S266,0,ROUND(L266-U266,2))))</f>
        <v/>
      </c>
      <c r="X266" s="21">
        <f>IFERROR(MIN(INDEX(LumpSums!$B:$B,MATCH(A266,LumpSums!$A:$A,0)),W266),0)</f>
        <v/>
      </c>
      <c r="Y266" s="21">
        <f>ROUND(U266+X266,2)</f>
        <v/>
      </c>
      <c r="Z266" s="21">
        <f>ROUND(V266+X266,2)</f>
        <v/>
      </c>
      <c r="AA266" s="21">
        <f>ROUND(W266-X266,2)</f>
        <v/>
      </c>
      <c r="AB266" s="6">
        <f>AND(AB265,L266&gt;0)</f>
        <v/>
      </c>
      <c r="AC266" s="21">
        <f>IF(PMI_Costs!$B$8=0,0,ROUND(PMI_Costs!$B$8*(1+PMI_Costs!$B$9/100)^INT((A266-1)/12)/12,2))</f>
        <v/>
      </c>
      <c r="AD266" s="21">
        <f>IF(PMI_Costs!$B$10=0,0,ROUND(PMI_Costs!$B$10*(1+PMI_Costs!$B$11/100)^INT((A266-1)/12)/12,2))</f>
        <v/>
      </c>
      <c r="AE266" s="21">
        <f>IF(PMI_Costs!$B$12=0,0,ROUND(PMI_Costs!$B$12*(1+PMI_Costs!$B$13/100)^INT((A266-1)/12)/12,2))</f>
        <v/>
      </c>
      <c r="AF266" s="22">
        <f>IF(PMI_Costs!$B$5=0,0,AA266/PMI_Costs!$B$5)</f>
        <v/>
      </c>
      <c r="AG266" s="6">
        <f>AND(PMI_Costs!$B$4&gt;0,AF266&gt;PMI_Costs!$B$6/100)</f>
        <v/>
      </c>
      <c r="AH266" s="21">
        <f>IF(AG266,ROUND(Segments!$G$5*PMI_Costs!$B$4/100/12,2),0)</f>
        <v/>
      </c>
      <c r="AI266" s="6">
        <f>AND(NOT(AG266),AG265)</f>
        <v/>
      </c>
    </row>
    <row r="267">
      <c r="A267" s="18" t="n">
        <v>263</v>
      </c>
      <c r="B267" s="18">
        <f>SUMPRODUCT((Segments!$J$5:$J$12&lt;&gt;"")*(Segments!$J$5:$J$12&lt;=A267))</f>
        <v/>
      </c>
      <c r="C267" s="19">
        <f>INDEX(Segments!$B$5:$B$12,B267)</f>
        <v/>
      </c>
      <c r="D267" s="18">
        <f>INDEX(Segments!$J$5:$J$12,B267)</f>
        <v/>
      </c>
      <c r="E267" s="19">
        <f>DATE(YEAR(C267)+INT((MONTH(C267)-1+(A267-D267))/12),MOD(MONTH(C267)-1+(A267-D267),12)+1,1)+(DAY(C267)-1)</f>
        <v/>
      </c>
      <c r="F267" s="20">
        <f>INDEX(Segments!$C$5:$C$12,B267)/100/12</f>
        <v/>
      </c>
      <c r="G267" s="21">
        <f>INDEX(Segments!$L$5:$L$12,B267)</f>
        <v/>
      </c>
      <c r="H267" s="6">
        <f>INDEX(Segments!$I$5:$I$12,B267)="Y"</f>
        <v/>
      </c>
      <c r="I267" s="6">
        <f>INDEX(Segments!$F$5:$F$12,B267)=""</f>
        <v/>
      </c>
      <c r="J267" s="18">
        <f>INDEX(Segments!$K$5:$K$12,B267)</f>
        <v/>
      </c>
      <c r="K267" s="18">
        <f>IF(INDEX(Segments!$F$5:$F$12,B267)&lt;&gt;"",INDEX(Segments!$F$5:$F$12,B267),IF(INDEX(Segments!$E$5:$E$12,B267)&lt;&gt;"",INDEX(Segments!$E$5:$E$12,B267),""))</f>
        <v/>
      </c>
      <c r="L267" s="21">
        <f>AA266</f>
        <v/>
      </c>
      <c r="M267" s="21">
        <f>IFERROR(INDEX(Overrides!$C:$C,MATCH(A267,Overrides!$A:$A,0)),"")</f>
        <v/>
      </c>
      <c r="N267" s="21">
        <f>IFERROR(INDEX(Overrides!$E:$E,MATCH(A267,Overrides!$A:$A,0)),"")</f>
        <v/>
      </c>
      <c r="O267" s="21">
        <f>IFERROR(INDEX(Overrides!$D:$D,MATCH(A267,Overrides!$A:$A,0)),"")</f>
        <v/>
      </c>
      <c r="P267" s="21">
        <f>IFERROR(INDEX(Overrides!$B:$B,MATCH(A267,Overrides!$A:$A,0)),"")</f>
        <v/>
      </c>
      <c r="Q267" s="6">
        <f>IFERROR(INDEX(Overrides!$F:$F,MATCH(A267,Overrides!$A:$A,0)),"")</f>
        <v/>
      </c>
      <c r="R267" s="6">
        <f>ISNUMBER(MATCH(A267,Overrides!$A:$A,0))</f>
        <v/>
      </c>
      <c r="S267" s="6">
        <f>OR(ROUND(L267-ROUND(G267-T267,2),2)&lt;=0,AND(I267,K267&lt;&gt;"",(A267-D267+1)=K267))</f>
        <v/>
      </c>
      <c r="T267" s="21">
        <f>IF(M267&lt;&gt;"",M267,ROUND(L267*F267,2))</f>
        <v/>
      </c>
      <c r="U267" s="21">
        <f>IF(R267,IF(O267&lt;&gt;"",O267,IF(N267&lt;&gt;"",ROUND(L267-N267,2),ROUND((IF(P267&lt;&gt;"",P267,G267))-T267,2))),IF(H267,0,IF(S267,L267,ROUND(G267-T267,2))))</f>
        <v/>
      </c>
      <c r="V267" s="21">
        <f>IF(R267,IF(P267&lt;&gt;"",P267,ROUND(T267+U267,2)),IF(H267,T267,IF(S267,ROUND(T267+U267,2),G267)))</f>
        <v/>
      </c>
      <c r="W267" s="21">
        <f>IF(R267,IF(N267&lt;&gt;"",N267,ROUND(L267-U267,2)),IF(H267,L267,IF(S267,0,ROUND(L267-U267,2))))</f>
        <v/>
      </c>
      <c r="X267" s="21">
        <f>IFERROR(MIN(INDEX(LumpSums!$B:$B,MATCH(A267,LumpSums!$A:$A,0)),W267),0)</f>
        <v/>
      </c>
      <c r="Y267" s="21">
        <f>ROUND(U267+X267,2)</f>
        <v/>
      </c>
      <c r="Z267" s="21">
        <f>ROUND(V267+X267,2)</f>
        <v/>
      </c>
      <c r="AA267" s="21">
        <f>ROUND(W267-X267,2)</f>
        <v/>
      </c>
      <c r="AB267" s="6">
        <f>AND(AB266,L267&gt;0)</f>
        <v/>
      </c>
      <c r="AC267" s="21">
        <f>IF(PMI_Costs!$B$8=0,0,ROUND(PMI_Costs!$B$8*(1+PMI_Costs!$B$9/100)^INT((A267-1)/12)/12,2))</f>
        <v/>
      </c>
      <c r="AD267" s="21">
        <f>IF(PMI_Costs!$B$10=0,0,ROUND(PMI_Costs!$B$10*(1+PMI_Costs!$B$11/100)^INT((A267-1)/12)/12,2))</f>
        <v/>
      </c>
      <c r="AE267" s="21">
        <f>IF(PMI_Costs!$B$12=0,0,ROUND(PMI_Costs!$B$12*(1+PMI_Costs!$B$13/100)^INT((A267-1)/12)/12,2))</f>
        <v/>
      </c>
      <c r="AF267" s="22">
        <f>IF(PMI_Costs!$B$5=0,0,AA267/PMI_Costs!$B$5)</f>
        <v/>
      </c>
      <c r="AG267" s="6">
        <f>AND(PMI_Costs!$B$4&gt;0,AF267&gt;PMI_Costs!$B$6/100)</f>
        <v/>
      </c>
      <c r="AH267" s="21">
        <f>IF(AG267,ROUND(Segments!$G$5*PMI_Costs!$B$4/100/12,2),0)</f>
        <v/>
      </c>
      <c r="AI267" s="6">
        <f>AND(NOT(AG267),AG266)</f>
        <v/>
      </c>
    </row>
    <row r="268">
      <c r="A268" s="18" t="n">
        <v>264</v>
      </c>
      <c r="B268" s="18">
        <f>SUMPRODUCT((Segments!$J$5:$J$12&lt;&gt;"")*(Segments!$J$5:$J$12&lt;=A268))</f>
        <v/>
      </c>
      <c r="C268" s="19">
        <f>INDEX(Segments!$B$5:$B$12,B268)</f>
        <v/>
      </c>
      <c r="D268" s="18">
        <f>INDEX(Segments!$J$5:$J$12,B268)</f>
        <v/>
      </c>
      <c r="E268" s="19">
        <f>DATE(YEAR(C268)+INT((MONTH(C268)-1+(A268-D268))/12),MOD(MONTH(C268)-1+(A268-D268),12)+1,1)+(DAY(C268)-1)</f>
        <v/>
      </c>
      <c r="F268" s="20">
        <f>INDEX(Segments!$C$5:$C$12,B268)/100/12</f>
        <v/>
      </c>
      <c r="G268" s="21">
        <f>INDEX(Segments!$L$5:$L$12,B268)</f>
        <v/>
      </c>
      <c r="H268" s="6">
        <f>INDEX(Segments!$I$5:$I$12,B268)="Y"</f>
        <v/>
      </c>
      <c r="I268" s="6">
        <f>INDEX(Segments!$F$5:$F$12,B268)=""</f>
        <v/>
      </c>
      <c r="J268" s="18">
        <f>INDEX(Segments!$K$5:$K$12,B268)</f>
        <v/>
      </c>
      <c r="K268" s="18">
        <f>IF(INDEX(Segments!$F$5:$F$12,B268)&lt;&gt;"",INDEX(Segments!$F$5:$F$12,B268),IF(INDEX(Segments!$E$5:$E$12,B268)&lt;&gt;"",INDEX(Segments!$E$5:$E$12,B268),""))</f>
        <v/>
      </c>
      <c r="L268" s="21">
        <f>AA267</f>
        <v/>
      </c>
      <c r="M268" s="21">
        <f>IFERROR(INDEX(Overrides!$C:$C,MATCH(A268,Overrides!$A:$A,0)),"")</f>
        <v/>
      </c>
      <c r="N268" s="21">
        <f>IFERROR(INDEX(Overrides!$E:$E,MATCH(A268,Overrides!$A:$A,0)),"")</f>
        <v/>
      </c>
      <c r="O268" s="21">
        <f>IFERROR(INDEX(Overrides!$D:$D,MATCH(A268,Overrides!$A:$A,0)),"")</f>
        <v/>
      </c>
      <c r="P268" s="21">
        <f>IFERROR(INDEX(Overrides!$B:$B,MATCH(A268,Overrides!$A:$A,0)),"")</f>
        <v/>
      </c>
      <c r="Q268" s="6">
        <f>IFERROR(INDEX(Overrides!$F:$F,MATCH(A268,Overrides!$A:$A,0)),"")</f>
        <v/>
      </c>
      <c r="R268" s="6">
        <f>ISNUMBER(MATCH(A268,Overrides!$A:$A,0))</f>
        <v/>
      </c>
      <c r="S268" s="6">
        <f>OR(ROUND(L268-ROUND(G268-T268,2),2)&lt;=0,AND(I268,K268&lt;&gt;"",(A268-D268+1)=K268))</f>
        <v/>
      </c>
      <c r="T268" s="21">
        <f>IF(M268&lt;&gt;"",M268,ROUND(L268*F268,2))</f>
        <v/>
      </c>
      <c r="U268" s="21">
        <f>IF(R268,IF(O268&lt;&gt;"",O268,IF(N268&lt;&gt;"",ROUND(L268-N268,2),ROUND((IF(P268&lt;&gt;"",P268,G268))-T268,2))),IF(H268,0,IF(S268,L268,ROUND(G268-T268,2))))</f>
        <v/>
      </c>
      <c r="V268" s="21">
        <f>IF(R268,IF(P268&lt;&gt;"",P268,ROUND(T268+U268,2)),IF(H268,T268,IF(S268,ROUND(T268+U268,2),G268)))</f>
        <v/>
      </c>
      <c r="W268" s="21">
        <f>IF(R268,IF(N268&lt;&gt;"",N268,ROUND(L268-U268,2)),IF(H268,L268,IF(S268,0,ROUND(L268-U268,2))))</f>
        <v/>
      </c>
      <c r="X268" s="21">
        <f>IFERROR(MIN(INDEX(LumpSums!$B:$B,MATCH(A268,LumpSums!$A:$A,0)),W268),0)</f>
        <v/>
      </c>
      <c r="Y268" s="21">
        <f>ROUND(U268+X268,2)</f>
        <v/>
      </c>
      <c r="Z268" s="21">
        <f>ROUND(V268+X268,2)</f>
        <v/>
      </c>
      <c r="AA268" s="21">
        <f>ROUND(W268-X268,2)</f>
        <v/>
      </c>
      <c r="AB268" s="6">
        <f>AND(AB267,L268&gt;0)</f>
        <v/>
      </c>
      <c r="AC268" s="21">
        <f>IF(PMI_Costs!$B$8=0,0,ROUND(PMI_Costs!$B$8*(1+PMI_Costs!$B$9/100)^INT((A268-1)/12)/12,2))</f>
        <v/>
      </c>
      <c r="AD268" s="21">
        <f>IF(PMI_Costs!$B$10=0,0,ROUND(PMI_Costs!$B$10*(1+PMI_Costs!$B$11/100)^INT((A268-1)/12)/12,2))</f>
        <v/>
      </c>
      <c r="AE268" s="21">
        <f>IF(PMI_Costs!$B$12=0,0,ROUND(PMI_Costs!$B$12*(1+PMI_Costs!$B$13/100)^INT((A268-1)/12)/12,2))</f>
        <v/>
      </c>
      <c r="AF268" s="22">
        <f>IF(PMI_Costs!$B$5=0,0,AA268/PMI_Costs!$B$5)</f>
        <v/>
      </c>
      <c r="AG268" s="6">
        <f>AND(PMI_Costs!$B$4&gt;0,AF268&gt;PMI_Costs!$B$6/100)</f>
        <v/>
      </c>
      <c r="AH268" s="21">
        <f>IF(AG268,ROUND(Segments!$G$5*PMI_Costs!$B$4/100/12,2),0)</f>
        <v/>
      </c>
      <c r="AI268" s="6">
        <f>AND(NOT(AG268),AG267)</f>
        <v/>
      </c>
    </row>
    <row r="269">
      <c r="A269" s="18" t="n">
        <v>265</v>
      </c>
      <c r="B269" s="18">
        <f>SUMPRODUCT((Segments!$J$5:$J$12&lt;&gt;"")*(Segments!$J$5:$J$12&lt;=A269))</f>
        <v/>
      </c>
      <c r="C269" s="19">
        <f>INDEX(Segments!$B$5:$B$12,B269)</f>
        <v/>
      </c>
      <c r="D269" s="18">
        <f>INDEX(Segments!$J$5:$J$12,B269)</f>
        <v/>
      </c>
      <c r="E269" s="19">
        <f>DATE(YEAR(C269)+INT((MONTH(C269)-1+(A269-D269))/12),MOD(MONTH(C269)-1+(A269-D269),12)+1,1)+(DAY(C269)-1)</f>
        <v/>
      </c>
      <c r="F269" s="20">
        <f>INDEX(Segments!$C$5:$C$12,B269)/100/12</f>
        <v/>
      </c>
      <c r="G269" s="21">
        <f>INDEX(Segments!$L$5:$L$12,B269)</f>
        <v/>
      </c>
      <c r="H269" s="6">
        <f>INDEX(Segments!$I$5:$I$12,B269)="Y"</f>
        <v/>
      </c>
      <c r="I269" s="6">
        <f>INDEX(Segments!$F$5:$F$12,B269)=""</f>
        <v/>
      </c>
      <c r="J269" s="18">
        <f>INDEX(Segments!$K$5:$K$12,B269)</f>
        <v/>
      </c>
      <c r="K269" s="18">
        <f>IF(INDEX(Segments!$F$5:$F$12,B269)&lt;&gt;"",INDEX(Segments!$F$5:$F$12,B269),IF(INDEX(Segments!$E$5:$E$12,B269)&lt;&gt;"",INDEX(Segments!$E$5:$E$12,B269),""))</f>
        <v/>
      </c>
      <c r="L269" s="21">
        <f>AA268</f>
        <v/>
      </c>
      <c r="M269" s="21">
        <f>IFERROR(INDEX(Overrides!$C:$C,MATCH(A269,Overrides!$A:$A,0)),"")</f>
        <v/>
      </c>
      <c r="N269" s="21">
        <f>IFERROR(INDEX(Overrides!$E:$E,MATCH(A269,Overrides!$A:$A,0)),"")</f>
        <v/>
      </c>
      <c r="O269" s="21">
        <f>IFERROR(INDEX(Overrides!$D:$D,MATCH(A269,Overrides!$A:$A,0)),"")</f>
        <v/>
      </c>
      <c r="P269" s="21">
        <f>IFERROR(INDEX(Overrides!$B:$B,MATCH(A269,Overrides!$A:$A,0)),"")</f>
        <v/>
      </c>
      <c r="Q269" s="6">
        <f>IFERROR(INDEX(Overrides!$F:$F,MATCH(A269,Overrides!$A:$A,0)),"")</f>
        <v/>
      </c>
      <c r="R269" s="6">
        <f>ISNUMBER(MATCH(A269,Overrides!$A:$A,0))</f>
        <v/>
      </c>
      <c r="S269" s="6">
        <f>OR(ROUND(L269-ROUND(G269-T269,2),2)&lt;=0,AND(I269,K269&lt;&gt;"",(A269-D269+1)=K269))</f>
        <v/>
      </c>
      <c r="T269" s="21">
        <f>IF(M269&lt;&gt;"",M269,ROUND(L269*F269,2))</f>
        <v/>
      </c>
      <c r="U269" s="21">
        <f>IF(R269,IF(O269&lt;&gt;"",O269,IF(N269&lt;&gt;"",ROUND(L269-N269,2),ROUND((IF(P269&lt;&gt;"",P269,G269))-T269,2))),IF(H269,0,IF(S269,L269,ROUND(G269-T269,2))))</f>
        <v/>
      </c>
      <c r="V269" s="21">
        <f>IF(R269,IF(P269&lt;&gt;"",P269,ROUND(T269+U269,2)),IF(H269,T269,IF(S269,ROUND(T269+U269,2),G269)))</f>
        <v/>
      </c>
      <c r="W269" s="21">
        <f>IF(R269,IF(N269&lt;&gt;"",N269,ROUND(L269-U269,2)),IF(H269,L269,IF(S269,0,ROUND(L269-U269,2))))</f>
        <v/>
      </c>
      <c r="X269" s="21">
        <f>IFERROR(MIN(INDEX(LumpSums!$B:$B,MATCH(A269,LumpSums!$A:$A,0)),W269),0)</f>
        <v/>
      </c>
      <c r="Y269" s="21">
        <f>ROUND(U269+X269,2)</f>
        <v/>
      </c>
      <c r="Z269" s="21">
        <f>ROUND(V269+X269,2)</f>
        <v/>
      </c>
      <c r="AA269" s="21">
        <f>ROUND(W269-X269,2)</f>
        <v/>
      </c>
      <c r="AB269" s="6">
        <f>AND(AB268,L269&gt;0)</f>
        <v/>
      </c>
      <c r="AC269" s="21">
        <f>IF(PMI_Costs!$B$8=0,0,ROUND(PMI_Costs!$B$8*(1+PMI_Costs!$B$9/100)^INT((A269-1)/12)/12,2))</f>
        <v/>
      </c>
      <c r="AD269" s="21">
        <f>IF(PMI_Costs!$B$10=0,0,ROUND(PMI_Costs!$B$10*(1+PMI_Costs!$B$11/100)^INT((A269-1)/12)/12,2))</f>
        <v/>
      </c>
      <c r="AE269" s="21">
        <f>IF(PMI_Costs!$B$12=0,0,ROUND(PMI_Costs!$B$12*(1+PMI_Costs!$B$13/100)^INT((A269-1)/12)/12,2))</f>
        <v/>
      </c>
      <c r="AF269" s="22">
        <f>IF(PMI_Costs!$B$5=0,0,AA269/PMI_Costs!$B$5)</f>
        <v/>
      </c>
      <c r="AG269" s="6">
        <f>AND(PMI_Costs!$B$4&gt;0,AF269&gt;PMI_Costs!$B$6/100)</f>
        <v/>
      </c>
      <c r="AH269" s="21">
        <f>IF(AG269,ROUND(Segments!$G$5*PMI_Costs!$B$4/100/12,2),0)</f>
        <v/>
      </c>
      <c r="AI269" s="6">
        <f>AND(NOT(AG269),AG268)</f>
        <v/>
      </c>
    </row>
    <row r="270">
      <c r="A270" s="18" t="n">
        <v>266</v>
      </c>
      <c r="B270" s="18">
        <f>SUMPRODUCT((Segments!$J$5:$J$12&lt;&gt;"")*(Segments!$J$5:$J$12&lt;=A270))</f>
        <v/>
      </c>
      <c r="C270" s="19">
        <f>INDEX(Segments!$B$5:$B$12,B270)</f>
        <v/>
      </c>
      <c r="D270" s="18">
        <f>INDEX(Segments!$J$5:$J$12,B270)</f>
        <v/>
      </c>
      <c r="E270" s="19">
        <f>DATE(YEAR(C270)+INT((MONTH(C270)-1+(A270-D270))/12),MOD(MONTH(C270)-1+(A270-D270),12)+1,1)+(DAY(C270)-1)</f>
        <v/>
      </c>
      <c r="F270" s="20">
        <f>INDEX(Segments!$C$5:$C$12,B270)/100/12</f>
        <v/>
      </c>
      <c r="G270" s="21">
        <f>INDEX(Segments!$L$5:$L$12,B270)</f>
        <v/>
      </c>
      <c r="H270" s="6">
        <f>INDEX(Segments!$I$5:$I$12,B270)="Y"</f>
        <v/>
      </c>
      <c r="I270" s="6">
        <f>INDEX(Segments!$F$5:$F$12,B270)=""</f>
        <v/>
      </c>
      <c r="J270" s="18">
        <f>INDEX(Segments!$K$5:$K$12,B270)</f>
        <v/>
      </c>
      <c r="K270" s="18">
        <f>IF(INDEX(Segments!$F$5:$F$12,B270)&lt;&gt;"",INDEX(Segments!$F$5:$F$12,B270),IF(INDEX(Segments!$E$5:$E$12,B270)&lt;&gt;"",INDEX(Segments!$E$5:$E$12,B270),""))</f>
        <v/>
      </c>
      <c r="L270" s="21">
        <f>AA269</f>
        <v/>
      </c>
      <c r="M270" s="21">
        <f>IFERROR(INDEX(Overrides!$C:$C,MATCH(A270,Overrides!$A:$A,0)),"")</f>
        <v/>
      </c>
      <c r="N270" s="21">
        <f>IFERROR(INDEX(Overrides!$E:$E,MATCH(A270,Overrides!$A:$A,0)),"")</f>
        <v/>
      </c>
      <c r="O270" s="21">
        <f>IFERROR(INDEX(Overrides!$D:$D,MATCH(A270,Overrides!$A:$A,0)),"")</f>
        <v/>
      </c>
      <c r="P270" s="21">
        <f>IFERROR(INDEX(Overrides!$B:$B,MATCH(A270,Overrides!$A:$A,0)),"")</f>
        <v/>
      </c>
      <c r="Q270" s="6">
        <f>IFERROR(INDEX(Overrides!$F:$F,MATCH(A270,Overrides!$A:$A,0)),"")</f>
        <v/>
      </c>
      <c r="R270" s="6">
        <f>ISNUMBER(MATCH(A270,Overrides!$A:$A,0))</f>
        <v/>
      </c>
      <c r="S270" s="6">
        <f>OR(ROUND(L270-ROUND(G270-T270,2),2)&lt;=0,AND(I270,K270&lt;&gt;"",(A270-D270+1)=K270))</f>
        <v/>
      </c>
      <c r="T270" s="21">
        <f>IF(M270&lt;&gt;"",M270,ROUND(L270*F270,2))</f>
        <v/>
      </c>
      <c r="U270" s="21">
        <f>IF(R270,IF(O270&lt;&gt;"",O270,IF(N270&lt;&gt;"",ROUND(L270-N270,2),ROUND((IF(P270&lt;&gt;"",P270,G270))-T270,2))),IF(H270,0,IF(S270,L270,ROUND(G270-T270,2))))</f>
        <v/>
      </c>
      <c r="V270" s="21">
        <f>IF(R270,IF(P270&lt;&gt;"",P270,ROUND(T270+U270,2)),IF(H270,T270,IF(S270,ROUND(T270+U270,2),G270)))</f>
        <v/>
      </c>
      <c r="W270" s="21">
        <f>IF(R270,IF(N270&lt;&gt;"",N270,ROUND(L270-U270,2)),IF(H270,L270,IF(S270,0,ROUND(L270-U270,2))))</f>
        <v/>
      </c>
      <c r="X270" s="21">
        <f>IFERROR(MIN(INDEX(LumpSums!$B:$B,MATCH(A270,LumpSums!$A:$A,0)),W270),0)</f>
        <v/>
      </c>
      <c r="Y270" s="21">
        <f>ROUND(U270+X270,2)</f>
        <v/>
      </c>
      <c r="Z270" s="21">
        <f>ROUND(V270+X270,2)</f>
        <v/>
      </c>
      <c r="AA270" s="21">
        <f>ROUND(W270-X270,2)</f>
        <v/>
      </c>
      <c r="AB270" s="6">
        <f>AND(AB269,L270&gt;0)</f>
        <v/>
      </c>
      <c r="AC270" s="21">
        <f>IF(PMI_Costs!$B$8=0,0,ROUND(PMI_Costs!$B$8*(1+PMI_Costs!$B$9/100)^INT((A270-1)/12)/12,2))</f>
        <v/>
      </c>
      <c r="AD270" s="21">
        <f>IF(PMI_Costs!$B$10=0,0,ROUND(PMI_Costs!$B$10*(1+PMI_Costs!$B$11/100)^INT((A270-1)/12)/12,2))</f>
        <v/>
      </c>
      <c r="AE270" s="21">
        <f>IF(PMI_Costs!$B$12=0,0,ROUND(PMI_Costs!$B$12*(1+PMI_Costs!$B$13/100)^INT((A270-1)/12)/12,2))</f>
        <v/>
      </c>
      <c r="AF270" s="22">
        <f>IF(PMI_Costs!$B$5=0,0,AA270/PMI_Costs!$B$5)</f>
        <v/>
      </c>
      <c r="AG270" s="6">
        <f>AND(PMI_Costs!$B$4&gt;0,AF270&gt;PMI_Costs!$B$6/100)</f>
        <v/>
      </c>
      <c r="AH270" s="21">
        <f>IF(AG270,ROUND(Segments!$G$5*PMI_Costs!$B$4/100/12,2),0)</f>
        <v/>
      </c>
      <c r="AI270" s="6">
        <f>AND(NOT(AG270),AG269)</f>
        <v/>
      </c>
    </row>
    <row r="271">
      <c r="A271" s="18" t="n">
        <v>267</v>
      </c>
      <c r="B271" s="18">
        <f>SUMPRODUCT((Segments!$J$5:$J$12&lt;&gt;"")*(Segments!$J$5:$J$12&lt;=A271))</f>
        <v/>
      </c>
      <c r="C271" s="19">
        <f>INDEX(Segments!$B$5:$B$12,B271)</f>
        <v/>
      </c>
      <c r="D271" s="18">
        <f>INDEX(Segments!$J$5:$J$12,B271)</f>
        <v/>
      </c>
      <c r="E271" s="19">
        <f>DATE(YEAR(C271)+INT((MONTH(C271)-1+(A271-D271))/12),MOD(MONTH(C271)-1+(A271-D271),12)+1,1)+(DAY(C271)-1)</f>
        <v/>
      </c>
      <c r="F271" s="20">
        <f>INDEX(Segments!$C$5:$C$12,B271)/100/12</f>
        <v/>
      </c>
      <c r="G271" s="21">
        <f>INDEX(Segments!$L$5:$L$12,B271)</f>
        <v/>
      </c>
      <c r="H271" s="6">
        <f>INDEX(Segments!$I$5:$I$12,B271)="Y"</f>
        <v/>
      </c>
      <c r="I271" s="6">
        <f>INDEX(Segments!$F$5:$F$12,B271)=""</f>
        <v/>
      </c>
      <c r="J271" s="18">
        <f>INDEX(Segments!$K$5:$K$12,B271)</f>
        <v/>
      </c>
      <c r="K271" s="18">
        <f>IF(INDEX(Segments!$F$5:$F$12,B271)&lt;&gt;"",INDEX(Segments!$F$5:$F$12,B271),IF(INDEX(Segments!$E$5:$E$12,B271)&lt;&gt;"",INDEX(Segments!$E$5:$E$12,B271),""))</f>
        <v/>
      </c>
      <c r="L271" s="21">
        <f>AA270</f>
        <v/>
      </c>
      <c r="M271" s="21">
        <f>IFERROR(INDEX(Overrides!$C:$C,MATCH(A271,Overrides!$A:$A,0)),"")</f>
        <v/>
      </c>
      <c r="N271" s="21">
        <f>IFERROR(INDEX(Overrides!$E:$E,MATCH(A271,Overrides!$A:$A,0)),"")</f>
        <v/>
      </c>
      <c r="O271" s="21">
        <f>IFERROR(INDEX(Overrides!$D:$D,MATCH(A271,Overrides!$A:$A,0)),"")</f>
        <v/>
      </c>
      <c r="P271" s="21">
        <f>IFERROR(INDEX(Overrides!$B:$B,MATCH(A271,Overrides!$A:$A,0)),"")</f>
        <v/>
      </c>
      <c r="Q271" s="6">
        <f>IFERROR(INDEX(Overrides!$F:$F,MATCH(A271,Overrides!$A:$A,0)),"")</f>
        <v/>
      </c>
      <c r="R271" s="6">
        <f>ISNUMBER(MATCH(A271,Overrides!$A:$A,0))</f>
        <v/>
      </c>
      <c r="S271" s="6">
        <f>OR(ROUND(L271-ROUND(G271-T271,2),2)&lt;=0,AND(I271,K271&lt;&gt;"",(A271-D271+1)=K271))</f>
        <v/>
      </c>
      <c r="T271" s="21">
        <f>IF(M271&lt;&gt;"",M271,ROUND(L271*F271,2))</f>
        <v/>
      </c>
      <c r="U271" s="21">
        <f>IF(R271,IF(O271&lt;&gt;"",O271,IF(N271&lt;&gt;"",ROUND(L271-N271,2),ROUND((IF(P271&lt;&gt;"",P271,G271))-T271,2))),IF(H271,0,IF(S271,L271,ROUND(G271-T271,2))))</f>
        <v/>
      </c>
      <c r="V271" s="21">
        <f>IF(R271,IF(P271&lt;&gt;"",P271,ROUND(T271+U271,2)),IF(H271,T271,IF(S271,ROUND(T271+U271,2),G271)))</f>
        <v/>
      </c>
      <c r="W271" s="21">
        <f>IF(R271,IF(N271&lt;&gt;"",N271,ROUND(L271-U271,2)),IF(H271,L271,IF(S271,0,ROUND(L271-U271,2))))</f>
        <v/>
      </c>
      <c r="X271" s="21">
        <f>IFERROR(MIN(INDEX(LumpSums!$B:$B,MATCH(A271,LumpSums!$A:$A,0)),W271),0)</f>
        <v/>
      </c>
      <c r="Y271" s="21">
        <f>ROUND(U271+X271,2)</f>
        <v/>
      </c>
      <c r="Z271" s="21">
        <f>ROUND(V271+X271,2)</f>
        <v/>
      </c>
      <c r="AA271" s="21">
        <f>ROUND(W271-X271,2)</f>
        <v/>
      </c>
      <c r="AB271" s="6">
        <f>AND(AB270,L271&gt;0)</f>
        <v/>
      </c>
      <c r="AC271" s="21">
        <f>IF(PMI_Costs!$B$8=0,0,ROUND(PMI_Costs!$B$8*(1+PMI_Costs!$B$9/100)^INT((A271-1)/12)/12,2))</f>
        <v/>
      </c>
      <c r="AD271" s="21">
        <f>IF(PMI_Costs!$B$10=0,0,ROUND(PMI_Costs!$B$10*(1+PMI_Costs!$B$11/100)^INT((A271-1)/12)/12,2))</f>
        <v/>
      </c>
      <c r="AE271" s="21">
        <f>IF(PMI_Costs!$B$12=0,0,ROUND(PMI_Costs!$B$12*(1+PMI_Costs!$B$13/100)^INT((A271-1)/12)/12,2))</f>
        <v/>
      </c>
      <c r="AF271" s="22">
        <f>IF(PMI_Costs!$B$5=0,0,AA271/PMI_Costs!$B$5)</f>
        <v/>
      </c>
      <c r="AG271" s="6">
        <f>AND(PMI_Costs!$B$4&gt;0,AF271&gt;PMI_Costs!$B$6/100)</f>
        <v/>
      </c>
      <c r="AH271" s="21">
        <f>IF(AG271,ROUND(Segments!$G$5*PMI_Costs!$B$4/100/12,2),0)</f>
        <v/>
      </c>
      <c r="AI271" s="6">
        <f>AND(NOT(AG271),AG270)</f>
        <v/>
      </c>
    </row>
    <row r="272">
      <c r="A272" s="18" t="n">
        <v>268</v>
      </c>
      <c r="B272" s="18">
        <f>SUMPRODUCT((Segments!$J$5:$J$12&lt;&gt;"")*(Segments!$J$5:$J$12&lt;=A272))</f>
        <v/>
      </c>
      <c r="C272" s="19">
        <f>INDEX(Segments!$B$5:$B$12,B272)</f>
        <v/>
      </c>
      <c r="D272" s="18">
        <f>INDEX(Segments!$J$5:$J$12,B272)</f>
        <v/>
      </c>
      <c r="E272" s="19">
        <f>DATE(YEAR(C272)+INT((MONTH(C272)-1+(A272-D272))/12),MOD(MONTH(C272)-1+(A272-D272),12)+1,1)+(DAY(C272)-1)</f>
        <v/>
      </c>
      <c r="F272" s="20">
        <f>INDEX(Segments!$C$5:$C$12,B272)/100/12</f>
        <v/>
      </c>
      <c r="G272" s="21">
        <f>INDEX(Segments!$L$5:$L$12,B272)</f>
        <v/>
      </c>
      <c r="H272" s="6">
        <f>INDEX(Segments!$I$5:$I$12,B272)="Y"</f>
        <v/>
      </c>
      <c r="I272" s="6">
        <f>INDEX(Segments!$F$5:$F$12,B272)=""</f>
        <v/>
      </c>
      <c r="J272" s="18">
        <f>INDEX(Segments!$K$5:$K$12,B272)</f>
        <v/>
      </c>
      <c r="K272" s="18">
        <f>IF(INDEX(Segments!$F$5:$F$12,B272)&lt;&gt;"",INDEX(Segments!$F$5:$F$12,B272),IF(INDEX(Segments!$E$5:$E$12,B272)&lt;&gt;"",INDEX(Segments!$E$5:$E$12,B272),""))</f>
        <v/>
      </c>
      <c r="L272" s="21">
        <f>AA271</f>
        <v/>
      </c>
      <c r="M272" s="21">
        <f>IFERROR(INDEX(Overrides!$C:$C,MATCH(A272,Overrides!$A:$A,0)),"")</f>
        <v/>
      </c>
      <c r="N272" s="21">
        <f>IFERROR(INDEX(Overrides!$E:$E,MATCH(A272,Overrides!$A:$A,0)),"")</f>
        <v/>
      </c>
      <c r="O272" s="21">
        <f>IFERROR(INDEX(Overrides!$D:$D,MATCH(A272,Overrides!$A:$A,0)),"")</f>
        <v/>
      </c>
      <c r="P272" s="21">
        <f>IFERROR(INDEX(Overrides!$B:$B,MATCH(A272,Overrides!$A:$A,0)),"")</f>
        <v/>
      </c>
      <c r="Q272" s="6">
        <f>IFERROR(INDEX(Overrides!$F:$F,MATCH(A272,Overrides!$A:$A,0)),"")</f>
        <v/>
      </c>
      <c r="R272" s="6">
        <f>ISNUMBER(MATCH(A272,Overrides!$A:$A,0))</f>
        <v/>
      </c>
      <c r="S272" s="6">
        <f>OR(ROUND(L272-ROUND(G272-T272,2),2)&lt;=0,AND(I272,K272&lt;&gt;"",(A272-D272+1)=K272))</f>
        <v/>
      </c>
      <c r="T272" s="21">
        <f>IF(M272&lt;&gt;"",M272,ROUND(L272*F272,2))</f>
        <v/>
      </c>
      <c r="U272" s="21">
        <f>IF(R272,IF(O272&lt;&gt;"",O272,IF(N272&lt;&gt;"",ROUND(L272-N272,2),ROUND((IF(P272&lt;&gt;"",P272,G272))-T272,2))),IF(H272,0,IF(S272,L272,ROUND(G272-T272,2))))</f>
        <v/>
      </c>
      <c r="V272" s="21">
        <f>IF(R272,IF(P272&lt;&gt;"",P272,ROUND(T272+U272,2)),IF(H272,T272,IF(S272,ROUND(T272+U272,2),G272)))</f>
        <v/>
      </c>
      <c r="W272" s="21">
        <f>IF(R272,IF(N272&lt;&gt;"",N272,ROUND(L272-U272,2)),IF(H272,L272,IF(S272,0,ROUND(L272-U272,2))))</f>
        <v/>
      </c>
      <c r="X272" s="21">
        <f>IFERROR(MIN(INDEX(LumpSums!$B:$B,MATCH(A272,LumpSums!$A:$A,0)),W272),0)</f>
        <v/>
      </c>
      <c r="Y272" s="21">
        <f>ROUND(U272+X272,2)</f>
        <v/>
      </c>
      <c r="Z272" s="21">
        <f>ROUND(V272+X272,2)</f>
        <v/>
      </c>
      <c r="AA272" s="21">
        <f>ROUND(W272-X272,2)</f>
        <v/>
      </c>
      <c r="AB272" s="6">
        <f>AND(AB271,L272&gt;0)</f>
        <v/>
      </c>
      <c r="AC272" s="21">
        <f>IF(PMI_Costs!$B$8=0,0,ROUND(PMI_Costs!$B$8*(1+PMI_Costs!$B$9/100)^INT((A272-1)/12)/12,2))</f>
        <v/>
      </c>
      <c r="AD272" s="21">
        <f>IF(PMI_Costs!$B$10=0,0,ROUND(PMI_Costs!$B$10*(1+PMI_Costs!$B$11/100)^INT((A272-1)/12)/12,2))</f>
        <v/>
      </c>
      <c r="AE272" s="21">
        <f>IF(PMI_Costs!$B$12=0,0,ROUND(PMI_Costs!$B$12*(1+PMI_Costs!$B$13/100)^INT((A272-1)/12)/12,2))</f>
        <v/>
      </c>
      <c r="AF272" s="22">
        <f>IF(PMI_Costs!$B$5=0,0,AA272/PMI_Costs!$B$5)</f>
        <v/>
      </c>
      <c r="AG272" s="6">
        <f>AND(PMI_Costs!$B$4&gt;0,AF272&gt;PMI_Costs!$B$6/100)</f>
        <v/>
      </c>
      <c r="AH272" s="21">
        <f>IF(AG272,ROUND(Segments!$G$5*PMI_Costs!$B$4/100/12,2),0)</f>
        <v/>
      </c>
      <c r="AI272" s="6">
        <f>AND(NOT(AG272),AG271)</f>
        <v/>
      </c>
    </row>
    <row r="273">
      <c r="A273" s="18" t="n">
        <v>269</v>
      </c>
      <c r="B273" s="18">
        <f>SUMPRODUCT((Segments!$J$5:$J$12&lt;&gt;"")*(Segments!$J$5:$J$12&lt;=A273))</f>
        <v/>
      </c>
      <c r="C273" s="19">
        <f>INDEX(Segments!$B$5:$B$12,B273)</f>
        <v/>
      </c>
      <c r="D273" s="18">
        <f>INDEX(Segments!$J$5:$J$12,B273)</f>
        <v/>
      </c>
      <c r="E273" s="19">
        <f>DATE(YEAR(C273)+INT((MONTH(C273)-1+(A273-D273))/12),MOD(MONTH(C273)-1+(A273-D273),12)+1,1)+(DAY(C273)-1)</f>
        <v/>
      </c>
      <c r="F273" s="20">
        <f>INDEX(Segments!$C$5:$C$12,B273)/100/12</f>
        <v/>
      </c>
      <c r="G273" s="21">
        <f>INDEX(Segments!$L$5:$L$12,B273)</f>
        <v/>
      </c>
      <c r="H273" s="6">
        <f>INDEX(Segments!$I$5:$I$12,B273)="Y"</f>
        <v/>
      </c>
      <c r="I273" s="6">
        <f>INDEX(Segments!$F$5:$F$12,B273)=""</f>
        <v/>
      </c>
      <c r="J273" s="18">
        <f>INDEX(Segments!$K$5:$K$12,B273)</f>
        <v/>
      </c>
      <c r="K273" s="18">
        <f>IF(INDEX(Segments!$F$5:$F$12,B273)&lt;&gt;"",INDEX(Segments!$F$5:$F$12,B273),IF(INDEX(Segments!$E$5:$E$12,B273)&lt;&gt;"",INDEX(Segments!$E$5:$E$12,B273),""))</f>
        <v/>
      </c>
      <c r="L273" s="21">
        <f>AA272</f>
        <v/>
      </c>
      <c r="M273" s="21">
        <f>IFERROR(INDEX(Overrides!$C:$C,MATCH(A273,Overrides!$A:$A,0)),"")</f>
        <v/>
      </c>
      <c r="N273" s="21">
        <f>IFERROR(INDEX(Overrides!$E:$E,MATCH(A273,Overrides!$A:$A,0)),"")</f>
        <v/>
      </c>
      <c r="O273" s="21">
        <f>IFERROR(INDEX(Overrides!$D:$D,MATCH(A273,Overrides!$A:$A,0)),"")</f>
        <v/>
      </c>
      <c r="P273" s="21">
        <f>IFERROR(INDEX(Overrides!$B:$B,MATCH(A273,Overrides!$A:$A,0)),"")</f>
        <v/>
      </c>
      <c r="Q273" s="6">
        <f>IFERROR(INDEX(Overrides!$F:$F,MATCH(A273,Overrides!$A:$A,0)),"")</f>
        <v/>
      </c>
      <c r="R273" s="6">
        <f>ISNUMBER(MATCH(A273,Overrides!$A:$A,0))</f>
        <v/>
      </c>
      <c r="S273" s="6">
        <f>OR(ROUND(L273-ROUND(G273-T273,2),2)&lt;=0,AND(I273,K273&lt;&gt;"",(A273-D273+1)=K273))</f>
        <v/>
      </c>
      <c r="T273" s="21">
        <f>IF(M273&lt;&gt;"",M273,ROUND(L273*F273,2))</f>
        <v/>
      </c>
      <c r="U273" s="21">
        <f>IF(R273,IF(O273&lt;&gt;"",O273,IF(N273&lt;&gt;"",ROUND(L273-N273,2),ROUND((IF(P273&lt;&gt;"",P273,G273))-T273,2))),IF(H273,0,IF(S273,L273,ROUND(G273-T273,2))))</f>
        <v/>
      </c>
      <c r="V273" s="21">
        <f>IF(R273,IF(P273&lt;&gt;"",P273,ROUND(T273+U273,2)),IF(H273,T273,IF(S273,ROUND(T273+U273,2),G273)))</f>
        <v/>
      </c>
      <c r="W273" s="21">
        <f>IF(R273,IF(N273&lt;&gt;"",N273,ROUND(L273-U273,2)),IF(H273,L273,IF(S273,0,ROUND(L273-U273,2))))</f>
        <v/>
      </c>
      <c r="X273" s="21">
        <f>IFERROR(MIN(INDEX(LumpSums!$B:$B,MATCH(A273,LumpSums!$A:$A,0)),W273),0)</f>
        <v/>
      </c>
      <c r="Y273" s="21">
        <f>ROUND(U273+X273,2)</f>
        <v/>
      </c>
      <c r="Z273" s="21">
        <f>ROUND(V273+X273,2)</f>
        <v/>
      </c>
      <c r="AA273" s="21">
        <f>ROUND(W273-X273,2)</f>
        <v/>
      </c>
      <c r="AB273" s="6">
        <f>AND(AB272,L273&gt;0)</f>
        <v/>
      </c>
      <c r="AC273" s="21">
        <f>IF(PMI_Costs!$B$8=0,0,ROUND(PMI_Costs!$B$8*(1+PMI_Costs!$B$9/100)^INT((A273-1)/12)/12,2))</f>
        <v/>
      </c>
      <c r="AD273" s="21">
        <f>IF(PMI_Costs!$B$10=0,0,ROUND(PMI_Costs!$B$10*(1+PMI_Costs!$B$11/100)^INT((A273-1)/12)/12,2))</f>
        <v/>
      </c>
      <c r="AE273" s="21">
        <f>IF(PMI_Costs!$B$12=0,0,ROUND(PMI_Costs!$B$12*(1+PMI_Costs!$B$13/100)^INT((A273-1)/12)/12,2))</f>
        <v/>
      </c>
      <c r="AF273" s="22">
        <f>IF(PMI_Costs!$B$5=0,0,AA273/PMI_Costs!$B$5)</f>
        <v/>
      </c>
      <c r="AG273" s="6">
        <f>AND(PMI_Costs!$B$4&gt;0,AF273&gt;PMI_Costs!$B$6/100)</f>
        <v/>
      </c>
      <c r="AH273" s="21">
        <f>IF(AG273,ROUND(Segments!$G$5*PMI_Costs!$B$4/100/12,2),0)</f>
        <v/>
      </c>
      <c r="AI273" s="6">
        <f>AND(NOT(AG273),AG272)</f>
        <v/>
      </c>
    </row>
    <row r="274">
      <c r="A274" s="18" t="n">
        <v>270</v>
      </c>
      <c r="B274" s="18">
        <f>SUMPRODUCT((Segments!$J$5:$J$12&lt;&gt;"")*(Segments!$J$5:$J$12&lt;=A274))</f>
        <v/>
      </c>
      <c r="C274" s="19">
        <f>INDEX(Segments!$B$5:$B$12,B274)</f>
        <v/>
      </c>
      <c r="D274" s="18">
        <f>INDEX(Segments!$J$5:$J$12,B274)</f>
        <v/>
      </c>
      <c r="E274" s="19">
        <f>DATE(YEAR(C274)+INT((MONTH(C274)-1+(A274-D274))/12),MOD(MONTH(C274)-1+(A274-D274),12)+1,1)+(DAY(C274)-1)</f>
        <v/>
      </c>
      <c r="F274" s="20">
        <f>INDEX(Segments!$C$5:$C$12,B274)/100/12</f>
        <v/>
      </c>
      <c r="G274" s="21">
        <f>INDEX(Segments!$L$5:$L$12,B274)</f>
        <v/>
      </c>
      <c r="H274" s="6">
        <f>INDEX(Segments!$I$5:$I$12,B274)="Y"</f>
        <v/>
      </c>
      <c r="I274" s="6">
        <f>INDEX(Segments!$F$5:$F$12,B274)=""</f>
        <v/>
      </c>
      <c r="J274" s="18">
        <f>INDEX(Segments!$K$5:$K$12,B274)</f>
        <v/>
      </c>
      <c r="K274" s="18">
        <f>IF(INDEX(Segments!$F$5:$F$12,B274)&lt;&gt;"",INDEX(Segments!$F$5:$F$12,B274),IF(INDEX(Segments!$E$5:$E$12,B274)&lt;&gt;"",INDEX(Segments!$E$5:$E$12,B274),""))</f>
        <v/>
      </c>
      <c r="L274" s="21">
        <f>AA273</f>
        <v/>
      </c>
      <c r="M274" s="21">
        <f>IFERROR(INDEX(Overrides!$C:$C,MATCH(A274,Overrides!$A:$A,0)),"")</f>
        <v/>
      </c>
      <c r="N274" s="21">
        <f>IFERROR(INDEX(Overrides!$E:$E,MATCH(A274,Overrides!$A:$A,0)),"")</f>
        <v/>
      </c>
      <c r="O274" s="21">
        <f>IFERROR(INDEX(Overrides!$D:$D,MATCH(A274,Overrides!$A:$A,0)),"")</f>
        <v/>
      </c>
      <c r="P274" s="21">
        <f>IFERROR(INDEX(Overrides!$B:$B,MATCH(A274,Overrides!$A:$A,0)),"")</f>
        <v/>
      </c>
      <c r="Q274" s="6">
        <f>IFERROR(INDEX(Overrides!$F:$F,MATCH(A274,Overrides!$A:$A,0)),"")</f>
        <v/>
      </c>
      <c r="R274" s="6">
        <f>ISNUMBER(MATCH(A274,Overrides!$A:$A,0))</f>
        <v/>
      </c>
      <c r="S274" s="6">
        <f>OR(ROUND(L274-ROUND(G274-T274,2),2)&lt;=0,AND(I274,K274&lt;&gt;"",(A274-D274+1)=K274))</f>
        <v/>
      </c>
      <c r="T274" s="21">
        <f>IF(M274&lt;&gt;"",M274,ROUND(L274*F274,2))</f>
        <v/>
      </c>
      <c r="U274" s="21">
        <f>IF(R274,IF(O274&lt;&gt;"",O274,IF(N274&lt;&gt;"",ROUND(L274-N274,2),ROUND((IF(P274&lt;&gt;"",P274,G274))-T274,2))),IF(H274,0,IF(S274,L274,ROUND(G274-T274,2))))</f>
        <v/>
      </c>
      <c r="V274" s="21">
        <f>IF(R274,IF(P274&lt;&gt;"",P274,ROUND(T274+U274,2)),IF(H274,T274,IF(S274,ROUND(T274+U274,2),G274)))</f>
        <v/>
      </c>
      <c r="W274" s="21">
        <f>IF(R274,IF(N274&lt;&gt;"",N274,ROUND(L274-U274,2)),IF(H274,L274,IF(S274,0,ROUND(L274-U274,2))))</f>
        <v/>
      </c>
      <c r="X274" s="21">
        <f>IFERROR(MIN(INDEX(LumpSums!$B:$B,MATCH(A274,LumpSums!$A:$A,0)),W274),0)</f>
        <v/>
      </c>
      <c r="Y274" s="21">
        <f>ROUND(U274+X274,2)</f>
        <v/>
      </c>
      <c r="Z274" s="21">
        <f>ROUND(V274+X274,2)</f>
        <v/>
      </c>
      <c r="AA274" s="21">
        <f>ROUND(W274-X274,2)</f>
        <v/>
      </c>
      <c r="AB274" s="6">
        <f>AND(AB273,L274&gt;0)</f>
        <v/>
      </c>
      <c r="AC274" s="21">
        <f>IF(PMI_Costs!$B$8=0,0,ROUND(PMI_Costs!$B$8*(1+PMI_Costs!$B$9/100)^INT((A274-1)/12)/12,2))</f>
        <v/>
      </c>
      <c r="AD274" s="21">
        <f>IF(PMI_Costs!$B$10=0,0,ROUND(PMI_Costs!$B$10*(1+PMI_Costs!$B$11/100)^INT((A274-1)/12)/12,2))</f>
        <v/>
      </c>
      <c r="AE274" s="21">
        <f>IF(PMI_Costs!$B$12=0,0,ROUND(PMI_Costs!$B$12*(1+PMI_Costs!$B$13/100)^INT((A274-1)/12)/12,2))</f>
        <v/>
      </c>
      <c r="AF274" s="22">
        <f>IF(PMI_Costs!$B$5=0,0,AA274/PMI_Costs!$B$5)</f>
        <v/>
      </c>
      <c r="AG274" s="6">
        <f>AND(PMI_Costs!$B$4&gt;0,AF274&gt;PMI_Costs!$B$6/100)</f>
        <v/>
      </c>
      <c r="AH274" s="21">
        <f>IF(AG274,ROUND(Segments!$G$5*PMI_Costs!$B$4/100/12,2),0)</f>
        <v/>
      </c>
      <c r="AI274" s="6">
        <f>AND(NOT(AG274),AG273)</f>
        <v/>
      </c>
    </row>
    <row r="275">
      <c r="A275" s="18" t="n">
        <v>271</v>
      </c>
      <c r="B275" s="18">
        <f>SUMPRODUCT((Segments!$J$5:$J$12&lt;&gt;"")*(Segments!$J$5:$J$12&lt;=A275))</f>
        <v/>
      </c>
      <c r="C275" s="19">
        <f>INDEX(Segments!$B$5:$B$12,B275)</f>
        <v/>
      </c>
      <c r="D275" s="18">
        <f>INDEX(Segments!$J$5:$J$12,B275)</f>
        <v/>
      </c>
      <c r="E275" s="19">
        <f>DATE(YEAR(C275)+INT((MONTH(C275)-1+(A275-D275))/12),MOD(MONTH(C275)-1+(A275-D275),12)+1,1)+(DAY(C275)-1)</f>
        <v/>
      </c>
      <c r="F275" s="20">
        <f>INDEX(Segments!$C$5:$C$12,B275)/100/12</f>
        <v/>
      </c>
      <c r="G275" s="21">
        <f>INDEX(Segments!$L$5:$L$12,B275)</f>
        <v/>
      </c>
      <c r="H275" s="6">
        <f>INDEX(Segments!$I$5:$I$12,B275)="Y"</f>
        <v/>
      </c>
      <c r="I275" s="6">
        <f>INDEX(Segments!$F$5:$F$12,B275)=""</f>
        <v/>
      </c>
      <c r="J275" s="18">
        <f>INDEX(Segments!$K$5:$K$12,B275)</f>
        <v/>
      </c>
      <c r="K275" s="18">
        <f>IF(INDEX(Segments!$F$5:$F$12,B275)&lt;&gt;"",INDEX(Segments!$F$5:$F$12,B275),IF(INDEX(Segments!$E$5:$E$12,B275)&lt;&gt;"",INDEX(Segments!$E$5:$E$12,B275),""))</f>
        <v/>
      </c>
      <c r="L275" s="21">
        <f>AA274</f>
        <v/>
      </c>
      <c r="M275" s="21">
        <f>IFERROR(INDEX(Overrides!$C:$C,MATCH(A275,Overrides!$A:$A,0)),"")</f>
        <v/>
      </c>
      <c r="N275" s="21">
        <f>IFERROR(INDEX(Overrides!$E:$E,MATCH(A275,Overrides!$A:$A,0)),"")</f>
        <v/>
      </c>
      <c r="O275" s="21">
        <f>IFERROR(INDEX(Overrides!$D:$D,MATCH(A275,Overrides!$A:$A,0)),"")</f>
        <v/>
      </c>
      <c r="P275" s="21">
        <f>IFERROR(INDEX(Overrides!$B:$B,MATCH(A275,Overrides!$A:$A,0)),"")</f>
        <v/>
      </c>
      <c r="Q275" s="6">
        <f>IFERROR(INDEX(Overrides!$F:$F,MATCH(A275,Overrides!$A:$A,0)),"")</f>
        <v/>
      </c>
      <c r="R275" s="6">
        <f>ISNUMBER(MATCH(A275,Overrides!$A:$A,0))</f>
        <v/>
      </c>
      <c r="S275" s="6">
        <f>OR(ROUND(L275-ROUND(G275-T275,2),2)&lt;=0,AND(I275,K275&lt;&gt;"",(A275-D275+1)=K275))</f>
        <v/>
      </c>
      <c r="T275" s="21">
        <f>IF(M275&lt;&gt;"",M275,ROUND(L275*F275,2))</f>
        <v/>
      </c>
      <c r="U275" s="21">
        <f>IF(R275,IF(O275&lt;&gt;"",O275,IF(N275&lt;&gt;"",ROUND(L275-N275,2),ROUND((IF(P275&lt;&gt;"",P275,G275))-T275,2))),IF(H275,0,IF(S275,L275,ROUND(G275-T275,2))))</f>
        <v/>
      </c>
      <c r="V275" s="21">
        <f>IF(R275,IF(P275&lt;&gt;"",P275,ROUND(T275+U275,2)),IF(H275,T275,IF(S275,ROUND(T275+U275,2),G275)))</f>
        <v/>
      </c>
      <c r="W275" s="21">
        <f>IF(R275,IF(N275&lt;&gt;"",N275,ROUND(L275-U275,2)),IF(H275,L275,IF(S275,0,ROUND(L275-U275,2))))</f>
        <v/>
      </c>
      <c r="X275" s="21">
        <f>IFERROR(MIN(INDEX(LumpSums!$B:$B,MATCH(A275,LumpSums!$A:$A,0)),W275),0)</f>
        <v/>
      </c>
      <c r="Y275" s="21">
        <f>ROUND(U275+X275,2)</f>
        <v/>
      </c>
      <c r="Z275" s="21">
        <f>ROUND(V275+X275,2)</f>
        <v/>
      </c>
      <c r="AA275" s="21">
        <f>ROUND(W275-X275,2)</f>
        <v/>
      </c>
      <c r="AB275" s="6">
        <f>AND(AB274,L275&gt;0)</f>
        <v/>
      </c>
      <c r="AC275" s="21">
        <f>IF(PMI_Costs!$B$8=0,0,ROUND(PMI_Costs!$B$8*(1+PMI_Costs!$B$9/100)^INT((A275-1)/12)/12,2))</f>
        <v/>
      </c>
      <c r="AD275" s="21">
        <f>IF(PMI_Costs!$B$10=0,0,ROUND(PMI_Costs!$B$10*(1+PMI_Costs!$B$11/100)^INT((A275-1)/12)/12,2))</f>
        <v/>
      </c>
      <c r="AE275" s="21">
        <f>IF(PMI_Costs!$B$12=0,0,ROUND(PMI_Costs!$B$12*(1+PMI_Costs!$B$13/100)^INT((A275-1)/12)/12,2))</f>
        <v/>
      </c>
      <c r="AF275" s="22">
        <f>IF(PMI_Costs!$B$5=0,0,AA275/PMI_Costs!$B$5)</f>
        <v/>
      </c>
      <c r="AG275" s="6">
        <f>AND(PMI_Costs!$B$4&gt;0,AF275&gt;PMI_Costs!$B$6/100)</f>
        <v/>
      </c>
      <c r="AH275" s="21">
        <f>IF(AG275,ROUND(Segments!$G$5*PMI_Costs!$B$4/100/12,2),0)</f>
        <v/>
      </c>
      <c r="AI275" s="6">
        <f>AND(NOT(AG275),AG274)</f>
        <v/>
      </c>
    </row>
    <row r="276">
      <c r="A276" s="18" t="n">
        <v>272</v>
      </c>
      <c r="B276" s="18">
        <f>SUMPRODUCT((Segments!$J$5:$J$12&lt;&gt;"")*(Segments!$J$5:$J$12&lt;=A276))</f>
        <v/>
      </c>
      <c r="C276" s="19">
        <f>INDEX(Segments!$B$5:$B$12,B276)</f>
        <v/>
      </c>
      <c r="D276" s="18">
        <f>INDEX(Segments!$J$5:$J$12,B276)</f>
        <v/>
      </c>
      <c r="E276" s="19">
        <f>DATE(YEAR(C276)+INT((MONTH(C276)-1+(A276-D276))/12),MOD(MONTH(C276)-1+(A276-D276),12)+1,1)+(DAY(C276)-1)</f>
        <v/>
      </c>
      <c r="F276" s="20">
        <f>INDEX(Segments!$C$5:$C$12,B276)/100/12</f>
        <v/>
      </c>
      <c r="G276" s="21">
        <f>INDEX(Segments!$L$5:$L$12,B276)</f>
        <v/>
      </c>
      <c r="H276" s="6">
        <f>INDEX(Segments!$I$5:$I$12,B276)="Y"</f>
        <v/>
      </c>
      <c r="I276" s="6">
        <f>INDEX(Segments!$F$5:$F$12,B276)=""</f>
        <v/>
      </c>
      <c r="J276" s="18">
        <f>INDEX(Segments!$K$5:$K$12,B276)</f>
        <v/>
      </c>
      <c r="K276" s="18">
        <f>IF(INDEX(Segments!$F$5:$F$12,B276)&lt;&gt;"",INDEX(Segments!$F$5:$F$12,B276),IF(INDEX(Segments!$E$5:$E$12,B276)&lt;&gt;"",INDEX(Segments!$E$5:$E$12,B276),""))</f>
        <v/>
      </c>
      <c r="L276" s="21">
        <f>AA275</f>
        <v/>
      </c>
      <c r="M276" s="21">
        <f>IFERROR(INDEX(Overrides!$C:$C,MATCH(A276,Overrides!$A:$A,0)),"")</f>
        <v/>
      </c>
      <c r="N276" s="21">
        <f>IFERROR(INDEX(Overrides!$E:$E,MATCH(A276,Overrides!$A:$A,0)),"")</f>
        <v/>
      </c>
      <c r="O276" s="21">
        <f>IFERROR(INDEX(Overrides!$D:$D,MATCH(A276,Overrides!$A:$A,0)),"")</f>
        <v/>
      </c>
      <c r="P276" s="21">
        <f>IFERROR(INDEX(Overrides!$B:$B,MATCH(A276,Overrides!$A:$A,0)),"")</f>
        <v/>
      </c>
      <c r="Q276" s="6">
        <f>IFERROR(INDEX(Overrides!$F:$F,MATCH(A276,Overrides!$A:$A,0)),"")</f>
        <v/>
      </c>
      <c r="R276" s="6">
        <f>ISNUMBER(MATCH(A276,Overrides!$A:$A,0))</f>
        <v/>
      </c>
      <c r="S276" s="6">
        <f>OR(ROUND(L276-ROUND(G276-T276,2),2)&lt;=0,AND(I276,K276&lt;&gt;"",(A276-D276+1)=K276))</f>
        <v/>
      </c>
      <c r="T276" s="21">
        <f>IF(M276&lt;&gt;"",M276,ROUND(L276*F276,2))</f>
        <v/>
      </c>
      <c r="U276" s="21">
        <f>IF(R276,IF(O276&lt;&gt;"",O276,IF(N276&lt;&gt;"",ROUND(L276-N276,2),ROUND((IF(P276&lt;&gt;"",P276,G276))-T276,2))),IF(H276,0,IF(S276,L276,ROUND(G276-T276,2))))</f>
        <v/>
      </c>
      <c r="V276" s="21">
        <f>IF(R276,IF(P276&lt;&gt;"",P276,ROUND(T276+U276,2)),IF(H276,T276,IF(S276,ROUND(T276+U276,2),G276)))</f>
        <v/>
      </c>
      <c r="W276" s="21">
        <f>IF(R276,IF(N276&lt;&gt;"",N276,ROUND(L276-U276,2)),IF(H276,L276,IF(S276,0,ROUND(L276-U276,2))))</f>
        <v/>
      </c>
      <c r="X276" s="21">
        <f>IFERROR(MIN(INDEX(LumpSums!$B:$B,MATCH(A276,LumpSums!$A:$A,0)),W276),0)</f>
        <v/>
      </c>
      <c r="Y276" s="21">
        <f>ROUND(U276+X276,2)</f>
        <v/>
      </c>
      <c r="Z276" s="21">
        <f>ROUND(V276+X276,2)</f>
        <v/>
      </c>
      <c r="AA276" s="21">
        <f>ROUND(W276-X276,2)</f>
        <v/>
      </c>
      <c r="AB276" s="6">
        <f>AND(AB275,L276&gt;0)</f>
        <v/>
      </c>
      <c r="AC276" s="21">
        <f>IF(PMI_Costs!$B$8=0,0,ROUND(PMI_Costs!$B$8*(1+PMI_Costs!$B$9/100)^INT((A276-1)/12)/12,2))</f>
        <v/>
      </c>
      <c r="AD276" s="21">
        <f>IF(PMI_Costs!$B$10=0,0,ROUND(PMI_Costs!$B$10*(1+PMI_Costs!$B$11/100)^INT((A276-1)/12)/12,2))</f>
        <v/>
      </c>
      <c r="AE276" s="21">
        <f>IF(PMI_Costs!$B$12=0,0,ROUND(PMI_Costs!$B$12*(1+PMI_Costs!$B$13/100)^INT((A276-1)/12)/12,2))</f>
        <v/>
      </c>
      <c r="AF276" s="22">
        <f>IF(PMI_Costs!$B$5=0,0,AA276/PMI_Costs!$B$5)</f>
        <v/>
      </c>
      <c r="AG276" s="6">
        <f>AND(PMI_Costs!$B$4&gt;0,AF276&gt;PMI_Costs!$B$6/100)</f>
        <v/>
      </c>
      <c r="AH276" s="21">
        <f>IF(AG276,ROUND(Segments!$G$5*PMI_Costs!$B$4/100/12,2),0)</f>
        <v/>
      </c>
      <c r="AI276" s="6">
        <f>AND(NOT(AG276),AG275)</f>
        <v/>
      </c>
    </row>
    <row r="277">
      <c r="A277" s="18" t="n">
        <v>273</v>
      </c>
      <c r="B277" s="18">
        <f>SUMPRODUCT((Segments!$J$5:$J$12&lt;&gt;"")*(Segments!$J$5:$J$12&lt;=A277))</f>
        <v/>
      </c>
      <c r="C277" s="19">
        <f>INDEX(Segments!$B$5:$B$12,B277)</f>
        <v/>
      </c>
      <c r="D277" s="18">
        <f>INDEX(Segments!$J$5:$J$12,B277)</f>
        <v/>
      </c>
      <c r="E277" s="19">
        <f>DATE(YEAR(C277)+INT((MONTH(C277)-1+(A277-D277))/12),MOD(MONTH(C277)-1+(A277-D277),12)+1,1)+(DAY(C277)-1)</f>
        <v/>
      </c>
      <c r="F277" s="20">
        <f>INDEX(Segments!$C$5:$C$12,B277)/100/12</f>
        <v/>
      </c>
      <c r="G277" s="21">
        <f>INDEX(Segments!$L$5:$L$12,B277)</f>
        <v/>
      </c>
      <c r="H277" s="6">
        <f>INDEX(Segments!$I$5:$I$12,B277)="Y"</f>
        <v/>
      </c>
      <c r="I277" s="6">
        <f>INDEX(Segments!$F$5:$F$12,B277)=""</f>
        <v/>
      </c>
      <c r="J277" s="18">
        <f>INDEX(Segments!$K$5:$K$12,B277)</f>
        <v/>
      </c>
      <c r="K277" s="18">
        <f>IF(INDEX(Segments!$F$5:$F$12,B277)&lt;&gt;"",INDEX(Segments!$F$5:$F$12,B277),IF(INDEX(Segments!$E$5:$E$12,B277)&lt;&gt;"",INDEX(Segments!$E$5:$E$12,B277),""))</f>
        <v/>
      </c>
      <c r="L277" s="21">
        <f>AA276</f>
        <v/>
      </c>
      <c r="M277" s="21">
        <f>IFERROR(INDEX(Overrides!$C:$C,MATCH(A277,Overrides!$A:$A,0)),"")</f>
        <v/>
      </c>
      <c r="N277" s="21">
        <f>IFERROR(INDEX(Overrides!$E:$E,MATCH(A277,Overrides!$A:$A,0)),"")</f>
        <v/>
      </c>
      <c r="O277" s="21">
        <f>IFERROR(INDEX(Overrides!$D:$D,MATCH(A277,Overrides!$A:$A,0)),"")</f>
        <v/>
      </c>
      <c r="P277" s="21">
        <f>IFERROR(INDEX(Overrides!$B:$B,MATCH(A277,Overrides!$A:$A,0)),"")</f>
        <v/>
      </c>
      <c r="Q277" s="6">
        <f>IFERROR(INDEX(Overrides!$F:$F,MATCH(A277,Overrides!$A:$A,0)),"")</f>
        <v/>
      </c>
      <c r="R277" s="6">
        <f>ISNUMBER(MATCH(A277,Overrides!$A:$A,0))</f>
        <v/>
      </c>
      <c r="S277" s="6">
        <f>OR(ROUND(L277-ROUND(G277-T277,2),2)&lt;=0,AND(I277,K277&lt;&gt;"",(A277-D277+1)=K277))</f>
        <v/>
      </c>
      <c r="T277" s="21">
        <f>IF(M277&lt;&gt;"",M277,ROUND(L277*F277,2))</f>
        <v/>
      </c>
      <c r="U277" s="21">
        <f>IF(R277,IF(O277&lt;&gt;"",O277,IF(N277&lt;&gt;"",ROUND(L277-N277,2),ROUND((IF(P277&lt;&gt;"",P277,G277))-T277,2))),IF(H277,0,IF(S277,L277,ROUND(G277-T277,2))))</f>
        <v/>
      </c>
      <c r="V277" s="21">
        <f>IF(R277,IF(P277&lt;&gt;"",P277,ROUND(T277+U277,2)),IF(H277,T277,IF(S277,ROUND(T277+U277,2),G277)))</f>
        <v/>
      </c>
      <c r="W277" s="21">
        <f>IF(R277,IF(N277&lt;&gt;"",N277,ROUND(L277-U277,2)),IF(H277,L277,IF(S277,0,ROUND(L277-U277,2))))</f>
        <v/>
      </c>
      <c r="X277" s="21">
        <f>IFERROR(MIN(INDEX(LumpSums!$B:$B,MATCH(A277,LumpSums!$A:$A,0)),W277),0)</f>
        <v/>
      </c>
      <c r="Y277" s="21">
        <f>ROUND(U277+X277,2)</f>
        <v/>
      </c>
      <c r="Z277" s="21">
        <f>ROUND(V277+X277,2)</f>
        <v/>
      </c>
      <c r="AA277" s="21">
        <f>ROUND(W277-X277,2)</f>
        <v/>
      </c>
      <c r="AB277" s="6">
        <f>AND(AB276,L277&gt;0)</f>
        <v/>
      </c>
      <c r="AC277" s="21">
        <f>IF(PMI_Costs!$B$8=0,0,ROUND(PMI_Costs!$B$8*(1+PMI_Costs!$B$9/100)^INT((A277-1)/12)/12,2))</f>
        <v/>
      </c>
      <c r="AD277" s="21">
        <f>IF(PMI_Costs!$B$10=0,0,ROUND(PMI_Costs!$B$10*(1+PMI_Costs!$B$11/100)^INT((A277-1)/12)/12,2))</f>
        <v/>
      </c>
      <c r="AE277" s="21">
        <f>IF(PMI_Costs!$B$12=0,0,ROUND(PMI_Costs!$B$12*(1+PMI_Costs!$B$13/100)^INT((A277-1)/12)/12,2))</f>
        <v/>
      </c>
      <c r="AF277" s="22">
        <f>IF(PMI_Costs!$B$5=0,0,AA277/PMI_Costs!$B$5)</f>
        <v/>
      </c>
      <c r="AG277" s="6">
        <f>AND(PMI_Costs!$B$4&gt;0,AF277&gt;PMI_Costs!$B$6/100)</f>
        <v/>
      </c>
      <c r="AH277" s="21">
        <f>IF(AG277,ROUND(Segments!$G$5*PMI_Costs!$B$4/100/12,2),0)</f>
        <v/>
      </c>
      <c r="AI277" s="6">
        <f>AND(NOT(AG277),AG276)</f>
        <v/>
      </c>
    </row>
    <row r="278">
      <c r="A278" s="18" t="n">
        <v>274</v>
      </c>
      <c r="B278" s="18">
        <f>SUMPRODUCT((Segments!$J$5:$J$12&lt;&gt;"")*(Segments!$J$5:$J$12&lt;=A278))</f>
        <v/>
      </c>
      <c r="C278" s="19">
        <f>INDEX(Segments!$B$5:$B$12,B278)</f>
        <v/>
      </c>
      <c r="D278" s="18">
        <f>INDEX(Segments!$J$5:$J$12,B278)</f>
        <v/>
      </c>
      <c r="E278" s="19">
        <f>DATE(YEAR(C278)+INT((MONTH(C278)-1+(A278-D278))/12),MOD(MONTH(C278)-1+(A278-D278),12)+1,1)+(DAY(C278)-1)</f>
        <v/>
      </c>
      <c r="F278" s="20">
        <f>INDEX(Segments!$C$5:$C$12,B278)/100/12</f>
        <v/>
      </c>
      <c r="G278" s="21">
        <f>INDEX(Segments!$L$5:$L$12,B278)</f>
        <v/>
      </c>
      <c r="H278" s="6">
        <f>INDEX(Segments!$I$5:$I$12,B278)="Y"</f>
        <v/>
      </c>
      <c r="I278" s="6">
        <f>INDEX(Segments!$F$5:$F$12,B278)=""</f>
        <v/>
      </c>
      <c r="J278" s="18">
        <f>INDEX(Segments!$K$5:$K$12,B278)</f>
        <v/>
      </c>
      <c r="K278" s="18">
        <f>IF(INDEX(Segments!$F$5:$F$12,B278)&lt;&gt;"",INDEX(Segments!$F$5:$F$12,B278),IF(INDEX(Segments!$E$5:$E$12,B278)&lt;&gt;"",INDEX(Segments!$E$5:$E$12,B278),""))</f>
        <v/>
      </c>
      <c r="L278" s="21">
        <f>AA277</f>
        <v/>
      </c>
      <c r="M278" s="21">
        <f>IFERROR(INDEX(Overrides!$C:$C,MATCH(A278,Overrides!$A:$A,0)),"")</f>
        <v/>
      </c>
      <c r="N278" s="21">
        <f>IFERROR(INDEX(Overrides!$E:$E,MATCH(A278,Overrides!$A:$A,0)),"")</f>
        <v/>
      </c>
      <c r="O278" s="21">
        <f>IFERROR(INDEX(Overrides!$D:$D,MATCH(A278,Overrides!$A:$A,0)),"")</f>
        <v/>
      </c>
      <c r="P278" s="21">
        <f>IFERROR(INDEX(Overrides!$B:$B,MATCH(A278,Overrides!$A:$A,0)),"")</f>
        <v/>
      </c>
      <c r="Q278" s="6">
        <f>IFERROR(INDEX(Overrides!$F:$F,MATCH(A278,Overrides!$A:$A,0)),"")</f>
        <v/>
      </c>
      <c r="R278" s="6">
        <f>ISNUMBER(MATCH(A278,Overrides!$A:$A,0))</f>
        <v/>
      </c>
      <c r="S278" s="6">
        <f>OR(ROUND(L278-ROUND(G278-T278,2),2)&lt;=0,AND(I278,K278&lt;&gt;"",(A278-D278+1)=K278))</f>
        <v/>
      </c>
      <c r="T278" s="21">
        <f>IF(M278&lt;&gt;"",M278,ROUND(L278*F278,2))</f>
        <v/>
      </c>
      <c r="U278" s="21">
        <f>IF(R278,IF(O278&lt;&gt;"",O278,IF(N278&lt;&gt;"",ROUND(L278-N278,2),ROUND((IF(P278&lt;&gt;"",P278,G278))-T278,2))),IF(H278,0,IF(S278,L278,ROUND(G278-T278,2))))</f>
        <v/>
      </c>
      <c r="V278" s="21">
        <f>IF(R278,IF(P278&lt;&gt;"",P278,ROUND(T278+U278,2)),IF(H278,T278,IF(S278,ROUND(T278+U278,2),G278)))</f>
        <v/>
      </c>
      <c r="W278" s="21">
        <f>IF(R278,IF(N278&lt;&gt;"",N278,ROUND(L278-U278,2)),IF(H278,L278,IF(S278,0,ROUND(L278-U278,2))))</f>
        <v/>
      </c>
      <c r="X278" s="21">
        <f>IFERROR(MIN(INDEX(LumpSums!$B:$B,MATCH(A278,LumpSums!$A:$A,0)),W278),0)</f>
        <v/>
      </c>
      <c r="Y278" s="21">
        <f>ROUND(U278+X278,2)</f>
        <v/>
      </c>
      <c r="Z278" s="21">
        <f>ROUND(V278+X278,2)</f>
        <v/>
      </c>
      <c r="AA278" s="21">
        <f>ROUND(W278-X278,2)</f>
        <v/>
      </c>
      <c r="AB278" s="6">
        <f>AND(AB277,L278&gt;0)</f>
        <v/>
      </c>
      <c r="AC278" s="21">
        <f>IF(PMI_Costs!$B$8=0,0,ROUND(PMI_Costs!$B$8*(1+PMI_Costs!$B$9/100)^INT((A278-1)/12)/12,2))</f>
        <v/>
      </c>
      <c r="AD278" s="21">
        <f>IF(PMI_Costs!$B$10=0,0,ROUND(PMI_Costs!$B$10*(1+PMI_Costs!$B$11/100)^INT((A278-1)/12)/12,2))</f>
        <v/>
      </c>
      <c r="AE278" s="21">
        <f>IF(PMI_Costs!$B$12=0,0,ROUND(PMI_Costs!$B$12*(1+PMI_Costs!$B$13/100)^INT((A278-1)/12)/12,2))</f>
        <v/>
      </c>
      <c r="AF278" s="22">
        <f>IF(PMI_Costs!$B$5=0,0,AA278/PMI_Costs!$B$5)</f>
        <v/>
      </c>
      <c r="AG278" s="6">
        <f>AND(PMI_Costs!$B$4&gt;0,AF278&gt;PMI_Costs!$B$6/100)</f>
        <v/>
      </c>
      <c r="AH278" s="21">
        <f>IF(AG278,ROUND(Segments!$G$5*PMI_Costs!$B$4/100/12,2),0)</f>
        <v/>
      </c>
      <c r="AI278" s="6">
        <f>AND(NOT(AG278),AG277)</f>
        <v/>
      </c>
    </row>
    <row r="279">
      <c r="A279" s="18" t="n">
        <v>275</v>
      </c>
      <c r="B279" s="18">
        <f>SUMPRODUCT((Segments!$J$5:$J$12&lt;&gt;"")*(Segments!$J$5:$J$12&lt;=A279))</f>
        <v/>
      </c>
      <c r="C279" s="19">
        <f>INDEX(Segments!$B$5:$B$12,B279)</f>
        <v/>
      </c>
      <c r="D279" s="18">
        <f>INDEX(Segments!$J$5:$J$12,B279)</f>
        <v/>
      </c>
      <c r="E279" s="19">
        <f>DATE(YEAR(C279)+INT((MONTH(C279)-1+(A279-D279))/12),MOD(MONTH(C279)-1+(A279-D279),12)+1,1)+(DAY(C279)-1)</f>
        <v/>
      </c>
      <c r="F279" s="20">
        <f>INDEX(Segments!$C$5:$C$12,B279)/100/12</f>
        <v/>
      </c>
      <c r="G279" s="21">
        <f>INDEX(Segments!$L$5:$L$12,B279)</f>
        <v/>
      </c>
      <c r="H279" s="6">
        <f>INDEX(Segments!$I$5:$I$12,B279)="Y"</f>
        <v/>
      </c>
      <c r="I279" s="6">
        <f>INDEX(Segments!$F$5:$F$12,B279)=""</f>
        <v/>
      </c>
      <c r="J279" s="18">
        <f>INDEX(Segments!$K$5:$K$12,B279)</f>
        <v/>
      </c>
      <c r="K279" s="18">
        <f>IF(INDEX(Segments!$F$5:$F$12,B279)&lt;&gt;"",INDEX(Segments!$F$5:$F$12,B279),IF(INDEX(Segments!$E$5:$E$12,B279)&lt;&gt;"",INDEX(Segments!$E$5:$E$12,B279),""))</f>
        <v/>
      </c>
      <c r="L279" s="21">
        <f>AA278</f>
        <v/>
      </c>
      <c r="M279" s="21">
        <f>IFERROR(INDEX(Overrides!$C:$C,MATCH(A279,Overrides!$A:$A,0)),"")</f>
        <v/>
      </c>
      <c r="N279" s="21">
        <f>IFERROR(INDEX(Overrides!$E:$E,MATCH(A279,Overrides!$A:$A,0)),"")</f>
        <v/>
      </c>
      <c r="O279" s="21">
        <f>IFERROR(INDEX(Overrides!$D:$D,MATCH(A279,Overrides!$A:$A,0)),"")</f>
        <v/>
      </c>
      <c r="P279" s="21">
        <f>IFERROR(INDEX(Overrides!$B:$B,MATCH(A279,Overrides!$A:$A,0)),"")</f>
        <v/>
      </c>
      <c r="Q279" s="6">
        <f>IFERROR(INDEX(Overrides!$F:$F,MATCH(A279,Overrides!$A:$A,0)),"")</f>
        <v/>
      </c>
      <c r="R279" s="6">
        <f>ISNUMBER(MATCH(A279,Overrides!$A:$A,0))</f>
        <v/>
      </c>
      <c r="S279" s="6">
        <f>OR(ROUND(L279-ROUND(G279-T279,2),2)&lt;=0,AND(I279,K279&lt;&gt;"",(A279-D279+1)=K279))</f>
        <v/>
      </c>
      <c r="T279" s="21">
        <f>IF(M279&lt;&gt;"",M279,ROUND(L279*F279,2))</f>
        <v/>
      </c>
      <c r="U279" s="21">
        <f>IF(R279,IF(O279&lt;&gt;"",O279,IF(N279&lt;&gt;"",ROUND(L279-N279,2),ROUND((IF(P279&lt;&gt;"",P279,G279))-T279,2))),IF(H279,0,IF(S279,L279,ROUND(G279-T279,2))))</f>
        <v/>
      </c>
      <c r="V279" s="21">
        <f>IF(R279,IF(P279&lt;&gt;"",P279,ROUND(T279+U279,2)),IF(H279,T279,IF(S279,ROUND(T279+U279,2),G279)))</f>
        <v/>
      </c>
      <c r="W279" s="21">
        <f>IF(R279,IF(N279&lt;&gt;"",N279,ROUND(L279-U279,2)),IF(H279,L279,IF(S279,0,ROUND(L279-U279,2))))</f>
        <v/>
      </c>
      <c r="X279" s="21">
        <f>IFERROR(MIN(INDEX(LumpSums!$B:$B,MATCH(A279,LumpSums!$A:$A,0)),W279),0)</f>
        <v/>
      </c>
      <c r="Y279" s="21">
        <f>ROUND(U279+X279,2)</f>
        <v/>
      </c>
      <c r="Z279" s="21">
        <f>ROUND(V279+X279,2)</f>
        <v/>
      </c>
      <c r="AA279" s="21">
        <f>ROUND(W279-X279,2)</f>
        <v/>
      </c>
      <c r="AB279" s="6">
        <f>AND(AB278,L279&gt;0)</f>
        <v/>
      </c>
      <c r="AC279" s="21">
        <f>IF(PMI_Costs!$B$8=0,0,ROUND(PMI_Costs!$B$8*(1+PMI_Costs!$B$9/100)^INT((A279-1)/12)/12,2))</f>
        <v/>
      </c>
      <c r="AD279" s="21">
        <f>IF(PMI_Costs!$B$10=0,0,ROUND(PMI_Costs!$B$10*(1+PMI_Costs!$B$11/100)^INT((A279-1)/12)/12,2))</f>
        <v/>
      </c>
      <c r="AE279" s="21">
        <f>IF(PMI_Costs!$B$12=0,0,ROUND(PMI_Costs!$B$12*(1+PMI_Costs!$B$13/100)^INT((A279-1)/12)/12,2))</f>
        <v/>
      </c>
      <c r="AF279" s="22">
        <f>IF(PMI_Costs!$B$5=0,0,AA279/PMI_Costs!$B$5)</f>
        <v/>
      </c>
      <c r="AG279" s="6">
        <f>AND(PMI_Costs!$B$4&gt;0,AF279&gt;PMI_Costs!$B$6/100)</f>
        <v/>
      </c>
      <c r="AH279" s="21">
        <f>IF(AG279,ROUND(Segments!$G$5*PMI_Costs!$B$4/100/12,2),0)</f>
        <v/>
      </c>
      <c r="AI279" s="6">
        <f>AND(NOT(AG279),AG278)</f>
        <v/>
      </c>
    </row>
    <row r="280">
      <c r="A280" s="18" t="n">
        <v>276</v>
      </c>
      <c r="B280" s="18">
        <f>SUMPRODUCT((Segments!$J$5:$J$12&lt;&gt;"")*(Segments!$J$5:$J$12&lt;=A280))</f>
        <v/>
      </c>
      <c r="C280" s="19">
        <f>INDEX(Segments!$B$5:$B$12,B280)</f>
        <v/>
      </c>
      <c r="D280" s="18">
        <f>INDEX(Segments!$J$5:$J$12,B280)</f>
        <v/>
      </c>
      <c r="E280" s="19">
        <f>DATE(YEAR(C280)+INT((MONTH(C280)-1+(A280-D280))/12),MOD(MONTH(C280)-1+(A280-D280),12)+1,1)+(DAY(C280)-1)</f>
        <v/>
      </c>
      <c r="F280" s="20">
        <f>INDEX(Segments!$C$5:$C$12,B280)/100/12</f>
        <v/>
      </c>
      <c r="G280" s="21">
        <f>INDEX(Segments!$L$5:$L$12,B280)</f>
        <v/>
      </c>
      <c r="H280" s="6">
        <f>INDEX(Segments!$I$5:$I$12,B280)="Y"</f>
        <v/>
      </c>
      <c r="I280" s="6">
        <f>INDEX(Segments!$F$5:$F$12,B280)=""</f>
        <v/>
      </c>
      <c r="J280" s="18">
        <f>INDEX(Segments!$K$5:$K$12,B280)</f>
        <v/>
      </c>
      <c r="K280" s="18">
        <f>IF(INDEX(Segments!$F$5:$F$12,B280)&lt;&gt;"",INDEX(Segments!$F$5:$F$12,B280),IF(INDEX(Segments!$E$5:$E$12,B280)&lt;&gt;"",INDEX(Segments!$E$5:$E$12,B280),""))</f>
        <v/>
      </c>
      <c r="L280" s="21">
        <f>AA279</f>
        <v/>
      </c>
      <c r="M280" s="21">
        <f>IFERROR(INDEX(Overrides!$C:$C,MATCH(A280,Overrides!$A:$A,0)),"")</f>
        <v/>
      </c>
      <c r="N280" s="21">
        <f>IFERROR(INDEX(Overrides!$E:$E,MATCH(A280,Overrides!$A:$A,0)),"")</f>
        <v/>
      </c>
      <c r="O280" s="21">
        <f>IFERROR(INDEX(Overrides!$D:$D,MATCH(A280,Overrides!$A:$A,0)),"")</f>
        <v/>
      </c>
      <c r="P280" s="21">
        <f>IFERROR(INDEX(Overrides!$B:$B,MATCH(A280,Overrides!$A:$A,0)),"")</f>
        <v/>
      </c>
      <c r="Q280" s="6">
        <f>IFERROR(INDEX(Overrides!$F:$F,MATCH(A280,Overrides!$A:$A,0)),"")</f>
        <v/>
      </c>
      <c r="R280" s="6">
        <f>ISNUMBER(MATCH(A280,Overrides!$A:$A,0))</f>
        <v/>
      </c>
      <c r="S280" s="6">
        <f>OR(ROUND(L280-ROUND(G280-T280,2),2)&lt;=0,AND(I280,K280&lt;&gt;"",(A280-D280+1)=K280))</f>
        <v/>
      </c>
      <c r="T280" s="21">
        <f>IF(M280&lt;&gt;"",M280,ROUND(L280*F280,2))</f>
        <v/>
      </c>
      <c r="U280" s="21">
        <f>IF(R280,IF(O280&lt;&gt;"",O280,IF(N280&lt;&gt;"",ROUND(L280-N280,2),ROUND((IF(P280&lt;&gt;"",P280,G280))-T280,2))),IF(H280,0,IF(S280,L280,ROUND(G280-T280,2))))</f>
        <v/>
      </c>
      <c r="V280" s="21">
        <f>IF(R280,IF(P280&lt;&gt;"",P280,ROUND(T280+U280,2)),IF(H280,T280,IF(S280,ROUND(T280+U280,2),G280)))</f>
        <v/>
      </c>
      <c r="W280" s="21">
        <f>IF(R280,IF(N280&lt;&gt;"",N280,ROUND(L280-U280,2)),IF(H280,L280,IF(S280,0,ROUND(L280-U280,2))))</f>
        <v/>
      </c>
      <c r="X280" s="21">
        <f>IFERROR(MIN(INDEX(LumpSums!$B:$B,MATCH(A280,LumpSums!$A:$A,0)),W280),0)</f>
        <v/>
      </c>
      <c r="Y280" s="21">
        <f>ROUND(U280+X280,2)</f>
        <v/>
      </c>
      <c r="Z280" s="21">
        <f>ROUND(V280+X280,2)</f>
        <v/>
      </c>
      <c r="AA280" s="21">
        <f>ROUND(W280-X280,2)</f>
        <v/>
      </c>
      <c r="AB280" s="6">
        <f>AND(AB279,L280&gt;0)</f>
        <v/>
      </c>
      <c r="AC280" s="21">
        <f>IF(PMI_Costs!$B$8=0,0,ROUND(PMI_Costs!$B$8*(1+PMI_Costs!$B$9/100)^INT((A280-1)/12)/12,2))</f>
        <v/>
      </c>
      <c r="AD280" s="21">
        <f>IF(PMI_Costs!$B$10=0,0,ROUND(PMI_Costs!$B$10*(1+PMI_Costs!$B$11/100)^INT((A280-1)/12)/12,2))</f>
        <v/>
      </c>
      <c r="AE280" s="21">
        <f>IF(PMI_Costs!$B$12=0,0,ROUND(PMI_Costs!$B$12*(1+PMI_Costs!$B$13/100)^INT((A280-1)/12)/12,2))</f>
        <v/>
      </c>
      <c r="AF280" s="22">
        <f>IF(PMI_Costs!$B$5=0,0,AA280/PMI_Costs!$B$5)</f>
        <v/>
      </c>
      <c r="AG280" s="6">
        <f>AND(PMI_Costs!$B$4&gt;0,AF280&gt;PMI_Costs!$B$6/100)</f>
        <v/>
      </c>
      <c r="AH280" s="21">
        <f>IF(AG280,ROUND(Segments!$G$5*PMI_Costs!$B$4/100/12,2),0)</f>
        <v/>
      </c>
      <c r="AI280" s="6">
        <f>AND(NOT(AG280),AG279)</f>
        <v/>
      </c>
    </row>
    <row r="281">
      <c r="A281" s="18" t="n">
        <v>277</v>
      </c>
      <c r="B281" s="18">
        <f>SUMPRODUCT((Segments!$J$5:$J$12&lt;&gt;"")*(Segments!$J$5:$J$12&lt;=A281))</f>
        <v/>
      </c>
      <c r="C281" s="19">
        <f>INDEX(Segments!$B$5:$B$12,B281)</f>
        <v/>
      </c>
      <c r="D281" s="18">
        <f>INDEX(Segments!$J$5:$J$12,B281)</f>
        <v/>
      </c>
      <c r="E281" s="19">
        <f>DATE(YEAR(C281)+INT((MONTH(C281)-1+(A281-D281))/12),MOD(MONTH(C281)-1+(A281-D281),12)+1,1)+(DAY(C281)-1)</f>
        <v/>
      </c>
      <c r="F281" s="20">
        <f>INDEX(Segments!$C$5:$C$12,B281)/100/12</f>
        <v/>
      </c>
      <c r="G281" s="21">
        <f>INDEX(Segments!$L$5:$L$12,B281)</f>
        <v/>
      </c>
      <c r="H281" s="6">
        <f>INDEX(Segments!$I$5:$I$12,B281)="Y"</f>
        <v/>
      </c>
      <c r="I281" s="6">
        <f>INDEX(Segments!$F$5:$F$12,B281)=""</f>
        <v/>
      </c>
      <c r="J281" s="18">
        <f>INDEX(Segments!$K$5:$K$12,B281)</f>
        <v/>
      </c>
      <c r="K281" s="18">
        <f>IF(INDEX(Segments!$F$5:$F$12,B281)&lt;&gt;"",INDEX(Segments!$F$5:$F$12,B281),IF(INDEX(Segments!$E$5:$E$12,B281)&lt;&gt;"",INDEX(Segments!$E$5:$E$12,B281),""))</f>
        <v/>
      </c>
      <c r="L281" s="21">
        <f>AA280</f>
        <v/>
      </c>
      <c r="M281" s="21">
        <f>IFERROR(INDEX(Overrides!$C:$C,MATCH(A281,Overrides!$A:$A,0)),"")</f>
        <v/>
      </c>
      <c r="N281" s="21">
        <f>IFERROR(INDEX(Overrides!$E:$E,MATCH(A281,Overrides!$A:$A,0)),"")</f>
        <v/>
      </c>
      <c r="O281" s="21">
        <f>IFERROR(INDEX(Overrides!$D:$D,MATCH(A281,Overrides!$A:$A,0)),"")</f>
        <v/>
      </c>
      <c r="P281" s="21">
        <f>IFERROR(INDEX(Overrides!$B:$B,MATCH(A281,Overrides!$A:$A,0)),"")</f>
        <v/>
      </c>
      <c r="Q281" s="6">
        <f>IFERROR(INDEX(Overrides!$F:$F,MATCH(A281,Overrides!$A:$A,0)),"")</f>
        <v/>
      </c>
      <c r="R281" s="6">
        <f>ISNUMBER(MATCH(A281,Overrides!$A:$A,0))</f>
        <v/>
      </c>
      <c r="S281" s="6">
        <f>OR(ROUND(L281-ROUND(G281-T281,2),2)&lt;=0,AND(I281,K281&lt;&gt;"",(A281-D281+1)=K281))</f>
        <v/>
      </c>
      <c r="T281" s="21">
        <f>IF(M281&lt;&gt;"",M281,ROUND(L281*F281,2))</f>
        <v/>
      </c>
      <c r="U281" s="21">
        <f>IF(R281,IF(O281&lt;&gt;"",O281,IF(N281&lt;&gt;"",ROUND(L281-N281,2),ROUND((IF(P281&lt;&gt;"",P281,G281))-T281,2))),IF(H281,0,IF(S281,L281,ROUND(G281-T281,2))))</f>
        <v/>
      </c>
      <c r="V281" s="21">
        <f>IF(R281,IF(P281&lt;&gt;"",P281,ROUND(T281+U281,2)),IF(H281,T281,IF(S281,ROUND(T281+U281,2),G281)))</f>
        <v/>
      </c>
      <c r="W281" s="21">
        <f>IF(R281,IF(N281&lt;&gt;"",N281,ROUND(L281-U281,2)),IF(H281,L281,IF(S281,0,ROUND(L281-U281,2))))</f>
        <v/>
      </c>
      <c r="X281" s="21">
        <f>IFERROR(MIN(INDEX(LumpSums!$B:$B,MATCH(A281,LumpSums!$A:$A,0)),W281),0)</f>
        <v/>
      </c>
      <c r="Y281" s="21">
        <f>ROUND(U281+X281,2)</f>
        <v/>
      </c>
      <c r="Z281" s="21">
        <f>ROUND(V281+X281,2)</f>
        <v/>
      </c>
      <c r="AA281" s="21">
        <f>ROUND(W281-X281,2)</f>
        <v/>
      </c>
      <c r="AB281" s="6">
        <f>AND(AB280,L281&gt;0)</f>
        <v/>
      </c>
      <c r="AC281" s="21">
        <f>IF(PMI_Costs!$B$8=0,0,ROUND(PMI_Costs!$B$8*(1+PMI_Costs!$B$9/100)^INT((A281-1)/12)/12,2))</f>
        <v/>
      </c>
      <c r="AD281" s="21">
        <f>IF(PMI_Costs!$B$10=0,0,ROUND(PMI_Costs!$B$10*(1+PMI_Costs!$B$11/100)^INT((A281-1)/12)/12,2))</f>
        <v/>
      </c>
      <c r="AE281" s="21">
        <f>IF(PMI_Costs!$B$12=0,0,ROUND(PMI_Costs!$B$12*(1+PMI_Costs!$B$13/100)^INT((A281-1)/12)/12,2))</f>
        <v/>
      </c>
      <c r="AF281" s="22">
        <f>IF(PMI_Costs!$B$5=0,0,AA281/PMI_Costs!$B$5)</f>
        <v/>
      </c>
      <c r="AG281" s="6">
        <f>AND(PMI_Costs!$B$4&gt;0,AF281&gt;PMI_Costs!$B$6/100)</f>
        <v/>
      </c>
      <c r="AH281" s="21">
        <f>IF(AG281,ROUND(Segments!$G$5*PMI_Costs!$B$4/100/12,2),0)</f>
        <v/>
      </c>
      <c r="AI281" s="6">
        <f>AND(NOT(AG281),AG280)</f>
        <v/>
      </c>
    </row>
    <row r="282">
      <c r="A282" s="18" t="n">
        <v>278</v>
      </c>
      <c r="B282" s="18">
        <f>SUMPRODUCT((Segments!$J$5:$J$12&lt;&gt;"")*(Segments!$J$5:$J$12&lt;=A282))</f>
        <v/>
      </c>
      <c r="C282" s="19">
        <f>INDEX(Segments!$B$5:$B$12,B282)</f>
        <v/>
      </c>
      <c r="D282" s="18">
        <f>INDEX(Segments!$J$5:$J$12,B282)</f>
        <v/>
      </c>
      <c r="E282" s="19">
        <f>DATE(YEAR(C282)+INT((MONTH(C282)-1+(A282-D282))/12),MOD(MONTH(C282)-1+(A282-D282),12)+1,1)+(DAY(C282)-1)</f>
        <v/>
      </c>
      <c r="F282" s="20">
        <f>INDEX(Segments!$C$5:$C$12,B282)/100/12</f>
        <v/>
      </c>
      <c r="G282" s="21">
        <f>INDEX(Segments!$L$5:$L$12,B282)</f>
        <v/>
      </c>
      <c r="H282" s="6">
        <f>INDEX(Segments!$I$5:$I$12,B282)="Y"</f>
        <v/>
      </c>
      <c r="I282" s="6">
        <f>INDEX(Segments!$F$5:$F$12,B282)=""</f>
        <v/>
      </c>
      <c r="J282" s="18">
        <f>INDEX(Segments!$K$5:$K$12,B282)</f>
        <v/>
      </c>
      <c r="K282" s="18">
        <f>IF(INDEX(Segments!$F$5:$F$12,B282)&lt;&gt;"",INDEX(Segments!$F$5:$F$12,B282),IF(INDEX(Segments!$E$5:$E$12,B282)&lt;&gt;"",INDEX(Segments!$E$5:$E$12,B282),""))</f>
        <v/>
      </c>
      <c r="L282" s="21">
        <f>AA281</f>
        <v/>
      </c>
      <c r="M282" s="21">
        <f>IFERROR(INDEX(Overrides!$C:$C,MATCH(A282,Overrides!$A:$A,0)),"")</f>
        <v/>
      </c>
      <c r="N282" s="21">
        <f>IFERROR(INDEX(Overrides!$E:$E,MATCH(A282,Overrides!$A:$A,0)),"")</f>
        <v/>
      </c>
      <c r="O282" s="21">
        <f>IFERROR(INDEX(Overrides!$D:$D,MATCH(A282,Overrides!$A:$A,0)),"")</f>
        <v/>
      </c>
      <c r="P282" s="21">
        <f>IFERROR(INDEX(Overrides!$B:$B,MATCH(A282,Overrides!$A:$A,0)),"")</f>
        <v/>
      </c>
      <c r="Q282" s="6">
        <f>IFERROR(INDEX(Overrides!$F:$F,MATCH(A282,Overrides!$A:$A,0)),"")</f>
        <v/>
      </c>
      <c r="R282" s="6">
        <f>ISNUMBER(MATCH(A282,Overrides!$A:$A,0))</f>
        <v/>
      </c>
      <c r="S282" s="6">
        <f>OR(ROUND(L282-ROUND(G282-T282,2),2)&lt;=0,AND(I282,K282&lt;&gt;"",(A282-D282+1)=K282))</f>
        <v/>
      </c>
      <c r="T282" s="21">
        <f>IF(M282&lt;&gt;"",M282,ROUND(L282*F282,2))</f>
        <v/>
      </c>
      <c r="U282" s="21">
        <f>IF(R282,IF(O282&lt;&gt;"",O282,IF(N282&lt;&gt;"",ROUND(L282-N282,2),ROUND((IF(P282&lt;&gt;"",P282,G282))-T282,2))),IF(H282,0,IF(S282,L282,ROUND(G282-T282,2))))</f>
        <v/>
      </c>
      <c r="V282" s="21">
        <f>IF(R282,IF(P282&lt;&gt;"",P282,ROUND(T282+U282,2)),IF(H282,T282,IF(S282,ROUND(T282+U282,2),G282)))</f>
        <v/>
      </c>
      <c r="W282" s="21">
        <f>IF(R282,IF(N282&lt;&gt;"",N282,ROUND(L282-U282,2)),IF(H282,L282,IF(S282,0,ROUND(L282-U282,2))))</f>
        <v/>
      </c>
      <c r="X282" s="21">
        <f>IFERROR(MIN(INDEX(LumpSums!$B:$B,MATCH(A282,LumpSums!$A:$A,0)),W282),0)</f>
        <v/>
      </c>
      <c r="Y282" s="21">
        <f>ROUND(U282+X282,2)</f>
        <v/>
      </c>
      <c r="Z282" s="21">
        <f>ROUND(V282+X282,2)</f>
        <v/>
      </c>
      <c r="AA282" s="21">
        <f>ROUND(W282-X282,2)</f>
        <v/>
      </c>
      <c r="AB282" s="6">
        <f>AND(AB281,L282&gt;0)</f>
        <v/>
      </c>
      <c r="AC282" s="21">
        <f>IF(PMI_Costs!$B$8=0,0,ROUND(PMI_Costs!$B$8*(1+PMI_Costs!$B$9/100)^INT((A282-1)/12)/12,2))</f>
        <v/>
      </c>
      <c r="AD282" s="21">
        <f>IF(PMI_Costs!$B$10=0,0,ROUND(PMI_Costs!$B$10*(1+PMI_Costs!$B$11/100)^INT((A282-1)/12)/12,2))</f>
        <v/>
      </c>
      <c r="AE282" s="21">
        <f>IF(PMI_Costs!$B$12=0,0,ROUND(PMI_Costs!$B$12*(1+PMI_Costs!$B$13/100)^INT((A282-1)/12)/12,2))</f>
        <v/>
      </c>
      <c r="AF282" s="22">
        <f>IF(PMI_Costs!$B$5=0,0,AA282/PMI_Costs!$B$5)</f>
        <v/>
      </c>
      <c r="AG282" s="6">
        <f>AND(PMI_Costs!$B$4&gt;0,AF282&gt;PMI_Costs!$B$6/100)</f>
        <v/>
      </c>
      <c r="AH282" s="21">
        <f>IF(AG282,ROUND(Segments!$G$5*PMI_Costs!$B$4/100/12,2),0)</f>
        <v/>
      </c>
      <c r="AI282" s="6">
        <f>AND(NOT(AG282),AG281)</f>
        <v/>
      </c>
    </row>
    <row r="283">
      <c r="A283" s="18" t="n">
        <v>279</v>
      </c>
      <c r="B283" s="18">
        <f>SUMPRODUCT((Segments!$J$5:$J$12&lt;&gt;"")*(Segments!$J$5:$J$12&lt;=A283))</f>
        <v/>
      </c>
      <c r="C283" s="19">
        <f>INDEX(Segments!$B$5:$B$12,B283)</f>
        <v/>
      </c>
      <c r="D283" s="18">
        <f>INDEX(Segments!$J$5:$J$12,B283)</f>
        <v/>
      </c>
      <c r="E283" s="19">
        <f>DATE(YEAR(C283)+INT((MONTH(C283)-1+(A283-D283))/12),MOD(MONTH(C283)-1+(A283-D283),12)+1,1)+(DAY(C283)-1)</f>
        <v/>
      </c>
      <c r="F283" s="20">
        <f>INDEX(Segments!$C$5:$C$12,B283)/100/12</f>
        <v/>
      </c>
      <c r="G283" s="21">
        <f>INDEX(Segments!$L$5:$L$12,B283)</f>
        <v/>
      </c>
      <c r="H283" s="6">
        <f>INDEX(Segments!$I$5:$I$12,B283)="Y"</f>
        <v/>
      </c>
      <c r="I283" s="6">
        <f>INDEX(Segments!$F$5:$F$12,B283)=""</f>
        <v/>
      </c>
      <c r="J283" s="18">
        <f>INDEX(Segments!$K$5:$K$12,B283)</f>
        <v/>
      </c>
      <c r="K283" s="18">
        <f>IF(INDEX(Segments!$F$5:$F$12,B283)&lt;&gt;"",INDEX(Segments!$F$5:$F$12,B283),IF(INDEX(Segments!$E$5:$E$12,B283)&lt;&gt;"",INDEX(Segments!$E$5:$E$12,B283),""))</f>
        <v/>
      </c>
      <c r="L283" s="21">
        <f>AA282</f>
        <v/>
      </c>
      <c r="M283" s="21">
        <f>IFERROR(INDEX(Overrides!$C:$C,MATCH(A283,Overrides!$A:$A,0)),"")</f>
        <v/>
      </c>
      <c r="N283" s="21">
        <f>IFERROR(INDEX(Overrides!$E:$E,MATCH(A283,Overrides!$A:$A,0)),"")</f>
        <v/>
      </c>
      <c r="O283" s="21">
        <f>IFERROR(INDEX(Overrides!$D:$D,MATCH(A283,Overrides!$A:$A,0)),"")</f>
        <v/>
      </c>
      <c r="P283" s="21">
        <f>IFERROR(INDEX(Overrides!$B:$B,MATCH(A283,Overrides!$A:$A,0)),"")</f>
        <v/>
      </c>
      <c r="Q283" s="6">
        <f>IFERROR(INDEX(Overrides!$F:$F,MATCH(A283,Overrides!$A:$A,0)),"")</f>
        <v/>
      </c>
      <c r="R283" s="6">
        <f>ISNUMBER(MATCH(A283,Overrides!$A:$A,0))</f>
        <v/>
      </c>
      <c r="S283" s="6">
        <f>OR(ROUND(L283-ROUND(G283-T283,2),2)&lt;=0,AND(I283,K283&lt;&gt;"",(A283-D283+1)=K283))</f>
        <v/>
      </c>
      <c r="T283" s="21">
        <f>IF(M283&lt;&gt;"",M283,ROUND(L283*F283,2))</f>
        <v/>
      </c>
      <c r="U283" s="21">
        <f>IF(R283,IF(O283&lt;&gt;"",O283,IF(N283&lt;&gt;"",ROUND(L283-N283,2),ROUND((IF(P283&lt;&gt;"",P283,G283))-T283,2))),IF(H283,0,IF(S283,L283,ROUND(G283-T283,2))))</f>
        <v/>
      </c>
      <c r="V283" s="21">
        <f>IF(R283,IF(P283&lt;&gt;"",P283,ROUND(T283+U283,2)),IF(H283,T283,IF(S283,ROUND(T283+U283,2),G283)))</f>
        <v/>
      </c>
      <c r="W283" s="21">
        <f>IF(R283,IF(N283&lt;&gt;"",N283,ROUND(L283-U283,2)),IF(H283,L283,IF(S283,0,ROUND(L283-U283,2))))</f>
        <v/>
      </c>
      <c r="X283" s="21">
        <f>IFERROR(MIN(INDEX(LumpSums!$B:$B,MATCH(A283,LumpSums!$A:$A,0)),W283),0)</f>
        <v/>
      </c>
      <c r="Y283" s="21">
        <f>ROUND(U283+X283,2)</f>
        <v/>
      </c>
      <c r="Z283" s="21">
        <f>ROUND(V283+X283,2)</f>
        <v/>
      </c>
      <c r="AA283" s="21">
        <f>ROUND(W283-X283,2)</f>
        <v/>
      </c>
      <c r="AB283" s="6">
        <f>AND(AB282,L283&gt;0)</f>
        <v/>
      </c>
      <c r="AC283" s="21">
        <f>IF(PMI_Costs!$B$8=0,0,ROUND(PMI_Costs!$B$8*(1+PMI_Costs!$B$9/100)^INT((A283-1)/12)/12,2))</f>
        <v/>
      </c>
      <c r="AD283" s="21">
        <f>IF(PMI_Costs!$B$10=0,0,ROUND(PMI_Costs!$B$10*(1+PMI_Costs!$B$11/100)^INT((A283-1)/12)/12,2))</f>
        <v/>
      </c>
      <c r="AE283" s="21">
        <f>IF(PMI_Costs!$B$12=0,0,ROUND(PMI_Costs!$B$12*(1+PMI_Costs!$B$13/100)^INT((A283-1)/12)/12,2))</f>
        <v/>
      </c>
      <c r="AF283" s="22">
        <f>IF(PMI_Costs!$B$5=0,0,AA283/PMI_Costs!$B$5)</f>
        <v/>
      </c>
      <c r="AG283" s="6">
        <f>AND(PMI_Costs!$B$4&gt;0,AF283&gt;PMI_Costs!$B$6/100)</f>
        <v/>
      </c>
      <c r="AH283" s="21">
        <f>IF(AG283,ROUND(Segments!$G$5*PMI_Costs!$B$4/100/12,2),0)</f>
        <v/>
      </c>
      <c r="AI283" s="6">
        <f>AND(NOT(AG283),AG282)</f>
        <v/>
      </c>
    </row>
    <row r="284">
      <c r="A284" s="18" t="n">
        <v>280</v>
      </c>
      <c r="B284" s="18">
        <f>SUMPRODUCT((Segments!$J$5:$J$12&lt;&gt;"")*(Segments!$J$5:$J$12&lt;=A284))</f>
        <v/>
      </c>
      <c r="C284" s="19">
        <f>INDEX(Segments!$B$5:$B$12,B284)</f>
        <v/>
      </c>
      <c r="D284" s="18">
        <f>INDEX(Segments!$J$5:$J$12,B284)</f>
        <v/>
      </c>
      <c r="E284" s="19">
        <f>DATE(YEAR(C284)+INT((MONTH(C284)-1+(A284-D284))/12),MOD(MONTH(C284)-1+(A284-D284),12)+1,1)+(DAY(C284)-1)</f>
        <v/>
      </c>
      <c r="F284" s="20">
        <f>INDEX(Segments!$C$5:$C$12,B284)/100/12</f>
        <v/>
      </c>
      <c r="G284" s="21">
        <f>INDEX(Segments!$L$5:$L$12,B284)</f>
        <v/>
      </c>
      <c r="H284" s="6">
        <f>INDEX(Segments!$I$5:$I$12,B284)="Y"</f>
        <v/>
      </c>
      <c r="I284" s="6">
        <f>INDEX(Segments!$F$5:$F$12,B284)=""</f>
        <v/>
      </c>
      <c r="J284" s="18">
        <f>INDEX(Segments!$K$5:$K$12,B284)</f>
        <v/>
      </c>
      <c r="K284" s="18">
        <f>IF(INDEX(Segments!$F$5:$F$12,B284)&lt;&gt;"",INDEX(Segments!$F$5:$F$12,B284),IF(INDEX(Segments!$E$5:$E$12,B284)&lt;&gt;"",INDEX(Segments!$E$5:$E$12,B284),""))</f>
        <v/>
      </c>
      <c r="L284" s="21">
        <f>AA283</f>
        <v/>
      </c>
      <c r="M284" s="21">
        <f>IFERROR(INDEX(Overrides!$C:$C,MATCH(A284,Overrides!$A:$A,0)),"")</f>
        <v/>
      </c>
      <c r="N284" s="21">
        <f>IFERROR(INDEX(Overrides!$E:$E,MATCH(A284,Overrides!$A:$A,0)),"")</f>
        <v/>
      </c>
      <c r="O284" s="21">
        <f>IFERROR(INDEX(Overrides!$D:$D,MATCH(A284,Overrides!$A:$A,0)),"")</f>
        <v/>
      </c>
      <c r="P284" s="21">
        <f>IFERROR(INDEX(Overrides!$B:$B,MATCH(A284,Overrides!$A:$A,0)),"")</f>
        <v/>
      </c>
      <c r="Q284" s="6">
        <f>IFERROR(INDEX(Overrides!$F:$F,MATCH(A284,Overrides!$A:$A,0)),"")</f>
        <v/>
      </c>
      <c r="R284" s="6">
        <f>ISNUMBER(MATCH(A284,Overrides!$A:$A,0))</f>
        <v/>
      </c>
      <c r="S284" s="6">
        <f>OR(ROUND(L284-ROUND(G284-T284,2),2)&lt;=0,AND(I284,K284&lt;&gt;"",(A284-D284+1)=K284))</f>
        <v/>
      </c>
      <c r="T284" s="21">
        <f>IF(M284&lt;&gt;"",M284,ROUND(L284*F284,2))</f>
        <v/>
      </c>
      <c r="U284" s="21">
        <f>IF(R284,IF(O284&lt;&gt;"",O284,IF(N284&lt;&gt;"",ROUND(L284-N284,2),ROUND((IF(P284&lt;&gt;"",P284,G284))-T284,2))),IF(H284,0,IF(S284,L284,ROUND(G284-T284,2))))</f>
        <v/>
      </c>
      <c r="V284" s="21">
        <f>IF(R284,IF(P284&lt;&gt;"",P284,ROUND(T284+U284,2)),IF(H284,T284,IF(S284,ROUND(T284+U284,2),G284)))</f>
        <v/>
      </c>
      <c r="W284" s="21">
        <f>IF(R284,IF(N284&lt;&gt;"",N284,ROUND(L284-U284,2)),IF(H284,L284,IF(S284,0,ROUND(L284-U284,2))))</f>
        <v/>
      </c>
      <c r="X284" s="21">
        <f>IFERROR(MIN(INDEX(LumpSums!$B:$B,MATCH(A284,LumpSums!$A:$A,0)),W284),0)</f>
        <v/>
      </c>
      <c r="Y284" s="21">
        <f>ROUND(U284+X284,2)</f>
        <v/>
      </c>
      <c r="Z284" s="21">
        <f>ROUND(V284+X284,2)</f>
        <v/>
      </c>
      <c r="AA284" s="21">
        <f>ROUND(W284-X284,2)</f>
        <v/>
      </c>
      <c r="AB284" s="6">
        <f>AND(AB283,L284&gt;0)</f>
        <v/>
      </c>
      <c r="AC284" s="21">
        <f>IF(PMI_Costs!$B$8=0,0,ROUND(PMI_Costs!$B$8*(1+PMI_Costs!$B$9/100)^INT((A284-1)/12)/12,2))</f>
        <v/>
      </c>
      <c r="AD284" s="21">
        <f>IF(PMI_Costs!$B$10=0,0,ROUND(PMI_Costs!$B$10*(1+PMI_Costs!$B$11/100)^INT((A284-1)/12)/12,2))</f>
        <v/>
      </c>
      <c r="AE284" s="21">
        <f>IF(PMI_Costs!$B$12=0,0,ROUND(PMI_Costs!$B$12*(1+PMI_Costs!$B$13/100)^INT((A284-1)/12)/12,2))</f>
        <v/>
      </c>
      <c r="AF284" s="22">
        <f>IF(PMI_Costs!$B$5=0,0,AA284/PMI_Costs!$B$5)</f>
        <v/>
      </c>
      <c r="AG284" s="6">
        <f>AND(PMI_Costs!$B$4&gt;0,AF284&gt;PMI_Costs!$B$6/100)</f>
        <v/>
      </c>
      <c r="AH284" s="21">
        <f>IF(AG284,ROUND(Segments!$G$5*PMI_Costs!$B$4/100/12,2),0)</f>
        <v/>
      </c>
      <c r="AI284" s="6">
        <f>AND(NOT(AG284),AG283)</f>
        <v/>
      </c>
    </row>
    <row r="285">
      <c r="A285" s="18" t="n">
        <v>281</v>
      </c>
      <c r="B285" s="18">
        <f>SUMPRODUCT((Segments!$J$5:$J$12&lt;&gt;"")*(Segments!$J$5:$J$12&lt;=A285))</f>
        <v/>
      </c>
      <c r="C285" s="19">
        <f>INDEX(Segments!$B$5:$B$12,B285)</f>
        <v/>
      </c>
      <c r="D285" s="18">
        <f>INDEX(Segments!$J$5:$J$12,B285)</f>
        <v/>
      </c>
      <c r="E285" s="19">
        <f>DATE(YEAR(C285)+INT((MONTH(C285)-1+(A285-D285))/12),MOD(MONTH(C285)-1+(A285-D285),12)+1,1)+(DAY(C285)-1)</f>
        <v/>
      </c>
      <c r="F285" s="20">
        <f>INDEX(Segments!$C$5:$C$12,B285)/100/12</f>
        <v/>
      </c>
      <c r="G285" s="21">
        <f>INDEX(Segments!$L$5:$L$12,B285)</f>
        <v/>
      </c>
      <c r="H285" s="6">
        <f>INDEX(Segments!$I$5:$I$12,B285)="Y"</f>
        <v/>
      </c>
      <c r="I285" s="6">
        <f>INDEX(Segments!$F$5:$F$12,B285)=""</f>
        <v/>
      </c>
      <c r="J285" s="18">
        <f>INDEX(Segments!$K$5:$K$12,B285)</f>
        <v/>
      </c>
      <c r="K285" s="18">
        <f>IF(INDEX(Segments!$F$5:$F$12,B285)&lt;&gt;"",INDEX(Segments!$F$5:$F$12,B285),IF(INDEX(Segments!$E$5:$E$12,B285)&lt;&gt;"",INDEX(Segments!$E$5:$E$12,B285),""))</f>
        <v/>
      </c>
      <c r="L285" s="21">
        <f>AA284</f>
        <v/>
      </c>
      <c r="M285" s="21">
        <f>IFERROR(INDEX(Overrides!$C:$C,MATCH(A285,Overrides!$A:$A,0)),"")</f>
        <v/>
      </c>
      <c r="N285" s="21">
        <f>IFERROR(INDEX(Overrides!$E:$E,MATCH(A285,Overrides!$A:$A,0)),"")</f>
        <v/>
      </c>
      <c r="O285" s="21">
        <f>IFERROR(INDEX(Overrides!$D:$D,MATCH(A285,Overrides!$A:$A,0)),"")</f>
        <v/>
      </c>
      <c r="P285" s="21">
        <f>IFERROR(INDEX(Overrides!$B:$B,MATCH(A285,Overrides!$A:$A,0)),"")</f>
        <v/>
      </c>
      <c r="Q285" s="6">
        <f>IFERROR(INDEX(Overrides!$F:$F,MATCH(A285,Overrides!$A:$A,0)),"")</f>
        <v/>
      </c>
      <c r="R285" s="6">
        <f>ISNUMBER(MATCH(A285,Overrides!$A:$A,0))</f>
        <v/>
      </c>
      <c r="S285" s="6">
        <f>OR(ROUND(L285-ROUND(G285-T285,2),2)&lt;=0,AND(I285,K285&lt;&gt;"",(A285-D285+1)=K285))</f>
        <v/>
      </c>
      <c r="T285" s="21">
        <f>IF(M285&lt;&gt;"",M285,ROUND(L285*F285,2))</f>
        <v/>
      </c>
      <c r="U285" s="21">
        <f>IF(R285,IF(O285&lt;&gt;"",O285,IF(N285&lt;&gt;"",ROUND(L285-N285,2),ROUND((IF(P285&lt;&gt;"",P285,G285))-T285,2))),IF(H285,0,IF(S285,L285,ROUND(G285-T285,2))))</f>
        <v/>
      </c>
      <c r="V285" s="21">
        <f>IF(R285,IF(P285&lt;&gt;"",P285,ROUND(T285+U285,2)),IF(H285,T285,IF(S285,ROUND(T285+U285,2),G285)))</f>
        <v/>
      </c>
      <c r="W285" s="21">
        <f>IF(R285,IF(N285&lt;&gt;"",N285,ROUND(L285-U285,2)),IF(H285,L285,IF(S285,0,ROUND(L285-U285,2))))</f>
        <v/>
      </c>
      <c r="X285" s="21">
        <f>IFERROR(MIN(INDEX(LumpSums!$B:$B,MATCH(A285,LumpSums!$A:$A,0)),W285),0)</f>
        <v/>
      </c>
      <c r="Y285" s="21">
        <f>ROUND(U285+X285,2)</f>
        <v/>
      </c>
      <c r="Z285" s="21">
        <f>ROUND(V285+X285,2)</f>
        <v/>
      </c>
      <c r="AA285" s="21">
        <f>ROUND(W285-X285,2)</f>
        <v/>
      </c>
      <c r="AB285" s="6">
        <f>AND(AB284,L285&gt;0)</f>
        <v/>
      </c>
      <c r="AC285" s="21">
        <f>IF(PMI_Costs!$B$8=0,0,ROUND(PMI_Costs!$B$8*(1+PMI_Costs!$B$9/100)^INT((A285-1)/12)/12,2))</f>
        <v/>
      </c>
      <c r="AD285" s="21">
        <f>IF(PMI_Costs!$B$10=0,0,ROUND(PMI_Costs!$B$10*(1+PMI_Costs!$B$11/100)^INT((A285-1)/12)/12,2))</f>
        <v/>
      </c>
      <c r="AE285" s="21">
        <f>IF(PMI_Costs!$B$12=0,0,ROUND(PMI_Costs!$B$12*(1+PMI_Costs!$B$13/100)^INT((A285-1)/12)/12,2))</f>
        <v/>
      </c>
      <c r="AF285" s="22">
        <f>IF(PMI_Costs!$B$5=0,0,AA285/PMI_Costs!$B$5)</f>
        <v/>
      </c>
      <c r="AG285" s="6">
        <f>AND(PMI_Costs!$B$4&gt;0,AF285&gt;PMI_Costs!$B$6/100)</f>
        <v/>
      </c>
      <c r="AH285" s="21">
        <f>IF(AG285,ROUND(Segments!$G$5*PMI_Costs!$B$4/100/12,2),0)</f>
        <v/>
      </c>
      <c r="AI285" s="6">
        <f>AND(NOT(AG285),AG284)</f>
        <v/>
      </c>
    </row>
    <row r="286">
      <c r="A286" s="18" t="n">
        <v>282</v>
      </c>
      <c r="B286" s="18">
        <f>SUMPRODUCT((Segments!$J$5:$J$12&lt;&gt;"")*(Segments!$J$5:$J$12&lt;=A286))</f>
        <v/>
      </c>
      <c r="C286" s="19">
        <f>INDEX(Segments!$B$5:$B$12,B286)</f>
        <v/>
      </c>
      <c r="D286" s="18">
        <f>INDEX(Segments!$J$5:$J$12,B286)</f>
        <v/>
      </c>
      <c r="E286" s="19">
        <f>DATE(YEAR(C286)+INT((MONTH(C286)-1+(A286-D286))/12),MOD(MONTH(C286)-1+(A286-D286),12)+1,1)+(DAY(C286)-1)</f>
        <v/>
      </c>
      <c r="F286" s="20">
        <f>INDEX(Segments!$C$5:$C$12,B286)/100/12</f>
        <v/>
      </c>
      <c r="G286" s="21">
        <f>INDEX(Segments!$L$5:$L$12,B286)</f>
        <v/>
      </c>
      <c r="H286" s="6">
        <f>INDEX(Segments!$I$5:$I$12,B286)="Y"</f>
        <v/>
      </c>
      <c r="I286" s="6">
        <f>INDEX(Segments!$F$5:$F$12,B286)=""</f>
        <v/>
      </c>
      <c r="J286" s="18">
        <f>INDEX(Segments!$K$5:$K$12,B286)</f>
        <v/>
      </c>
      <c r="K286" s="18">
        <f>IF(INDEX(Segments!$F$5:$F$12,B286)&lt;&gt;"",INDEX(Segments!$F$5:$F$12,B286),IF(INDEX(Segments!$E$5:$E$12,B286)&lt;&gt;"",INDEX(Segments!$E$5:$E$12,B286),""))</f>
        <v/>
      </c>
      <c r="L286" s="21">
        <f>AA285</f>
        <v/>
      </c>
      <c r="M286" s="21">
        <f>IFERROR(INDEX(Overrides!$C:$C,MATCH(A286,Overrides!$A:$A,0)),"")</f>
        <v/>
      </c>
      <c r="N286" s="21">
        <f>IFERROR(INDEX(Overrides!$E:$E,MATCH(A286,Overrides!$A:$A,0)),"")</f>
        <v/>
      </c>
      <c r="O286" s="21">
        <f>IFERROR(INDEX(Overrides!$D:$D,MATCH(A286,Overrides!$A:$A,0)),"")</f>
        <v/>
      </c>
      <c r="P286" s="21">
        <f>IFERROR(INDEX(Overrides!$B:$B,MATCH(A286,Overrides!$A:$A,0)),"")</f>
        <v/>
      </c>
      <c r="Q286" s="6">
        <f>IFERROR(INDEX(Overrides!$F:$F,MATCH(A286,Overrides!$A:$A,0)),"")</f>
        <v/>
      </c>
      <c r="R286" s="6">
        <f>ISNUMBER(MATCH(A286,Overrides!$A:$A,0))</f>
        <v/>
      </c>
      <c r="S286" s="6">
        <f>OR(ROUND(L286-ROUND(G286-T286,2),2)&lt;=0,AND(I286,K286&lt;&gt;"",(A286-D286+1)=K286))</f>
        <v/>
      </c>
      <c r="T286" s="21">
        <f>IF(M286&lt;&gt;"",M286,ROUND(L286*F286,2))</f>
        <v/>
      </c>
      <c r="U286" s="21">
        <f>IF(R286,IF(O286&lt;&gt;"",O286,IF(N286&lt;&gt;"",ROUND(L286-N286,2),ROUND((IF(P286&lt;&gt;"",P286,G286))-T286,2))),IF(H286,0,IF(S286,L286,ROUND(G286-T286,2))))</f>
        <v/>
      </c>
      <c r="V286" s="21">
        <f>IF(R286,IF(P286&lt;&gt;"",P286,ROUND(T286+U286,2)),IF(H286,T286,IF(S286,ROUND(T286+U286,2),G286)))</f>
        <v/>
      </c>
      <c r="W286" s="21">
        <f>IF(R286,IF(N286&lt;&gt;"",N286,ROUND(L286-U286,2)),IF(H286,L286,IF(S286,0,ROUND(L286-U286,2))))</f>
        <v/>
      </c>
      <c r="X286" s="21">
        <f>IFERROR(MIN(INDEX(LumpSums!$B:$B,MATCH(A286,LumpSums!$A:$A,0)),W286),0)</f>
        <v/>
      </c>
      <c r="Y286" s="21">
        <f>ROUND(U286+X286,2)</f>
        <v/>
      </c>
      <c r="Z286" s="21">
        <f>ROUND(V286+X286,2)</f>
        <v/>
      </c>
      <c r="AA286" s="21">
        <f>ROUND(W286-X286,2)</f>
        <v/>
      </c>
      <c r="AB286" s="6">
        <f>AND(AB285,L286&gt;0)</f>
        <v/>
      </c>
      <c r="AC286" s="21">
        <f>IF(PMI_Costs!$B$8=0,0,ROUND(PMI_Costs!$B$8*(1+PMI_Costs!$B$9/100)^INT((A286-1)/12)/12,2))</f>
        <v/>
      </c>
      <c r="AD286" s="21">
        <f>IF(PMI_Costs!$B$10=0,0,ROUND(PMI_Costs!$B$10*(1+PMI_Costs!$B$11/100)^INT((A286-1)/12)/12,2))</f>
        <v/>
      </c>
      <c r="AE286" s="21">
        <f>IF(PMI_Costs!$B$12=0,0,ROUND(PMI_Costs!$B$12*(1+PMI_Costs!$B$13/100)^INT((A286-1)/12)/12,2))</f>
        <v/>
      </c>
      <c r="AF286" s="22">
        <f>IF(PMI_Costs!$B$5=0,0,AA286/PMI_Costs!$B$5)</f>
        <v/>
      </c>
      <c r="AG286" s="6">
        <f>AND(PMI_Costs!$B$4&gt;0,AF286&gt;PMI_Costs!$B$6/100)</f>
        <v/>
      </c>
      <c r="AH286" s="21">
        <f>IF(AG286,ROUND(Segments!$G$5*PMI_Costs!$B$4/100/12,2),0)</f>
        <v/>
      </c>
      <c r="AI286" s="6">
        <f>AND(NOT(AG286),AG285)</f>
        <v/>
      </c>
    </row>
    <row r="287">
      <c r="A287" s="18" t="n">
        <v>283</v>
      </c>
      <c r="B287" s="18">
        <f>SUMPRODUCT((Segments!$J$5:$J$12&lt;&gt;"")*(Segments!$J$5:$J$12&lt;=A287))</f>
        <v/>
      </c>
      <c r="C287" s="19">
        <f>INDEX(Segments!$B$5:$B$12,B287)</f>
        <v/>
      </c>
      <c r="D287" s="18">
        <f>INDEX(Segments!$J$5:$J$12,B287)</f>
        <v/>
      </c>
      <c r="E287" s="19">
        <f>DATE(YEAR(C287)+INT((MONTH(C287)-1+(A287-D287))/12),MOD(MONTH(C287)-1+(A287-D287),12)+1,1)+(DAY(C287)-1)</f>
        <v/>
      </c>
      <c r="F287" s="20">
        <f>INDEX(Segments!$C$5:$C$12,B287)/100/12</f>
        <v/>
      </c>
      <c r="G287" s="21">
        <f>INDEX(Segments!$L$5:$L$12,B287)</f>
        <v/>
      </c>
      <c r="H287" s="6">
        <f>INDEX(Segments!$I$5:$I$12,B287)="Y"</f>
        <v/>
      </c>
      <c r="I287" s="6">
        <f>INDEX(Segments!$F$5:$F$12,B287)=""</f>
        <v/>
      </c>
      <c r="J287" s="18">
        <f>INDEX(Segments!$K$5:$K$12,B287)</f>
        <v/>
      </c>
      <c r="K287" s="18">
        <f>IF(INDEX(Segments!$F$5:$F$12,B287)&lt;&gt;"",INDEX(Segments!$F$5:$F$12,B287),IF(INDEX(Segments!$E$5:$E$12,B287)&lt;&gt;"",INDEX(Segments!$E$5:$E$12,B287),""))</f>
        <v/>
      </c>
      <c r="L287" s="21">
        <f>AA286</f>
        <v/>
      </c>
      <c r="M287" s="21">
        <f>IFERROR(INDEX(Overrides!$C:$C,MATCH(A287,Overrides!$A:$A,0)),"")</f>
        <v/>
      </c>
      <c r="N287" s="21">
        <f>IFERROR(INDEX(Overrides!$E:$E,MATCH(A287,Overrides!$A:$A,0)),"")</f>
        <v/>
      </c>
      <c r="O287" s="21">
        <f>IFERROR(INDEX(Overrides!$D:$D,MATCH(A287,Overrides!$A:$A,0)),"")</f>
        <v/>
      </c>
      <c r="P287" s="21">
        <f>IFERROR(INDEX(Overrides!$B:$B,MATCH(A287,Overrides!$A:$A,0)),"")</f>
        <v/>
      </c>
      <c r="Q287" s="6">
        <f>IFERROR(INDEX(Overrides!$F:$F,MATCH(A287,Overrides!$A:$A,0)),"")</f>
        <v/>
      </c>
      <c r="R287" s="6">
        <f>ISNUMBER(MATCH(A287,Overrides!$A:$A,0))</f>
        <v/>
      </c>
      <c r="S287" s="6">
        <f>OR(ROUND(L287-ROUND(G287-T287,2),2)&lt;=0,AND(I287,K287&lt;&gt;"",(A287-D287+1)=K287))</f>
        <v/>
      </c>
      <c r="T287" s="21">
        <f>IF(M287&lt;&gt;"",M287,ROUND(L287*F287,2))</f>
        <v/>
      </c>
      <c r="U287" s="21">
        <f>IF(R287,IF(O287&lt;&gt;"",O287,IF(N287&lt;&gt;"",ROUND(L287-N287,2),ROUND((IF(P287&lt;&gt;"",P287,G287))-T287,2))),IF(H287,0,IF(S287,L287,ROUND(G287-T287,2))))</f>
        <v/>
      </c>
      <c r="V287" s="21">
        <f>IF(R287,IF(P287&lt;&gt;"",P287,ROUND(T287+U287,2)),IF(H287,T287,IF(S287,ROUND(T287+U287,2),G287)))</f>
        <v/>
      </c>
      <c r="W287" s="21">
        <f>IF(R287,IF(N287&lt;&gt;"",N287,ROUND(L287-U287,2)),IF(H287,L287,IF(S287,0,ROUND(L287-U287,2))))</f>
        <v/>
      </c>
      <c r="X287" s="21">
        <f>IFERROR(MIN(INDEX(LumpSums!$B:$B,MATCH(A287,LumpSums!$A:$A,0)),W287),0)</f>
        <v/>
      </c>
      <c r="Y287" s="21">
        <f>ROUND(U287+X287,2)</f>
        <v/>
      </c>
      <c r="Z287" s="21">
        <f>ROUND(V287+X287,2)</f>
        <v/>
      </c>
      <c r="AA287" s="21">
        <f>ROUND(W287-X287,2)</f>
        <v/>
      </c>
      <c r="AB287" s="6">
        <f>AND(AB286,L287&gt;0)</f>
        <v/>
      </c>
      <c r="AC287" s="21">
        <f>IF(PMI_Costs!$B$8=0,0,ROUND(PMI_Costs!$B$8*(1+PMI_Costs!$B$9/100)^INT((A287-1)/12)/12,2))</f>
        <v/>
      </c>
      <c r="AD287" s="21">
        <f>IF(PMI_Costs!$B$10=0,0,ROUND(PMI_Costs!$B$10*(1+PMI_Costs!$B$11/100)^INT((A287-1)/12)/12,2))</f>
        <v/>
      </c>
      <c r="AE287" s="21">
        <f>IF(PMI_Costs!$B$12=0,0,ROUND(PMI_Costs!$B$12*(1+PMI_Costs!$B$13/100)^INT((A287-1)/12)/12,2))</f>
        <v/>
      </c>
      <c r="AF287" s="22">
        <f>IF(PMI_Costs!$B$5=0,0,AA287/PMI_Costs!$B$5)</f>
        <v/>
      </c>
      <c r="AG287" s="6">
        <f>AND(PMI_Costs!$B$4&gt;0,AF287&gt;PMI_Costs!$B$6/100)</f>
        <v/>
      </c>
      <c r="AH287" s="21">
        <f>IF(AG287,ROUND(Segments!$G$5*PMI_Costs!$B$4/100/12,2),0)</f>
        <v/>
      </c>
      <c r="AI287" s="6">
        <f>AND(NOT(AG287),AG286)</f>
        <v/>
      </c>
    </row>
    <row r="288">
      <c r="A288" s="18" t="n">
        <v>284</v>
      </c>
      <c r="B288" s="18">
        <f>SUMPRODUCT((Segments!$J$5:$J$12&lt;&gt;"")*(Segments!$J$5:$J$12&lt;=A288))</f>
        <v/>
      </c>
      <c r="C288" s="19">
        <f>INDEX(Segments!$B$5:$B$12,B288)</f>
        <v/>
      </c>
      <c r="D288" s="18">
        <f>INDEX(Segments!$J$5:$J$12,B288)</f>
        <v/>
      </c>
      <c r="E288" s="19">
        <f>DATE(YEAR(C288)+INT((MONTH(C288)-1+(A288-D288))/12),MOD(MONTH(C288)-1+(A288-D288),12)+1,1)+(DAY(C288)-1)</f>
        <v/>
      </c>
      <c r="F288" s="20">
        <f>INDEX(Segments!$C$5:$C$12,B288)/100/12</f>
        <v/>
      </c>
      <c r="G288" s="21">
        <f>INDEX(Segments!$L$5:$L$12,B288)</f>
        <v/>
      </c>
      <c r="H288" s="6">
        <f>INDEX(Segments!$I$5:$I$12,B288)="Y"</f>
        <v/>
      </c>
      <c r="I288" s="6">
        <f>INDEX(Segments!$F$5:$F$12,B288)=""</f>
        <v/>
      </c>
      <c r="J288" s="18">
        <f>INDEX(Segments!$K$5:$K$12,B288)</f>
        <v/>
      </c>
      <c r="K288" s="18">
        <f>IF(INDEX(Segments!$F$5:$F$12,B288)&lt;&gt;"",INDEX(Segments!$F$5:$F$12,B288),IF(INDEX(Segments!$E$5:$E$12,B288)&lt;&gt;"",INDEX(Segments!$E$5:$E$12,B288),""))</f>
        <v/>
      </c>
      <c r="L288" s="21">
        <f>AA287</f>
        <v/>
      </c>
      <c r="M288" s="21">
        <f>IFERROR(INDEX(Overrides!$C:$C,MATCH(A288,Overrides!$A:$A,0)),"")</f>
        <v/>
      </c>
      <c r="N288" s="21">
        <f>IFERROR(INDEX(Overrides!$E:$E,MATCH(A288,Overrides!$A:$A,0)),"")</f>
        <v/>
      </c>
      <c r="O288" s="21">
        <f>IFERROR(INDEX(Overrides!$D:$D,MATCH(A288,Overrides!$A:$A,0)),"")</f>
        <v/>
      </c>
      <c r="P288" s="21">
        <f>IFERROR(INDEX(Overrides!$B:$B,MATCH(A288,Overrides!$A:$A,0)),"")</f>
        <v/>
      </c>
      <c r="Q288" s="6">
        <f>IFERROR(INDEX(Overrides!$F:$F,MATCH(A288,Overrides!$A:$A,0)),"")</f>
        <v/>
      </c>
      <c r="R288" s="6">
        <f>ISNUMBER(MATCH(A288,Overrides!$A:$A,0))</f>
        <v/>
      </c>
      <c r="S288" s="6">
        <f>OR(ROUND(L288-ROUND(G288-T288,2),2)&lt;=0,AND(I288,K288&lt;&gt;"",(A288-D288+1)=K288))</f>
        <v/>
      </c>
      <c r="T288" s="21">
        <f>IF(M288&lt;&gt;"",M288,ROUND(L288*F288,2))</f>
        <v/>
      </c>
      <c r="U288" s="21">
        <f>IF(R288,IF(O288&lt;&gt;"",O288,IF(N288&lt;&gt;"",ROUND(L288-N288,2),ROUND((IF(P288&lt;&gt;"",P288,G288))-T288,2))),IF(H288,0,IF(S288,L288,ROUND(G288-T288,2))))</f>
        <v/>
      </c>
      <c r="V288" s="21">
        <f>IF(R288,IF(P288&lt;&gt;"",P288,ROUND(T288+U288,2)),IF(H288,T288,IF(S288,ROUND(T288+U288,2),G288)))</f>
        <v/>
      </c>
      <c r="W288" s="21">
        <f>IF(R288,IF(N288&lt;&gt;"",N288,ROUND(L288-U288,2)),IF(H288,L288,IF(S288,0,ROUND(L288-U288,2))))</f>
        <v/>
      </c>
      <c r="X288" s="21">
        <f>IFERROR(MIN(INDEX(LumpSums!$B:$B,MATCH(A288,LumpSums!$A:$A,0)),W288),0)</f>
        <v/>
      </c>
      <c r="Y288" s="21">
        <f>ROUND(U288+X288,2)</f>
        <v/>
      </c>
      <c r="Z288" s="21">
        <f>ROUND(V288+X288,2)</f>
        <v/>
      </c>
      <c r="AA288" s="21">
        <f>ROUND(W288-X288,2)</f>
        <v/>
      </c>
      <c r="AB288" s="6">
        <f>AND(AB287,L288&gt;0)</f>
        <v/>
      </c>
      <c r="AC288" s="21">
        <f>IF(PMI_Costs!$B$8=0,0,ROUND(PMI_Costs!$B$8*(1+PMI_Costs!$B$9/100)^INT((A288-1)/12)/12,2))</f>
        <v/>
      </c>
      <c r="AD288" s="21">
        <f>IF(PMI_Costs!$B$10=0,0,ROUND(PMI_Costs!$B$10*(1+PMI_Costs!$B$11/100)^INT((A288-1)/12)/12,2))</f>
        <v/>
      </c>
      <c r="AE288" s="21">
        <f>IF(PMI_Costs!$B$12=0,0,ROUND(PMI_Costs!$B$12*(1+PMI_Costs!$B$13/100)^INT((A288-1)/12)/12,2))</f>
        <v/>
      </c>
      <c r="AF288" s="22">
        <f>IF(PMI_Costs!$B$5=0,0,AA288/PMI_Costs!$B$5)</f>
        <v/>
      </c>
      <c r="AG288" s="6">
        <f>AND(PMI_Costs!$B$4&gt;0,AF288&gt;PMI_Costs!$B$6/100)</f>
        <v/>
      </c>
      <c r="AH288" s="21">
        <f>IF(AG288,ROUND(Segments!$G$5*PMI_Costs!$B$4/100/12,2),0)</f>
        <v/>
      </c>
      <c r="AI288" s="6">
        <f>AND(NOT(AG288),AG287)</f>
        <v/>
      </c>
    </row>
    <row r="289">
      <c r="A289" s="18" t="n">
        <v>285</v>
      </c>
      <c r="B289" s="18">
        <f>SUMPRODUCT((Segments!$J$5:$J$12&lt;&gt;"")*(Segments!$J$5:$J$12&lt;=A289))</f>
        <v/>
      </c>
      <c r="C289" s="19">
        <f>INDEX(Segments!$B$5:$B$12,B289)</f>
        <v/>
      </c>
      <c r="D289" s="18">
        <f>INDEX(Segments!$J$5:$J$12,B289)</f>
        <v/>
      </c>
      <c r="E289" s="19">
        <f>DATE(YEAR(C289)+INT((MONTH(C289)-1+(A289-D289))/12),MOD(MONTH(C289)-1+(A289-D289),12)+1,1)+(DAY(C289)-1)</f>
        <v/>
      </c>
      <c r="F289" s="20">
        <f>INDEX(Segments!$C$5:$C$12,B289)/100/12</f>
        <v/>
      </c>
      <c r="G289" s="21">
        <f>INDEX(Segments!$L$5:$L$12,B289)</f>
        <v/>
      </c>
      <c r="H289" s="6">
        <f>INDEX(Segments!$I$5:$I$12,B289)="Y"</f>
        <v/>
      </c>
      <c r="I289" s="6">
        <f>INDEX(Segments!$F$5:$F$12,B289)=""</f>
        <v/>
      </c>
      <c r="J289" s="18">
        <f>INDEX(Segments!$K$5:$K$12,B289)</f>
        <v/>
      </c>
      <c r="K289" s="18">
        <f>IF(INDEX(Segments!$F$5:$F$12,B289)&lt;&gt;"",INDEX(Segments!$F$5:$F$12,B289),IF(INDEX(Segments!$E$5:$E$12,B289)&lt;&gt;"",INDEX(Segments!$E$5:$E$12,B289),""))</f>
        <v/>
      </c>
      <c r="L289" s="21">
        <f>AA288</f>
        <v/>
      </c>
      <c r="M289" s="21">
        <f>IFERROR(INDEX(Overrides!$C:$C,MATCH(A289,Overrides!$A:$A,0)),"")</f>
        <v/>
      </c>
      <c r="N289" s="21">
        <f>IFERROR(INDEX(Overrides!$E:$E,MATCH(A289,Overrides!$A:$A,0)),"")</f>
        <v/>
      </c>
      <c r="O289" s="21">
        <f>IFERROR(INDEX(Overrides!$D:$D,MATCH(A289,Overrides!$A:$A,0)),"")</f>
        <v/>
      </c>
      <c r="P289" s="21">
        <f>IFERROR(INDEX(Overrides!$B:$B,MATCH(A289,Overrides!$A:$A,0)),"")</f>
        <v/>
      </c>
      <c r="Q289" s="6">
        <f>IFERROR(INDEX(Overrides!$F:$F,MATCH(A289,Overrides!$A:$A,0)),"")</f>
        <v/>
      </c>
      <c r="R289" s="6">
        <f>ISNUMBER(MATCH(A289,Overrides!$A:$A,0))</f>
        <v/>
      </c>
      <c r="S289" s="6">
        <f>OR(ROUND(L289-ROUND(G289-T289,2),2)&lt;=0,AND(I289,K289&lt;&gt;"",(A289-D289+1)=K289))</f>
        <v/>
      </c>
      <c r="T289" s="21">
        <f>IF(M289&lt;&gt;"",M289,ROUND(L289*F289,2))</f>
        <v/>
      </c>
      <c r="U289" s="21">
        <f>IF(R289,IF(O289&lt;&gt;"",O289,IF(N289&lt;&gt;"",ROUND(L289-N289,2),ROUND((IF(P289&lt;&gt;"",P289,G289))-T289,2))),IF(H289,0,IF(S289,L289,ROUND(G289-T289,2))))</f>
        <v/>
      </c>
      <c r="V289" s="21">
        <f>IF(R289,IF(P289&lt;&gt;"",P289,ROUND(T289+U289,2)),IF(H289,T289,IF(S289,ROUND(T289+U289,2),G289)))</f>
        <v/>
      </c>
      <c r="W289" s="21">
        <f>IF(R289,IF(N289&lt;&gt;"",N289,ROUND(L289-U289,2)),IF(H289,L289,IF(S289,0,ROUND(L289-U289,2))))</f>
        <v/>
      </c>
      <c r="X289" s="21">
        <f>IFERROR(MIN(INDEX(LumpSums!$B:$B,MATCH(A289,LumpSums!$A:$A,0)),W289),0)</f>
        <v/>
      </c>
      <c r="Y289" s="21">
        <f>ROUND(U289+X289,2)</f>
        <v/>
      </c>
      <c r="Z289" s="21">
        <f>ROUND(V289+X289,2)</f>
        <v/>
      </c>
      <c r="AA289" s="21">
        <f>ROUND(W289-X289,2)</f>
        <v/>
      </c>
      <c r="AB289" s="6">
        <f>AND(AB288,L289&gt;0)</f>
        <v/>
      </c>
      <c r="AC289" s="21">
        <f>IF(PMI_Costs!$B$8=0,0,ROUND(PMI_Costs!$B$8*(1+PMI_Costs!$B$9/100)^INT((A289-1)/12)/12,2))</f>
        <v/>
      </c>
      <c r="AD289" s="21">
        <f>IF(PMI_Costs!$B$10=0,0,ROUND(PMI_Costs!$B$10*(1+PMI_Costs!$B$11/100)^INT((A289-1)/12)/12,2))</f>
        <v/>
      </c>
      <c r="AE289" s="21">
        <f>IF(PMI_Costs!$B$12=0,0,ROUND(PMI_Costs!$B$12*(1+PMI_Costs!$B$13/100)^INT((A289-1)/12)/12,2))</f>
        <v/>
      </c>
      <c r="AF289" s="22">
        <f>IF(PMI_Costs!$B$5=0,0,AA289/PMI_Costs!$B$5)</f>
        <v/>
      </c>
      <c r="AG289" s="6">
        <f>AND(PMI_Costs!$B$4&gt;0,AF289&gt;PMI_Costs!$B$6/100)</f>
        <v/>
      </c>
      <c r="AH289" s="21">
        <f>IF(AG289,ROUND(Segments!$G$5*PMI_Costs!$B$4/100/12,2),0)</f>
        <v/>
      </c>
      <c r="AI289" s="6">
        <f>AND(NOT(AG289),AG288)</f>
        <v/>
      </c>
    </row>
    <row r="290">
      <c r="A290" s="18" t="n">
        <v>286</v>
      </c>
      <c r="B290" s="18">
        <f>SUMPRODUCT((Segments!$J$5:$J$12&lt;&gt;"")*(Segments!$J$5:$J$12&lt;=A290))</f>
        <v/>
      </c>
      <c r="C290" s="19">
        <f>INDEX(Segments!$B$5:$B$12,B290)</f>
        <v/>
      </c>
      <c r="D290" s="18">
        <f>INDEX(Segments!$J$5:$J$12,B290)</f>
        <v/>
      </c>
      <c r="E290" s="19">
        <f>DATE(YEAR(C290)+INT((MONTH(C290)-1+(A290-D290))/12),MOD(MONTH(C290)-1+(A290-D290),12)+1,1)+(DAY(C290)-1)</f>
        <v/>
      </c>
      <c r="F290" s="20">
        <f>INDEX(Segments!$C$5:$C$12,B290)/100/12</f>
        <v/>
      </c>
      <c r="G290" s="21">
        <f>INDEX(Segments!$L$5:$L$12,B290)</f>
        <v/>
      </c>
      <c r="H290" s="6">
        <f>INDEX(Segments!$I$5:$I$12,B290)="Y"</f>
        <v/>
      </c>
      <c r="I290" s="6">
        <f>INDEX(Segments!$F$5:$F$12,B290)=""</f>
        <v/>
      </c>
      <c r="J290" s="18">
        <f>INDEX(Segments!$K$5:$K$12,B290)</f>
        <v/>
      </c>
      <c r="K290" s="18">
        <f>IF(INDEX(Segments!$F$5:$F$12,B290)&lt;&gt;"",INDEX(Segments!$F$5:$F$12,B290),IF(INDEX(Segments!$E$5:$E$12,B290)&lt;&gt;"",INDEX(Segments!$E$5:$E$12,B290),""))</f>
        <v/>
      </c>
      <c r="L290" s="21">
        <f>AA289</f>
        <v/>
      </c>
      <c r="M290" s="21">
        <f>IFERROR(INDEX(Overrides!$C:$C,MATCH(A290,Overrides!$A:$A,0)),"")</f>
        <v/>
      </c>
      <c r="N290" s="21">
        <f>IFERROR(INDEX(Overrides!$E:$E,MATCH(A290,Overrides!$A:$A,0)),"")</f>
        <v/>
      </c>
      <c r="O290" s="21">
        <f>IFERROR(INDEX(Overrides!$D:$D,MATCH(A290,Overrides!$A:$A,0)),"")</f>
        <v/>
      </c>
      <c r="P290" s="21">
        <f>IFERROR(INDEX(Overrides!$B:$B,MATCH(A290,Overrides!$A:$A,0)),"")</f>
        <v/>
      </c>
      <c r="Q290" s="6">
        <f>IFERROR(INDEX(Overrides!$F:$F,MATCH(A290,Overrides!$A:$A,0)),"")</f>
        <v/>
      </c>
      <c r="R290" s="6">
        <f>ISNUMBER(MATCH(A290,Overrides!$A:$A,0))</f>
        <v/>
      </c>
      <c r="S290" s="6">
        <f>OR(ROUND(L290-ROUND(G290-T290,2),2)&lt;=0,AND(I290,K290&lt;&gt;"",(A290-D290+1)=K290))</f>
        <v/>
      </c>
      <c r="T290" s="21">
        <f>IF(M290&lt;&gt;"",M290,ROUND(L290*F290,2))</f>
        <v/>
      </c>
      <c r="U290" s="21">
        <f>IF(R290,IF(O290&lt;&gt;"",O290,IF(N290&lt;&gt;"",ROUND(L290-N290,2),ROUND((IF(P290&lt;&gt;"",P290,G290))-T290,2))),IF(H290,0,IF(S290,L290,ROUND(G290-T290,2))))</f>
        <v/>
      </c>
      <c r="V290" s="21">
        <f>IF(R290,IF(P290&lt;&gt;"",P290,ROUND(T290+U290,2)),IF(H290,T290,IF(S290,ROUND(T290+U290,2),G290)))</f>
        <v/>
      </c>
      <c r="W290" s="21">
        <f>IF(R290,IF(N290&lt;&gt;"",N290,ROUND(L290-U290,2)),IF(H290,L290,IF(S290,0,ROUND(L290-U290,2))))</f>
        <v/>
      </c>
      <c r="X290" s="21">
        <f>IFERROR(MIN(INDEX(LumpSums!$B:$B,MATCH(A290,LumpSums!$A:$A,0)),W290),0)</f>
        <v/>
      </c>
      <c r="Y290" s="21">
        <f>ROUND(U290+X290,2)</f>
        <v/>
      </c>
      <c r="Z290" s="21">
        <f>ROUND(V290+X290,2)</f>
        <v/>
      </c>
      <c r="AA290" s="21">
        <f>ROUND(W290-X290,2)</f>
        <v/>
      </c>
      <c r="AB290" s="6">
        <f>AND(AB289,L290&gt;0)</f>
        <v/>
      </c>
      <c r="AC290" s="21">
        <f>IF(PMI_Costs!$B$8=0,0,ROUND(PMI_Costs!$B$8*(1+PMI_Costs!$B$9/100)^INT((A290-1)/12)/12,2))</f>
        <v/>
      </c>
      <c r="AD290" s="21">
        <f>IF(PMI_Costs!$B$10=0,0,ROUND(PMI_Costs!$B$10*(1+PMI_Costs!$B$11/100)^INT((A290-1)/12)/12,2))</f>
        <v/>
      </c>
      <c r="AE290" s="21">
        <f>IF(PMI_Costs!$B$12=0,0,ROUND(PMI_Costs!$B$12*(1+PMI_Costs!$B$13/100)^INT((A290-1)/12)/12,2))</f>
        <v/>
      </c>
      <c r="AF290" s="22">
        <f>IF(PMI_Costs!$B$5=0,0,AA290/PMI_Costs!$B$5)</f>
        <v/>
      </c>
      <c r="AG290" s="6">
        <f>AND(PMI_Costs!$B$4&gt;0,AF290&gt;PMI_Costs!$B$6/100)</f>
        <v/>
      </c>
      <c r="AH290" s="21">
        <f>IF(AG290,ROUND(Segments!$G$5*PMI_Costs!$B$4/100/12,2),0)</f>
        <v/>
      </c>
      <c r="AI290" s="6">
        <f>AND(NOT(AG290),AG289)</f>
        <v/>
      </c>
    </row>
    <row r="291">
      <c r="A291" s="18" t="n">
        <v>287</v>
      </c>
      <c r="B291" s="18">
        <f>SUMPRODUCT((Segments!$J$5:$J$12&lt;&gt;"")*(Segments!$J$5:$J$12&lt;=A291))</f>
        <v/>
      </c>
      <c r="C291" s="19">
        <f>INDEX(Segments!$B$5:$B$12,B291)</f>
        <v/>
      </c>
      <c r="D291" s="18">
        <f>INDEX(Segments!$J$5:$J$12,B291)</f>
        <v/>
      </c>
      <c r="E291" s="19">
        <f>DATE(YEAR(C291)+INT((MONTH(C291)-1+(A291-D291))/12),MOD(MONTH(C291)-1+(A291-D291),12)+1,1)+(DAY(C291)-1)</f>
        <v/>
      </c>
      <c r="F291" s="20">
        <f>INDEX(Segments!$C$5:$C$12,B291)/100/12</f>
        <v/>
      </c>
      <c r="G291" s="21">
        <f>INDEX(Segments!$L$5:$L$12,B291)</f>
        <v/>
      </c>
      <c r="H291" s="6">
        <f>INDEX(Segments!$I$5:$I$12,B291)="Y"</f>
        <v/>
      </c>
      <c r="I291" s="6">
        <f>INDEX(Segments!$F$5:$F$12,B291)=""</f>
        <v/>
      </c>
      <c r="J291" s="18">
        <f>INDEX(Segments!$K$5:$K$12,B291)</f>
        <v/>
      </c>
      <c r="K291" s="18">
        <f>IF(INDEX(Segments!$F$5:$F$12,B291)&lt;&gt;"",INDEX(Segments!$F$5:$F$12,B291),IF(INDEX(Segments!$E$5:$E$12,B291)&lt;&gt;"",INDEX(Segments!$E$5:$E$12,B291),""))</f>
        <v/>
      </c>
      <c r="L291" s="21">
        <f>AA290</f>
        <v/>
      </c>
      <c r="M291" s="21">
        <f>IFERROR(INDEX(Overrides!$C:$C,MATCH(A291,Overrides!$A:$A,0)),"")</f>
        <v/>
      </c>
      <c r="N291" s="21">
        <f>IFERROR(INDEX(Overrides!$E:$E,MATCH(A291,Overrides!$A:$A,0)),"")</f>
        <v/>
      </c>
      <c r="O291" s="21">
        <f>IFERROR(INDEX(Overrides!$D:$D,MATCH(A291,Overrides!$A:$A,0)),"")</f>
        <v/>
      </c>
      <c r="P291" s="21">
        <f>IFERROR(INDEX(Overrides!$B:$B,MATCH(A291,Overrides!$A:$A,0)),"")</f>
        <v/>
      </c>
      <c r="Q291" s="6">
        <f>IFERROR(INDEX(Overrides!$F:$F,MATCH(A291,Overrides!$A:$A,0)),"")</f>
        <v/>
      </c>
      <c r="R291" s="6">
        <f>ISNUMBER(MATCH(A291,Overrides!$A:$A,0))</f>
        <v/>
      </c>
      <c r="S291" s="6">
        <f>OR(ROUND(L291-ROUND(G291-T291,2),2)&lt;=0,AND(I291,K291&lt;&gt;"",(A291-D291+1)=K291))</f>
        <v/>
      </c>
      <c r="T291" s="21">
        <f>IF(M291&lt;&gt;"",M291,ROUND(L291*F291,2))</f>
        <v/>
      </c>
      <c r="U291" s="21">
        <f>IF(R291,IF(O291&lt;&gt;"",O291,IF(N291&lt;&gt;"",ROUND(L291-N291,2),ROUND((IF(P291&lt;&gt;"",P291,G291))-T291,2))),IF(H291,0,IF(S291,L291,ROUND(G291-T291,2))))</f>
        <v/>
      </c>
      <c r="V291" s="21">
        <f>IF(R291,IF(P291&lt;&gt;"",P291,ROUND(T291+U291,2)),IF(H291,T291,IF(S291,ROUND(T291+U291,2),G291)))</f>
        <v/>
      </c>
      <c r="W291" s="21">
        <f>IF(R291,IF(N291&lt;&gt;"",N291,ROUND(L291-U291,2)),IF(H291,L291,IF(S291,0,ROUND(L291-U291,2))))</f>
        <v/>
      </c>
      <c r="X291" s="21">
        <f>IFERROR(MIN(INDEX(LumpSums!$B:$B,MATCH(A291,LumpSums!$A:$A,0)),W291),0)</f>
        <v/>
      </c>
      <c r="Y291" s="21">
        <f>ROUND(U291+X291,2)</f>
        <v/>
      </c>
      <c r="Z291" s="21">
        <f>ROUND(V291+X291,2)</f>
        <v/>
      </c>
      <c r="AA291" s="21">
        <f>ROUND(W291-X291,2)</f>
        <v/>
      </c>
      <c r="AB291" s="6">
        <f>AND(AB290,L291&gt;0)</f>
        <v/>
      </c>
      <c r="AC291" s="21">
        <f>IF(PMI_Costs!$B$8=0,0,ROUND(PMI_Costs!$B$8*(1+PMI_Costs!$B$9/100)^INT((A291-1)/12)/12,2))</f>
        <v/>
      </c>
      <c r="AD291" s="21">
        <f>IF(PMI_Costs!$B$10=0,0,ROUND(PMI_Costs!$B$10*(1+PMI_Costs!$B$11/100)^INT((A291-1)/12)/12,2))</f>
        <v/>
      </c>
      <c r="AE291" s="21">
        <f>IF(PMI_Costs!$B$12=0,0,ROUND(PMI_Costs!$B$12*(1+PMI_Costs!$B$13/100)^INT((A291-1)/12)/12,2))</f>
        <v/>
      </c>
      <c r="AF291" s="22">
        <f>IF(PMI_Costs!$B$5=0,0,AA291/PMI_Costs!$B$5)</f>
        <v/>
      </c>
      <c r="AG291" s="6">
        <f>AND(PMI_Costs!$B$4&gt;0,AF291&gt;PMI_Costs!$B$6/100)</f>
        <v/>
      </c>
      <c r="AH291" s="21">
        <f>IF(AG291,ROUND(Segments!$G$5*PMI_Costs!$B$4/100/12,2),0)</f>
        <v/>
      </c>
      <c r="AI291" s="6">
        <f>AND(NOT(AG291),AG290)</f>
        <v/>
      </c>
    </row>
    <row r="292">
      <c r="A292" s="18" t="n">
        <v>288</v>
      </c>
      <c r="B292" s="18">
        <f>SUMPRODUCT((Segments!$J$5:$J$12&lt;&gt;"")*(Segments!$J$5:$J$12&lt;=A292))</f>
        <v/>
      </c>
      <c r="C292" s="19">
        <f>INDEX(Segments!$B$5:$B$12,B292)</f>
        <v/>
      </c>
      <c r="D292" s="18">
        <f>INDEX(Segments!$J$5:$J$12,B292)</f>
        <v/>
      </c>
      <c r="E292" s="19">
        <f>DATE(YEAR(C292)+INT((MONTH(C292)-1+(A292-D292))/12),MOD(MONTH(C292)-1+(A292-D292),12)+1,1)+(DAY(C292)-1)</f>
        <v/>
      </c>
      <c r="F292" s="20">
        <f>INDEX(Segments!$C$5:$C$12,B292)/100/12</f>
        <v/>
      </c>
      <c r="G292" s="21">
        <f>INDEX(Segments!$L$5:$L$12,B292)</f>
        <v/>
      </c>
      <c r="H292" s="6">
        <f>INDEX(Segments!$I$5:$I$12,B292)="Y"</f>
        <v/>
      </c>
      <c r="I292" s="6">
        <f>INDEX(Segments!$F$5:$F$12,B292)=""</f>
        <v/>
      </c>
      <c r="J292" s="18">
        <f>INDEX(Segments!$K$5:$K$12,B292)</f>
        <v/>
      </c>
      <c r="K292" s="18">
        <f>IF(INDEX(Segments!$F$5:$F$12,B292)&lt;&gt;"",INDEX(Segments!$F$5:$F$12,B292),IF(INDEX(Segments!$E$5:$E$12,B292)&lt;&gt;"",INDEX(Segments!$E$5:$E$12,B292),""))</f>
        <v/>
      </c>
      <c r="L292" s="21">
        <f>AA291</f>
        <v/>
      </c>
      <c r="M292" s="21">
        <f>IFERROR(INDEX(Overrides!$C:$C,MATCH(A292,Overrides!$A:$A,0)),"")</f>
        <v/>
      </c>
      <c r="N292" s="21">
        <f>IFERROR(INDEX(Overrides!$E:$E,MATCH(A292,Overrides!$A:$A,0)),"")</f>
        <v/>
      </c>
      <c r="O292" s="21">
        <f>IFERROR(INDEX(Overrides!$D:$D,MATCH(A292,Overrides!$A:$A,0)),"")</f>
        <v/>
      </c>
      <c r="P292" s="21">
        <f>IFERROR(INDEX(Overrides!$B:$B,MATCH(A292,Overrides!$A:$A,0)),"")</f>
        <v/>
      </c>
      <c r="Q292" s="6">
        <f>IFERROR(INDEX(Overrides!$F:$F,MATCH(A292,Overrides!$A:$A,0)),"")</f>
        <v/>
      </c>
      <c r="R292" s="6">
        <f>ISNUMBER(MATCH(A292,Overrides!$A:$A,0))</f>
        <v/>
      </c>
      <c r="S292" s="6">
        <f>OR(ROUND(L292-ROUND(G292-T292,2),2)&lt;=0,AND(I292,K292&lt;&gt;"",(A292-D292+1)=K292))</f>
        <v/>
      </c>
      <c r="T292" s="21">
        <f>IF(M292&lt;&gt;"",M292,ROUND(L292*F292,2))</f>
        <v/>
      </c>
      <c r="U292" s="21">
        <f>IF(R292,IF(O292&lt;&gt;"",O292,IF(N292&lt;&gt;"",ROUND(L292-N292,2),ROUND((IF(P292&lt;&gt;"",P292,G292))-T292,2))),IF(H292,0,IF(S292,L292,ROUND(G292-T292,2))))</f>
        <v/>
      </c>
      <c r="V292" s="21">
        <f>IF(R292,IF(P292&lt;&gt;"",P292,ROUND(T292+U292,2)),IF(H292,T292,IF(S292,ROUND(T292+U292,2),G292)))</f>
        <v/>
      </c>
      <c r="W292" s="21">
        <f>IF(R292,IF(N292&lt;&gt;"",N292,ROUND(L292-U292,2)),IF(H292,L292,IF(S292,0,ROUND(L292-U292,2))))</f>
        <v/>
      </c>
      <c r="X292" s="21">
        <f>IFERROR(MIN(INDEX(LumpSums!$B:$B,MATCH(A292,LumpSums!$A:$A,0)),W292),0)</f>
        <v/>
      </c>
      <c r="Y292" s="21">
        <f>ROUND(U292+X292,2)</f>
        <v/>
      </c>
      <c r="Z292" s="21">
        <f>ROUND(V292+X292,2)</f>
        <v/>
      </c>
      <c r="AA292" s="21">
        <f>ROUND(W292-X292,2)</f>
        <v/>
      </c>
      <c r="AB292" s="6">
        <f>AND(AB291,L292&gt;0)</f>
        <v/>
      </c>
      <c r="AC292" s="21">
        <f>IF(PMI_Costs!$B$8=0,0,ROUND(PMI_Costs!$B$8*(1+PMI_Costs!$B$9/100)^INT((A292-1)/12)/12,2))</f>
        <v/>
      </c>
      <c r="AD292" s="21">
        <f>IF(PMI_Costs!$B$10=0,0,ROUND(PMI_Costs!$B$10*(1+PMI_Costs!$B$11/100)^INT((A292-1)/12)/12,2))</f>
        <v/>
      </c>
      <c r="AE292" s="21">
        <f>IF(PMI_Costs!$B$12=0,0,ROUND(PMI_Costs!$B$12*(1+PMI_Costs!$B$13/100)^INT((A292-1)/12)/12,2))</f>
        <v/>
      </c>
      <c r="AF292" s="22">
        <f>IF(PMI_Costs!$B$5=0,0,AA292/PMI_Costs!$B$5)</f>
        <v/>
      </c>
      <c r="AG292" s="6">
        <f>AND(PMI_Costs!$B$4&gt;0,AF292&gt;PMI_Costs!$B$6/100)</f>
        <v/>
      </c>
      <c r="AH292" s="21">
        <f>IF(AG292,ROUND(Segments!$G$5*PMI_Costs!$B$4/100/12,2),0)</f>
        <v/>
      </c>
      <c r="AI292" s="6">
        <f>AND(NOT(AG292),AG291)</f>
        <v/>
      </c>
    </row>
    <row r="293">
      <c r="A293" s="18" t="n">
        <v>289</v>
      </c>
      <c r="B293" s="18">
        <f>SUMPRODUCT((Segments!$J$5:$J$12&lt;&gt;"")*(Segments!$J$5:$J$12&lt;=A293))</f>
        <v/>
      </c>
      <c r="C293" s="19">
        <f>INDEX(Segments!$B$5:$B$12,B293)</f>
        <v/>
      </c>
      <c r="D293" s="18">
        <f>INDEX(Segments!$J$5:$J$12,B293)</f>
        <v/>
      </c>
      <c r="E293" s="19">
        <f>DATE(YEAR(C293)+INT((MONTH(C293)-1+(A293-D293))/12),MOD(MONTH(C293)-1+(A293-D293),12)+1,1)+(DAY(C293)-1)</f>
        <v/>
      </c>
      <c r="F293" s="20">
        <f>INDEX(Segments!$C$5:$C$12,B293)/100/12</f>
        <v/>
      </c>
      <c r="G293" s="21">
        <f>INDEX(Segments!$L$5:$L$12,B293)</f>
        <v/>
      </c>
      <c r="H293" s="6">
        <f>INDEX(Segments!$I$5:$I$12,B293)="Y"</f>
        <v/>
      </c>
      <c r="I293" s="6">
        <f>INDEX(Segments!$F$5:$F$12,B293)=""</f>
        <v/>
      </c>
      <c r="J293" s="18">
        <f>INDEX(Segments!$K$5:$K$12,B293)</f>
        <v/>
      </c>
      <c r="K293" s="18">
        <f>IF(INDEX(Segments!$F$5:$F$12,B293)&lt;&gt;"",INDEX(Segments!$F$5:$F$12,B293),IF(INDEX(Segments!$E$5:$E$12,B293)&lt;&gt;"",INDEX(Segments!$E$5:$E$12,B293),""))</f>
        <v/>
      </c>
      <c r="L293" s="21">
        <f>AA292</f>
        <v/>
      </c>
      <c r="M293" s="21">
        <f>IFERROR(INDEX(Overrides!$C:$C,MATCH(A293,Overrides!$A:$A,0)),"")</f>
        <v/>
      </c>
      <c r="N293" s="21">
        <f>IFERROR(INDEX(Overrides!$E:$E,MATCH(A293,Overrides!$A:$A,0)),"")</f>
        <v/>
      </c>
      <c r="O293" s="21">
        <f>IFERROR(INDEX(Overrides!$D:$D,MATCH(A293,Overrides!$A:$A,0)),"")</f>
        <v/>
      </c>
      <c r="P293" s="21">
        <f>IFERROR(INDEX(Overrides!$B:$B,MATCH(A293,Overrides!$A:$A,0)),"")</f>
        <v/>
      </c>
      <c r="Q293" s="6">
        <f>IFERROR(INDEX(Overrides!$F:$F,MATCH(A293,Overrides!$A:$A,0)),"")</f>
        <v/>
      </c>
      <c r="R293" s="6">
        <f>ISNUMBER(MATCH(A293,Overrides!$A:$A,0))</f>
        <v/>
      </c>
      <c r="S293" s="6">
        <f>OR(ROUND(L293-ROUND(G293-T293,2),2)&lt;=0,AND(I293,K293&lt;&gt;"",(A293-D293+1)=K293))</f>
        <v/>
      </c>
      <c r="T293" s="21">
        <f>IF(M293&lt;&gt;"",M293,ROUND(L293*F293,2))</f>
        <v/>
      </c>
      <c r="U293" s="21">
        <f>IF(R293,IF(O293&lt;&gt;"",O293,IF(N293&lt;&gt;"",ROUND(L293-N293,2),ROUND((IF(P293&lt;&gt;"",P293,G293))-T293,2))),IF(H293,0,IF(S293,L293,ROUND(G293-T293,2))))</f>
        <v/>
      </c>
      <c r="V293" s="21">
        <f>IF(R293,IF(P293&lt;&gt;"",P293,ROUND(T293+U293,2)),IF(H293,T293,IF(S293,ROUND(T293+U293,2),G293)))</f>
        <v/>
      </c>
      <c r="W293" s="21">
        <f>IF(R293,IF(N293&lt;&gt;"",N293,ROUND(L293-U293,2)),IF(H293,L293,IF(S293,0,ROUND(L293-U293,2))))</f>
        <v/>
      </c>
      <c r="X293" s="21">
        <f>IFERROR(MIN(INDEX(LumpSums!$B:$B,MATCH(A293,LumpSums!$A:$A,0)),W293),0)</f>
        <v/>
      </c>
      <c r="Y293" s="21">
        <f>ROUND(U293+X293,2)</f>
        <v/>
      </c>
      <c r="Z293" s="21">
        <f>ROUND(V293+X293,2)</f>
        <v/>
      </c>
      <c r="AA293" s="21">
        <f>ROUND(W293-X293,2)</f>
        <v/>
      </c>
      <c r="AB293" s="6">
        <f>AND(AB292,L293&gt;0)</f>
        <v/>
      </c>
      <c r="AC293" s="21">
        <f>IF(PMI_Costs!$B$8=0,0,ROUND(PMI_Costs!$B$8*(1+PMI_Costs!$B$9/100)^INT((A293-1)/12)/12,2))</f>
        <v/>
      </c>
      <c r="AD293" s="21">
        <f>IF(PMI_Costs!$B$10=0,0,ROUND(PMI_Costs!$B$10*(1+PMI_Costs!$B$11/100)^INT((A293-1)/12)/12,2))</f>
        <v/>
      </c>
      <c r="AE293" s="21">
        <f>IF(PMI_Costs!$B$12=0,0,ROUND(PMI_Costs!$B$12*(1+PMI_Costs!$B$13/100)^INT((A293-1)/12)/12,2))</f>
        <v/>
      </c>
      <c r="AF293" s="22">
        <f>IF(PMI_Costs!$B$5=0,0,AA293/PMI_Costs!$B$5)</f>
        <v/>
      </c>
      <c r="AG293" s="6">
        <f>AND(PMI_Costs!$B$4&gt;0,AF293&gt;PMI_Costs!$B$6/100)</f>
        <v/>
      </c>
      <c r="AH293" s="21">
        <f>IF(AG293,ROUND(Segments!$G$5*PMI_Costs!$B$4/100/12,2),0)</f>
        <v/>
      </c>
      <c r="AI293" s="6">
        <f>AND(NOT(AG293),AG292)</f>
        <v/>
      </c>
    </row>
    <row r="294">
      <c r="A294" s="18" t="n">
        <v>290</v>
      </c>
      <c r="B294" s="18">
        <f>SUMPRODUCT((Segments!$J$5:$J$12&lt;&gt;"")*(Segments!$J$5:$J$12&lt;=A294))</f>
        <v/>
      </c>
      <c r="C294" s="19">
        <f>INDEX(Segments!$B$5:$B$12,B294)</f>
        <v/>
      </c>
      <c r="D294" s="18">
        <f>INDEX(Segments!$J$5:$J$12,B294)</f>
        <v/>
      </c>
      <c r="E294" s="19">
        <f>DATE(YEAR(C294)+INT((MONTH(C294)-1+(A294-D294))/12),MOD(MONTH(C294)-1+(A294-D294),12)+1,1)+(DAY(C294)-1)</f>
        <v/>
      </c>
      <c r="F294" s="20">
        <f>INDEX(Segments!$C$5:$C$12,B294)/100/12</f>
        <v/>
      </c>
      <c r="G294" s="21">
        <f>INDEX(Segments!$L$5:$L$12,B294)</f>
        <v/>
      </c>
      <c r="H294" s="6">
        <f>INDEX(Segments!$I$5:$I$12,B294)="Y"</f>
        <v/>
      </c>
      <c r="I294" s="6">
        <f>INDEX(Segments!$F$5:$F$12,B294)=""</f>
        <v/>
      </c>
      <c r="J294" s="18">
        <f>INDEX(Segments!$K$5:$K$12,B294)</f>
        <v/>
      </c>
      <c r="K294" s="18">
        <f>IF(INDEX(Segments!$F$5:$F$12,B294)&lt;&gt;"",INDEX(Segments!$F$5:$F$12,B294),IF(INDEX(Segments!$E$5:$E$12,B294)&lt;&gt;"",INDEX(Segments!$E$5:$E$12,B294),""))</f>
        <v/>
      </c>
      <c r="L294" s="21">
        <f>AA293</f>
        <v/>
      </c>
      <c r="M294" s="21">
        <f>IFERROR(INDEX(Overrides!$C:$C,MATCH(A294,Overrides!$A:$A,0)),"")</f>
        <v/>
      </c>
      <c r="N294" s="21">
        <f>IFERROR(INDEX(Overrides!$E:$E,MATCH(A294,Overrides!$A:$A,0)),"")</f>
        <v/>
      </c>
      <c r="O294" s="21">
        <f>IFERROR(INDEX(Overrides!$D:$D,MATCH(A294,Overrides!$A:$A,0)),"")</f>
        <v/>
      </c>
      <c r="P294" s="21">
        <f>IFERROR(INDEX(Overrides!$B:$B,MATCH(A294,Overrides!$A:$A,0)),"")</f>
        <v/>
      </c>
      <c r="Q294" s="6">
        <f>IFERROR(INDEX(Overrides!$F:$F,MATCH(A294,Overrides!$A:$A,0)),"")</f>
        <v/>
      </c>
      <c r="R294" s="6">
        <f>ISNUMBER(MATCH(A294,Overrides!$A:$A,0))</f>
        <v/>
      </c>
      <c r="S294" s="6">
        <f>OR(ROUND(L294-ROUND(G294-T294,2),2)&lt;=0,AND(I294,K294&lt;&gt;"",(A294-D294+1)=K294))</f>
        <v/>
      </c>
      <c r="T294" s="21">
        <f>IF(M294&lt;&gt;"",M294,ROUND(L294*F294,2))</f>
        <v/>
      </c>
      <c r="U294" s="21">
        <f>IF(R294,IF(O294&lt;&gt;"",O294,IF(N294&lt;&gt;"",ROUND(L294-N294,2),ROUND((IF(P294&lt;&gt;"",P294,G294))-T294,2))),IF(H294,0,IF(S294,L294,ROUND(G294-T294,2))))</f>
        <v/>
      </c>
      <c r="V294" s="21">
        <f>IF(R294,IF(P294&lt;&gt;"",P294,ROUND(T294+U294,2)),IF(H294,T294,IF(S294,ROUND(T294+U294,2),G294)))</f>
        <v/>
      </c>
      <c r="W294" s="21">
        <f>IF(R294,IF(N294&lt;&gt;"",N294,ROUND(L294-U294,2)),IF(H294,L294,IF(S294,0,ROUND(L294-U294,2))))</f>
        <v/>
      </c>
      <c r="X294" s="21">
        <f>IFERROR(MIN(INDEX(LumpSums!$B:$B,MATCH(A294,LumpSums!$A:$A,0)),W294),0)</f>
        <v/>
      </c>
      <c r="Y294" s="21">
        <f>ROUND(U294+X294,2)</f>
        <v/>
      </c>
      <c r="Z294" s="21">
        <f>ROUND(V294+X294,2)</f>
        <v/>
      </c>
      <c r="AA294" s="21">
        <f>ROUND(W294-X294,2)</f>
        <v/>
      </c>
      <c r="AB294" s="6">
        <f>AND(AB293,L294&gt;0)</f>
        <v/>
      </c>
      <c r="AC294" s="21">
        <f>IF(PMI_Costs!$B$8=0,0,ROUND(PMI_Costs!$B$8*(1+PMI_Costs!$B$9/100)^INT((A294-1)/12)/12,2))</f>
        <v/>
      </c>
      <c r="AD294" s="21">
        <f>IF(PMI_Costs!$B$10=0,0,ROUND(PMI_Costs!$B$10*(1+PMI_Costs!$B$11/100)^INT((A294-1)/12)/12,2))</f>
        <v/>
      </c>
      <c r="AE294" s="21">
        <f>IF(PMI_Costs!$B$12=0,0,ROUND(PMI_Costs!$B$12*(1+PMI_Costs!$B$13/100)^INT((A294-1)/12)/12,2))</f>
        <v/>
      </c>
      <c r="AF294" s="22">
        <f>IF(PMI_Costs!$B$5=0,0,AA294/PMI_Costs!$B$5)</f>
        <v/>
      </c>
      <c r="AG294" s="6">
        <f>AND(PMI_Costs!$B$4&gt;0,AF294&gt;PMI_Costs!$B$6/100)</f>
        <v/>
      </c>
      <c r="AH294" s="21">
        <f>IF(AG294,ROUND(Segments!$G$5*PMI_Costs!$B$4/100/12,2),0)</f>
        <v/>
      </c>
      <c r="AI294" s="6">
        <f>AND(NOT(AG294),AG293)</f>
        <v/>
      </c>
    </row>
    <row r="295">
      <c r="A295" s="18" t="n">
        <v>291</v>
      </c>
      <c r="B295" s="18">
        <f>SUMPRODUCT((Segments!$J$5:$J$12&lt;&gt;"")*(Segments!$J$5:$J$12&lt;=A295))</f>
        <v/>
      </c>
      <c r="C295" s="19">
        <f>INDEX(Segments!$B$5:$B$12,B295)</f>
        <v/>
      </c>
      <c r="D295" s="18">
        <f>INDEX(Segments!$J$5:$J$12,B295)</f>
        <v/>
      </c>
      <c r="E295" s="19">
        <f>DATE(YEAR(C295)+INT((MONTH(C295)-1+(A295-D295))/12),MOD(MONTH(C295)-1+(A295-D295),12)+1,1)+(DAY(C295)-1)</f>
        <v/>
      </c>
      <c r="F295" s="20">
        <f>INDEX(Segments!$C$5:$C$12,B295)/100/12</f>
        <v/>
      </c>
      <c r="G295" s="21">
        <f>INDEX(Segments!$L$5:$L$12,B295)</f>
        <v/>
      </c>
      <c r="H295" s="6">
        <f>INDEX(Segments!$I$5:$I$12,B295)="Y"</f>
        <v/>
      </c>
      <c r="I295" s="6">
        <f>INDEX(Segments!$F$5:$F$12,B295)=""</f>
        <v/>
      </c>
      <c r="J295" s="18">
        <f>INDEX(Segments!$K$5:$K$12,B295)</f>
        <v/>
      </c>
      <c r="K295" s="18">
        <f>IF(INDEX(Segments!$F$5:$F$12,B295)&lt;&gt;"",INDEX(Segments!$F$5:$F$12,B295),IF(INDEX(Segments!$E$5:$E$12,B295)&lt;&gt;"",INDEX(Segments!$E$5:$E$12,B295),""))</f>
        <v/>
      </c>
      <c r="L295" s="21">
        <f>AA294</f>
        <v/>
      </c>
      <c r="M295" s="21">
        <f>IFERROR(INDEX(Overrides!$C:$C,MATCH(A295,Overrides!$A:$A,0)),"")</f>
        <v/>
      </c>
      <c r="N295" s="21">
        <f>IFERROR(INDEX(Overrides!$E:$E,MATCH(A295,Overrides!$A:$A,0)),"")</f>
        <v/>
      </c>
      <c r="O295" s="21">
        <f>IFERROR(INDEX(Overrides!$D:$D,MATCH(A295,Overrides!$A:$A,0)),"")</f>
        <v/>
      </c>
      <c r="P295" s="21">
        <f>IFERROR(INDEX(Overrides!$B:$B,MATCH(A295,Overrides!$A:$A,0)),"")</f>
        <v/>
      </c>
      <c r="Q295" s="6">
        <f>IFERROR(INDEX(Overrides!$F:$F,MATCH(A295,Overrides!$A:$A,0)),"")</f>
        <v/>
      </c>
      <c r="R295" s="6">
        <f>ISNUMBER(MATCH(A295,Overrides!$A:$A,0))</f>
        <v/>
      </c>
      <c r="S295" s="6">
        <f>OR(ROUND(L295-ROUND(G295-T295,2),2)&lt;=0,AND(I295,K295&lt;&gt;"",(A295-D295+1)=K295))</f>
        <v/>
      </c>
      <c r="T295" s="21">
        <f>IF(M295&lt;&gt;"",M295,ROUND(L295*F295,2))</f>
        <v/>
      </c>
      <c r="U295" s="21">
        <f>IF(R295,IF(O295&lt;&gt;"",O295,IF(N295&lt;&gt;"",ROUND(L295-N295,2),ROUND((IF(P295&lt;&gt;"",P295,G295))-T295,2))),IF(H295,0,IF(S295,L295,ROUND(G295-T295,2))))</f>
        <v/>
      </c>
      <c r="V295" s="21">
        <f>IF(R295,IF(P295&lt;&gt;"",P295,ROUND(T295+U295,2)),IF(H295,T295,IF(S295,ROUND(T295+U295,2),G295)))</f>
        <v/>
      </c>
      <c r="W295" s="21">
        <f>IF(R295,IF(N295&lt;&gt;"",N295,ROUND(L295-U295,2)),IF(H295,L295,IF(S295,0,ROUND(L295-U295,2))))</f>
        <v/>
      </c>
      <c r="X295" s="21">
        <f>IFERROR(MIN(INDEX(LumpSums!$B:$B,MATCH(A295,LumpSums!$A:$A,0)),W295),0)</f>
        <v/>
      </c>
      <c r="Y295" s="21">
        <f>ROUND(U295+X295,2)</f>
        <v/>
      </c>
      <c r="Z295" s="21">
        <f>ROUND(V295+X295,2)</f>
        <v/>
      </c>
      <c r="AA295" s="21">
        <f>ROUND(W295-X295,2)</f>
        <v/>
      </c>
      <c r="AB295" s="6">
        <f>AND(AB294,L295&gt;0)</f>
        <v/>
      </c>
      <c r="AC295" s="21">
        <f>IF(PMI_Costs!$B$8=0,0,ROUND(PMI_Costs!$B$8*(1+PMI_Costs!$B$9/100)^INT((A295-1)/12)/12,2))</f>
        <v/>
      </c>
      <c r="AD295" s="21">
        <f>IF(PMI_Costs!$B$10=0,0,ROUND(PMI_Costs!$B$10*(1+PMI_Costs!$B$11/100)^INT((A295-1)/12)/12,2))</f>
        <v/>
      </c>
      <c r="AE295" s="21">
        <f>IF(PMI_Costs!$B$12=0,0,ROUND(PMI_Costs!$B$12*(1+PMI_Costs!$B$13/100)^INT((A295-1)/12)/12,2))</f>
        <v/>
      </c>
      <c r="AF295" s="22">
        <f>IF(PMI_Costs!$B$5=0,0,AA295/PMI_Costs!$B$5)</f>
        <v/>
      </c>
      <c r="AG295" s="6">
        <f>AND(PMI_Costs!$B$4&gt;0,AF295&gt;PMI_Costs!$B$6/100)</f>
        <v/>
      </c>
      <c r="AH295" s="21">
        <f>IF(AG295,ROUND(Segments!$G$5*PMI_Costs!$B$4/100/12,2),0)</f>
        <v/>
      </c>
      <c r="AI295" s="6">
        <f>AND(NOT(AG295),AG294)</f>
        <v/>
      </c>
    </row>
    <row r="296">
      <c r="A296" s="18" t="n">
        <v>292</v>
      </c>
      <c r="B296" s="18">
        <f>SUMPRODUCT((Segments!$J$5:$J$12&lt;&gt;"")*(Segments!$J$5:$J$12&lt;=A296))</f>
        <v/>
      </c>
      <c r="C296" s="19">
        <f>INDEX(Segments!$B$5:$B$12,B296)</f>
        <v/>
      </c>
      <c r="D296" s="18">
        <f>INDEX(Segments!$J$5:$J$12,B296)</f>
        <v/>
      </c>
      <c r="E296" s="19">
        <f>DATE(YEAR(C296)+INT((MONTH(C296)-1+(A296-D296))/12),MOD(MONTH(C296)-1+(A296-D296),12)+1,1)+(DAY(C296)-1)</f>
        <v/>
      </c>
      <c r="F296" s="20">
        <f>INDEX(Segments!$C$5:$C$12,B296)/100/12</f>
        <v/>
      </c>
      <c r="G296" s="21">
        <f>INDEX(Segments!$L$5:$L$12,B296)</f>
        <v/>
      </c>
      <c r="H296" s="6">
        <f>INDEX(Segments!$I$5:$I$12,B296)="Y"</f>
        <v/>
      </c>
      <c r="I296" s="6">
        <f>INDEX(Segments!$F$5:$F$12,B296)=""</f>
        <v/>
      </c>
      <c r="J296" s="18">
        <f>INDEX(Segments!$K$5:$K$12,B296)</f>
        <v/>
      </c>
      <c r="K296" s="18">
        <f>IF(INDEX(Segments!$F$5:$F$12,B296)&lt;&gt;"",INDEX(Segments!$F$5:$F$12,B296),IF(INDEX(Segments!$E$5:$E$12,B296)&lt;&gt;"",INDEX(Segments!$E$5:$E$12,B296),""))</f>
        <v/>
      </c>
      <c r="L296" s="21">
        <f>AA295</f>
        <v/>
      </c>
      <c r="M296" s="21">
        <f>IFERROR(INDEX(Overrides!$C:$C,MATCH(A296,Overrides!$A:$A,0)),"")</f>
        <v/>
      </c>
      <c r="N296" s="21">
        <f>IFERROR(INDEX(Overrides!$E:$E,MATCH(A296,Overrides!$A:$A,0)),"")</f>
        <v/>
      </c>
      <c r="O296" s="21">
        <f>IFERROR(INDEX(Overrides!$D:$D,MATCH(A296,Overrides!$A:$A,0)),"")</f>
        <v/>
      </c>
      <c r="P296" s="21">
        <f>IFERROR(INDEX(Overrides!$B:$B,MATCH(A296,Overrides!$A:$A,0)),"")</f>
        <v/>
      </c>
      <c r="Q296" s="6">
        <f>IFERROR(INDEX(Overrides!$F:$F,MATCH(A296,Overrides!$A:$A,0)),"")</f>
        <v/>
      </c>
      <c r="R296" s="6">
        <f>ISNUMBER(MATCH(A296,Overrides!$A:$A,0))</f>
        <v/>
      </c>
      <c r="S296" s="6">
        <f>OR(ROUND(L296-ROUND(G296-T296,2),2)&lt;=0,AND(I296,K296&lt;&gt;"",(A296-D296+1)=K296))</f>
        <v/>
      </c>
      <c r="T296" s="21">
        <f>IF(M296&lt;&gt;"",M296,ROUND(L296*F296,2))</f>
        <v/>
      </c>
      <c r="U296" s="21">
        <f>IF(R296,IF(O296&lt;&gt;"",O296,IF(N296&lt;&gt;"",ROUND(L296-N296,2),ROUND((IF(P296&lt;&gt;"",P296,G296))-T296,2))),IF(H296,0,IF(S296,L296,ROUND(G296-T296,2))))</f>
        <v/>
      </c>
      <c r="V296" s="21">
        <f>IF(R296,IF(P296&lt;&gt;"",P296,ROUND(T296+U296,2)),IF(H296,T296,IF(S296,ROUND(T296+U296,2),G296)))</f>
        <v/>
      </c>
      <c r="W296" s="21">
        <f>IF(R296,IF(N296&lt;&gt;"",N296,ROUND(L296-U296,2)),IF(H296,L296,IF(S296,0,ROUND(L296-U296,2))))</f>
        <v/>
      </c>
      <c r="X296" s="21">
        <f>IFERROR(MIN(INDEX(LumpSums!$B:$B,MATCH(A296,LumpSums!$A:$A,0)),W296),0)</f>
        <v/>
      </c>
      <c r="Y296" s="21">
        <f>ROUND(U296+X296,2)</f>
        <v/>
      </c>
      <c r="Z296" s="21">
        <f>ROUND(V296+X296,2)</f>
        <v/>
      </c>
      <c r="AA296" s="21">
        <f>ROUND(W296-X296,2)</f>
        <v/>
      </c>
      <c r="AB296" s="6">
        <f>AND(AB295,L296&gt;0)</f>
        <v/>
      </c>
      <c r="AC296" s="21">
        <f>IF(PMI_Costs!$B$8=0,0,ROUND(PMI_Costs!$B$8*(1+PMI_Costs!$B$9/100)^INT((A296-1)/12)/12,2))</f>
        <v/>
      </c>
      <c r="AD296" s="21">
        <f>IF(PMI_Costs!$B$10=0,0,ROUND(PMI_Costs!$B$10*(1+PMI_Costs!$B$11/100)^INT((A296-1)/12)/12,2))</f>
        <v/>
      </c>
      <c r="AE296" s="21">
        <f>IF(PMI_Costs!$B$12=0,0,ROUND(PMI_Costs!$B$12*(1+PMI_Costs!$B$13/100)^INT((A296-1)/12)/12,2))</f>
        <v/>
      </c>
      <c r="AF296" s="22">
        <f>IF(PMI_Costs!$B$5=0,0,AA296/PMI_Costs!$B$5)</f>
        <v/>
      </c>
      <c r="AG296" s="6">
        <f>AND(PMI_Costs!$B$4&gt;0,AF296&gt;PMI_Costs!$B$6/100)</f>
        <v/>
      </c>
      <c r="AH296" s="21">
        <f>IF(AG296,ROUND(Segments!$G$5*PMI_Costs!$B$4/100/12,2),0)</f>
        <v/>
      </c>
      <c r="AI296" s="6">
        <f>AND(NOT(AG296),AG295)</f>
        <v/>
      </c>
    </row>
    <row r="297">
      <c r="A297" s="18" t="n">
        <v>293</v>
      </c>
      <c r="B297" s="18">
        <f>SUMPRODUCT((Segments!$J$5:$J$12&lt;&gt;"")*(Segments!$J$5:$J$12&lt;=A297))</f>
        <v/>
      </c>
      <c r="C297" s="19">
        <f>INDEX(Segments!$B$5:$B$12,B297)</f>
        <v/>
      </c>
      <c r="D297" s="18">
        <f>INDEX(Segments!$J$5:$J$12,B297)</f>
        <v/>
      </c>
      <c r="E297" s="19">
        <f>DATE(YEAR(C297)+INT((MONTH(C297)-1+(A297-D297))/12),MOD(MONTH(C297)-1+(A297-D297),12)+1,1)+(DAY(C297)-1)</f>
        <v/>
      </c>
      <c r="F297" s="20">
        <f>INDEX(Segments!$C$5:$C$12,B297)/100/12</f>
        <v/>
      </c>
      <c r="G297" s="21">
        <f>INDEX(Segments!$L$5:$L$12,B297)</f>
        <v/>
      </c>
      <c r="H297" s="6">
        <f>INDEX(Segments!$I$5:$I$12,B297)="Y"</f>
        <v/>
      </c>
      <c r="I297" s="6">
        <f>INDEX(Segments!$F$5:$F$12,B297)=""</f>
        <v/>
      </c>
      <c r="J297" s="18">
        <f>INDEX(Segments!$K$5:$K$12,B297)</f>
        <v/>
      </c>
      <c r="K297" s="18">
        <f>IF(INDEX(Segments!$F$5:$F$12,B297)&lt;&gt;"",INDEX(Segments!$F$5:$F$12,B297),IF(INDEX(Segments!$E$5:$E$12,B297)&lt;&gt;"",INDEX(Segments!$E$5:$E$12,B297),""))</f>
        <v/>
      </c>
      <c r="L297" s="21">
        <f>AA296</f>
        <v/>
      </c>
      <c r="M297" s="21">
        <f>IFERROR(INDEX(Overrides!$C:$C,MATCH(A297,Overrides!$A:$A,0)),"")</f>
        <v/>
      </c>
      <c r="N297" s="21">
        <f>IFERROR(INDEX(Overrides!$E:$E,MATCH(A297,Overrides!$A:$A,0)),"")</f>
        <v/>
      </c>
      <c r="O297" s="21">
        <f>IFERROR(INDEX(Overrides!$D:$D,MATCH(A297,Overrides!$A:$A,0)),"")</f>
        <v/>
      </c>
      <c r="P297" s="21">
        <f>IFERROR(INDEX(Overrides!$B:$B,MATCH(A297,Overrides!$A:$A,0)),"")</f>
        <v/>
      </c>
      <c r="Q297" s="6">
        <f>IFERROR(INDEX(Overrides!$F:$F,MATCH(A297,Overrides!$A:$A,0)),"")</f>
        <v/>
      </c>
      <c r="R297" s="6">
        <f>ISNUMBER(MATCH(A297,Overrides!$A:$A,0))</f>
        <v/>
      </c>
      <c r="S297" s="6">
        <f>OR(ROUND(L297-ROUND(G297-T297,2),2)&lt;=0,AND(I297,K297&lt;&gt;"",(A297-D297+1)=K297))</f>
        <v/>
      </c>
      <c r="T297" s="21">
        <f>IF(M297&lt;&gt;"",M297,ROUND(L297*F297,2))</f>
        <v/>
      </c>
      <c r="U297" s="21">
        <f>IF(R297,IF(O297&lt;&gt;"",O297,IF(N297&lt;&gt;"",ROUND(L297-N297,2),ROUND((IF(P297&lt;&gt;"",P297,G297))-T297,2))),IF(H297,0,IF(S297,L297,ROUND(G297-T297,2))))</f>
        <v/>
      </c>
      <c r="V297" s="21">
        <f>IF(R297,IF(P297&lt;&gt;"",P297,ROUND(T297+U297,2)),IF(H297,T297,IF(S297,ROUND(T297+U297,2),G297)))</f>
        <v/>
      </c>
      <c r="W297" s="21">
        <f>IF(R297,IF(N297&lt;&gt;"",N297,ROUND(L297-U297,2)),IF(H297,L297,IF(S297,0,ROUND(L297-U297,2))))</f>
        <v/>
      </c>
      <c r="X297" s="21">
        <f>IFERROR(MIN(INDEX(LumpSums!$B:$B,MATCH(A297,LumpSums!$A:$A,0)),W297),0)</f>
        <v/>
      </c>
      <c r="Y297" s="21">
        <f>ROUND(U297+X297,2)</f>
        <v/>
      </c>
      <c r="Z297" s="21">
        <f>ROUND(V297+X297,2)</f>
        <v/>
      </c>
      <c r="AA297" s="21">
        <f>ROUND(W297-X297,2)</f>
        <v/>
      </c>
      <c r="AB297" s="6">
        <f>AND(AB296,L297&gt;0)</f>
        <v/>
      </c>
      <c r="AC297" s="21">
        <f>IF(PMI_Costs!$B$8=0,0,ROUND(PMI_Costs!$B$8*(1+PMI_Costs!$B$9/100)^INT((A297-1)/12)/12,2))</f>
        <v/>
      </c>
      <c r="AD297" s="21">
        <f>IF(PMI_Costs!$B$10=0,0,ROUND(PMI_Costs!$B$10*(1+PMI_Costs!$B$11/100)^INT((A297-1)/12)/12,2))</f>
        <v/>
      </c>
      <c r="AE297" s="21">
        <f>IF(PMI_Costs!$B$12=0,0,ROUND(PMI_Costs!$B$12*(1+PMI_Costs!$B$13/100)^INT((A297-1)/12)/12,2))</f>
        <v/>
      </c>
      <c r="AF297" s="22">
        <f>IF(PMI_Costs!$B$5=0,0,AA297/PMI_Costs!$B$5)</f>
        <v/>
      </c>
      <c r="AG297" s="6">
        <f>AND(PMI_Costs!$B$4&gt;0,AF297&gt;PMI_Costs!$B$6/100)</f>
        <v/>
      </c>
      <c r="AH297" s="21">
        <f>IF(AG297,ROUND(Segments!$G$5*PMI_Costs!$B$4/100/12,2),0)</f>
        <v/>
      </c>
      <c r="AI297" s="6">
        <f>AND(NOT(AG297),AG296)</f>
        <v/>
      </c>
    </row>
    <row r="298">
      <c r="A298" s="18" t="n">
        <v>294</v>
      </c>
      <c r="B298" s="18">
        <f>SUMPRODUCT((Segments!$J$5:$J$12&lt;&gt;"")*(Segments!$J$5:$J$12&lt;=A298))</f>
        <v/>
      </c>
      <c r="C298" s="19">
        <f>INDEX(Segments!$B$5:$B$12,B298)</f>
        <v/>
      </c>
      <c r="D298" s="18">
        <f>INDEX(Segments!$J$5:$J$12,B298)</f>
        <v/>
      </c>
      <c r="E298" s="19">
        <f>DATE(YEAR(C298)+INT((MONTH(C298)-1+(A298-D298))/12),MOD(MONTH(C298)-1+(A298-D298),12)+1,1)+(DAY(C298)-1)</f>
        <v/>
      </c>
      <c r="F298" s="20">
        <f>INDEX(Segments!$C$5:$C$12,B298)/100/12</f>
        <v/>
      </c>
      <c r="G298" s="21">
        <f>INDEX(Segments!$L$5:$L$12,B298)</f>
        <v/>
      </c>
      <c r="H298" s="6">
        <f>INDEX(Segments!$I$5:$I$12,B298)="Y"</f>
        <v/>
      </c>
      <c r="I298" s="6">
        <f>INDEX(Segments!$F$5:$F$12,B298)=""</f>
        <v/>
      </c>
      <c r="J298" s="18">
        <f>INDEX(Segments!$K$5:$K$12,B298)</f>
        <v/>
      </c>
      <c r="K298" s="18">
        <f>IF(INDEX(Segments!$F$5:$F$12,B298)&lt;&gt;"",INDEX(Segments!$F$5:$F$12,B298),IF(INDEX(Segments!$E$5:$E$12,B298)&lt;&gt;"",INDEX(Segments!$E$5:$E$12,B298),""))</f>
        <v/>
      </c>
      <c r="L298" s="21">
        <f>AA297</f>
        <v/>
      </c>
      <c r="M298" s="21">
        <f>IFERROR(INDEX(Overrides!$C:$C,MATCH(A298,Overrides!$A:$A,0)),"")</f>
        <v/>
      </c>
      <c r="N298" s="21">
        <f>IFERROR(INDEX(Overrides!$E:$E,MATCH(A298,Overrides!$A:$A,0)),"")</f>
        <v/>
      </c>
      <c r="O298" s="21">
        <f>IFERROR(INDEX(Overrides!$D:$D,MATCH(A298,Overrides!$A:$A,0)),"")</f>
        <v/>
      </c>
      <c r="P298" s="21">
        <f>IFERROR(INDEX(Overrides!$B:$B,MATCH(A298,Overrides!$A:$A,0)),"")</f>
        <v/>
      </c>
      <c r="Q298" s="6">
        <f>IFERROR(INDEX(Overrides!$F:$F,MATCH(A298,Overrides!$A:$A,0)),"")</f>
        <v/>
      </c>
      <c r="R298" s="6">
        <f>ISNUMBER(MATCH(A298,Overrides!$A:$A,0))</f>
        <v/>
      </c>
      <c r="S298" s="6">
        <f>OR(ROUND(L298-ROUND(G298-T298,2),2)&lt;=0,AND(I298,K298&lt;&gt;"",(A298-D298+1)=K298))</f>
        <v/>
      </c>
      <c r="T298" s="21">
        <f>IF(M298&lt;&gt;"",M298,ROUND(L298*F298,2))</f>
        <v/>
      </c>
      <c r="U298" s="21">
        <f>IF(R298,IF(O298&lt;&gt;"",O298,IF(N298&lt;&gt;"",ROUND(L298-N298,2),ROUND((IF(P298&lt;&gt;"",P298,G298))-T298,2))),IF(H298,0,IF(S298,L298,ROUND(G298-T298,2))))</f>
        <v/>
      </c>
      <c r="V298" s="21">
        <f>IF(R298,IF(P298&lt;&gt;"",P298,ROUND(T298+U298,2)),IF(H298,T298,IF(S298,ROUND(T298+U298,2),G298)))</f>
        <v/>
      </c>
      <c r="W298" s="21">
        <f>IF(R298,IF(N298&lt;&gt;"",N298,ROUND(L298-U298,2)),IF(H298,L298,IF(S298,0,ROUND(L298-U298,2))))</f>
        <v/>
      </c>
      <c r="X298" s="21">
        <f>IFERROR(MIN(INDEX(LumpSums!$B:$B,MATCH(A298,LumpSums!$A:$A,0)),W298),0)</f>
        <v/>
      </c>
      <c r="Y298" s="21">
        <f>ROUND(U298+X298,2)</f>
        <v/>
      </c>
      <c r="Z298" s="21">
        <f>ROUND(V298+X298,2)</f>
        <v/>
      </c>
      <c r="AA298" s="21">
        <f>ROUND(W298-X298,2)</f>
        <v/>
      </c>
      <c r="AB298" s="6">
        <f>AND(AB297,L298&gt;0)</f>
        <v/>
      </c>
      <c r="AC298" s="21">
        <f>IF(PMI_Costs!$B$8=0,0,ROUND(PMI_Costs!$B$8*(1+PMI_Costs!$B$9/100)^INT((A298-1)/12)/12,2))</f>
        <v/>
      </c>
      <c r="AD298" s="21">
        <f>IF(PMI_Costs!$B$10=0,0,ROUND(PMI_Costs!$B$10*(1+PMI_Costs!$B$11/100)^INT((A298-1)/12)/12,2))</f>
        <v/>
      </c>
      <c r="AE298" s="21">
        <f>IF(PMI_Costs!$B$12=0,0,ROUND(PMI_Costs!$B$12*(1+PMI_Costs!$B$13/100)^INT((A298-1)/12)/12,2))</f>
        <v/>
      </c>
      <c r="AF298" s="22">
        <f>IF(PMI_Costs!$B$5=0,0,AA298/PMI_Costs!$B$5)</f>
        <v/>
      </c>
      <c r="AG298" s="6">
        <f>AND(PMI_Costs!$B$4&gt;0,AF298&gt;PMI_Costs!$B$6/100)</f>
        <v/>
      </c>
      <c r="AH298" s="21">
        <f>IF(AG298,ROUND(Segments!$G$5*PMI_Costs!$B$4/100/12,2),0)</f>
        <v/>
      </c>
      <c r="AI298" s="6">
        <f>AND(NOT(AG298),AG297)</f>
        <v/>
      </c>
    </row>
    <row r="299">
      <c r="A299" s="18" t="n">
        <v>295</v>
      </c>
      <c r="B299" s="18">
        <f>SUMPRODUCT((Segments!$J$5:$J$12&lt;&gt;"")*(Segments!$J$5:$J$12&lt;=A299))</f>
        <v/>
      </c>
      <c r="C299" s="19">
        <f>INDEX(Segments!$B$5:$B$12,B299)</f>
        <v/>
      </c>
      <c r="D299" s="18">
        <f>INDEX(Segments!$J$5:$J$12,B299)</f>
        <v/>
      </c>
      <c r="E299" s="19">
        <f>DATE(YEAR(C299)+INT((MONTH(C299)-1+(A299-D299))/12),MOD(MONTH(C299)-1+(A299-D299),12)+1,1)+(DAY(C299)-1)</f>
        <v/>
      </c>
      <c r="F299" s="20">
        <f>INDEX(Segments!$C$5:$C$12,B299)/100/12</f>
        <v/>
      </c>
      <c r="G299" s="21">
        <f>INDEX(Segments!$L$5:$L$12,B299)</f>
        <v/>
      </c>
      <c r="H299" s="6">
        <f>INDEX(Segments!$I$5:$I$12,B299)="Y"</f>
        <v/>
      </c>
      <c r="I299" s="6">
        <f>INDEX(Segments!$F$5:$F$12,B299)=""</f>
        <v/>
      </c>
      <c r="J299" s="18">
        <f>INDEX(Segments!$K$5:$K$12,B299)</f>
        <v/>
      </c>
      <c r="K299" s="18">
        <f>IF(INDEX(Segments!$F$5:$F$12,B299)&lt;&gt;"",INDEX(Segments!$F$5:$F$12,B299),IF(INDEX(Segments!$E$5:$E$12,B299)&lt;&gt;"",INDEX(Segments!$E$5:$E$12,B299),""))</f>
        <v/>
      </c>
      <c r="L299" s="21">
        <f>AA298</f>
        <v/>
      </c>
      <c r="M299" s="21">
        <f>IFERROR(INDEX(Overrides!$C:$C,MATCH(A299,Overrides!$A:$A,0)),"")</f>
        <v/>
      </c>
      <c r="N299" s="21">
        <f>IFERROR(INDEX(Overrides!$E:$E,MATCH(A299,Overrides!$A:$A,0)),"")</f>
        <v/>
      </c>
      <c r="O299" s="21">
        <f>IFERROR(INDEX(Overrides!$D:$D,MATCH(A299,Overrides!$A:$A,0)),"")</f>
        <v/>
      </c>
      <c r="P299" s="21">
        <f>IFERROR(INDEX(Overrides!$B:$B,MATCH(A299,Overrides!$A:$A,0)),"")</f>
        <v/>
      </c>
      <c r="Q299" s="6">
        <f>IFERROR(INDEX(Overrides!$F:$F,MATCH(A299,Overrides!$A:$A,0)),"")</f>
        <v/>
      </c>
      <c r="R299" s="6">
        <f>ISNUMBER(MATCH(A299,Overrides!$A:$A,0))</f>
        <v/>
      </c>
      <c r="S299" s="6">
        <f>OR(ROUND(L299-ROUND(G299-T299,2),2)&lt;=0,AND(I299,K299&lt;&gt;"",(A299-D299+1)=K299))</f>
        <v/>
      </c>
      <c r="T299" s="21">
        <f>IF(M299&lt;&gt;"",M299,ROUND(L299*F299,2))</f>
        <v/>
      </c>
      <c r="U299" s="21">
        <f>IF(R299,IF(O299&lt;&gt;"",O299,IF(N299&lt;&gt;"",ROUND(L299-N299,2),ROUND((IF(P299&lt;&gt;"",P299,G299))-T299,2))),IF(H299,0,IF(S299,L299,ROUND(G299-T299,2))))</f>
        <v/>
      </c>
      <c r="V299" s="21">
        <f>IF(R299,IF(P299&lt;&gt;"",P299,ROUND(T299+U299,2)),IF(H299,T299,IF(S299,ROUND(T299+U299,2),G299)))</f>
        <v/>
      </c>
      <c r="W299" s="21">
        <f>IF(R299,IF(N299&lt;&gt;"",N299,ROUND(L299-U299,2)),IF(H299,L299,IF(S299,0,ROUND(L299-U299,2))))</f>
        <v/>
      </c>
      <c r="X299" s="21">
        <f>IFERROR(MIN(INDEX(LumpSums!$B:$B,MATCH(A299,LumpSums!$A:$A,0)),W299),0)</f>
        <v/>
      </c>
      <c r="Y299" s="21">
        <f>ROUND(U299+X299,2)</f>
        <v/>
      </c>
      <c r="Z299" s="21">
        <f>ROUND(V299+X299,2)</f>
        <v/>
      </c>
      <c r="AA299" s="21">
        <f>ROUND(W299-X299,2)</f>
        <v/>
      </c>
      <c r="AB299" s="6">
        <f>AND(AB298,L299&gt;0)</f>
        <v/>
      </c>
      <c r="AC299" s="21">
        <f>IF(PMI_Costs!$B$8=0,0,ROUND(PMI_Costs!$B$8*(1+PMI_Costs!$B$9/100)^INT((A299-1)/12)/12,2))</f>
        <v/>
      </c>
      <c r="AD299" s="21">
        <f>IF(PMI_Costs!$B$10=0,0,ROUND(PMI_Costs!$B$10*(1+PMI_Costs!$B$11/100)^INT((A299-1)/12)/12,2))</f>
        <v/>
      </c>
      <c r="AE299" s="21">
        <f>IF(PMI_Costs!$B$12=0,0,ROUND(PMI_Costs!$B$12*(1+PMI_Costs!$B$13/100)^INT((A299-1)/12)/12,2))</f>
        <v/>
      </c>
      <c r="AF299" s="22">
        <f>IF(PMI_Costs!$B$5=0,0,AA299/PMI_Costs!$B$5)</f>
        <v/>
      </c>
      <c r="AG299" s="6">
        <f>AND(PMI_Costs!$B$4&gt;0,AF299&gt;PMI_Costs!$B$6/100)</f>
        <v/>
      </c>
      <c r="AH299" s="21">
        <f>IF(AG299,ROUND(Segments!$G$5*PMI_Costs!$B$4/100/12,2),0)</f>
        <v/>
      </c>
      <c r="AI299" s="6">
        <f>AND(NOT(AG299),AG298)</f>
        <v/>
      </c>
    </row>
    <row r="300">
      <c r="A300" s="18" t="n">
        <v>296</v>
      </c>
      <c r="B300" s="18">
        <f>SUMPRODUCT((Segments!$J$5:$J$12&lt;&gt;"")*(Segments!$J$5:$J$12&lt;=A300))</f>
        <v/>
      </c>
      <c r="C300" s="19">
        <f>INDEX(Segments!$B$5:$B$12,B300)</f>
        <v/>
      </c>
      <c r="D300" s="18">
        <f>INDEX(Segments!$J$5:$J$12,B300)</f>
        <v/>
      </c>
      <c r="E300" s="19">
        <f>DATE(YEAR(C300)+INT((MONTH(C300)-1+(A300-D300))/12),MOD(MONTH(C300)-1+(A300-D300),12)+1,1)+(DAY(C300)-1)</f>
        <v/>
      </c>
      <c r="F300" s="20">
        <f>INDEX(Segments!$C$5:$C$12,B300)/100/12</f>
        <v/>
      </c>
      <c r="G300" s="21">
        <f>INDEX(Segments!$L$5:$L$12,B300)</f>
        <v/>
      </c>
      <c r="H300" s="6">
        <f>INDEX(Segments!$I$5:$I$12,B300)="Y"</f>
        <v/>
      </c>
      <c r="I300" s="6">
        <f>INDEX(Segments!$F$5:$F$12,B300)=""</f>
        <v/>
      </c>
      <c r="J300" s="18">
        <f>INDEX(Segments!$K$5:$K$12,B300)</f>
        <v/>
      </c>
      <c r="K300" s="18">
        <f>IF(INDEX(Segments!$F$5:$F$12,B300)&lt;&gt;"",INDEX(Segments!$F$5:$F$12,B300),IF(INDEX(Segments!$E$5:$E$12,B300)&lt;&gt;"",INDEX(Segments!$E$5:$E$12,B300),""))</f>
        <v/>
      </c>
      <c r="L300" s="21">
        <f>AA299</f>
        <v/>
      </c>
      <c r="M300" s="21">
        <f>IFERROR(INDEX(Overrides!$C:$C,MATCH(A300,Overrides!$A:$A,0)),"")</f>
        <v/>
      </c>
      <c r="N300" s="21">
        <f>IFERROR(INDEX(Overrides!$E:$E,MATCH(A300,Overrides!$A:$A,0)),"")</f>
        <v/>
      </c>
      <c r="O300" s="21">
        <f>IFERROR(INDEX(Overrides!$D:$D,MATCH(A300,Overrides!$A:$A,0)),"")</f>
        <v/>
      </c>
      <c r="P300" s="21">
        <f>IFERROR(INDEX(Overrides!$B:$B,MATCH(A300,Overrides!$A:$A,0)),"")</f>
        <v/>
      </c>
      <c r="Q300" s="6">
        <f>IFERROR(INDEX(Overrides!$F:$F,MATCH(A300,Overrides!$A:$A,0)),"")</f>
        <v/>
      </c>
      <c r="R300" s="6">
        <f>ISNUMBER(MATCH(A300,Overrides!$A:$A,0))</f>
        <v/>
      </c>
      <c r="S300" s="6">
        <f>OR(ROUND(L300-ROUND(G300-T300,2),2)&lt;=0,AND(I300,K300&lt;&gt;"",(A300-D300+1)=K300))</f>
        <v/>
      </c>
      <c r="T300" s="21">
        <f>IF(M300&lt;&gt;"",M300,ROUND(L300*F300,2))</f>
        <v/>
      </c>
      <c r="U300" s="21">
        <f>IF(R300,IF(O300&lt;&gt;"",O300,IF(N300&lt;&gt;"",ROUND(L300-N300,2),ROUND((IF(P300&lt;&gt;"",P300,G300))-T300,2))),IF(H300,0,IF(S300,L300,ROUND(G300-T300,2))))</f>
        <v/>
      </c>
      <c r="V300" s="21">
        <f>IF(R300,IF(P300&lt;&gt;"",P300,ROUND(T300+U300,2)),IF(H300,T300,IF(S300,ROUND(T300+U300,2),G300)))</f>
        <v/>
      </c>
      <c r="W300" s="21">
        <f>IF(R300,IF(N300&lt;&gt;"",N300,ROUND(L300-U300,2)),IF(H300,L300,IF(S300,0,ROUND(L300-U300,2))))</f>
        <v/>
      </c>
      <c r="X300" s="21">
        <f>IFERROR(MIN(INDEX(LumpSums!$B:$B,MATCH(A300,LumpSums!$A:$A,0)),W300),0)</f>
        <v/>
      </c>
      <c r="Y300" s="21">
        <f>ROUND(U300+X300,2)</f>
        <v/>
      </c>
      <c r="Z300" s="21">
        <f>ROUND(V300+X300,2)</f>
        <v/>
      </c>
      <c r="AA300" s="21">
        <f>ROUND(W300-X300,2)</f>
        <v/>
      </c>
      <c r="AB300" s="6">
        <f>AND(AB299,L300&gt;0)</f>
        <v/>
      </c>
      <c r="AC300" s="21">
        <f>IF(PMI_Costs!$B$8=0,0,ROUND(PMI_Costs!$B$8*(1+PMI_Costs!$B$9/100)^INT((A300-1)/12)/12,2))</f>
        <v/>
      </c>
      <c r="AD300" s="21">
        <f>IF(PMI_Costs!$B$10=0,0,ROUND(PMI_Costs!$B$10*(1+PMI_Costs!$B$11/100)^INT((A300-1)/12)/12,2))</f>
        <v/>
      </c>
      <c r="AE300" s="21">
        <f>IF(PMI_Costs!$B$12=0,0,ROUND(PMI_Costs!$B$12*(1+PMI_Costs!$B$13/100)^INT((A300-1)/12)/12,2))</f>
        <v/>
      </c>
      <c r="AF300" s="22">
        <f>IF(PMI_Costs!$B$5=0,0,AA300/PMI_Costs!$B$5)</f>
        <v/>
      </c>
      <c r="AG300" s="6">
        <f>AND(PMI_Costs!$B$4&gt;0,AF300&gt;PMI_Costs!$B$6/100)</f>
        <v/>
      </c>
      <c r="AH300" s="21">
        <f>IF(AG300,ROUND(Segments!$G$5*PMI_Costs!$B$4/100/12,2),0)</f>
        <v/>
      </c>
      <c r="AI300" s="6">
        <f>AND(NOT(AG300),AG299)</f>
        <v/>
      </c>
    </row>
    <row r="301">
      <c r="A301" s="18" t="n">
        <v>297</v>
      </c>
      <c r="B301" s="18">
        <f>SUMPRODUCT((Segments!$J$5:$J$12&lt;&gt;"")*(Segments!$J$5:$J$12&lt;=A301))</f>
        <v/>
      </c>
      <c r="C301" s="19">
        <f>INDEX(Segments!$B$5:$B$12,B301)</f>
        <v/>
      </c>
      <c r="D301" s="18">
        <f>INDEX(Segments!$J$5:$J$12,B301)</f>
        <v/>
      </c>
      <c r="E301" s="19">
        <f>DATE(YEAR(C301)+INT((MONTH(C301)-1+(A301-D301))/12),MOD(MONTH(C301)-1+(A301-D301),12)+1,1)+(DAY(C301)-1)</f>
        <v/>
      </c>
      <c r="F301" s="20">
        <f>INDEX(Segments!$C$5:$C$12,B301)/100/12</f>
        <v/>
      </c>
      <c r="G301" s="21">
        <f>INDEX(Segments!$L$5:$L$12,B301)</f>
        <v/>
      </c>
      <c r="H301" s="6">
        <f>INDEX(Segments!$I$5:$I$12,B301)="Y"</f>
        <v/>
      </c>
      <c r="I301" s="6">
        <f>INDEX(Segments!$F$5:$F$12,B301)=""</f>
        <v/>
      </c>
      <c r="J301" s="18">
        <f>INDEX(Segments!$K$5:$K$12,B301)</f>
        <v/>
      </c>
      <c r="K301" s="18">
        <f>IF(INDEX(Segments!$F$5:$F$12,B301)&lt;&gt;"",INDEX(Segments!$F$5:$F$12,B301),IF(INDEX(Segments!$E$5:$E$12,B301)&lt;&gt;"",INDEX(Segments!$E$5:$E$12,B301),""))</f>
        <v/>
      </c>
      <c r="L301" s="21">
        <f>AA300</f>
        <v/>
      </c>
      <c r="M301" s="21">
        <f>IFERROR(INDEX(Overrides!$C:$C,MATCH(A301,Overrides!$A:$A,0)),"")</f>
        <v/>
      </c>
      <c r="N301" s="21">
        <f>IFERROR(INDEX(Overrides!$E:$E,MATCH(A301,Overrides!$A:$A,0)),"")</f>
        <v/>
      </c>
      <c r="O301" s="21">
        <f>IFERROR(INDEX(Overrides!$D:$D,MATCH(A301,Overrides!$A:$A,0)),"")</f>
        <v/>
      </c>
      <c r="P301" s="21">
        <f>IFERROR(INDEX(Overrides!$B:$B,MATCH(A301,Overrides!$A:$A,0)),"")</f>
        <v/>
      </c>
      <c r="Q301" s="6">
        <f>IFERROR(INDEX(Overrides!$F:$F,MATCH(A301,Overrides!$A:$A,0)),"")</f>
        <v/>
      </c>
      <c r="R301" s="6">
        <f>ISNUMBER(MATCH(A301,Overrides!$A:$A,0))</f>
        <v/>
      </c>
      <c r="S301" s="6">
        <f>OR(ROUND(L301-ROUND(G301-T301,2),2)&lt;=0,AND(I301,K301&lt;&gt;"",(A301-D301+1)=K301))</f>
        <v/>
      </c>
      <c r="T301" s="21">
        <f>IF(M301&lt;&gt;"",M301,ROUND(L301*F301,2))</f>
        <v/>
      </c>
      <c r="U301" s="21">
        <f>IF(R301,IF(O301&lt;&gt;"",O301,IF(N301&lt;&gt;"",ROUND(L301-N301,2),ROUND((IF(P301&lt;&gt;"",P301,G301))-T301,2))),IF(H301,0,IF(S301,L301,ROUND(G301-T301,2))))</f>
        <v/>
      </c>
      <c r="V301" s="21">
        <f>IF(R301,IF(P301&lt;&gt;"",P301,ROUND(T301+U301,2)),IF(H301,T301,IF(S301,ROUND(T301+U301,2),G301)))</f>
        <v/>
      </c>
      <c r="W301" s="21">
        <f>IF(R301,IF(N301&lt;&gt;"",N301,ROUND(L301-U301,2)),IF(H301,L301,IF(S301,0,ROUND(L301-U301,2))))</f>
        <v/>
      </c>
      <c r="X301" s="21">
        <f>IFERROR(MIN(INDEX(LumpSums!$B:$B,MATCH(A301,LumpSums!$A:$A,0)),W301),0)</f>
        <v/>
      </c>
      <c r="Y301" s="21">
        <f>ROUND(U301+X301,2)</f>
        <v/>
      </c>
      <c r="Z301" s="21">
        <f>ROUND(V301+X301,2)</f>
        <v/>
      </c>
      <c r="AA301" s="21">
        <f>ROUND(W301-X301,2)</f>
        <v/>
      </c>
      <c r="AB301" s="6">
        <f>AND(AB300,L301&gt;0)</f>
        <v/>
      </c>
      <c r="AC301" s="21">
        <f>IF(PMI_Costs!$B$8=0,0,ROUND(PMI_Costs!$B$8*(1+PMI_Costs!$B$9/100)^INT((A301-1)/12)/12,2))</f>
        <v/>
      </c>
      <c r="AD301" s="21">
        <f>IF(PMI_Costs!$B$10=0,0,ROUND(PMI_Costs!$B$10*(1+PMI_Costs!$B$11/100)^INT((A301-1)/12)/12,2))</f>
        <v/>
      </c>
      <c r="AE301" s="21">
        <f>IF(PMI_Costs!$B$12=0,0,ROUND(PMI_Costs!$B$12*(1+PMI_Costs!$B$13/100)^INT((A301-1)/12)/12,2))</f>
        <v/>
      </c>
      <c r="AF301" s="22">
        <f>IF(PMI_Costs!$B$5=0,0,AA301/PMI_Costs!$B$5)</f>
        <v/>
      </c>
      <c r="AG301" s="6">
        <f>AND(PMI_Costs!$B$4&gt;0,AF301&gt;PMI_Costs!$B$6/100)</f>
        <v/>
      </c>
      <c r="AH301" s="21">
        <f>IF(AG301,ROUND(Segments!$G$5*PMI_Costs!$B$4/100/12,2),0)</f>
        <v/>
      </c>
      <c r="AI301" s="6">
        <f>AND(NOT(AG301),AG300)</f>
        <v/>
      </c>
    </row>
    <row r="302">
      <c r="A302" s="18" t="n">
        <v>298</v>
      </c>
      <c r="B302" s="18">
        <f>SUMPRODUCT((Segments!$J$5:$J$12&lt;&gt;"")*(Segments!$J$5:$J$12&lt;=A302))</f>
        <v/>
      </c>
      <c r="C302" s="19">
        <f>INDEX(Segments!$B$5:$B$12,B302)</f>
        <v/>
      </c>
      <c r="D302" s="18">
        <f>INDEX(Segments!$J$5:$J$12,B302)</f>
        <v/>
      </c>
      <c r="E302" s="19">
        <f>DATE(YEAR(C302)+INT((MONTH(C302)-1+(A302-D302))/12),MOD(MONTH(C302)-1+(A302-D302),12)+1,1)+(DAY(C302)-1)</f>
        <v/>
      </c>
      <c r="F302" s="20">
        <f>INDEX(Segments!$C$5:$C$12,B302)/100/12</f>
        <v/>
      </c>
      <c r="G302" s="21">
        <f>INDEX(Segments!$L$5:$L$12,B302)</f>
        <v/>
      </c>
      <c r="H302" s="6">
        <f>INDEX(Segments!$I$5:$I$12,B302)="Y"</f>
        <v/>
      </c>
      <c r="I302" s="6">
        <f>INDEX(Segments!$F$5:$F$12,B302)=""</f>
        <v/>
      </c>
      <c r="J302" s="18">
        <f>INDEX(Segments!$K$5:$K$12,B302)</f>
        <v/>
      </c>
      <c r="K302" s="18">
        <f>IF(INDEX(Segments!$F$5:$F$12,B302)&lt;&gt;"",INDEX(Segments!$F$5:$F$12,B302),IF(INDEX(Segments!$E$5:$E$12,B302)&lt;&gt;"",INDEX(Segments!$E$5:$E$12,B302),""))</f>
        <v/>
      </c>
      <c r="L302" s="21">
        <f>AA301</f>
        <v/>
      </c>
      <c r="M302" s="21">
        <f>IFERROR(INDEX(Overrides!$C:$C,MATCH(A302,Overrides!$A:$A,0)),"")</f>
        <v/>
      </c>
      <c r="N302" s="21">
        <f>IFERROR(INDEX(Overrides!$E:$E,MATCH(A302,Overrides!$A:$A,0)),"")</f>
        <v/>
      </c>
      <c r="O302" s="21">
        <f>IFERROR(INDEX(Overrides!$D:$D,MATCH(A302,Overrides!$A:$A,0)),"")</f>
        <v/>
      </c>
      <c r="P302" s="21">
        <f>IFERROR(INDEX(Overrides!$B:$B,MATCH(A302,Overrides!$A:$A,0)),"")</f>
        <v/>
      </c>
      <c r="Q302" s="6">
        <f>IFERROR(INDEX(Overrides!$F:$F,MATCH(A302,Overrides!$A:$A,0)),"")</f>
        <v/>
      </c>
      <c r="R302" s="6">
        <f>ISNUMBER(MATCH(A302,Overrides!$A:$A,0))</f>
        <v/>
      </c>
      <c r="S302" s="6">
        <f>OR(ROUND(L302-ROUND(G302-T302,2),2)&lt;=0,AND(I302,K302&lt;&gt;"",(A302-D302+1)=K302))</f>
        <v/>
      </c>
      <c r="T302" s="21">
        <f>IF(M302&lt;&gt;"",M302,ROUND(L302*F302,2))</f>
        <v/>
      </c>
      <c r="U302" s="21">
        <f>IF(R302,IF(O302&lt;&gt;"",O302,IF(N302&lt;&gt;"",ROUND(L302-N302,2),ROUND((IF(P302&lt;&gt;"",P302,G302))-T302,2))),IF(H302,0,IF(S302,L302,ROUND(G302-T302,2))))</f>
        <v/>
      </c>
      <c r="V302" s="21">
        <f>IF(R302,IF(P302&lt;&gt;"",P302,ROUND(T302+U302,2)),IF(H302,T302,IF(S302,ROUND(T302+U302,2),G302)))</f>
        <v/>
      </c>
      <c r="W302" s="21">
        <f>IF(R302,IF(N302&lt;&gt;"",N302,ROUND(L302-U302,2)),IF(H302,L302,IF(S302,0,ROUND(L302-U302,2))))</f>
        <v/>
      </c>
      <c r="X302" s="21">
        <f>IFERROR(MIN(INDEX(LumpSums!$B:$B,MATCH(A302,LumpSums!$A:$A,0)),W302),0)</f>
        <v/>
      </c>
      <c r="Y302" s="21">
        <f>ROUND(U302+X302,2)</f>
        <v/>
      </c>
      <c r="Z302" s="21">
        <f>ROUND(V302+X302,2)</f>
        <v/>
      </c>
      <c r="AA302" s="21">
        <f>ROUND(W302-X302,2)</f>
        <v/>
      </c>
      <c r="AB302" s="6">
        <f>AND(AB301,L302&gt;0)</f>
        <v/>
      </c>
      <c r="AC302" s="21">
        <f>IF(PMI_Costs!$B$8=0,0,ROUND(PMI_Costs!$B$8*(1+PMI_Costs!$B$9/100)^INT((A302-1)/12)/12,2))</f>
        <v/>
      </c>
      <c r="AD302" s="21">
        <f>IF(PMI_Costs!$B$10=0,0,ROUND(PMI_Costs!$B$10*(1+PMI_Costs!$B$11/100)^INT((A302-1)/12)/12,2))</f>
        <v/>
      </c>
      <c r="AE302" s="21">
        <f>IF(PMI_Costs!$B$12=0,0,ROUND(PMI_Costs!$B$12*(1+PMI_Costs!$B$13/100)^INT((A302-1)/12)/12,2))</f>
        <v/>
      </c>
      <c r="AF302" s="22">
        <f>IF(PMI_Costs!$B$5=0,0,AA302/PMI_Costs!$B$5)</f>
        <v/>
      </c>
      <c r="AG302" s="6">
        <f>AND(PMI_Costs!$B$4&gt;0,AF302&gt;PMI_Costs!$B$6/100)</f>
        <v/>
      </c>
      <c r="AH302" s="21">
        <f>IF(AG302,ROUND(Segments!$G$5*PMI_Costs!$B$4/100/12,2),0)</f>
        <v/>
      </c>
      <c r="AI302" s="6">
        <f>AND(NOT(AG302),AG301)</f>
        <v/>
      </c>
    </row>
    <row r="303">
      <c r="A303" s="18" t="n">
        <v>299</v>
      </c>
      <c r="B303" s="18">
        <f>SUMPRODUCT((Segments!$J$5:$J$12&lt;&gt;"")*(Segments!$J$5:$J$12&lt;=A303))</f>
        <v/>
      </c>
      <c r="C303" s="19">
        <f>INDEX(Segments!$B$5:$B$12,B303)</f>
        <v/>
      </c>
      <c r="D303" s="18">
        <f>INDEX(Segments!$J$5:$J$12,B303)</f>
        <v/>
      </c>
      <c r="E303" s="19">
        <f>DATE(YEAR(C303)+INT((MONTH(C303)-1+(A303-D303))/12),MOD(MONTH(C303)-1+(A303-D303),12)+1,1)+(DAY(C303)-1)</f>
        <v/>
      </c>
      <c r="F303" s="20">
        <f>INDEX(Segments!$C$5:$C$12,B303)/100/12</f>
        <v/>
      </c>
      <c r="G303" s="21">
        <f>INDEX(Segments!$L$5:$L$12,B303)</f>
        <v/>
      </c>
      <c r="H303" s="6">
        <f>INDEX(Segments!$I$5:$I$12,B303)="Y"</f>
        <v/>
      </c>
      <c r="I303" s="6">
        <f>INDEX(Segments!$F$5:$F$12,B303)=""</f>
        <v/>
      </c>
      <c r="J303" s="18">
        <f>INDEX(Segments!$K$5:$K$12,B303)</f>
        <v/>
      </c>
      <c r="K303" s="18">
        <f>IF(INDEX(Segments!$F$5:$F$12,B303)&lt;&gt;"",INDEX(Segments!$F$5:$F$12,B303),IF(INDEX(Segments!$E$5:$E$12,B303)&lt;&gt;"",INDEX(Segments!$E$5:$E$12,B303),""))</f>
        <v/>
      </c>
      <c r="L303" s="21">
        <f>AA302</f>
        <v/>
      </c>
      <c r="M303" s="21">
        <f>IFERROR(INDEX(Overrides!$C:$C,MATCH(A303,Overrides!$A:$A,0)),"")</f>
        <v/>
      </c>
      <c r="N303" s="21">
        <f>IFERROR(INDEX(Overrides!$E:$E,MATCH(A303,Overrides!$A:$A,0)),"")</f>
        <v/>
      </c>
      <c r="O303" s="21">
        <f>IFERROR(INDEX(Overrides!$D:$D,MATCH(A303,Overrides!$A:$A,0)),"")</f>
        <v/>
      </c>
      <c r="P303" s="21">
        <f>IFERROR(INDEX(Overrides!$B:$B,MATCH(A303,Overrides!$A:$A,0)),"")</f>
        <v/>
      </c>
      <c r="Q303" s="6">
        <f>IFERROR(INDEX(Overrides!$F:$F,MATCH(A303,Overrides!$A:$A,0)),"")</f>
        <v/>
      </c>
      <c r="R303" s="6">
        <f>ISNUMBER(MATCH(A303,Overrides!$A:$A,0))</f>
        <v/>
      </c>
      <c r="S303" s="6">
        <f>OR(ROUND(L303-ROUND(G303-T303,2),2)&lt;=0,AND(I303,K303&lt;&gt;"",(A303-D303+1)=K303))</f>
        <v/>
      </c>
      <c r="T303" s="21">
        <f>IF(M303&lt;&gt;"",M303,ROUND(L303*F303,2))</f>
        <v/>
      </c>
      <c r="U303" s="21">
        <f>IF(R303,IF(O303&lt;&gt;"",O303,IF(N303&lt;&gt;"",ROUND(L303-N303,2),ROUND((IF(P303&lt;&gt;"",P303,G303))-T303,2))),IF(H303,0,IF(S303,L303,ROUND(G303-T303,2))))</f>
        <v/>
      </c>
      <c r="V303" s="21">
        <f>IF(R303,IF(P303&lt;&gt;"",P303,ROUND(T303+U303,2)),IF(H303,T303,IF(S303,ROUND(T303+U303,2),G303)))</f>
        <v/>
      </c>
      <c r="W303" s="21">
        <f>IF(R303,IF(N303&lt;&gt;"",N303,ROUND(L303-U303,2)),IF(H303,L303,IF(S303,0,ROUND(L303-U303,2))))</f>
        <v/>
      </c>
      <c r="X303" s="21">
        <f>IFERROR(MIN(INDEX(LumpSums!$B:$B,MATCH(A303,LumpSums!$A:$A,0)),W303),0)</f>
        <v/>
      </c>
      <c r="Y303" s="21">
        <f>ROUND(U303+X303,2)</f>
        <v/>
      </c>
      <c r="Z303" s="21">
        <f>ROUND(V303+X303,2)</f>
        <v/>
      </c>
      <c r="AA303" s="21">
        <f>ROUND(W303-X303,2)</f>
        <v/>
      </c>
      <c r="AB303" s="6">
        <f>AND(AB302,L303&gt;0)</f>
        <v/>
      </c>
      <c r="AC303" s="21">
        <f>IF(PMI_Costs!$B$8=0,0,ROUND(PMI_Costs!$B$8*(1+PMI_Costs!$B$9/100)^INT((A303-1)/12)/12,2))</f>
        <v/>
      </c>
      <c r="AD303" s="21">
        <f>IF(PMI_Costs!$B$10=0,0,ROUND(PMI_Costs!$B$10*(1+PMI_Costs!$B$11/100)^INT((A303-1)/12)/12,2))</f>
        <v/>
      </c>
      <c r="AE303" s="21">
        <f>IF(PMI_Costs!$B$12=0,0,ROUND(PMI_Costs!$B$12*(1+PMI_Costs!$B$13/100)^INT((A303-1)/12)/12,2))</f>
        <v/>
      </c>
      <c r="AF303" s="22">
        <f>IF(PMI_Costs!$B$5=0,0,AA303/PMI_Costs!$B$5)</f>
        <v/>
      </c>
      <c r="AG303" s="6">
        <f>AND(PMI_Costs!$B$4&gt;0,AF303&gt;PMI_Costs!$B$6/100)</f>
        <v/>
      </c>
      <c r="AH303" s="21">
        <f>IF(AG303,ROUND(Segments!$G$5*PMI_Costs!$B$4/100/12,2),0)</f>
        <v/>
      </c>
      <c r="AI303" s="6">
        <f>AND(NOT(AG303),AG302)</f>
        <v/>
      </c>
    </row>
    <row r="304">
      <c r="A304" s="18" t="n">
        <v>300</v>
      </c>
      <c r="B304" s="18">
        <f>SUMPRODUCT((Segments!$J$5:$J$12&lt;&gt;"")*(Segments!$J$5:$J$12&lt;=A304))</f>
        <v/>
      </c>
      <c r="C304" s="19">
        <f>INDEX(Segments!$B$5:$B$12,B304)</f>
        <v/>
      </c>
      <c r="D304" s="18">
        <f>INDEX(Segments!$J$5:$J$12,B304)</f>
        <v/>
      </c>
      <c r="E304" s="19">
        <f>DATE(YEAR(C304)+INT((MONTH(C304)-1+(A304-D304))/12),MOD(MONTH(C304)-1+(A304-D304),12)+1,1)+(DAY(C304)-1)</f>
        <v/>
      </c>
      <c r="F304" s="20">
        <f>INDEX(Segments!$C$5:$C$12,B304)/100/12</f>
        <v/>
      </c>
      <c r="G304" s="21">
        <f>INDEX(Segments!$L$5:$L$12,B304)</f>
        <v/>
      </c>
      <c r="H304" s="6">
        <f>INDEX(Segments!$I$5:$I$12,B304)="Y"</f>
        <v/>
      </c>
      <c r="I304" s="6">
        <f>INDEX(Segments!$F$5:$F$12,B304)=""</f>
        <v/>
      </c>
      <c r="J304" s="18">
        <f>INDEX(Segments!$K$5:$K$12,B304)</f>
        <v/>
      </c>
      <c r="K304" s="18">
        <f>IF(INDEX(Segments!$F$5:$F$12,B304)&lt;&gt;"",INDEX(Segments!$F$5:$F$12,B304),IF(INDEX(Segments!$E$5:$E$12,B304)&lt;&gt;"",INDEX(Segments!$E$5:$E$12,B304),""))</f>
        <v/>
      </c>
      <c r="L304" s="21">
        <f>AA303</f>
        <v/>
      </c>
      <c r="M304" s="21">
        <f>IFERROR(INDEX(Overrides!$C:$C,MATCH(A304,Overrides!$A:$A,0)),"")</f>
        <v/>
      </c>
      <c r="N304" s="21">
        <f>IFERROR(INDEX(Overrides!$E:$E,MATCH(A304,Overrides!$A:$A,0)),"")</f>
        <v/>
      </c>
      <c r="O304" s="21">
        <f>IFERROR(INDEX(Overrides!$D:$D,MATCH(A304,Overrides!$A:$A,0)),"")</f>
        <v/>
      </c>
      <c r="P304" s="21">
        <f>IFERROR(INDEX(Overrides!$B:$B,MATCH(A304,Overrides!$A:$A,0)),"")</f>
        <v/>
      </c>
      <c r="Q304" s="6">
        <f>IFERROR(INDEX(Overrides!$F:$F,MATCH(A304,Overrides!$A:$A,0)),"")</f>
        <v/>
      </c>
      <c r="R304" s="6">
        <f>ISNUMBER(MATCH(A304,Overrides!$A:$A,0))</f>
        <v/>
      </c>
      <c r="S304" s="6">
        <f>OR(ROUND(L304-ROUND(G304-T304,2),2)&lt;=0,AND(I304,K304&lt;&gt;"",(A304-D304+1)=K304))</f>
        <v/>
      </c>
      <c r="T304" s="21">
        <f>IF(M304&lt;&gt;"",M304,ROUND(L304*F304,2))</f>
        <v/>
      </c>
      <c r="U304" s="21">
        <f>IF(R304,IF(O304&lt;&gt;"",O304,IF(N304&lt;&gt;"",ROUND(L304-N304,2),ROUND((IF(P304&lt;&gt;"",P304,G304))-T304,2))),IF(H304,0,IF(S304,L304,ROUND(G304-T304,2))))</f>
        <v/>
      </c>
      <c r="V304" s="21">
        <f>IF(R304,IF(P304&lt;&gt;"",P304,ROUND(T304+U304,2)),IF(H304,T304,IF(S304,ROUND(T304+U304,2),G304)))</f>
        <v/>
      </c>
      <c r="W304" s="21">
        <f>IF(R304,IF(N304&lt;&gt;"",N304,ROUND(L304-U304,2)),IF(H304,L304,IF(S304,0,ROUND(L304-U304,2))))</f>
        <v/>
      </c>
      <c r="X304" s="21">
        <f>IFERROR(MIN(INDEX(LumpSums!$B:$B,MATCH(A304,LumpSums!$A:$A,0)),W304),0)</f>
        <v/>
      </c>
      <c r="Y304" s="21">
        <f>ROUND(U304+X304,2)</f>
        <v/>
      </c>
      <c r="Z304" s="21">
        <f>ROUND(V304+X304,2)</f>
        <v/>
      </c>
      <c r="AA304" s="21">
        <f>ROUND(W304-X304,2)</f>
        <v/>
      </c>
      <c r="AB304" s="6">
        <f>AND(AB303,L304&gt;0)</f>
        <v/>
      </c>
      <c r="AC304" s="21">
        <f>IF(PMI_Costs!$B$8=0,0,ROUND(PMI_Costs!$B$8*(1+PMI_Costs!$B$9/100)^INT((A304-1)/12)/12,2))</f>
        <v/>
      </c>
      <c r="AD304" s="21">
        <f>IF(PMI_Costs!$B$10=0,0,ROUND(PMI_Costs!$B$10*(1+PMI_Costs!$B$11/100)^INT((A304-1)/12)/12,2))</f>
        <v/>
      </c>
      <c r="AE304" s="21">
        <f>IF(PMI_Costs!$B$12=0,0,ROUND(PMI_Costs!$B$12*(1+PMI_Costs!$B$13/100)^INT((A304-1)/12)/12,2))</f>
        <v/>
      </c>
      <c r="AF304" s="22">
        <f>IF(PMI_Costs!$B$5=0,0,AA304/PMI_Costs!$B$5)</f>
        <v/>
      </c>
      <c r="AG304" s="6">
        <f>AND(PMI_Costs!$B$4&gt;0,AF304&gt;PMI_Costs!$B$6/100)</f>
        <v/>
      </c>
      <c r="AH304" s="21">
        <f>IF(AG304,ROUND(Segments!$G$5*PMI_Costs!$B$4/100/12,2),0)</f>
        <v/>
      </c>
      <c r="AI304" s="6">
        <f>AND(NOT(AG304),AG303)</f>
        <v/>
      </c>
    </row>
    <row r="305">
      <c r="A305" s="18" t="n">
        <v>301</v>
      </c>
      <c r="B305" s="18">
        <f>SUMPRODUCT((Segments!$J$5:$J$12&lt;&gt;"")*(Segments!$J$5:$J$12&lt;=A305))</f>
        <v/>
      </c>
      <c r="C305" s="19">
        <f>INDEX(Segments!$B$5:$B$12,B305)</f>
        <v/>
      </c>
      <c r="D305" s="18">
        <f>INDEX(Segments!$J$5:$J$12,B305)</f>
        <v/>
      </c>
      <c r="E305" s="19">
        <f>DATE(YEAR(C305)+INT((MONTH(C305)-1+(A305-D305))/12),MOD(MONTH(C305)-1+(A305-D305),12)+1,1)+(DAY(C305)-1)</f>
        <v/>
      </c>
      <c r="F305" s="20">
        <f>INDEX(Segments!$C$5:$C$12,B305)/100/12</f>
        <v/>
      </c>
      <c r="G305" s="21">
        <f>INDEX(Segments!$L$5:$L$12,B305)</f>
        <v/>
      </c>
      <c r="H305" s="6">
        <f>INDEX(Segments!$I$5:$I$12,B305)="Y"</f>
        <v/>
      </c>
      <c r="I305" s="6">
        <f>INDEX(Segments!$F$5:$F$12,B305)=""</f>
        <v/>
      </c>
      <c r="J305" s="18">
        <f>INDEX(Segments!$K$5:$K$12,B305)</f>
        <v/>
      </c>
      <c r="K305" s="18">
        <f>IF(INDEX(Segments!$F$5:$F$12,B305)&lt;&gt;"",INDEX(Segments!$F$5:$F$12,B305),IF(INDEX(Segments!$E$5:$E$12,B305)&lt;&gt;"",INDEX(Segments!$E$5:$E$12,B305),""))</f>
        <v/>
      </c>
      <c r="L305" s="21">
        <f>AA304</f>
        <v/>
      </c>
      <c r="M305" s="21">
        <f>IFERROR(INDEX(Overrides!$C:$C,MATCH(A305,Overrides!$A:$A,0)),"")</f>
        <v/>
      </c>
      <c r="N305" s="21">
        <f>IFERROR(INDEX(Overrides!$E:$E,MATCH(A305,Overrides!$A:$A,0)),"")</f>
        <v/>
      </c>
      <c r="O305" s="21">
        <f>IFERROR(INDEX(Overrides!$D:$D,MATCH(A305,Overrides!$A:$A,0)),"")</f>
        <v/>
      </c>
      <c r="P305" s="21">
        <f>IFERROR(INDEX(Overrides!$B:$B,MATCH(A305,Overrides!$A:$A,0)),"")</f>
        <v/>
      </c>
      <c r="Q305" s="6">
        <f>IFERROR(INDEX(Overrides!$F:$F,MATCH(A305,Overrides!$A:$A,0)),"")</f>
        <v/>
      </c>
      <c r="R305" s="6">
        <f>ISNUMBER(MATCH(A305,Overrides!$A:$A,0))</f>
        <v/>
      </c>
      <c r="S305" s="6">
        <f>OR(ROUND(L305-ROUND(G305-T305,2),2)&lt;=0,AND(I305,K305&lt;&gt;"",(A305-D305+1)=K305))</f>
        <v/>
      </c>
      <c r="T305" s="21">
        <f>IF(M305&lt;&gt;"",M305,ROUND(L305*F305,2))</f>
        <v/>
      </c>
      <c r="U305" s="21">
        <f>IF(R305,IF(O305&lt;&gt;"",O305,IF(N305&lt;&gt;"",ROUND(L305-N305,2),ROUND((IF(P305&lt;&gt;"",P305,G305))-T305,2))),IF(H305,0,IF(S305,L305,ROUND(G305-T305,2))))</f>
        <v/>
      </c>
      <c r="V305" s="21">
        <f>IF(R305,IF(P305&lt;&gt;"",P305,ROUND(T305+U305,2)),IF(H305,T305,IF(S305,ROUND(T305+U305,2),G305)))</f>
        <v/>
      </c>
      <c r="W305" s="21">
        <f>IF(R305,IF(N305&lt;&gt;"",N305,ROUND(L305-U305,2)),IF(H305,L305,IF(S305,0,ROUND(L305-U305,2))))</f>
        <v/>
      </c>
      <c r="X305" s="21">
        <f>IFERROR(MIN(INDEX(LumpSums!$B:$B,MATCH(A305,LumpSums!$A:$A,0)),W305),0)</f>
        <v/>
      </c>
      <c r="Y305" s="21">
        <f>ROUND(U305+X305,2)</f>
        <v/>
      </c>
      <c r="Z305" s="21">
        <f>ROUND(V305+X305,2)</f>
        <v/>
      </c>
      <c r="AA305" s="21">
        <f>ROUND(W305-X305,2)</f>
        <v/>
      </c>
      <c r="AB305" s="6">
        <f>AND(AB304,L305&gt;0)</f>
        <v/>
      </c>
      <c r="AC305" s="21">
        <f>IF(PMI_Costs!$B$8=0,0,ROUND(PMI_Costs!$B$8*(1+PMI_Costs!$B$9/100)^INT((A305-1)/12)/12,2))</f>
        <v/>
      </c>
      <c r="AD305" s="21">
        <f>IF(PMI_Costs!$B$10=0,0,ROUND(PMI_Costs!$B$10*(1+PMI_Costs!$B$11/100)^INT((A305-1)/12)/12,2))</f>
        <v/>
      </c>
      <c r="AE305" s="21">
        <f>IF(PMI_Costs!$B$12=0,0,ROUND(PMI_Costs!$B$12*(1+PMI_Costs!$B$13/100)^INT((A305-1)/12)/12,2))</f>
        <v/>
      </c>
      <c r="AF305" s="22">
        <f>IF(PMI_Costs!$B$5=0,0,AA305/PMI_Costs!$B$5)</f>
        <v/>
      </c>
      <c r="AG305" s="6">
        <f>AND(PMI_Costs!$B$4&gt;0,AF305&gt;PMI_Costs!$B$6/100)</f>
        <v/>
      </c>
      <c r="AH305" s="21">
        <f>IF(AG305,ROUND(Segments!$G$5*PMI_Costs!$B$4/100/12,2),0)</f>
        <v/>
      </c>
      <c r="AI305" s="6">
        <f>AND(NOT(AG305),AG304)</f>
        <v/>
      </c>
    </row>
    <row r="306">
      <c r="A306" s="18" t="n">
        <v>302</v>
      </c>
      <c r="B306" s="18">
        <f>SUMPRODUCT((Segments!$J$5:$J$12&lt;&gt;"")*(Segments!$J$5:$J$12&lt;=A306))</f>
        <v/>
      </c>
      <c r="C306" s="19">
        <f>INDEX(Segments!$B$5:$B$12,B306)</f>
        <v/>
      </c>
      <c r="D306" s="18">
        <f>INDEX(Segments!$J$5:$J$12,B306)</f>
        <v/>
      </c>
      <c r="E306" s="19">
        <f>DATE(YEAR(C306)+INT((MONTH(C306)-1+(A306-D306))/12),MOD(MONTH(C306)-1+(A306-D306),12)+1,1)+(DAY(C306)-1)</f>
        <v/>
      </c>
      <c r="F306" s="20">
        <f>INDEX(Segments!$C$5:$C$12,B306)/100/12</f>
        <v/>
      </c>
      <c r="G306" s="21">
        <f>INDEX(Segments!$L$5:$L$12,B306)</f>
        <v/>
      </c>
      <c r="H306" s="6">
        <f>INDEX(Segments!$I$5:$I$12,B306)="Y"</f>
        <v/>
      </c>
      <c r="I306" s="6">
        <f>INDEX(Segments!$F$5:$F$12,B306)=""</f>
        <v/>
      </c>
      <c r="J306" s="18">
        <f>INDEX(Segments!$K$5:$K$12,B306)</f>
        <v/>
      </c>
      <c r="K306" s="18">
        <f>IF(INDEX(Segments!$F$5:$F$12,B306)&lt;&gt;"",INDEX(Segments!$F$5:$F$12,B306),IF(INDEX(Segments!$E$5:$E$12,B306)&lt;&gt;"",INDEX(Segments!$E$5:$E$12,B306),""))</f>
        <v/>
      </c>
      <c r="L306" s="21">
        <f>AA305</f>
        <v/>
      </c>
      <c r="M306" s="21">
        <f>IFERROR(INDEX(Overrides!$C:$C,MATCH(A306,Overrides!$A:$A,0)),"")</f>
        <v/>
      </c>
      <c r="N306" s="21">
        <f>IFERROR(INDEX(Overrides!$E:$E,MATCH(A306,Overrides!$A:$A,0)),"")</f>
        <v/>
      </c>
      <c r="O306" s="21">
        <f>IFERROR(INDEX(Overrides!$D:$D,MATCH(A306,Overrides!$A:$A,0)),"")</f>
        <v/>
      </c>
      <c r="P306" s="21">
        <f>IFERROR(INDEX(Overrides!$B:$B,MATCH(A306,Overrides!$A:$A,0)),"")</f>
        <v/>
      </c>
      <c r="Q306" s="6">
        <f>IFERROR(INDEX(Overrides!$F:$F,MATCH(A306,Overrides!$A:$A,0)),"")</f>
        <v/>
      </c>
      <c r="R306" s="6">
        <f>ISNUMBER(MATCH(A306,Overrides!$A:$A,0))</f>
        <v/>
      </c>
      <c r="S306" s="6">
        <f>OR(ROUND(L306-ROUND(G306-T306,2),2)&lt;=0,AND(I306,K306&lt;&gt;"",(A306-D306+1)=K306))</f>
        <v/>
      </c>
      <c r="T306" s="21">
        <f>IF(M306&lt;&gt;"",M306,ROUND(L306*F306,2))</f>
        <v/>
      </c>
      <c r="U306" s="21">
        <f>IF(R306,IF(O306&lt;&gt;"",O306,IF(N306&lt;&gt;"",ROUND(L306-N306,2),ROUND((IF(P306&lt;&gt;"",P306,G306))-T306,2))),IF(H306,0,IF(S306,L306,ROUND(G306-T306,2))))</f>
        <v/>
      </c>
      <c r="V306" s="21">
        <f>IF(R306,IF(P306&lt;&gt;"",P306,ROUND(T306+U306,2)),IF(H306,T306,IF(S306,ROUND(T306+U306,2),G306)))</f>
        <v/>
      </c>
      <c r="W306" s="21">
        <f>IF(R306,IF(N306&lt;&gt;"",N306,ROUND(L306-U306,2)),IF(H306,L306,IF(S306,0,ROUND(L306-U306,2))))</f>
        <v/>
      </c>
      <c r="X306" s="21">
        <f>IFERROR(MIN(INDEX(LumpSums!$B:$B,MATCH(A306,LumpSums!$A:$A,0)),W306),0)</f>
        <v/>
      </c>
      <c r="Y306" s="21">
        <f>ROUND(U306+X306,2)</f>
        <v/>
      </c>
      <c r="Z306" s="21">
        <f>ROUND(V306+X306,2)</f>
        <v/>
      </c>
      <c r="AA306" s="21">
        <f>ROUND(W306-X306,2)</f>
        <v/>
      </c>
      <c r="AB306" s="6">
        <f>AND(AB305,L306&gt;0)</f>
        <v/>
      </c>
      <c r="AC306" s="21">
        <f>IF(PMI_Costs!$B$8=0,0,ROUND(PMI_Costs!$B$8*(1+PMI_Costs!$B$9/100)^INT((A306-1)/12)/12,2))</f>
        <v/>
      </c>
      <c r="AD306" s="21">
        <f>IF(PMI_Costs!$B$10=0,0,ROUND(PMI_Costs!$B$10*(1+PMI_Costs!$B$11/100)^INT((A306-1)/12)/12,2))</f>
        <v/>
      </c>
      <c r="AE306" s="21">
        <f>IF(PMI_Costs!$B$12=0,0,ROUND(PMI_Costs!$B$12*(1+PMI_Costs!$B$13/100)^INT((A306-1)/12)/12,2))</f>
        <v/>
      </c>
      <c r="AF306" s="22">
        <f>IF(PMI_Costs!$B$5=0,0,AA306/PMI_Costs!$B$5)</f>
        <v/>
      </c>
      <c r="AG306" s="6">
        <f>AND(PMI_Costs!$B$4&gt;0,AF306&gt;PMI_Costs!$B$6/100)</f>
        <v/>
      </c>
      <c r="AH306" s="21">
        <f>IF(AG306,ROUND(Segments!$G$5*PMI_Costs!$B$4/100/12,2),0)</f>
        <v/>
      </c>
      <c r="AI306" s="6">
        <f>AND(NOT(AG306),AG305)</f>
        <v/>
      </c>
    </row>
    <row r="307">
      <c r="A307" s="18" t="n">
        <v>303</v>
      </c>
      <c r="B307" s="18">
        <f>SUMPRODUCT((Segments!$J$5:$J$12&lt;&gt;"")*(Segments!$J$5:$J$12&lt;=A307))</f>
        <v/>
      </c>
      <c r="C307" s="19">
        <f>INDEX(Segments!$B$5:$B$12,B307)</f>
        <v/>
      </c>
      <c r="D307" s="18">
        <f>INDEX(Segments!$J$5:$J$12,B307)</f>
        <v/>
      </c>
      <c r="E307" s="19">
        <f>DATE(YEAR(C307)+INT((MONTH(C307)-1+(A307-D307))/12),MOD(MONTH(C307)-1+(A307-D307),12)+1,1)+(DAY(C307)-1)</f>
        <v/>
      </c>
      <c r="F307" s="20">
        <f>INDEX(Segments!$C$5:$C$12,B307)/100/12</f>
        <v/>
      </c>
      <c r="G307" s="21">
        <f>INDEX(Segments!$L$5:$L$12,B307)</f>
        <v/>
      </c>
      <c r="H307" s="6">
        <f>INDEX(Segments!$I$5:$I$12,B307)="Y"</f>
        <v/>
      </c>
      <c r="I307" s="6">
        <f>INDEX(Segments!$F$5:$F$12,B307)=""</f>
        <v/>
      </c>
      <c r="J307" s="18">
        <f>INDEX(Segments!$K$5:$K$12,B307)</f>
        <v/>
      </c>
      <c r="K307" s="18">
        <f>IF(INDEX(Segments!$F$5:$F$12,B307)&lt;&gt;"",INDEX(Segments!$F$5:$F$12,B307),IF(INDEX(Segments!$E$5:$E$12,B307)&lt;&gt;"",INDEX(Segments!$E$5:$E$12,B307),""))</f>
        <v/>
      </c>
      <c r="L307" s="21">
        <f>AA306</f>
        <v/>
      </c>
      <c r="M307" s="21">
        <f>IFERROR(INDEX(Overrides!$C:$C,MATCH(A307,Overrides!$A:$A,0)),"")</f>
        <v/>
      </c>
      <c r="N307" s="21">
        <f>IFERROR(INDEX(Overrides!$E:$E,MATCH(A307,Overrides!$A:$A,0)),"")</f>
        <v/>
      </c>
      <c r="O307" s="21">
        <f>IFERROR(INDEX(Overrides!$D:$D,MATCH(A307,Overrides!$A:$A,0)),"")</f>
        <v/>
      </c>
      <c r="P307" s="21">
        <f>IFERROR(INDEX(Overrides!$B:$B,MATCH(A307,Overrides!$A:$A,0)),"")</f>
        <v/>
      </c>
      <c r="Q307" s="6">
        <f>IFERROR(INDEX(Overrides!$F:$F,MATCH(A307,Overrides!$A:$A,0)),"")</f>
        <v/>
      </c>
      <c r="R307" s="6">
        <f>ISNUMBER(MATCH(A307,Overrides!$A:$A,0))</f>
        <v/>
      </c>
      <c r="S307" s="6">
        <f>OR(ROUND(L307-ROUND(G307-T307,2),2)&lt;=0,AND(I307,K307&lt;&gt;"",(A307-D307+1)=K307))</f>
        <v/>
      </c>
      <c r="T307" s="21">
        <f>IF(M307&lt;&gt;"",M307,ROUND(L307*F307,2))</f>
        <v/>
      </c>
      <c r="U307" s="21">
        <f>IF(R307,IF(O307&lt;&gt;"",O307,IF(N307&lt;&gt;"",ROUND(L307-N307,2),ROUND((IF(P307&lt;&gt;"",P307,G307))-T307,2))),IF(H307,0,IF(S307,L307,ROUND(G307-T307,2))))</f>
        <v/>
      </c>
      <c r="V307" s="21">
        <f>IF(R307,IF(P307&lt;&gt;"",P307,ROUND(T307+U307,2)),IF(H307,T307,IF(S307,ROUND(T307+U307,2),G307)))</f>
        <v/>
      </c>
      <c r="W307" s="21">
        <f>IF(R307,IF(N307&lt;&gt;"",N307,ROUND(L307-U307,2)),IF(H307,L307,IF(S307,0,ROUND(L307-U307,2))))</f>
        <v/>
      </c>
      <c r="X307" s="21">
        <f>IFERROR(MIN(INDEX(LumpSums!$B:$B,MATCH(A307,LumpSums!$A:$A,0)),W307),0)</f>
        <v/>
      </c>
      <c r="Y307" s="21">
        <f>ROUND(U307+X307,2)</f>
        <v/>
      </c>
      <c r="Z307" s="21">
        <f>ROUND(V307+X307,2)</f>
        <v/>
      </c>
      <c r="AA307" s="21">
        <f>ROUND(W307-X307,2)</f>
        <v/>
      </c>
      <c r="AB307" s="6">
        <f>AND(AB306,L307&gt;0)</f>
        <v/>
      </c>
      <c r="AC307" s="21">
        <f>IF(PMI_Costs!$B$8=0,0,ROUND(PMI_Costs!$B$8*(1+PMI_Costs!$B$9/100)^INT((A307-1)/12)/12,2))</f>
        <v/>
      </c>
      <c r="AD307" s="21">
        <f>IF(PMI_Costs!$B$10=0,0,ROUND(PMI_Costs!$B$10*(1+PMI_Costs!$B$11/100)^INT((A307-1)/12)/12,2))</f>
        <v/>
      </c>
      <c r="AE307" s="21">
        <f>IF(PMI_Costs!$B$12=0,0,ROUND(PMI_Costs!$B$12*(1+PMI_Costs!$B$13/100)^INT((A307-1)/12)/12,2))</f>
        <v/>
      </c>
      <c r="AF307" s="22">
        <f>IF(PMI_Costs!$B$5=0,0,AA307/PMI_Costs!$B$5)</f>
        <v/>
      </c>
      <c r="AG307" s="6">
        <f>AND(PMI_Costs!$B$4&gt;0,AF307&gt;PMI_Costs!$B$6/100)</f>
        <v/>
      </c>
      <c r="AH307" s="21">
        <f>IF(AG307,ROUND(Segments!$G$5*PMI_Costs!$B$4/100/12,2),0)</f>
        <v/>
      </c>
      <c r="AI307" s="6">
        <f>AND(NOT(AG307),AG306)</f>
        <v/>
      </c>
    </row>
    <row r="308">
      <c r="A308" s="18" t="n">
        <v>304</v>
      </c>
      <c r="B308" s="18">
        <f>SUMPRODUCT((Segments!$J$5:$J$12&lt;&gt;"")*(Segments!$J$5:$J$12&lt;=A308))</f>
        <v/>
      </c>
      <c r="C308" s="19">
        <f>INDEX(Segments!$B$5:$B$12,B308)</f>
        <v/>
      </c>
      <c r="D308" s="18">
        <f>INDEX(Segments!$J$5:$J$12,B308)</f>
        <v/>
      </c>
      <c r="E308" s="19">
        <f>DATE(YEAR(C308)+INT((MONTH(C308)-1+(A308-D308))/12),MOD(MONTH(C308)-1+(A308-D308),12)+1,1)+(DAY(C308)-1)</f>
        <v/>
      </c>
      <c r="F308" s="20">
        <f>INDEX(Segments!$C$5:$C$12,B308)/100/12</f>
        <v/>
      </c>
      <c r="G308" s="21">
        <f>INDEX(Segments!$L$5:$L$12,B308)</f>
        <v/>
      </c>
      <c r="H308" s="6">
        <f>INDEX(Segments!$I$5:$I$12,B308)="Y"</f>
        <v/>
      </c>
      <c r="I308" s="6">
        <f>INDEX(Segments!$F$5:$F$12,B308)=""</f>
        <v/>
      </c>
      <c r="J308" s="18">
        <f>INDEX(Segments!$K$5:$K$12,B308)</f>
        <v/>
      </c>
      <c r="K308" s="18">
        <f>IF(INDEX(Segments!$F$5:$F$12,B308)&lt;&gt;"",INDEX(Segments!$F$5:$F$12,B308),IF(INDEX(Segments!$E$5:$E$12,B308)&lt;&gt;"",INDEX(Segments!$E$5:$E$12,B308),""))</f>
        <v/>
      </c>
      <c r="L308" s="21">
        <f>AA307</f>
        <v/>
      </c>
      <c r="M308" s="21">
        <f>IFERROR(INDEX(Overrides!$C:$C,MATCH(A308,Overrides!$A:$A,0)),"")</f>
        <v/>
      </c>
      <c r="N308" s="21">
        <f>IFERROR(INDEX(Overrides!$E:$E,MATCH(A308,Overrides!$A:$A,0)),"")</f>
        <v/>
      </c>
      <c r="O308" s="21">
        <f>IFERROR(INDEX(Overrides!$D:$D,MATCH(A308,Overrides!$A:$A,0)),"")</f>
        <v/>
      </c>
      <c r="P308" s="21">
        <f>IFERROR(INDEX(Overrides!$B:$B,MATCH(A308,Overrides!$A:$A,0)),"")</f>
        <v/>
      </c>
      <c r="Q308" s="6">
        <f>IFERROR(INDEX(Overrides!$F:$F,MATCH(A308,Overrides!$A:$A,0)),"")</f>
        <v/>
      </c>
      <c r="R308" s="6">
        <f>ISNUMBER(MATCH(A308,Overrides!$A:$A,0))</f>
        <v/>
      </c>
      <c r="S308" s="6">
        <f>OR(ROUND(L308-ROUND(G308-T308,2),2)&lt;=0,AND(I308,K308&lt;&gt;"",(A308-D308+1)=K308))</f>
        <v/>
      </c>
      <c r="T308" s="21">
        <f>IF(M308&lt;&gt;"",M308,ROUND(L308*F308,2))</f>
        <v/>
      </c>
      <c r="U308" s="21">
        <f>IF(R308,IF(O308&lt;&gt;"",O308,IF(N308&lt;&gt;"",ROUND(L308-N308,2),ROUND((IF(P308&lt;&gt;"",P308,G308))-T308,2))),IF(H308,0,IF(S308,L308,ROUND(G308-T308,2))))</f>
        <v/>
      </c>
      <c r="V308" s="21">
        <f>IF(R308,IF(P308&lt;&gt;"",P308,ROUND(T308+U308,2)),IF(H308,T308,IF(S308,ROUND(T308+U308,2),G308)))</f>
        <v/>
      </c>
      <c r="W308" s="21">
        <f>IF(R308,IF(N308&lt;&gt;"",N308,ROUND(L308-U308,2)),IF(H308,L308,IF(S308,0,ROUND(L308-U308,2))))</f>
        <v/>
      </c>
      <c r="X308" s="21">
        <f>IFERROR(MIN(INDEX(LumpSums!$B:$B,MATCH(A308,LumpSums!$A:$A,0)),W308),0)</f>
        <v/>
      </c>
      <c r="Y308" s="21">
        <f>ROUND(U308+X308,2)</f>
        <v/>
      </c>
      <c r="Z308" s="21">
        <f>ROUND(V308+X308,2)</f>
        <v/>
      </c>
      <c r="AA308" s="21">
        <f>ROUND(W308-X308,2)</f>
        <v/>
      </c>
      <c r="AB308" s="6">
        <f>AND(AB307,L308&gt;0)</f>
        <v/>
      </c>
      <c r="AC308" s="21">
        <f>IF(PMI_Costs!$B$8=0,0,ROUND(PMI_Costs!$B$8*(1+PMI_Costs!$B$9/100)^INT((A308-1)/12)/12,2))</f>
        <v/>
      </c>
      <c r="AD308" s="21">
        <f>IF(PMI_Costs!$B$10=0,0,ROUND(PMI_Costs!$B$10*(1+PMI_Costs!$B$11/100)^INT((A308-1)/12)/12,2))</f>
        <v/>
      </c>
      <c r="AE308" s="21">
        <f>IF(PMI_Costs!$B$12=0,0,ROUND(PMI_Costs!$B$12*(1+PMI_Costs!$B$13/100)^INT((A308-1)/12)/12,2))</f>
        <v/>
      </c>
      <c r="AF308" s="22">
        <f>IF(PMI_Costs!$B$5=0,0,AA308/PMI_Costs!$B$5)</f>
        <v/>
      </c>
      <c r="AG308" s="6">
        <f>AND(PMI_Costs!$B$4&gt;0,AF308&gt;PMI_Costs!$B$6/100)</f>
        <v/>
      </c>
      <c r="AH308" s="21">
        <f>IF(AG308,ROUND(Segments!$G$5*PMI_Costs!$B$4/100/12,2),0)</f>
        <v/>
      </c>
      <c r="AI308" s="6">
        <f>AND(NOT(AG308),AG307)</f>
        <v/>
      </c>
    </row>
    <row r="309">
      <c r="A309" s="18" t="n">
        <v>305</v>
      </c>
      <c r="B309" s="18">
        <f>SUMPRODUCT((Segments!$J$5:$J$12&lt;&gt;"")*(Segments!$J$5:$J$12&lt;=A309))</f>
        <v/>
      </c>
      <c r="C309" s="19">
        <f>INDEX(Segments!$B$5:$B$12,B309)</f>
        <v/>
      </c>
      <c r="D309" s="18">
        <f>INDEX(Segments!$J$5:$J$12,B309)</f>
        <v/>
      </c>
      <c r="E309" s="19">
        <f>DATE(YEAR(C309)+INT((MONTH(C309)-1+(A309-D309))/12),MOD(MONTH(C309)-1+(A309-D309),12)+1,1)+(DAY(C309)-1)</f>
        <v/>
      </c>
      <c r="F309" s="20">
        <f>INDEX(Segments!$C$5:$C$12,B309)/100/12</f>
        <v/>
      </c>
      <c r="G309" s="21">
        <f>INDEX(Segments!$L$5:$L$12,B309)</f>
        <v/>
      </c>
      <c r="H309" s="6">
        <f>INDEX(Segments!$I$5:$I$12,B309)="Y"</f>
        <v/>
      </c>
      <c r="I309" s="6">
        <f>INDEX(Segments!$F$5:$F$12,B309)=""</f>
        <v/>
      </c>
      <c r="J309" s="18">
        <f>INDEX(Segments!$K$5:$K$12,B309)</f>
        <v/>
      </c>
      <c r="K309" s="18">
        <f>IF(INDEX(Segments!$F$5:$F$12,B309)&lt;&gt;"",INDEX(Segments!$F$5:$F$12,B309),IF(INDEX(Segments!$E$5:$E$12,B309)&lt;&gt;"",INDEX(Segments!$E$5:$E$12,B309),""))</f>
        <v/>
      </c>
      <c r="L309" s="21">
        <f>AA308</f>
        <v/>
      </c>
      <c r="M309" s="21">
        <f>IFERROR(INDEX(Overrides!$C:$C,MATCH(A309,Overrides!$A:$A,0)),"")</f>
        <v/>
      </c>
      <c r="N309" s="21">
        <f>IFERROR(INDEX(Overrides!$E:$E,MATCH(A309,Overrides!$A:$A,0)),"")</f>
        <v/>
      </c>
      <c r="O309" s="21">
        <f>IFERROR(INDEX(Overrides!$D:$D,MATCH(A309,Overrides!$A:$A,0)),"")</f>
        <v/>
      </c>
      <c r="P309" s="21">
        <f>IFERROR(INDEX(Overrides!$B:$B,MATCH(A309,Overrides!$A:$A,0)),"")</f>
        <v/>
      </c>
      <c r="Q309" s="6">
        <f>IFERROR(INDEX(Overrides!$F:$F,MATCH(A309,Overrides!$A:$A,0)),"")</f>
        <v/>
      </c>
      <c r="R309" s="6">
        <f>ISNUMBER(MATCH(A309,Overrides!$A:$A,0))</f>
        <v/>
      </c>
      <c r="S309" s="6">
        <f>OR(ROUND(L309-ROUND(G309-T309,2),2)&lt;=0,AND(I309,K309&lt;&gt;"",(A309-D309+1)=K309))</f>
        <v/>
      </c>
      <c r="T309" s="21">
        <f>IF(M309&lt;&gt;"",M309,ROUND(L309*F309,2))</f>
        <v/>
      </c>
      <c r="U309" s="21">
        <f>IF(R309,IF(O309&lt;&gt;"",O309,IF(N309&lt;&gt;"",ROUND(L309-N309,2),ROUND((IF(P309&lt;&gt;"",P309,G309))-T309,2))),IF(H309,0,IF(S309,L309,ROUND(G309-T309,2))))</f>
        <v/>
      </c>
      <c r="V309" s="21">
        <f>IF(R309,IF(P309&lt;&gt;"",P309,ROUND(T309+U309,2)),IF(H309,T309,IF(S309,ROUND(T309+U309,2),G309)))</f>
        <v/>
      </c>
      <c r="W309" s="21">
        <f>IF(R309,IF(N309&lt;&gt;"",N309,ROUND(L309-U309,2)),IF(H309,L309,IF(S309,0,ROUND(L309-U309,2))))</f>
        <v/>
      </c>
      <c r="X309" s="21">
        <f>IFERROR(MIN(INDEX(LumpSums!$B:$B,MATCH(A309,LumpSums!$A:$A,0)),W309),0)</f>
        <v/>
      </c>
      <c r="Y309" s="21">
        <f>ROUND(U309+X309,2)</f>
        <v/>
      </c>
      <c r="Z309" s="21">
        <f>ROUND(V309+X309,2)</f>
        <v/>
      </c>
      <c r="AA309" s="21">
        <f>ROUND(W309-X309,2)</f>
        <v/>
      </c>
      <c r="AB309" s="6">
        <f>AND(AB308,L309&gt;0)</f>
        <v/>
      </c>
      <c r="AC309" s="21">
        <f>IF(PMI_Costs!$B$8=0,0,ROUND(PMI_Costs!$B$8*(1+PMI_Costs!$B$9/100)^INT((A309-1)/12)/12,2))</f>
        <v/>
      </c>
      <c r="AD309" s="21">
        <f>IF(PMI_Costs!$B$10=0,0,ROUND(PMI_Costs!$B$10*(1+PMI_Costs!$B$11/100)^INT((A309-1)/12)/12,2))</f>
        <v/>
      </c>
      <c r="AE309" s="21">
        <f>IF(PMI_Costs!$B$12=0,0,ROUND(PMI_Costs!$B$12*(1+PMI_Costs!$B$13/100)^INT((A309-1)/12)/12,2))</f>
        <v/>
      </c>
      <c r="AF309" s="22">
        <f>IF(PMI_Costs!$B$5=0,0,AA309/PMI_Costs!$B$5)</f>
        <v/>
      </c>
      <c r="AG309" s="6">
        <f>AND(PMI_Costs!$B$4&gt;0,AF309&gt;PMI_Costs!$B$6/100)</f>
        <v/>
      </c>
      <c r="AH309" s="21">
        <f>IF(AG309,ROUND(Segments!$G$5*PMI_Costs!$B$4/100/12,2),0)</f>
        <v/>
      </c>
      <c r="AI309" s="6">
        <f>AND(NOT(AG309),AG308)</f>
        <v/>
      </c>
    </row>
    <row r="310">
      <c r="A310" s="18" t="n">
        <v>306</v>
      </c>
      <c r="B310" s="18">
        <f>SUMPRODUCT((Segments!$J$5:$J$12&lt;&gt;"")*(Segments!$J$5:$J$12&lt;=A310))</f>
        <v/>
      </c>
      <c r="C310" s="19">
        <f>INDEX(Segments!$B$5:$B$12,B310)</f>
        <v/>
      </c>
      <c r="D310" s="18">
        <f>INDEX(Segments!$J$5:$J$12,B310)</f>
        <v/>
      </c>
      <c r="E310" s="19">
        <f>DATE(YEAR(C310)+INT((MONTH(C310)-1+(A310-D310))/12),MOD(MONTH(C310)-1+(A310-D310),12)+1,1)+(DAY(C310)-1)</f>
        <v/>
      </c>
      <c r="F310" s="20">
        <f>INDEX(Segments!$C$5:$C$12,B310)/100/12</f>
        <v/>
      </c>
      <c r="G310" s="21">
        <f>INDEX(Segments!$L$5:$L$12,B310)</f>
        <v/>
      </c>
      <c r="H310" s="6">
        <f>INDEX(Segments!$I$5:$I$12,B310)="Y"</f>
        <v/>
      </c>
      <c r="I310" s="6">
        <f>INDEX(Segments!$F$5:$F$12,B310)=""</f>
        <v/>
      </c>
      <c r="J310" s="18">
        <f>INDEX(Segments!$K$5:$K$12,B310)</f>
        <v/>
      </c>
      <c r="K310" s="18">
        <f>IF(INDEX(Segments!$F$5:$F$12,B310)&lt;&gt;"",INDEX(Segments!$F$5:$F$12,B310),IF(INDEX(Segments!$E$5:$E$12,B310)&lt;&gt;"",INDEX(Segments!$E$5:$E$12,B310),""))</f>
        <v/>
      </c>
      <c r="L310" s="21">
        <f>AA309</f>
        <v/>
      </c>
      <c r="M310" s="21">
        <f>IFERROR(INDEX(Overrides!$C:$C,MATCH(A310,Overrides!$A:$A,0)),"")</f>
        <v/>
      </c>
      <c r="N310" s="21">
        <f>IFERROR(INDEX(Overrides!$E:$E,MATCH(A310,Overrides!$A:$A,0)),"")</f>
        <v/>
      </c>
      <c r="O310" s="21">
        <f>IFERROR(INDEX(Overrides!$D:$D,MATCH(A310,Overrides!$A:$A,0)),"")</f>
        <v/>
      </c>
      <c r="P310" s="21">
        <f>IFERROR(INDEX(Overrides!$B:$B,MATCH(A310,Overrides!$A:$A,0)),"")</f>
        <v/>
      </c>
      <c r="Q310" s="6">
        <f>IFERROR(INDEX(Overrides!$F:$F,MATCH(A310,Overrides!$A:$A,0)),"")</f>
        <v/>
      </c>
      <c r="R310" s="6">
        <f>ISNUMBER(MATCH(A310,Overrides!$A:$A,0))</f>
        <v/>
      </c>
      <c r="S310" s="6">
        <f>OR(ROUND(L310-ROUND(G310-T310,2),2)&lt;=0,AND(I310,K310&lt;&gt;"",(A310-D310+1)=K310))</f>
        <v/>
      </c>
      <c r="T310" s="21">
        <f>IF(M310&lt;&gt;"",M310,ROUND(L310*F310,2))</f>
        <v/>
      </c>
      <c r="U310" s="21">
        <f>IF(R310,IF(O310&lt;&gt;"",O310,IF(N310&lt;&gt;"",ROUND(L310-N310,2),ROUND((IF(P310&lt;&gt;"",P310,G310))-T310,2))),IF(H310,0,IF(S310,L310,ROUND(G310-T310,2))))</f>
        <v/>
      </c>
      <c r="V310" s="21">
        <f>IF(R310,IF(P310&lt;&gt;"",P310,ROUND(T310+U310,2)),IF(H310,T310,IF(S310,ROUND(T310+U310,2),G310)))</f>
        <v/>
      </c>
      <c r="W310" s="21">
        <f>IF(R310,IF(N310&lt;&gt;"",N310,ROUND(L310-U310,2)),IF(H310,L310,IF(S310,0,ROUND(L310-U310,2))))</f>
        <v/>
      </c>
      <c r="X310" s="21">
        <f>IFERROR(MIN(INDEX(LumpSums!$B:$B,MATCH(A310,LumpSums!$A:$A,0)),W310),0)</f>
        <v/>
      </c>
      <c r="Y310" s="21">
        <f>ROUND(U310+X310,2)</f>
        <v/>
      </c>
      <c r="Z310" s="21">
        <f>ROUND(V310+X310,2)</f>
        <v/>
      </c>
      <c r="AA310" s="21">
        <f>ROUND(W310-X310,2)</f>
        <v/>
      </c>
      <c r="AB310" s="6">
        <f>AND(AB309,L310&gt;0)</f>
        <v/>
      </c>
      <c r="AC310" s="21">
        <f>IF(PMI_Costs!$B$8=0,0,ROUND(PMI_Costs!$B$8*(1+PMI_Costs!$B$9/100)^INT((A310-1)/12)/12,2))</f>
        <v/>
      </c>
      <c r="AD310" s="21">
        <f>IF(PMI_Costs!$B$10=0,0,ROUND(PMI_Costs!$B$10*(1+PMI_Costs!$B$11/100)^INT((A310-1)/12)/12,2))</f>
        <v/>
      </c>
      <c r="AE310" s="21">
        <f>IF(PMI_Costs!$B$12=0,0,ROUND(PMI_Costs!$B$12*(1+PMI_Costs!$B$13/100)^INT((A310-1)/12)/12,2))</f>
        <v/>
      </c>
      <c r="AF310" s="22">
        <f>IF(PMI_Costs!$B$5=0,0,AA310/PMI_Costs!$B$5)</f>
        <v/>
      </c>
      <c r="AG310" s="6">
        <f>AND(PMI_Costs!$B$4&gt;0,AF310&gt;PMI_Costs!$B$6/100)</f>
        <v/>
      </c>
      <c r="AH310" s="21">
        <f>IF(AG310,ROUND(Segments!$G$5*PMI_Costs!$B$4/100/12,2),0)</f>
        <v/>
      </c>
      <c r="AI310" s="6">
        <f>AND(NOT(AG310),AG309)</f>
        <v/>
      </c>
    </row>
    <row r="311">
      <c r="A311" s="18" t="n">
        <v>307</v>
      </c>
      <c r="B311" s="18">
        <f>SUMPRODUCT((Segments!$J$5:$J$12&lt;&gt;"")*(Segments!$J$5:$J$12&lt;=A311))</f>
        <v/>
      </c>
      <c r="C311" s="19">
        <f>INDEX(Segments!$B$5:$B$12,B311)</f>
        <v/>
      </c>
      <c r="D311" s="18">
        <f>INDEX(Segments!$J$5:$J$12,B311)</f>
        <v/>
      </c>
      <c r="E311" s="19">
        <f>DATE(YEAR(C311)+INT((MONTH(C311)-1+(A311-D311))/12),MOD(MONTH(C311)-1+(A311-D311),12)+1,1)+(DAY(C311)-1)</f>
        <v/>
      </c>
      <c r="F311" s="20">
        <f>INDEX(Segments!$C$5:$C$12,B311)/100/12</f>
        <v/>
      </c>
      <c r="G311" s="21">
        <f>INDEX(Segments!$L$5:$L$12,B311)</f>
        <v/>
      </c>
      <c r="H311" s="6">
        <f>INDEX(Segments!$I$5:$I$12,B311)="Y"</f>
        <v/>
      </c>
      <c r="I311" s="6">
        <f>INDEX(Segments!$F$5:$F$12,B311)=""</f>
        <v/>
      </c>
      <c r="J311" s="18">
        <f>INDEX(Segments!$K$5:$K$12,B311)</f>
        <v/>
      </c>
      <c r="K311" s="18">
        <f>IF(INDEX(Segments!$F$5:$F$12,B311)&lt;&gt;"",INDEX(Segments!$F$5:$F$12,B311),IF(INDEX(Segments!$E$5:$E$12,B311)&lt;&gt;"",INDEX(Segments!$E$5:$E$12,B311),""))</f>
        <v/>
      </c>
      <c r="L311" s="21">
        <f>AA310</f>
        <v/>
      </c>
      <c r="M311" s="21">
        <f>IFERROR(INDEX(Overrides!$C:$C,MATCH(A311,Overrides!$A:$A,0)),"")</f>
        <v/>
      </c>
      <c r="N311" s="21">
        <f>IFERROR(INDEX(Overrides!$E:$E,MATCH(A311,Overrides!$A:$A,0)),"")</f>
        <v/>
      </c>
      <c r="O311" s="21">
        <f>IFERROR(INDEX(Overrides!$D:$D,MATCH(A311,Overrides!$A:$A,0)),"")</f>
        <v/>
      </c>
      <c r="P311" s="21">
        <f>IFERROR(INDEX(Overrides!$B:$B,MATCH(A311,Overrides!$A:$A,0)),"")</f>
        <v/>
      </c>
      <c r="Q311" s="6">
        <f>IFERROR(INDEX(Overrides!$F:$F,MATCH(A311,Overrides!$A:$A,0)),"")</f>
        <v/>
      </c>
      <c r="R311" s="6">
        <f>ISNUMBER(MATCH(A311,Overrides!$A:$A,0))</f>
        <v/>
      </c>
      <c r="S311" s="6">
        <f>OR(ROUND(L311-ROUND(G311-T311,2),2)&lt;=0,AND(I311,K311&lt;&gt;"",(A311-D311+1)=K311))</f>
        <v/>
      </c>
      <c r="T311" s="21">
        <f>IF(M311&lt;&gt;"",M311,ROUND(L311*F311,2))</f>
        <v/>
      </c>
      <c r="U311" s="21">
        <f>IF(R311,IF(O311&lt;&gt;"",O311,IF(N311&lt;&gt;"",ROUND(L311-N311,2),ROUND((IF(P311&lt;&gt;"",P311,G311))-T311,2))),IF(H311,0,IF(S311,L311,ROUND(G311-T311,2))))</f>
        <v/>
      </c>
      <c r="V311" s="21">
        <f>IF(R311,IF(P311&lt;&gt;"",P311,ROUND(T311+U311,2)),IF(H311,T311,IF(S311,ROUND(T311+U311,2),G311)))</f>
        <v/>
      </c>
      <c r="W311" s="21">
        <f>IF(R311,IF(N311&lt;&gt;"",N311,ROUND(L311-U311,2)),IF(H311,L311,IF(S311,0,ROUND(L311-U311,2))))</f>
        <v/>
      </c>
      <c r="X311" s="21">
        <f>IFERROR(MIN(INDEX(LumpSums!$B:$B,MATCH(A311,LumpSums!$A:$A,0)),W311),0)</f>
        <v/>
      </c>
      <c r="Y311" s="21">
        <f>ROUND(U311+X311,2)</f>
        <v/>
      </c>
      <c r="Z311" s="21">
        <f>ROUND(V311+X311,2)</f>
        <v/>
      </c>
      <c r="AA311" s="21">
        <f>ROUND(W311-X311,2)</f>
        <v/>
      </c>
      <c r="AB311" s="6">
        <f>AND(AB310,L311&gt;0)</f>
        <v/>
      </c>
      <c r="AC311" s="21">
        <f>IF(PMI_Costs!$B$8=0,0,ROUND(PMI_Costs!$B$8*(1+PMI_Costs!$B$9/100)^INT((A311-1)/12)/12,2))</f>
        <v/>
      </c>
      <c r="AD311" s="21">
        <f>IF(PMI_Costs!$B$10=0,0,ROUND(PMI_Costs!$B$10*(1+PMI_Costs!$B$11/100)^INT((A311-1)/12)/12,2))</f>
        <v/>
      </c>
      <c r="AE311" s="21">
        <f>IF(PMI_Costs!$B$12=0,0,ROUND(PMI_Costs!$B$12*(1+PMI_Costs!$B$13/100)^INT((A311-1)/12)/12,2))</f>
        <v/>
      </c>
      <c r="AF311" s="22">
        <f>IF(PMI_Costs!$B$5=0,0,AA311/PMI_Costs!$B$5)</f>
        <v/>
      </c>
      <c r="AG311" s="6">
        <f>AND(PMI_Costs!$B$4&gt;0,AF311&gt;PMI_Costs!$B$6/100)</f>
        <v/>
      </c>
      <c r="AH311" s="21">
        <f>IF(AG311,ROUND(Segments!$G$5*PMI_Costs!$B$4/100/12,2),0)</f>
        <v/>
      </c>
      <c r="AI311" s="6">
        <f>AND(NOT(AG311),AG310)</f>
        <v/>
      </c>
    </row>
    <row r="312">
      <c r="A312" s="18" t="n">
        <v>308</v>
      </c>
      <c r="B312" s="18">
        <f>SUMPRODUCT((Segments!$J$5:$J$12&lt;&gt;"")*(Segments!$J$5:$J$12&lt;=A312))</f>
        <v/>
      </c>
      <c r="C312" s="19">
        <f>INDEX(Segments!$B$5:$B$12,B312)</f>
        <v/>
      </c>
      <c r="D312" s="18">
        <f>INDEX(Segments!$J$5:$J$12,B312)</f>
        <v/>
      </c>
      <c r="E312" s="19">
        <f>DATE(YEAR(C312)+INT((MONTH(C312)-1+(A312-D312))/12),MOD(MONTH(C312)-1+(A312-D312),12)+1,1)+(DAY(C312)-1)</f>
        <v/>
      </c>
      <c r="F312" s="20">
        <f>INDEX(Segments!$C$5:$C$12,B312)/100/12</f>
        <v/>
      </c>
      <c r="G312" s="21">
        <f>INDEX(Segments!$L$5:$L$12,B312)</f>
        <v/>
      </c>
      <c r="H312" s="6">
        <f>INDEX(Segments!$I$5:$I$12,B312)="Y"</f>
        <v/>
      </c>
      <c r="I312" s="6">
        <f>INDEX(Segments!$F$5:$F$12,B312)=""</f>
        <v/>
      </c>
      <c r="J312" s="18">
        <f>INDEX(Segments!$K$5:$K$12,B312)</f>
        <v/>
      </c>
      <c r="K312" s="18">
        <f>IF(INDEX(Segments!$F$5:$F$12,B312)&lt;&gt;"",INDEX(Segments!$F$5:$F$12,B312),IF(INDEX(Segments!$E$5:$E$12,B312)&lt;&gt;"",INDEX(Segments!$E$5:$E$12,B312),""))</f>
        <v/>
      </c>
      <c r="L312" s="21">
        <f>AA311</f>
        <v/>
      </c>
      <c r="M312" s="21">
        <f>IFERROR(INDEX(Overrides!$C:$C,MATCH(A312,Overrides!$A:$A,0)),"")</f>
        <v/>
      </c>
      <c r="N312" s="21">
        <f>IFERROR(INDEX(Overrides!$E:$E,MATCH(A312,Overrides!$A:$A,0)),"")</f>
        <v/>
      </c>
      <c r="O312" s="21">
        <f>IFERROR(INDEX(Overrides!$D:$D,MATCH(A312,Overrides!$A:$A,0)),"")</f>
        <v/>
      </c>
      <c r="P312" s="21">
        <f>IFERROR(INDEX(Overrides!$B:$B,MATCH(A312,Overrides!$A:$A,0)),"")</f>
        <v/>
      </c>
      <c r="Q312" s="6">
        <f>IFERROR(INDEX(Overrides!$F:$F,MATCH(A312,Overrides!$A:$A,0)),"")</f>
        <v/>
      </c>
      <c r="R312" s="6">
        <f>ISNUMBER(MATCH(A312,Overrides!$A:$A,0))</f>
        <v/>
      </c>
      <c r="S312" s="6">
        <f>OR(ROUND(L312-ROUND(G312-T312,2),2)&lt;=0,AND(I312,K312&lt;&gt;"",(A312-D312+1)=K312))</f>
        <v/>
      </c>
      <c r="T312" s="21">
        <f>IF(M312&lt;&gt;"",M312,ROUND(L312*F312,2))</f>
        <v/>
      </c>
      <c r="U312" s="21">
        <f>IF(R312,IF(O312&lt;&gt;"",O312,IF(N312&lt;&gt;"",ROUND(L312-N312,2),ROUND((IF(P312&lt;&gt;"",P312,G312))-T312,2))),IF(H312,0,IF(S312,L312,ROUND(G312-T312,2))))</f>
        <v/>
      </c>
      <c r="V312" s="21">
        <f>IF(R312,IF(P312&lt;&gt;"",P312,ROUND(T312+U312,2)),IF(H312,T312,IF(S312,ROUND(T312+U312,2),G312)))</f>
        <v/>
      </c>
      <c r="W312" s="21">
        <f>IF(R312,IF(N312&lt;&gt;"",N312,ROUND(L312-U312,2)),IF(H312,L312,IF(S312,0,ROUND(L312-U312,2))))</f>
        <v/>
      </c>
      <c r="X312" s="21">
        <f>IFERROR(MIN(INDEX(LumpSums!$B:$B,MATCH(A312,LumpSums!$A:$A,0)),W312),0)</f>
        <v/>
      </c>
      <c r="Y312" s="21">
        <f>ROUND(U312+X312,2)</f>
        <v/>
      </c>
      <c r="Z312" s="21">
        <f>ROUND(V312+X312,2)</f>
        <v/>
      </c>
      <c r="AA312" s="21">
        <f>ROUND(W312-X312,2)</f>
        <v/>
      </c>
      <c r="AB312" s="6">
        <f>AND(AB311,L312&gt;0)</f>
        <v/>
      </c>
      <c r="AC312" s="21">
        <f>IF(PMI_Costs!$B$8=0,0,ROUND(PMI_Costs!$B$8*(1+PMI_Costs!$B$9/100)^INT((A312-1)/12)/12,2))</f>
        <v/>
      </c>
      <c r="AD312" s="21">
        <f>IF(PMI_Costs!$B$10=0,0,ROUND(PMI_Costs!$B$10*(1+PMI_Costs!$B$11/100)^INT((A312-1)/12)/12,2))</f>
        <v/>
      </c>
      <c r="AE312" s="21">
        <f>IF(PMI_Costs!$B$12=0,0,ROUND(PMI_Costs!$B$12*(1+PMI_Costs!$B$13/100)^INT((A312-1)/12)/12,2))</f>
        <v/>
      </c>
      <c r="AF312" s="22">
        <f>IF(PMI_Costs!$B$5=0,0,AA312/PMI_Costs!$B$5)</f>
        <v/>
      </c>
      <c r="AG312" s="6">
        <f>AND(PMI_Costs!$B$4&gt;0,AF312&gt;PMI_Costs!$B$6/100)</f>
        <v/>
      </c>
      <c r="AH312" s="21">
        <f>IF(AG312,ROUND(Segments!$G$5*PMI_Costs!$B$4/100/12,2),0)</f>
        <v/>
      </c>
      <c r="AI312" s="6">
        <f>AND(NOT(AG312),AG311)</f>
        <v/>
      </c>
    </row>
    <row r="313">
      <c r="A313" s="18" t="n">
        <v>309</v>
      </c>
      <c r="B313" s="18">
        <f>SUMPRODUCT((Segments!$J$5:$J$12&lt;&gt;"")*(Segments!$J$5:$J$12&lt;=A313))</f>
        <v/>
      </c>
      <c r="C313" s="19">
        <f>INDEX(Segments!$B$5:$B$12,B313)</f>
        <v/>
      </c>
      <c r="D313" s="18">
        <f>INDEX(Segments!$J$5:$J$12,B313)</f>
        <v/>
      </c>
      <c r="E313" s="19">
        <f>DATE(YEAR(C313)+INT((MONTH(C313)-1+(A313-D313))/12),MOD(MONTH(C313)-1+(A313-D313),12)+1,1)+(DAY(C313)-1)</f>
        <v/>
      </c>
      <c r="F313" s="20">
        <f>INDEX(Segments!$C$5:$C$12,B313)/100/12</f>
        <v/>
      </c>
      <c r="G313" s="21">
        <f>INDEX(Segments!$L$5:$L$12,B313)</f>
        <v/>
      </c>
      <c r="H313" s="6">
        <f>INDEX(Segments!$I$5:$I$12,B313)="Y"</f>
        <v/>
      </c>
      <c r="I313" s="6">
        <f>INDEX(Segments!$F$5:$F$12,B313)=""</f>
        <v/>
      </c>
      <c r="J313" s="18">
        <f>INDEX(Segments!$K$5:$K$12,B313)</f>
        <v/>
      </c>
      <c r="K313" s="18">
        <f>IF(INDEX(Segments!$F$5:$F$12,B313)&lt;&gt;"",INDEX(Segments!$F$5:$F$12,B313),IF(INDEX(Segments!$E$5:$E$12,B313)&lt;&gt;"",INDEX(Segments!$E$5:$E$12,B313),""))</f>
        <v/>
      </c>
      <c r="L313" s="21">
        <f>AA312</f>
        <v/>
      </c>
      <c r="M313" s="21">
        <f>IFERROR(INDEX(Overrides!$C:$C,MATCH(A313,Overrides!$A:$A,0)),"")</f>
        <v/>
      </c>
      <c r="N313" s="21">
        <f>IFERROR(INDEX(Overrides!$E:$E,MATCH(A313,Overrides!$A:$A,0)),"")</f>
        <v/>
      </c>
      <c r="O313" s="21">
        <f>IFERROR(INDEX(Overrides!$D:$D,MATCH(A313,Overrides!$A:$A,0)),"")</f>
        <v/>
      </c>
      <c r="P313" s="21">
        <f>IFERROR(INDEX(Overrides!$B:$B,MATCH(A313,Overrides!$A:$A,0)),"")</f>
        <v/>
      </c>
      <c r="Q313" s="6">
        <f>IFERROR(INDEX(Overrides!$F:$F,MATCH(A313,Overrides!$A:$A,0)),"")</f>
        <v/>
      </c>
      <c r="R313" s="6">
        <f>ISNUMBER(MATCH(A313,Overrides!$A:$A,0))</f>
        <v/>
      </c>
      <c r="S313" s="6">
        <f>OR(ROUND(L313-ROUND(G313-T313,2),2)&lt;=0,AND(I313,K313&lt;&gt;"",(A313-D313+1)=K313))</f>
        <v/>
      </c>
      <c r="T313" s="21">
        <f>IF(M313&lt;&gt;"",M313,ROUND(L313*F313,2))</f>
        <v/>
      </c>
      <c r="U313" s="21">
        <f>IF(R313,IF(O313&lt;&gt;"",O313,IF(N313&lt;&gt;"",ROUND(L313-N313,2),ROUND((IF(P313&lt;&gt;"",P313,G313))-T313,2))),IF(H313,0,IF(S313,L313,ROUND(G313-T313,2))))</f>
        <v/>
      </c>
      <c r="V313" s="21">
        <f>IF(R313,IF(P313&lt;&gt;"",P313,ROUND(T313+U313,2)),IF(H313,T313,IF(S313,ROUND(T313+U313,2),G313)))</f>
        <v/>
      </c>
      <c r="W313" s="21">
        <f>IF(R313,IF(N313&lt;&gt;"",N313,ROUND(L313-U313,2)),IF(H313,L313,IF(S313,0,ROUND(L313-U313,2))))</f>
        <v/>
      </c>
      <c r="X313" s="21">
        <f>IFERROR(MIN(INDEX(LumpSums!$B:$B,MATCH(A313,LumpSums!$A:$A,0)),W313),0)</f>
        <v/>
      </c>
      <c r="Y313" s="21">
        <f>ROUND(U313+X313,2)</f>
        <v/>
      </c>
      <c r="Z313" s="21">
        <f>ROUND(V313+X313,2)</f>
        <v/>
      </c>
      <c r="AA313" s="21">
        <f>ROUND(W313-X313,2)</f>
        <v/>
      </c>
      <c r="AB313" s="6">
        <f>AND(AB312,L313&gt;0)</f>
        <v/>
      </c>
      <c r="AC313" s="21">
        <f>IF(PMI_Costs!$B$8=0,0,ROUND(PMI_Costs!$B$8*(1+PMI_Costs!$B$9/100)^INT((A313-1)/12)/12,2))</f>
        <v/>
      </c>
      <c r="AD313" s="21">
        <f>IF(PMI_Costs!$B$10=0,0,ROUND(PMI_Costs!$B$10*(1+PMI_Costs!$B$11/100)^INT((A313-1)/12)/12,2))</f>
        <v/>
      </c>
      <c r="AE313" s="21">
        <f>IF(PMI_Costs!$B$12=0,0,ROUND(PMI_Costs!$B$12*(1+PMI_Costs!$B$13/100)^INT((A313-1)/12)/12,2))</f>
        <v/>
      </c>
      <c r="AF313" s="22">
        <f>IF(PMI_Costs!$B$5=0,0,AA313/PMI_Costs!$B$5)</f>
        <v/>
      </c>
      <c r="AG313" s="6">
        <f>AND(PMI_Costs!$B$4&gt;0,AF313&gt;PMI_Costs!$B$6/100)</f>
        <v/>
      </c>
      <c r="AH313" s="21">
        <f>IF(AG313,ROUND(Segments!$G$5*PMI_Costs!$B$4/100/12,2),0)</f>
        <v/>
      </c>
      <c r="AI313" s="6">
        <f>AND(NOT(AG313),AG312)</f>
        <v/>
      </c>
    </row>
    <row r="314">
      <c r="A314" s="18" t="n">
        <v>310</v>
      </c>
      <c r="B314" s="18">
        <f>SUMPRODUCT((Segments!$J$5:$J$12&lt;&gt;"")*(Segments!$J$5:$J$12&lt;=A314))</f>
        <v/>
      </c>
      <c r="C314" s="19">
        <f>INDEX(Segments!$B$5:$B$12,B314)</f>
        <v/>
      </c>
      <c r="D314" s="18">
        <f>INDEX(Segments!$J$5:$J$12,B314)</f>
        <v/>
      </c>
      <c r="E314" s="19">
        <f>DATE(YEAR(C314)+INT((MONTH(C314)-1+(A314-D314))/12),MOD(MONTH(C314)-1+(A314-D314),12)+1,1)+(DAY(C314)-1)</f>
        <v/>
      </c>
      <c r="F314" s="20">
        <f>INDEX(Segments!$C$5:$C$12,B314)/100/12</f>
        <v/>
      </c>
      <c r="G314" s="21">
        <f>INDEX(Segments!$L$5:$L$12,B314)</f>
        <v/>
      </c>
      <c r="H314" s="6">
        <f>INDEX(Segments!$I$5:$I$12,B314)="Y"</f>
        <v/>
      </c>
      <c r="I314" s="6">
        <f>INDEX(Segments!$F$5:$F$12,B314)=""</f>
        <v/>
      </c>
      <c r="J314" s="18">
        <f>INDEX(Segments!$K$5:$K$12,B314)</f>
        <v/>
      </c>
      <c r="K314" s="18">
        <f>IF(INDEX(Segments!$F$5:$F$12,B314)&lt;&gt;"",INDEX(Segments!$F$5:$F$12,B314),IF(INDEX(Segments!$E$5:$E$12,B314)&lt;&gt;"",INDEX(Segments!$E$5:$E$12,B314),""))</f>
        <v/>
      </c>
      <c r="L314" s="21">
        <f>AA313</f>
        <v/>
      </c>
      <c r="M314" s="21">
        <f>IFERROR(INDEX(Overrides!$C:$C,MATCH(A314,Overrides!$A:$A,0)),"")</f>
        <v/>
      </c>
      <c r="N314" s="21">
        <f>IFERROR(INDEX(Overrides!$E:$E,MATCH(A314,Overrides!$A:$A,0)),"")</f>
        <v/>
      </c>
      <c r="O314" s="21">
        <f>IFERROR(INDEX(Overrides!$D:$D,MATCH(A314,Overrides!$A:$A,0)),"")</f>
        <v/>
      </c>
      <c r="P314" s="21">
        <f>IFERROR(INDEX(Overrides!$B:$B,MATCH(A314,Overrides!$A:$A,0)),"")</f>
        <v/>
      </c>
      <c r="Q314" s="6">
        <f>IFERROR(INDEX(Overrides!$F:$F,MATCH(A314,Overrides!$A:$A,0)),"")</f>
        <v/>
      </c>
      <c r="R314" s="6">
        <f>ISNUMBER(MATCH(A314,Overrides!$A:$A,0))</f>
        <v/>
      </c>
      <c r="S314" s="6">
        <f>OR(ROUND(L314-ROUND(G314-T314,2),2)&lt;=0,AND(I314,K314&lt;&gt;"",(A314-D314+1)=K314))</f>
        <v/>
      </c>
      <c r="T314" s="21">
        <f>IF(M314&lt;&gt;"",M314,ROUND(L314*F314,2))</f>
        <v/>
      </c>
      <c r="U314" s="21">
        <f>IF(R314,IF(O314&lt;&gt;"",O314,IF(N314&lt;&gt;"",ROUND(L314-N314,2),ROUND((IF(P314&lt;&gt;"",P314,G314))-T314,2))),IF(H314,0,IF(S314,L314,ROUND(G314-T314,2))))</f>
        <v/>
      </c>
      <c r="V314" s="21">
        <f>IF(R314,IF(P314&lt;&gt;"",P314,ROUND(T314+U314,2)),IF(H314,T314,IF(S314,ROUND(T314+U314,2),G314)))</f>
        <v/>
      </c>
      <c r="W314" s="21">
        <f>IF(R314,IF(N314&lt;&gt;"",N314,ROUND(L314-U314,2)),IF(H314,L314,IF(S314,0,ROUND(L314-U314,2))))</f>
        <v/>
      </c>
      <c r="X314" s="21">
        <f>IFERROR(MIN(INDEX(LumpSums!$B:$B,MATCH(A314,LumpSums!$A:$A,0)),W314),0)</f>
        <v/>
      </c>
      <c r="Y314" s="21">
        <f>ROUND(U314+X314,2)</f>
        <v/>
      </c>
      <c r="Z314" s="21">
        <f>ROUND(V314+X314,2)</f>
        <v/>
      </c>
      <c r="AA314" s="21">
        <f>ROUND(W314-X314,2)</f>
        <v/>
      </c>
      <c r="AB314" s="6">
        <f>AND(AB313,L314&gt;0)</f>
        <v/>
      </c>
      <c r="AC314" s="21">
        <f>IF(PMI_Costs!$B$8=0,0,ROUND(PMI_Costs!$B$8*(1+PMI_Costs!$B$9/100)^INT((A314-1)/12)/12,2))</f>
        <v/>
      </c>
      <c r="AD314" s="21">
        <f>IF(PMI_Costs!$B$10=0,0,ROUND(PMI_Costs!$B$10*(1+PMI_Costs!$B$11/100)^INT((A314-1)/12)/12,2))</f>
        <v/>
      </c>
      <c r="AE314" s="21">
        <f>IF(PMI_Costs!$B$12=0,0,ROUND(PMI_Costs!$B$12*(1+PMI_Costs!$B$13/100)^INT((A314-1)/12)/12,2))</f>
        <v/>
      </c>
      <c r="AF314" s="22">
        <f>IF(PMI_Costs!$B$5=0,0,AA314/PMI_Costs!$B$5)</f>
        <v/>
      </c>
      <c r="AG314" s="6">
        <f>AND(PMI_Costs!$B$4&gt;0,AF314&gt;PMI_Costs!$B$6/100)</f>
        <v/>
      </c>
      <c r="AH314" s="21">
        <f>IF(AG314,ROUND(Segments!$G$5*PMI_Costs!$B$4/100/12,2),0)</f>
        <v/>
      </c>
      <c r="AI314" s="6">
        <f>AND(NOT(AG314),AG313)</f>
        <v/>
      </c>
    </row>
    <row r="315">
      <c r="A315" s="18" t="n">
        <v>311</v>
      </c>
      <c r="B315" s="18">
        <f>SUMPRODUCT((Segments!$J$5:$J$12&lt;&gt;"")*(Segments!$J$5:$J$12&lt;=A315))</f>
        <v/>
      </c>
      <c r="C315" s="19">
        <f>INDEX(Segments!$B$5:$B$12,B315)</f>
        <v/>
      </c>
      <c r="D315" s="18">
        <f>INDEX(Segments!$J$5:$J$12,B315)</f>
        <v/>
      </c>
      <c r="E315" s="19">
        <f>DATE(YEAR(C315)+INT((MONTH(C315)-1+(A315-D315))/12),MOD(MONTH(C315)-1+(A315-D315),12)+1,1)+(DAY(C315)-1)</f>
        <v/>
      </c>
      <c r="F315" s="20">
        <f>INDEX(Segments!$C$5:$C$12,B315)/100/12</f>
        <v/>
      </c>
      <c r="G315" s="21">
        <f>INDEX(Segments!$L$5:$L$12,B315)</f>
        <v/>
      </c>
      <c r="H315" s="6">
        <f>INDEX(Segments!$I$5:$I$12,B315)="Y"</f>
        <v/>
      </c>
      <c r="I315" s="6">
        <f>INDEX(Segments!$F$5:$F$12,B315)=""</f>
        <v/>
      </c>
      <c r="J315" s="18">
        <f>INDEX(Segments!$K$5:$K$12,B315)</f>
        <v/>
      </c>
      <c r="K315" s="18">
        <f>IF(INDEX(Segments!$F$5:$F$12,B315)&lt;&gt;"",INDEX(Segments!$F$5:$F$12,B315),IF(INDEX(Segments!$E$5:$E$12,B315)&lt;&gt;"",INDEX(Segments!$E$5:$E$12,B315),""))</f>
        <v/>
      </c>
      <c r="L315" s="21">
        <f>AA314</f>
        <v/>
      </c>
      <c r="M315" s="21">
        <f>IFERROR(INDEX(Overrides!$C:$C,MATCH(A315,Overrides!$A:$A,0)),"")</f>
        <v/>
      </c>
      <c r="N315" s="21">
        <f>IFERROR(INDEX(Overrides!$E:$E,MATCH(A315,Overrides!$A:$A,0)),"")</f>
        <v/>
      </c>
      <c r="O315" s="21">
        <f>IFERROR(INDEX(Overrides!$D:$D,MATCH(A315,Overrides!$A:$A,0)),"")</f>
        <v/>
      </c>
      <c r="P315" s="21">
        <f>IFERROR(INDEX(Overrides!$B:$B,MATCH(A315,Overrides!$A:$A,0)),"")</f>
        <v/>
      </c>
      <c r="Q315" s="6">
        <f>IFERROR(INDEX(Overrides!$F:$F,MATCH(A315,Overrides!$A:$A,0)),"")</f>
        <v/>
      </c>
      <c r="R315" s="6">
        <f>ISNUMBER(MATCH(A315,Overrides!$A:$A,0))</f>
        <v/>
      </c>
      <c r="S315" s="6">
        <f>OR(ROUND(L315-ROUND(G315-T315,2),2)&lt;=0,AND(I315,K315&lt;&gt;"",(A315-D315+1)=K315))</f>
        <v/>
      </c>
      <c r="T315" s="21">
        <f>IF(M315&lt;&gt;"",M315,ROUND(L315*F315,2))</f>
        <v/>
      </c>
      <c r="U315" s="21">
        <f>IF(R315,IF(O315&lt;&gt;"",O315,IF(N315&lt;&gt;"",ROUND(L315-N315,2),ROUND((IF(P315&lt;&gt;"",P315,G315))-T315,2))),IF(H315,0,IF(S315,L315,ROUND(G315-T315,2))))</f>
        <v/>
      </c>
      <c r="V315" s="21">
        <f>IF(R315,IF(P315&lt;&gt;"",P315,ROUND(T315+U315,2)),IF(H315,T315,IF(S315,ROUND(T315+U315,2),G315)))</f>
        <v/>
      </c>
      <c r="W315" s="21">
        <f>IF(R315,IF(N315&lt;&gt;"",N315,ROUND(L315-U315,2)),IF(H315,L315,IF(S315,0,ROUND(L315-U315,2))))</f>
        <v/>
      </c>
      <c r="X315" s="21">
        <f>IFERROR(MIN(INDEX(LumpSums!$B:$B,MATCH(A315,LumpSums!$A:$A,0)),W315),0)</f>
        <v/>
      </c>
      <c r="Y315" s="21">
        <f>ROUND(U315+X315,2)</f>
        <v/>
      </c>
      <c r="Z315" s="21">
        <f>ROUND(V315+X315,2)</f>
        <v/>
      </c>
      <c r="AA315" s="21">
        <f>ROUND(W315-X315,2)</f>
        <v/>
      </c>
      <c r="AB315" s="6">
        <f>AND(AB314,L315&gt;0)</f>
        <v/>
      </c>
      <c r="AC315" s="21">
        <f>IF(PMI_Costs!$B$8=0,0,ROUND(PMI_Costs!$B$8*(1+PMI_Costs!$B$9/100)^INT((A315-1)/12)/12,2))</f>
        <v/>
      </c>
      <c r="AD315" s="21">
        <f>IF(PMI_Costs!$B$10=0,0,ROUND(PMI_Costs!$B$10*(1+PMI_Costs!$B$11/100)^INT((A315-1)/12)/12,2))</f>
        <v/>
      </c>
      <c r="AE315" s="21">
        <f>IF(PMI_Costs!$B$12=0,0,ROUND(PMI_Costs!$B$12*(1+PMI_Costs!$B$13/100)^INT((A315-1)/12)/12,2))</f>
        <v/>
      </c>
      <c r="AF315" s="22">
        <f>IF(PMI_Costs!$B$5=0,0,AA315/PMI_Costs!$B$5)</f>
        <v/>
      </c>
      <c r="AG315" s="6">
        <f>AND(PMI_Costs!$B$4&gt;0,AF315&gt;PMI_Costs!$B$6/100)</f>
        <v/>
      </c>
      <c r="AH315" s="21">
        <f>IF(AG315,ROUND(Segments!$G$5*PMI_Costs!$B$4/100/12,2),0)</f>
        <v/>
      </c>
      <c r="AI315" s="6">
        <f>AND(NOT(AG315),AG314)</f>
        <v/>
      </c>
    </row>
    <row r="316">
      <c r="A316" s="18" t="n">
        <v>312</v>
      </c>
      <c r="B316" s="18">
        <f>SUMPRODUCT((Segments!$J$5:$J$12&lt;&gt;"")*(Segments!$J$5:$J$12&lt;=A316))</f>
        <v/>
      </c>
      <c r="C316" s="19">
        <f>INDEX(Segments!$B$5:$B$12,B316)</f>
        <v/>
      </c>
      <c r="D316" s="18">
        <f>INDEX(Segments!$J$5:$J$12,B316)</f>
        <v/>
      </c>
      <c r="E316" s="19">
        <f>DATE(YEAR(C316)+INT((MONTH(C316)-1+(A316-D316))/12),MOD(MONTH(C316)-1+(A316-D316),12)+1,1)+(DAY(C316)-1)</f>
        <v/>
      </c>
      <c r="F316" s="20">
        <f>INDEX(Segments!$C$5:$C$12,B316)/100/12</f>
        <v/>
      </c>
      <c r="G316" s="21">
        <f>INDEX(Segments!$L$5:$L$12,B316)</f>
        <v/>
      </c>
      <c r="H316" s="6">
        <f>INDEX(Segments!$I$5:$I$12,B316)="Y"</f>
        <v/>
      </c>
      <c r="I316" s="6">
        <f>INDEX(Segments!$F$5:$F$12,B316)=""</f>
        <v/>
      </c>
      <c r="J316" s="18">
        <f>INDEX(Segments!$K$5:$K$12,B316)</f>
        <v/>
      </c>
      <c r="K316" s="18">
        <f>IF(INDEX(Segments!$F$5:$F$12,B316)&lt;&gt;"",INDEX(Segments!$F$5:$F$12,B316),IF(INDEX(Segments!$E$5:$E$12,B316)&lt;&gt;"",INDEX(Segments!$E$5:$E$12,B316),""))</f>
        <v/>
      </c>
      <c r="L316" s="21">
        <f>AA315</f>
        <v/>
      </c>
      <c r="M316" s="21">
        <f>IFERROR(INDEX(Overrides!$C:$C,MATCH(A316,Overrides!$A:$A,0)),"")</f>
        <v/>
      </c>
      <c r="N316" s="21">
        <f>IFERROR(INDEX(Overrides!$E:$E,MATCH(A316,Overrides!$A:$A,0)),"")</f>
        <v/>
      </c>
      <c r="O316" s="21">
        <f>IFERROR(INDEX(Overrides!$D:$D,MATCH(A316,Overrides!$A:$A,0)),"")</f>
        <v/>
      </c>
      <c r="P316" s="21">
        <f>IFERROR(INDEX(Overrides!$B:$B,MATCH(A316,Overrides!$A:$A,0)),"")</f>
        <v/>
      </c>
      <c r="Q316" s="6">
        <f>IFERROR(INDEX(Overrides!$F:$F,MATCH(A316,Overrides!$A:$A,0)),"")</f>
        <v/>
      </c>
      <c r="R316" s="6">
        <f>ISNUMBER(MATCH(A316,Overrides!$A:$A,0))</f>
        <v/>
      </c>
      <c r="S316" s="6">
        <f>OR(ROUND(L316-ROUND(G316-T316,2),2)&lt;=0,AND(I316,K316&lt;&gt;"",(A316-D316+1)=K316))</f>
        <v/>
      </c>
      <c r="T316" s="21">
        <f>IF(M316&lt;&gt;"",M316,ROUND(L316*F316,2))</f>
        <v/>
      </c>
      <c r="U316" s="21">
        <f>IF(R316,IF(O316&lt;&gt;"",O316,IF(N316&lt;&gt;"",ROUND(L316-N316,2),ROUND((IF(P316&lt;&gt;"",P316,G316))-T316,2))),IF(H316,0,IF(S316,L316,ROUND(G316-T316,2))))</f>
        <v/>
      </c>
      <c r="V316" s="21">
        <f>IF(R316,IF(P316&lt;&gt;"",P316,ROUND(T316+U316,2)),IF(H316,T316,IF(S316,ROUND(T316+U316,2),G316)))</f>
        <v/>
      </c>
      <c r="W316" s="21">
        <f>IF(R316,IF(N316&lt;&gt;"",N316,ROUND(L316-U316,2)),IF(H316,L316,IF(S316,0,ROUND(L316-U316,2))))</f>
        <v/>
      </c>
      <c r="X316" s="21">
        <f>IFERROR(MIN(INDEX(LumpSums!$B:$B,MATCH(A316,LumpSums!$A:$A,0)),W316),0)</f>
        <v/>
      </c>
      <c r="Y316" s="21">
        <f>ROUND(U316+X316,2)</f>
        <v/>
      </c>
      <c r="Z316" s="21">
        <f>ROUND(V316+X316,2)</f>
        <v/>
      </c>
      <c r="AA316" s="21">
        <f>ROUND(W316-X316,2)</f>
        <v/>
      </c>
      <c r="AB316" s="6">
        <f>AND(AB315,L316&gt;0)</f>
        <v/>
      </c>
      <c r="AC316" s="21">
        <f>IF(PMI_Costs!$B$8=0,0,ROUND(PMI_Costs!$B$8*(1+PMI_Costs!$B$9/100)^INT((A316-1)/12)/12,2))</f>
        <v/>
      </c>
      <c r="AD316" s="21">
        <f>IF(PMI_Costs!$B$10=0,0,ROUND(PMI_Costs!$B$10*(1+PMI_Costs!$B$11/100)^INT((A316-1)/12)/12,2))</f>
        <v/>
      </c>
      <c r="AE316" s="21">
        <f>IF(PMI_Costs!$B$12=0,0,ROUND(PMI_Costs!$B$12*(1+PMI_Costs!$B$13/100)^INT((A316-1)/12)/12,2))</f>
        <v/>
      </c>
      <c r="AF316" s="22">
        <f>IF(PMI_Costs!$B$5=0,0,AA316/PMI_Costs!$B$5)</f>
        <v/>
      </c>
      <c r="AG316" s="6">
        <f>AND(PMI_Costs!$B$4&gt;0,AF316&gt;PMI_Costs!$B$6/100)</f>
        <v/>
      </c>
      <c r="AH316" s="21">
        <f>IF(AG316,ROUND(Segments!$G$5*PMI_Costs!$B$4/100/12,2),0)</f>
        <v/>
      </c>
      <c r="AI316" s="6">
        <f>AND(NOT(AG316),AG315)</f>
        <v/>
      </c>
    </row>
    <row r="317">
      <c r="A317" s="18" t="n">
        <v>313</v>
      </c>
      <c r="B317" s="18">
        <f>SUMPRODUCT((Segments!$J$5:$J$12&lt;&gt;"")*(Segments!$J$5:$J$12&lt;=A317))</f>
        <v/>
      </c>
      <c r="C317" s="19">
        <f>INDEX(Segments!$B$5:$B$12,B317)</f>
        <v/>
      </c>
      <c r="D317" s="18">
        <f>INDEX(Segments!$J$5:$J$12,B317)</f>
        <v/>
      </c>
      <c r="E317" s="19">
        <f>DATE(YEAR(C317)+INT((MONTH(C317)-1+(A317-D317))/12),MOD(MONTH(C317)-1+(A317-D317),12)+1,1)+(DAY(C317)-1)</f>
        <v/>
      </c>
      <c r="F317" s="20">
        <f>INDEX(Segments!$C$5:$C$12,B317)/100/12</f>
        <v/>
      </c>
      <c r="G317" s="21">
        <f>INDEX(Segments!$L$5:$L$12,B317)</f>
        <v/>
      </c>
      <c r="H317" s="6">
        <f>INDEX(Segments!$I$5:$I$12,B317)="Y"</f>
        <v/>
      </c>
      <c r="I317" s="6">
        <f>INDEX(Segments!$F$5:$F$12,B317)=""</f>
        <v/>
      </c>
      <c r="J317" s="18">
        <f>INDEX(Segments!$K$5:$K$12,B317)</f>
        <v/>
      </c>
      <c r="K317" s="18">
        <f>IF(INDEX(Segments!$F$5:$F$12,B317)&lt;&gt;"",INDEX(Segments!$F$5:$F$12,B317),IF(INDEX(Segments!$E$5:$E$12,B317)&lt;&gt;"",INDEX(Segments!$E$5:$E$12,B317),""))</f>
        <v/>
      </c>
      <c r="L317" s="21">
        <f>AA316</f>
        <v/>
      </c>
      <c r="M317" s="21">
        <f>IFERROR(INDEX(Overrides!$C:$C,MATCH(A317,Overrides!$A:$A,0)),"")</f>
        <v/>
      </c>
      <c r="N317" s="21">
        <f>IFERROR(INDEX(Overrides!$E:$E,MATCH(A317,Overrides!$A:$A,0)),"")</f>
        <v/>
      </c>
      <c r="O317" s="21">
        <f>IFERROR(INDEX(Overrides!$D:$D,MATCH(A317,Overrides!$A:$A,0)),"")</f>
        <v/>
      </c>
      <c r="P317" s="21">
        <f>IFERROR(INDEX(Overrides!$B:$B,MATCH(A317,Overrides!$A:$A,0)),"")</f>
        <v/>
      </c>
      <c r="Q317" s="6">
        <f>IFERROR(INDEX(Overrides!$F:$F,MATCH(A317,Overrides!$A:$A,0)),"")</f>
        <v/>
      </c>
      <c r="R317" s="6">
        <f>ISNUMBER(MATCH(A317,Overrides!$A:$A,0))</f>
        <v/>
      </c>
      <c r="S317" s="6">
        <f>OR(ROUND(L317-ROUND(G317-T317,2),2)&lt;=0,AND(I317,K317&lt;&gt;"",(A317-D317+1)=K317))</f>
        <v/>
      </c>
      <c r="T317" s="21">
        <f>IF(M317&lt;&gt;"",M317,ROUND(L317*F317,2))</f>
        <v/>
      </c>
      <c r="U317" s="21">
        <f>IF(R317,IF(O317&lt;&gt;"",O317,IF(N317&lt;&gt;"",ROUND(L317-N317,2),ROUND((IF(P317&lt;&gt;"",P317,G317))-T317,2))),IF(H317,0,IF(S317,L317,ROUND(G317-T317,2))))</f>
        <v/>
      </c>
      <c r="V317" s="21">
        <f>IF(R317,IF(P317&lt;&gt;"",P317,ROUND(T317+U317,2)),IF(H317,T317,IF(S317,ROUND(T317+U317,2),G317)))</f>
        <v/>
      </c>
      <c r="W317" s="21">
        <f>IF(R317,IF(N317&lt;&gt;"",N317,ROUND(L317-U317,2)),IF(H317,L317,IF(S317,0,ROUND(L317-U317,2))))</f>
        <v/>
      </c>
      <c r="X317" s="21">
        <f>IFERROR(MIN(INDEX(LumpSums!$B:$B,MATCH(A317,LumpSums!$A:$A,0)),W317),0)</f>
        <v/>
      </c>
      <c r="Y317" s="21">
        <f>ROUND(U317+X317,2)</f>
        <v/>
      </c>
      <c r="Z317" s="21">
        <f>ROUND(V317+X317,2)</f>
        <v/>
      </c>
      <c r="AA317" s="21">
        <f>ROUND(W317-X317,2)</f>
        <v/>
      </c>
      <c r="AB317" s="6">
        <f>AND(AB316,L317&gt;0)</f>
        <v/>
      </c>
      <c r="AC317" s="21">
        <f>IF(PMI_Costs!$B$8=0,0,ROUND(PMI_Costs!$B$8*(1+PMI_Costs!$B$9/100)^INT((A317-1)/12)/12,2))</f>
        <v/>
      </c>
      <c r="AD317" s="21">
        <f>IF(PMI_Costs!$B$10=0,0,ROUND(PMI_Costs!$B$10*(1+PMI_Costs!$B$11/100)^INT((A317-1)/12)/12,2))</f>
        <v/>
      </c>
      <c r="AE317" s="21">
        <f>IF(PMI_Costs!$B$12=0,0,ROUND(PMI_Costs!$B$12*(1+PMI_Costs!$B$13/100)^INT((A317-1)/12)/12,2))</f>
        <v/>
      </c>
      <c r="AF317" s="22">
        <f>IF(PMI_Costs!$B$5=0,0,AA317/PMI_Costs!$B$5)</f>
        <v/>
      </c>
      <c r="AG317" s="6">
        <f>AND(PMI_Costs!$B$4&gt;0,AF317&gt;PMI_Costs!$B$6/100)</f>
        <v/>
      </c>
      <c r="AH317" s="21">
        <f>IF(AG317,ROUND(Segments!$G$5*PMI_Costs!$B$4/100/12,2),0)</f>
        <v/>
      </c>
      <c r="AI317" s="6">
        <f>AND(NOT(AG317),AG316)</f>
        <v/>
      </c>
    </row>
    <row r="318">
      <c r="A318" s="18" t="n">
        <v>314</v>
      </c>
      <c r="B318" s="18">
        <f>SUMPRODUCT((Segments!$J$5:$J$12&lt;&gt;"")*(Segments!$J$5:$J$12&lt;=A318))</f>
        <v/>
      </c>
      <c r="C318" s="19">
        <f>INDEX(Segments!$B$5:$B$12,B318)</f>
        <v/>
      </c>
      <c r="D318" s="18">
        <f>INDEX(Segments!$J$5:$J$12,B318)</f>
        <v/>
      </c>
      <c r="E318" s="19">
        <f>DATE(YEAR(C318)+INT((MONTH(C318)-1+(A318-D318))/12),MOD(MONTH(C318)-1+(A318-D318),12)+1,1)+(DAY(C318)-1)</f>
        <v/>
      </c>
      <c r="F318" s="20">
        <f>INDEX(Segments!$C$5:$C$12,B318)/100/12</f>
        <v/>
      </c>
      <c r="G318" s="21">
        <f>INDEX(Segments!$L$5:$L$12,B318)</f>
        <v/>
      </c>
      <c r="H318" s="6">
        <f>INDEX(Segments!$I$5:$I$12,B318)="Y"</f>
        <v/>
      </c>
      <c r="I318" s="6">
        <f>INDEX(Segments!$F$5:$F$12,B318)=""</f>
        <v/>
      </c>
      <c r="J318" s="18">
        <f>INDEX(Segments!$K$5:$K$12,B318)</f>
        <v/>
      </c>
      <c r="K318" s="18">
        <f>IF(INDEX(Segments!$F$5:$F$12,B318)&lt;&gt;"",INDEX(Segments!$F$5:$F$12,B318),IF(INDEX(Segments!$E$5:$E$12,B318)&lt;&gt;"",INDEX(Segments!$E$5:$E$12,B318),""))</f>
        <v/>
      </c>
      <c r="L318" s="21">
        <f>AA317</f>
        <v/>
      </c>
      <c r="M318" s="21">
        <f>IFERROR(INDEX(Overrides!$C:$C,MATCH(A318,Overrides!$A:$A,0)),"")</f>
        <v/>
      </c>
      <c r="N318" s="21">
        <f>IFERROR(INDEX(Overrides!$E:$E,MATCH(A318,Overrides!$A:$A,0)),"")</f>
        <v/>
      </c>
      <c r="O318" s="21">
        <f>IFERROR(INDEX(Overrides!$D:$D,MATCH(A318,Overrides!$A:$A,0)),"")</f>
        <v/>
      </c>
      <c r="P318" s="21">
        <f>IFERROR(INDEX(Overrides!$B:$B,MATCH(A318,Overrides!$A:$A,0)),"")</f>
        <v/>
      </c>
      <c r="Q318" s="6">
        <f>IFERROR(INDEX(Overrides!$F:$F,MATCH(A318,Overrides!$A:$A,0)),"")</f>
        <v/>
      </c>
      <c r="R318" s="6">
        <f>ISNUMBER(MATCH(A318,Overrides!$A:$A,0))</f>
        <v/>
      </c>
      <c r="S318" s="6">
        <f>OR(ROUND(L318-ROUND(G318-T318,2),2)&lt;=0,AND(I318,K318&lt;&gt;"",(A318-D318+1)=K318))</f>
        <v/>
      </c>
      <c r="T318" s="21">
        <f>IF(M318&lt;&gt;"",M318,ROUND(L318*F318,2))</f>
        <v/>
      </c>
      <c r="U318" s="21">
        <f>IF(R318,IF(O318&lt;&gt;"",O318,IF(N318&lt;&gt;"",ROUND(L318-N318,2),ROUND((IF(P318&lt;&gt;"",P318,G318))-T318,2))),IF(H318,0,IF(S318,L318,ROUND(G318-T318,2))))</f>
        <v/>
      </c>
      <c r="V318" s="21">
        <f>IF(R318,IF(P318&lt;&gt;"",P318,ROUND(T318+U318,2)),IF(H318,T318,IF(S318,ROUND(T318+U318,2),G318)))</f>
        <v/>
      </c>
      <c r="W318" s="21">
        <f>IF(R318,IF(N318&lt;&gt;"",N318,ROUND(L318-U318,2)),IF(H318,L318,IF(S318,0,ROUND(L318-U318,2))))</f>
        <v/>
      </c>
      <c r="X318" s="21">
        <f>IFERROR(MIN(INDEX(LumpSums!$B:$B,MATCH(A318,LumpSums!$A:$A,0)),W318),0)</f>
        <v/>
      </c>
      <c r="Y318" s="21">
        <f>ROUND(U318+X318,2)</f>
        <v/>
      </c>
      <c r="Z318" s="21">
        <f>ROUND(V318+X318,2)</f>
        <v/>
      </c>
      <c r="AA318" s="21">
        <f>ROUND(W318-X318,2)</f>
        <v/>
      </c>
      <c r="AB318" s="6">
        <f>AND(AB317,L318&gt;0)</f>
        <v/>
      </c>
      <c r="AC318" s="21">
        <f>IF(PMI_Costs!$B$8=0,0,ROUND(PMI_Costs!$B$8*(1+PMI_Costs!$B$9/100)^INT((A318-1)/12)/12,2))</f>
        <v/>
      </c>
      <c r="AD318" s="21">
        <f>IF(PMI_Costs!$B$10=0,0,ROUND(PMI_Costs!$B$10*(1+PMI_Costs!$B$11/100)^INT((A318-1)/12)/12,2))</f>
        <v/>
      </c>
      <c r="AE318" s="21">
        <f>IF(PMI_Costs!$B$12=0,0,ROUND(PMI_Costs!$B$12*(1+PMI_Costs!$B$13/100)^INT((A318-1)/12)/12,2))</f>
        <v/>
      </c>
      <c r="AF318" s="22">
        <f>IF(PMI_Costs!$B$5=0,0,AA318/PMI_Costs!$B$5)</f>
        <v/>
      </c>
      <c r="AG318" s="6">
        <f>AND(PMI_Costs!$B$4&gt;0,AF318&gt;PMI_Costs!$B$6/100)</f>
        <v/>
      </c>
      <c r="AH318" s="21">
        <f>IF(AG318,ROUND(Segments!$G$5*PMI_Costs!$B$4/100/12,2),0)</f>
        <v/>
      </c>
      <c r="AI318" s="6">
        <f>AND(NOT(AG318),AG317)</f>
        <v/>
      </c>
    </row>
    <row r="319">
      <c r="A319" s="18" t="n">
        <v>315</v>
      </c>
      <c r="B319" s="18">
        <f>SUMPRODUCT((Segments!$J$5:$J$12&lt;&gt;"")*(Segments!$J$5:$J$12&lt;=A319))</f>
        <v/>
      </c>
      <c r="C319" s="19">
        <f>INDEX(Segments!$B$5:$B$12,B319)</f>
        <v/>
      </c>
      <c r="D319" s="18">
        <f>INDEX(Segments!$J$5:$J$12,B319)</f>
        <v/>
      </c>
      <c r="E319" s="19">
        <f>DATE(YEAR(C319)+INT((MONTH(C319)-1+(A319-D319))/12),MOD(MONTH(C319)-1+(A319-D319),12)+1,1)+(DAY(C319)-1)</f>
        <v/>
      </c>
      <c r="F319" s="20">
        <f>INDEX(Segments!$C$5:$C$12,B319)/100/12</f>
        <v/>
      </c>
      <c r="G319" s="21">
        <f>INDEX(Segments!$L$5:$L$12,B319)</f>
        <v/>
      </c>
      <c r="H319" s="6">
        <f>INDEX(Segments!$I$5:$I$12,B319)="Y"</f>
        <v/>
      </c>
      <c r="I319" s="6">
        <f>INDEX(Segments!$F$5:$F$12,B319)=""</f>
        <v/>
      </c>
      <c r="J319" s="18">
        <f>INDEX(Segments!$K$5:$K$12,B319)</f>
        <v/>
      </c>
      <c r="K319" s="18">
        <f>IF(INDEX(Segments!$F$5:$F$12,B319)&lt;&gt;"",INDEX(Segments!$F$5:$F$12,B319),IF(INDEX(Segments!$E$5:$E$12,B319)&lt;&gt;"",INDEX(Segments!$E$5:$E$12,B319),""))</f>
        <v/>
      </c>
      <c r="L319" s="21">
        <f>AA318</f>
        <v/>
      </c>
      <c r="M319" s="21">
        <f>IFERROR(INDEX(Overrides!$C:$C,MATCH(A319,Overrides!$A:$A,0)),"")</f>
        <v/>
      </c>
      <c r="N319" s="21">
        <f>IFERROR(INDEX(Overrides!$E:$E,MATCH(A319,Overrides!$A:$A,0)),"")</f>
        <v/>
      </c>
      <c r="O319" s="21">
        <f>IFERROR(INDEX(Overrides!$D:$D,MATCH(A319,Overrides!$A:$A,0)),"")</f>
        <v/>
      </c>
      <c r="P319" s="21">
        <f>IFERROR(INDEX(Overrides!$B:$B,MATCH(A319,Overrides!$A:$A,0)),"")</f>
        <v/>
      </c>
      <c r="Q319" s="6">
        <f>IFERROR(INDEX(Overrides!$F:$F,MATCH(A319,Overrides!$A:$A,0)),"")</f>
        <v/>
      </c>
      <c r="R319" s="6">
        <f>ISNUMBER(MATCH(A319,Overrides!$A:$A,0))</f>
        <v/>
      </c>
      <c r="S319" s="6">
        <f>OR(ROUND(L319-ROUND(G319-T319,2),2)&lt;=0,AND(I319,K319&lt;&gt;"",(A319-D319+1)=K319))</f>
        <v/>
      </c>
      <c r="T319" s="21">
        <f>IF(M319&lt;&gt;"",M319,ROUND(L319*F319,2))</f>
        <v/>
      </c>
      <c r="U319" s="21">
        <f>IF(R319,IF(O319&lt;&gt;"",O319,IF(N319&lt;&gt;"",ROUND(L319-N319,2),ROUND((IF(P319&lt;&gt;"",P319,G319))-T319,2))),IF(H319,0,IF(S319,L319,ROUND(G319-T319,2))))</f>
        <v/>
      </c>
      <c r="V319" s="21">
        <f>IF(R319,IF(P319&lt;&gt;"",P319,ROUND(T319+U319,2)),IF(H319,T319,IF(S319,ROUND(T319+U319,2),G319)))</f>
        <v/>
      </c>
      <c r="W319" s="21">
        <f>IF(R319,IF(N319&lt;&gt;"",N319,ROUND(L319-U319,2)),IF(H319,L319,IF(S319,0,ROUND(L319-U319,2))))</f>
        <v/>
      </c>
      <c r="X319" s="21">
        <f>IFERROR(MIN(INDEX(LumpSums!$B:$B,MATCH(A319,LumpSums!$A:$A,0)),W319),0)</f>
        <v/>
      </c>
      <c r="Y319" s="21">
        <f>ROUND(U319+X319,2)</f>
        <v/>
      </c>
      <c r="Z319" s="21">
        <f>ROUND(V319+X319,2)</f>
        <v/>
      </c>
      <c r="AA319" s="21">
        <f>ROUND(W319-X319,2)</f>
        <v/>
      </c>
      <c r="AB319" s="6">
        <f>AND(AB318,L319&gt;0)</f>
        <v/>
      </c>
      <c r="AC319" s="21">
        <f>IF(PMI_Costs!$B$8=0,0,ROUND(PMI_Costs!$B$8*(1+PMI_Costs!$B$9/100)^INT((A319-1)/12)/12,2))</f>
        <v/>
      </c>
      <c r="AD319" s="21">
        <f>IF(PMI_Costs!$B$10=0,0,ROUND(PMI_Costs!$B$10*(1+PMI_Costs!$B$11/100)^INT((A319-1)/12)/12,2))</f>
        <v/>
      </c>
      <c r="AE319" s="21">
        <f>IF(PMI_Costs!$B$12=0,0,ROUND(PMI_Costs!$B$12*(1+PMI_Costs!$B$13/100)^INT((A319-1)/12)/12,2))</f>
        <v/>
      </c>
      <c r="AF319" s="22">
        <f>IF(PMI_Costs!$B$5=0,0,AA319/PMI_Costs!$B$5)</f>
        <v/>
      </c>
      <c r="AG319" s="6">
        <f>AND(PMI_Costs!$B$4&gt;0,AF319&gt;PMI_Costs!$B$6/100)</f>
        <v/>
      </c>
      <c r="AH319" s="21">
        <f>IF(AG319,ROUND(Segments!$G$5*PMI_Costs!$B$4/100/12,2),0)</f>
        <v/>
      </c>
      <c r="AI319" s="6">
        <f>AND(NOT(AG319),AG318)</f>
        <v/>
      </c>
    </row>
    <row r="320">
      <c r="A320" s="18" t="n">
        <v>316</v>
      </c>
      <c r="B320" s="18">
        <f>SUMPRODUCT((Segments!$J$5:$J$12&lt;&gt;"")*(Segments!$J$5:$J$12&lt;=A320))</f>
        <v/>
      </c>
      <c r="C320" s="19">
        <f>INDEX(Segments!$B$5:$B$12,B320)</f>
        <v/>
      </c>
      <c r="D320" s="18">
        <f>INDEX(Segments!$J$5:$J$12,B320)</f>
        <v/>
      </c>
      <c r="E320" s="19">
        <f>DATE(YEAR(C320)+INT((MONTH(C320)-1+(A320-D320))/12),MOD(MONTH(C320)-1+(A320-D320),12)+1,1)+(DAY(C320)-1)</f>
        <v/>
      </c>
      <c r="F320" s="20">
        <f>INDEX(Segments!$C$5:$C$12,B320)/100/12</f>
        <v/>
      </c>
      <c r="G320" s="21">
        <f>INDEX(Segments!$L$5:$L$12,B320)</f>
        <v/>
      </c>
      <c r="H320" s="6">
        <f>INDEX(Segments!$I$5:$I$12,B320)="Y"</f>
        <v/>
      </c>
      <c r="I320" s="6">
        <f>INDEX(Segments!$F$5:$F$12,B320)=""</f>
        <v/>
      </c>
      <c r="J320" s="18">
        <f>INDEX(Segments!$K$5:$K$12,B320)</f>
        <v/>
      </c>
      <c r="K320" s="18">
        <f>IF(INDEX(Segments!$F$5:$F$12,B320)&lt;&gt;"",INDEX(Segments!$F$5:$F$12,B320),IF(INDEX(Segments!$E$5:$E$12,B320)&lt;&gt;"",INDEX(Segments!$E$5:$E$12,B320),""))</f>
        <v/>
      </c>
      <c r="L320" s="21">
        <f>AA319</f>
        <v/>
      </c>
      <c r="M320" s="21">
        <f>IFERROR(INDEX(Overrides!$C:$C,MATCH(A320,Overrides!$A:$A,0)),"")</f>
        <v/>
      </c>
      <c r="N320" s="21">
        <f>IFERROR(INDEX(Overrides!$E:$E,MATCH(A320,Overrides!$A:$A,0)),"")</f>
        <v/>
      </c>
      <c r="O320" s="21">
        <f>IFERROR(INDEX(Overrides!$D:$D,MATCH(A320,Overrides!$A:$A,0)),"")</f>
        <v/>
      </c>
      <c r="P320" s="21">
        <f>IFERROR(INDEX(Overrides!$B:$B,MATCH(A320,Overrides!$A:$A,0)),"")</f>
        <v/>
      </c>
      <c r="Q320" s="6">
        <f>IFERROR(INDEX(Overrides!$F:$F,MATCH(A320,Overrides!$A:$A,0)),"")</f>
        <v/>
      </c>
      <c r="R320" s="6">
        <f>ISNUMBER(MATCH(A320,Overrides!$A:$A,0))</f>
        <v/>
      </c>
      <c r="S320" s="6">
        <f>OR(ROUND(L320-ROUND(G320-T320,2),2)&lt;=0,AND(I320,K320&lt;&gt;"",(A320-D320+1)=K320))</f>
        <v/>
      </c>
      <c r="T320" s="21">
        <f>IF(M320&lt;&gt;"",M320,ROUND(L320*F320,2))</f>
        <v/>
      </c>
      <c r="U320" s="21">
        <f>IF(R320,IF(O320&lt;&gt;"",O320,IF(N320&lt;&gt;"",ROUND(L320-N320,2),ROUND((IF(P320&lt;&gt;"",P320,G320))-T320,2))),IF(H320,0,IF(S320,L320,ROUND(G320-T320,2))))</f>
        <v/>
      </c>
      <c r="V320" s="21">
        <f>IF(R320,IF(P320&lt;&gt;"",P320,ROUND(T320+U320,2)),IF(H320,T320,IF(S320,ROUND(T320+U320,2),G320)))</f>
        <v/>
      </c>
      <c r="W320" s="21">
        <f>IF(R320,IF(N320&lt;&gt;"",N320,ROUND(L320-U320,2)),IF(H320,L320,IF(S320,0,ROUND(L320-U320,2))))</f>
        <v/>
      </c>
      <c r="X320" s="21">
        <f>IFERROR(MIN(INDEX(LumpSums!$B:$B,MATCH(A320,LumpSums!$A:$A,0)),W320),0)</f>
        <v/>
      </c>
      <c r="Y320" s="21">
        <f>ROUND(U320+X320,2)</f>
        <v/>
      </c>
      <c r="Z320" s="21">
        <f>ROUND(V320+X320,2)</f>
        <v/>
      </c>
      <c r="AA320" s="21">
        <f>ROUND(W320-X320,2)</f>
        <v/>
      </c>
      <c r="AB320" s="6">
        <f>AND(AB319,L320&gt;0)</f>
        <v/>
      </c>
      <c r="AC320" s="21">
        <f>IF(PMI_Costs!$B$8=0,0,ROUND(PMI_Costs!$B$8*(1+PMI_Costs!$B$9/100)^INT((A320-1)/12)/12,2))</f>
        <v/>
      </c>
      <c r="AD320" s="21">
        <f>IF(PMI_Costs!$B$10=0,0,ROUND(PMI_Costs!$B$10*(1+PMI_Costs!$B$11/100)^INT((A320-1)/12)/12,2))</f>
        <v/>
      </c>
      <c r="AE320" s="21">
        <f>IF(PMI_Costs!$B$12=0,0,ROUND(PMI_Costs!$B$12*(1+PMI_Costs!$B$13/100)^INT((A320-1)/12)/12,2))</f>
        <v/>
      </c>
      <c r="AF320" s="22">
        <f>IF(PMI_Costs!$B$5=0,0,AA320/PMI_Costs!$B$5)</f>
        <v/>
      </c>
      <c r="AG320" s="6">
        <f>AND(PMI_Costs!$B$4&gt;0,AF320&gt;PMI_Costs!$B$6/100)</f>
        <v/>
      </c>
      <c r="AH320" s="21">
        <f>IF(AG320,ROUND(Segments!$G$5*PMI_Costs!$B$4/100/12,2),0)</f>
        <v/>
      </c>
      <c r="AI320" s="6">
        <f>AND(NOT(AG320),AG319)</f>
        <v/>
      </c>
    </row>
    <row r="321">
      <c r="A321" s="18" t="n">
        <v>317</v>
      </c>
      <c r="B321" s="18">
        <f>SUMPRODUCT((Segments!$J$5:$J$12&lt;&gt;"")*(Segments!$J$5:$J$12&lt;=A321))</f>
        <v/>
      </c>
      <c r="C321" s="19">
        <f>INDEX(Segments!$B$5:$B$12,B321)</f>
        <v/>
      </c>
      <c r="D321" s="18">
        <f>INDEX(Segments!$J$5:$J$12,B321)</f>
        <v/>
      </c>
      <c r="E321" s="19">
        <f>DATE(YEAR(C321)+INT((MONTH(C321)-1+(A321-D321))/12),MOD(MONTH(C321)-1+(A321-D321),12)+1,1)+(DAY(C321)-1)</f>
        <v/>
      </c>
      <c r="F321" s="20">
        <f>INDEX(Segments!$C$5:$C$12,B321)/100/12</f>
        <v/>
      </c>
      <c r="G321" s="21">
        <f>INDEX(Segments!$L$5:$L$12,B321)</f>
        <v/>
      </c>
      <c r="H321" s="6">
        <f>INDEX(Segments!$I$5:$I$12,B321)="Y"</f>
        <v/>
      </c>
      <c r="I321" s="6">
        <f>INDEX(Segments!$F$5:$F$12,B321)=""</f>
        <v/>
      </c>
      <c r="J321" s="18">
        <f>INDEX(Segments!$K$5:$K$12,B321)</f>
        <v/>
      </c>
      <c r="K321" s="18">
        <f>IF(INDEX(Segments!$F$5:$F$12,B321)&lt;&gt;"",INDEX(Segments!$F$5:$F$12,B321),IF(INDEX(Segments!$E$5:$E$12,B321)&lt;&gt;"",INDEX(Segments!$E$5:$E$12,B321),""))</f>
        <v/>
      </c>
      <c r="L321" s="21">
        <f>AA320</f>
        <v/>
      </c>
      <c r="M321" s="21">
        <f>IFERROR(INDEX(Overrides!$C:$C,MATCH(A321,Overrides!$A:$A,0)),"")</f>
        <v/>
      </c>
      <c r="N321" s="21">
        <f>IFERROR(INDEX(Overrides!$E:$E,MATCH(A321,Overrides!$A:$A,0)),"")</f>
        <v/>
      </c>
      <c r="O321" s="21">
        <f>IFERROR(INDEX(Overrides!$D:$D,MATCH(A321,Overrides!$A:$A,0)),"")</f>
        <v/>
      </c>
      <c r="P321" s="21">
        <f>IFERROR(INDEX(Overrides!$B:$B,MATCH(A321,Overrides!$A:$A,0)),"")</f>
        <v/>
      </c>
      <c r="Q321" s="6">
        <f>IFERROR(INDEX(Overrides!$F:$F,MATCH(A321,Overrides!$A:$A,0)),"")</f>
        <v/>
      </c>
      <c r="R321" s="6">
        <f>ISNUMBER(MATCH(A321,Overrides!$A:$A,0))</f>
        <v/>
      </c>
      <c r="S321" s="6">
        <f>OR(ROUND(L321-ROUND(G321-T321,2),2)&lt;=0,AND(I321,K321&lt;&gt;"",(A321-D321+1)=K321))</f>
        <v/>
      </c>
      <c r="T321" s="21">
        <f>IF(M321&lt;&gt;"",M321,ROUND(L321*F321,2))</f>
        <v/>
      </c>
      <c r="U321" s="21">
        <f>IF(R321,IF(O321&lt;&gt;"",O321,IF(N321&lt;&gt;"",ROUND(L321-N321,2),ROUND((IF(P321&lt;&gt;"",P321,G321))-T321,2))),IF(H321,0,IF(S321,L321,ROUND(G321-T321,2))))</f>
        <v/>
      </c>
      <c r="V321" s="21">
        <f>IF(R321,IF(P321&lt;&gt;"",P321,ROUND(T321+U321,2)),IF(H321,T321,IF(S321,ROUND(T321+U321,2),G321)))</f>
        <v/>
      </c>
      <c r="W321" s="21">
        <f>IF(R321,IF(N321&lt;&gt;"",N321,ROUND(L321-U321,2)),IF(H321,L321,IF(S321,0,ROUND(L321-U321,2))))</f>
        <v/>
      </c>
      <c r="X321" s="21">
        <f>IFERROR(MIN(INDEX(LumpSums!$B:$B,MATCH(A321,LumpSums!$A:$A,0)),W321),0)</f>
        <v/>
      </c>
      <c r="Y321" s="21">
        <f>ROUND(U321+X321,2)</f>
        <v/>
      </c>
      <c r="Z321" s="21">
        <f>ROUND(V321+X321,2)</f>
        <v/>
      </c>
      <c r="AA321" s="21">
        <f>ROUND(W321-X321,2)</f>
        <v/>
      </c>
      <c r="AB321" s="6">
        <f>AND(AB320,L321&gt;0)</f>
        <v/>
      </c>
      <c r="AC321" s="21">
        <f>IF(PMI_Costs!$B$8=0,0,ROUND(PMI_Costs!$B$8*(1+PMI_Costs!$B$9/100)^INT((A321-1)/12)/12,2))</f>
        <v/>
      </c>
      <c r="AD321" s="21">
        <f>IF(PMI_Costs!$B$10=0,0,ROUND(PMI_Costs!$B$10*(1+PMI_Costs!$B$11/100)^INT((A321-1)/12)/12,2))</f>
        <v/>
      </c>
      <c r="AE321" s="21">
        <f>IF(PMI_Costs!$B$12=0,0,ROUND(PMI_Costs!$B$12*(1+PMI_Costs!$B$13/100)^INT((A321-1)/12)/12,2))</f>
        <v/>
      </c>
      <c r="AF321" s="22">
        <f>IF(PMI_Costs!$B$5=0,0,AA321/PMI_Costs!$B$5)</f>
        <v/>
      </c>
      <c r="AG321" s="6">
        <f>AND(PMI_Costs!$B$4&gt;0,AF321&gt;PMI_Costs!$B$6/100)</f>
        <v/>
      </c>
      <c r="AH321" s="21">
        <f>IF(AG321,ROUND(Segments!$G$5*PMI_Costs!$B$4/100/12,2),0)</f>
        <v/>
      </c>
      <c r="AI321" s="6">
        <f>AND(NOT(AG321),AG320)</f>
        <v/>
      </c>
    </row>
    <row r="322">
      <c r="A322" s="18" t="n">
        <v>318</v>
      </c>
      <c r="B322" s="18">
        <f>SUMPRODUCT((Segments!$J$5:$J$12&lt;&gt;"")*(Segments!$J$5:$J$12&lt;=A322))</f>
        <v/>
      </c>
      <c r="C322" s="19">
        <f>INDEX(Segments!$B$5:$B$12,B322)</f>
        <v/>
      </c>
      <c r="D322" s="18">
        <f>INDEX(Segments!$J$5:$J$12,B322)</f>
        <v/>
      </c>
      <c r="E322" s="19">
        <f>DATE(YEAR(C322)+INT((MONTH(C322)-1+(A322-D322))/12),MOD(MONTH(C322)-1+(A322-D322),12)+1,1)+(DAY(C322)-1)</f>
        <v/>
      </c>
      <c r="F322" s="20">
        <f>INDEX(Segments!$C$5:$C$12,B322)/100/12</f>
        <v/>
      </c>
      <c r="G322" s="21">
        <f>INDEX(Segments!$L$5:$L$12,B322)</f>
        <v/>
      </c>
      <c r="H322" s="6">
        <f>INDEX(Segments!$I$5:$I$12,B322)="Y"</f>
        <v/>
      </c>
      <c r="I322" s="6">
        <f>INDEX(Segments!$F$5:$F$12,B322)=""</f>
        <v/>
      </c>
      <c r="J322" s="18">
        <f>INDEX(Segments!$K$5:$K$12,B322)</f>
        <v/>
      </c>
      <c r="K322" s="18">
        <f>IF(INDEX(Segments!$F$5:$F$12,B322)&lt;&gt;"",INDEX(Segments!$F$5:$F$12,B322),IF(INDEX(Segments!$E$5:$E$12,B322)&lt;&gt;"",INDEX(Segments!$E$5:$E$12,B322),""))</f>
        <v/>
      </c>
      <c r="L322" s="21">
        <f>AA321</f>
        <v/>
      </c>
      <c r="M322" s="21">
        <f>IFERROR(INDEX(Overrides!$C:$C,MATCH(A322,Overrides!$A:$A,0)),"")</f>
        <v/>
      </c>
      <c r="N322" s="21">
        <f>IFERROR(INDEX(Overrides!$E:$E,MATCH(A322,Overrides!$A:$A,0)),"")</f>
        <v/>
      </c>
      <c r="O322" s="21">
        <f>IFERROR(INDEX(Overrides!$D:$D,MATCH(A322,Overrides!$A:$A,0)),"")</f>
        <v/>
      </c>
      <c r="P322" s="21">
        <f>IFERROR(INDEX(Overrides!$B:$B,MATCH(A322,Overrides!$A:$A,0)),"")</f>
        <v/>
      </c>
      <c r="Q322" s="6">
        <f>IFERROR(INDEX(Overrides!$F:$F,MATCH(A322,Overrides!$A:$A,0)),"")</f>
        <v/>
      </c>
      <c r="R322" s="6">
        <f>ISNUMBER(MATCH(A322,Overrides!$A:$A,0))</f>
        <v/>
      </c>
      <c r="S322" s="6">
        <f>OR(ROUND(L322-ROUND(G322-T322,2),2)&lt;=0,AND(I322,K322&lt;&gt;"",(A322-D322+1)=K322))</f>
        <v/>
      </c>
      <c r="T322" s="21">
        <f>IF(M322&lt;&gt;"",M322,ROUND(L322*F322,2))</f>
        <v/>
      </c>
      <c r="U322" s="21">
        <f>IF(R322,IF(O322&lt;&gt;"",O322,IF(N322&lt;&gt;"",ROUND(L322-N322,2),ROUND((IF(P322&lt;&gt;"",P322,G322))-T322,2))),IF(H322,0,IF(S322,L322,ROUND(G322-T322,2))))</f>
        <v/>
      </c>
      <c r="V322" s="21">
        <f>IF(R322,IF(P322&lt;&gt;"",P322,ROUND(T322+U322,2)),IF(H322,T322,IF(S322,ROUND(T322+U322,2),G322)))</f>
        <v/>
      </c>
      <c r="W322" s="21">
        <f>IF(R322,IF(N322&lt;&gt;"",N322,ROUND(L322-U322,2)),IF(H322,L322,IF(S322,0,ROUND(L322-U322,2))))</f>
        <v/>
      </c>
      <c r="X322" s="21">
        <f>IFERROR(MIN(INDEX(LumpSums!$B:$B,MATCH(A322,LumpSums!$A:$A,0)),W322),0)</f>
        <v/>
      </c>
      <c r="Y322" s="21">
        <f>ROUND(U322+X322,2)</f>
        <v/>
      </c>
      <c r="Z322" s="21">
        <f>ROUND(V322+X322,2)</f>
        <v/>
      </c>
      <c r="AA322" s="21">
        <f>ROUND(W322-X322,2)</f>
        <v/>
      </c>
      <c r="AB322" s="6">
        <f>AND(AB321,L322&gt;0)</f>
        <v/>
      </c>
      <c r="AC322" s="21">
        <f>IF(PMI_Costs!$B$8=0,0,ROUND(PMI_Costs!$B$8*(1+PMI_Costs!$B$9/100)^INT((A322-1)/12)/12,2))</f>
        <v/>
      </c>
      <c r="AD322" s="21">
        <f>IF(PMI_Costs!$B$10=0,0,ROUND(PMI_Costs!$B$10*(1+PMI_Costs!$B$11/100)^INT((A322-1)/12)/12,2))</f>
        <v/>
      </c>
      <c r="AE322" s="21">
        <f>IF(PMI_Costs!$B$12=0,0,ROUND(PMI_Costs!$B$12*(1+PMI_Costs!$B$13/100)^INT((A322-1)/12)/12,2))</f>
        <v/>
      </c>
      <c r="AF322" s="22">
        <f>IF(PMI_Costs!$B$5=0,0,AA322/PMI_Costs!$B$5)</f>
        <v/>
      </c>
      <c r="AG322" s="6">
        <f>AND(PMI_Costs!$B$4&gt;0,AF322&gt;PMI_Costs!$B$6/100)</f>
        <v/>
      </c>
      <c r="AH322" s="21">
        <f>IF(AG322,ROUND(Segments!$G$5*PMI_Costs!$B$4/100/12,2),0)</f>
        <v/>
      </c>
      <c r="AI322" s="6">
        <f>AND(NOT(AG322),AG321)</f>
        <v/>
      </c>
    </row>
    <row r="323">
      <c r="A323" s="18" t="n">
        <v>319</v>
      </c>
      <c r="B323" s="18">
        <f>SUMPRODUCT((Segments!$J$5:$J$12&lt;&gt;"")*(Segments!$J$5:$J$12&lt;=A323))</f>
        <v/>
      </c>
      <c r="C323" s="19">
        <f>INDEX(Segments!$B$5:$B$12,B323)</f>
        <v/>
      </c>
      <c r="D323" s="18">
        <f>INDEX(Segments!$J$5:$J$12,B323)</f>
        <v/>
      </c>
      <c r="E323" s="19">
        <f>DATE(YEAR(C323)+INT((MONTH(C323)-1+(A323-D323))/12),MOD(MONTH(C323)-1+(A323-D323),12)+1,1)+(DAY(C323)-1)</f>
        <v/>
      </c>
      <c r="F323" s="20">
        <f>INDEX(Segments!$C$5:$C$12,B323)/100/12</f>
        <v/>
      </c>
      <c r="G323" s="21">
        <f>INDEX(Segments!$L$5:$L$12,B323)</f>
        <v/>
      </c>
      <c r="H323" s="6">
        <f>INDEX(Segments!$I$5:$I$12,B323)="Y"</f>
        <v/>
      </c>
      <c r="I323" s="6">
        <f>INDEX(Segments!$F$5:$F$12,B323)=""</f>
        <v/>
      </c>
      <c r="J323" s="18">
        <f>INDEX(Segments!$K$5:$K$12,B323)</f>
        <v/>
      </c>
      <c r="K323" s="18">
        <f>IF(INDEX(Segments!$F$5:$F$12,B323)&lt;&gt;"",INDEX(Segments!$F$5:$F$12,B323),IF(INDEX(Segments!$E$5:$E$12,B323)&lt;&gt;"",INDEX(Segments!$E$5:$E$12,B323),""))</f>
        <v/>
      </c>
      <c r="L323" s="21">
        <f>AA322</f>
        <v/>
      </c>
      <c r="M323" s="21">
        <f>IFERROR(INDEX(Overrides!$C:$C,MATCH(A323,Overrides!$A:$A,0)),"")</f>
        <v/>
      </c>
      <c r="N323" s="21">
        <f>IFERROR(INDEX(Overrides!$E:$E,MATCH(A323,Overrides!$A:$A,0)),"")</f>
        <v/>
      </c>
      <c r="O323" s="21">
        <f>IFERROR(INDEX(Overrides!$D:$D,MATCH(A323,Overrides!$A:$A,0)),"")</f>
        <v/>
      </c>
      <c r="P323" s="21">
        <f>IFERROR(INDEX(Overrides!$B:$B,MATCH(A323,Overrides!$A:$A,0)),"")</f>
        <v/>
      </c>
      <c r="Q323" s="6">
        <f>IFERROR(INDEX(Overrides!$F:$F,MATCH(A323,Overrides!$A:$A,0)),"")</f>
        <v/>
      </c>
      <c r="R323" s="6">
        <f>ISNUMBER(MATCH(A323,Overrides!$A:$A,0))</f>
        <v/>
      </c>
      <c r="S323" s="6">
        <f>OR(ROUND(L323-ROUND(G323-T323,2),2)&lt;=0,AND(I323,K323&lt;&gt;"",(A323-D323+1)=K323))</f>
        <v/>
      </c>
      <c r="T323" s="21">
        <f>IF(M323&lt;&gt;"",M323,ROUND(L323*F323,2))</f>
        <v/>
      </c>
      <c r="U323" s="21">
        <f>IF(R323,IF(O323&lt;&gt;"",O323,IF(N323&lt;&gt;"",ROUND(L323-N323,2),ROUND((IF(P323&lt;&gt;"",P323,G323))-T323,2))),IF(H323,0,IF(S323,L323,ROUND(G323-T323,2))))</f>
        <v/>
      </c>
      <c r="V323" s="21">
        <f>IF(R323,IF(P323&lt;&gt;"",P323,ROUND(T323+U323,2)),IF(H323,T323,IF(S323,ROUND(T323+U323,2),G323)))</f>
        <v/>
      </c>
      <c r="W323" s="21">
        <f>IF(R323,IF(N323&lt;&gt;"",N323,ROUND(L323-U323,2)),IF(H323,L323,IF(S323,0,ROUND(L323-U323,2))))</f>
        <v/>
      </c>
      <c r="X323" s="21">
        <f>IFERROR(MIN(INDEX(LumpSums!$B:$B,MATCH(A323,LumpSums!$A:$A,0)),W323),0)</f>
        <v/>
      </c>
      <c r="Y323" s="21">
        <f>ROUND(U323+X323,2)</f>
        <v/>
      </c>
      <c r="Z323" s="21">
        <f>ROUND(V323+X323,2)</f>
        <v/>
      </c>
      <c r="AA323" s="21">
        <f>ROUND(W323-X323,2)</f>
        <v/>
      </c>
      <c r="AB323" s="6">
        <f>AND(AB322,L323&gt;0)</f>
        <v/>
      </c>
      <c r="AC323" s="21">
        <f>IF(PMI_Costs!$B$8=0,0,ROUND(PMI_Costs!$B$8*(1+PMI_Costs!$B$9/100)^INT((A323-1)/12)/12,2))</f>
        <v/>
      </c>
      <c r="AD323" s="21">
        <f>IF(PMI_Costs!$B$10=0,0,ROUND(PMI_Costs!$B$10*(1+PMI_Costs!$B$11/100)^INT((A323-1)/12)/12,2))</f>
        <v/>
      </c>
      <c r="AE323" s="21">
        <f>IF(PMI_Costs!$B$12=0,0,ROUND(PMI_Costs!$B$12*(1+PMI_Costs!$B$13/100)^INT((A323-1)/12)/12,2))</f>
        <v/>
      </c>
      <c r="AF323" s="22">
        <f>IF(PMI_Costs!$B$5=0,0,AA323/PMI_Costs!$B$5)</f>
        <v/>
      </c>
      <c r="AG323" s="6">
        <f>AND(PMI_Costs!$B$4&gt;0,AF323&gt;PMI_Costs!$B$6/100)</f>
        <v/>
      </c>
      <c r="AH323" s="21">
        <f>IF(AG323,ROUND(Segments!$G$5*PMI_Costs!$B$4/100/12,2),0)</f>
        <v/>
      </c>
      <c r="AI323" s="6">
        <f>AND(NOT(AG323),AG322)</f>
        <v/>
      </c>
    </row>
    <row r="324">
      <c r="A324" s="18" t="n">
        <v>320</v>
      </c>
      <c r="B324" s="18">
        <f>SUMPRODUCT((Segments!$J$5:$J$12&lt;&gt;"")*(Segments!$J$5:$J$12&lt;=A324))</f>
        <v/>
      </c>
      <c r="C324" s="19">
        <f>INDEX(Segments!$B$5:$B$12,B324)</f>
        <v/>
      </c>
      <c r="D324" s="18">
        <f>INDEX(Segments!$J$5:$J$12,B324)</f>
        <v/>
      </c>
      <c r="E324" s="19">
        <f>DATE(YEAR(C324)+INT((MONTH(C324)-1+(A324-D324))/12),MOD(MONTH(C324)-1+(A324-D324),12)+1,1)+(DAY(C324)-1)</f>
        <v/>
      </c>
      <c r="F324" s="20">
        <f>INDEX(Segments!$C$5:$C$12,B324)/100/12</f>
        <v/>
      </c>
      <c r="G324" s="21">
        <f>INDEX(Segments!$L$5:$L$12,B324)</f>
        <v/>
      </c>
      <c r="H324" s="6">
        <f>INDEX(Segments!$I$5:$I$12,B324)="Y"</f>
        <v/>
      </c>
      <c r="I324" s="6">
        <f>INDEX(Segments!$F$5:$F$12,B324)=""</f>
        <v/>
      </c>
      <c r="J324" s="18">
        <f>INDEX(Segments!$K$5:$K$12,B324)</f>
        <v/>
      </c>
      <c r="K324" s="18">
        <f>IF(INDEX(Segments!$F$5:$F$12,B324)&lt;&gt;"",INDEX(Segments!$F$5:$F$12,B324),IF(INDEX(Segments!$E$5:$E$12,B324)&lt;&gt;"",INDEX(Segments!$E$5:$E$12,B324),""))</f>
        <v/>
      </c>
      <c r="L324" s="21">
        <f>AA323</f>
        <v/>
      </c>
      <c r="M324" s="21">
        <f>IFERROR(INDEX(Overrides!$C:$C,MATCH(A324,Overrides!$A:$A,0)),"")</f>
        <v/>
      </c>
      <c r="N324" s="21">
        <f>IFERROR(INDEX(Overrides!$E:$E,MATCH(A324,Overrides!$A:$A,0)),"")</f>
        <v/>
      </c>
      <c r="O324" s="21">
        <f>IFERROR(INDEX(Overrides!$D:$D,MATCH(A324,Overrides!$A:$A,0)),"")</f>
        <v/>
      </c>
      <c r="P324" s="21">
        <f>IFERROR(INDEX(Overrides!$B:$B,MATCH(A324,Overrides!$A:$A,0)),"")</f>
        <v/>
      </c>
      <c r="Q324" s="6">
        <f>IFERROR(INDEX(Overrides!$F:$F,MATCH(A324,Overrides!$A:$A,0)),"")</f>
        <v/>
      </c>
      <c r="R324" s="6">
        <f>ISNUMBER(MATCH(A324,Overrides!$A:$A,0))</f>
        <v/>
      </c>
      <c r="S324" s="6">
        <f>OR(ROUND(L324-ROUND(G324-T324,2),2)&lt;=0,AND(I324,K324&lt;&gt;"",(A324-D324+1)=K324))</f>
        <v/>
      </c>
      <c r="T324" s="21">
        <f>IF(M324&lt;&gt;"",M324,ROUND(L324*F324,2))</f>
        <v/>
      </c>
      <c r="U324" s="21">
        <f>IF(R324,IF(O324&lt;&gt;"",O324,IF(N324&lt;&gt;"",ROUND(L324-N324,2),ROUND((IF(P324&lt;&gt;"",P324,G324))-T324,2))),IF(H324,0,IF(S324,L324,ROUND(G324-T324,2))))</f>
        <v/>
      </c>
      <c r="V324" s="21">
        <f>IF(R324,IF(P324&lt;&gt;"",P324,ROUND(T324+U324,2)),IF(H324,T324,IF(S324,ROUND(T324+U324,2),G324)))</f>
        <v/>
      </c>
      <c r="W324" s="21">
        <f>IF(R324,IF(N324&lt;&gt;"",N324,ROUND(L324-U324,2)),IF(H324,L324,IF(S324,0,ROUND(L324-U324,2))))</f>
        <v/>
      </c>
      <c r="X324" s="21">
        <f>IFERROR(MIN(INDEX(LumpSums!$B:$B,MATCH(A324,LumpSums!$A:$A,0)),W324),0)</f>
        <v/>
      </c>
      <c r="Y324" s="21">
        <f>ROUND(U324+X324,2)</f>
        <v/>
      </c>
      <c r="Z324" s="21">
        <f>ROUND(V324+X324,2)</f>
        <v/>
      </c>
      <c r="AA324" s="21">
        <f>ROUND(W324-X324,2)</f>
        <v/>
      </c>
      <c r="AB324" s="6">
        <f>AND(AB323,L324&gt;0)</f>
        <v/>
      </c>
      <c r="AC324" s="21">
        <f>IF(PMI_Costs!$B$8=0,0,ROUND(PMI_Costs!$B$8*(1+PMI_Costs!$B$9/100)^INT((A324-1)/12)/12,2))</f>
        <v/>
      </c>
      <c r="AD324" s="21">
        <f>IF(PMI_Costs!$B$10=0,0,ROUND(PMI_Costs!$B$10*(1+PMI_Costs!$B$11/100)^INT((A324-1)/12)/12,2))</f>
        <v/>
      </c>
      <c r="AE324" s="21">
        <f>IF(PMI_Costs!$B$12=0,0,ROUND(PMI_Costs!$B$12*(1+PMI_Costs!$B$13/100)^INT((A324-1)/12)/12,2))</f>
        <v/>
      </c>
      <c r="AF324" s="22">
        <f>IF(PMI_Costs!$B$5=0,0,AA324/PMI_Costs!$B$5)</f>
        <v/>
      </c>
      <c r="AG324" s="6">
        <f>AND(PMI_Costs!$B$4&gt;0,AF324&gt;PMI_Costs!$B$6/100)</f>
        <v/>
      </c>
      <c r="AH324" s="21">
        <f>IF(AG324,ROUND(Segments!$G$5*PMI_Costs!$B$4/100/12,2),0)</f>
        <v/>
      </c>
      <c r="AI324" s="6">
        <f>AND(NOT(AG324),AG323)</f>
        <v/>
      </c>
    </row>
    <row r="325">
      <c r="A325" s="18" t="n">
        <v>321</v>
      </c>
      <c r="B325" s="18">
        <f>SUMPRODUCT((Segments!$J$5:$J$12&lt;&gt;"")*(Segments!$J$5:$J$12&lt;=A325))</f>
        <v/>
      </c>
      <c r="C325" s="19">
        <f>INDEX(Segments!$B$5:$B$12,B325)</f>
        <v/>
      </c>
      <c r="D325" s="18">
        <f>INDEX(Segments!$J$5:$J$12,B325)</f>
        <v/>
      </c>
      <c r="E325" s="19">
        <f>DATE(YEAR(C325)+INT((MONTH(C325)-1+(A325-D325))/12),MOD(MONTH(C325)-1+(A325-D325),12)+1,1)+(DAY(C325)-1)</f>
        <v/>
      </c>
      <c r="F325" s="20">
        <f>INDEX(Segments!$C$5:$C$12,B325)/100/12</f>
        <v/>
      </c>
      <c r="G325" s="21">
        <f>INDEX(Segments!$L$5:$L$12,B325)</f>
        <v/>
      </c>
      <c r="H325" s="6">
        <f>INDEX(Segments!$I$5:$I$12,B325)="Y"</f>
        <v/>
      </c>
      <c r="I325" s="6">
        <f>INDEX(Segments!$F$5:$F$12,B325)=""</f>
        <v/>
      </c>
      <c r="J325" s="18">
        <f>INDEX(Segments!$K$5:$K$12,B325)</f>
        <v/>
      </c>
      <c r="K325" s="18">
        <f>IF(INDEX(Segments!$F$5:$F$12,B325)&lt;&gt;"",INDEX(Segments!$F$5:$F$12,B325),IF(INDEX(Segments!$E$5:$E$12,B325)&lt;&gt;"",INDEX(Segments!$E$5:$E$12,B325),""))</f>
        <v/>
      </c>
      <c r="L325" s="21">
        <f>AA324</f>
        <v/>
      </c>
      <c r="M325" s="21">
        <f>IFERROR(INDEX(Overrides!$C:$C,MATCH(A325,Overrides!$A:$A,0)),"")</f>
        <v/>
      </c>
      <c r="N325" s="21">
        <f>IFERROR(INDEX(Overrides!$E:$E,MATCH(A325,Overrides!$A:$A,0)),"")</f>
        <v/>
      </c>
      <c r="O325" s="21">
        <f>IFERROR(INDEX(Overrides!$D:$D,MATCH(A325,Overrides!$A:$A,0)),"")</f>
        <v/>
      </c>
      <c r="P325" s="21">
        <f>IFERROR(INDEX(Overrides!$B:$B,MATCH(A325,Overrides!$A:$A,0)),"")</f>
        <v/>
      </c>
      <c r="Q325" s="6">
        <f>IFERROR(INDEX(Overrides!$F:$F,MATCH(A325,Overrides!$A:$A,0)),"")</f>
        <v/>
      </c>
      <c r="R325" s="6">
        <f>ISNUMBER(MATCH(A325,Overrides!$A:$A,0))</f>
        <v/>
      </c>
      <c r="S325" s="6">
        <f>OR(ROUND(L325-ROUND(G325-T325,2),2)&lt;=0,AND(I325,K325&lt;&gt;"",(A325-D325+1)=K325))</f>
        <v/>
      </c>
      <c r="T325" s="21">
        <f>IF(M325&lt;&gt;"",M325,ROUND(L325*F325,2))</f>
        <v/>
      </c>
      <c r="U325" s="21">
        <f>IF(R325,IF(O325&lt;&gt;"",O325,IF(N325&lt;&gt;"",ROUND(L325-N325,2),ROUND((IF(P325&lt;&gt;"",P325,G325))-T325,2))),IF(H325,0,IF(S325,L325,ROUND(G325-T325,2))))</f>
        <v/>
      </c>
      <c r="V325" s="21">
        <f>IF(R325,IF(P325&lt;&gt;"",P325,ROUND(T325+U325,2)),IF(H325,T325,IF(S325,ROUND(T325+U325,2),G325)))</f>
        <v/>
      </c>
      <c r="W325" s="21">
        <f>IF(R325,IF(N325&lt;&gt;"",N325,ROUND(L325-U325,2)),IF(H325,L325,IF(S325,0,ROUND(L325-U325,2))))</f>
        <v/>
      </c>
      <c r="X325" s="21">
        <f>IFERROR(MIN(INDEX(LumpSums!$B:$B,MATCH(A325,LumpSums!$A:$A,0)),W325),0)</f>
        <v/>
      </c>
      <c r="Y325" s="21">
        <f>ROUND(U325+X325,2)</f>
        <v/>
      </c>
      <c r="Z325" s="21">
        <f>ROUND(V325+X325,2)</f>
        <v/>
      </c>
      <c r="AA325" s="21">
        <f>ROUND(W325-X325,2)</f>
        <v/>
      </c>
      <c r="AB325" s="6">
        <f>AND(AB324,L325&gt;0)</f>
        <v/>
      </c>
      <c r="AC325" s="21">
        <f>IF(PMI_Costs!$B$8=0,0,ROUND(PMI_Costs!$B$8*(1+PMI_Costs!$B$9/100)^INT((A325-1)/12)/12,2))</f>
        <v/>
      </c>
      <c r="AD325" s="21">
        <f>IF(PMI_Costs!$B$10=0,0,ROUND(PMI_Costs!$B$10*(1+PMI_Costs!$B$11/100)^INT((A325-1)/12)/12,2))</f>
        <v/>
      </c>
      <c r="AE325" s="21">
        <f>IF(PMI_Costs!$B$12=0,0,ROUND(PMI_Costs!$B$12*(1+PMI_Costs!$B$13/100)^INT((A325-1)/12)/12,2))</f>
        <v/>
      </c>
      <c r="AF325" s="22">
        <f>IF(PMI_Costs!$B$5=0,0,AA325/PMI_Costs!$B$5)</f>
        <v/>
      </c>
      <c r="AG325" s="6">
        <f>AND(PMI_Costs!$B$4&gt;0,AF325&gt;PMI_Costs!$B$6/100)</f>
        <v/>
      </c>
      <c r="AH325" s="21">
        <f>IF(AG325,ROUND(Segments!$G$5*PMI_Costs!$B$4/100/12,2),0)</f>
        <v/>
      </c>
      <c r="AI325" s="6">
        <f>AND(NOT(AG325),AG324)</f>
        <v/>
      </c>
    </row>
    <row r="326">
      <c r="A326" s="18" t="n">
        <v>322</v>
      </c>
      <c r="B326" s="18">
        <f>SUMPRODUCT((Segments!$J$5:$J$12&lt;&gt;"")*(Segments!$J$5:$J$12&lt;=A326))</f>
        <v/>
      </c>
      <c r="C326" s="19">
        <f>INDEX(Segments!$B$5:$B$12,B326)</f>
        <v/>
      </c>
      <c r="D326" s="18">
        <f>INDEX(Segments!$J$5:$J$12,B326)</f>
        <v/>
      </c>
      <c r="E326" s="19">
        <f>DATE(YEAR(C326)+INT((MONTH(C326)-1+(A326-D326))/12),MOD(MONTH(C326)-1+(A326-D326),12)+1,1)+(DAY(C326)-1)</f>
        <v/>
      </c>
      <c r="F326" s="20">
        <f>INDEX(Segments!$C$5:$C$12,B326)/100/12</f>
        <v/>
      </c>
      <c r="G326" s="21">
        <f>INDEX(Segments!$L$5:$L$12,B326)</f>
        <v/>
      </c>
      <c r="H326" s="6">
        <f>INDEX(Segments!$I$5:$I$12,B326)="Y"</f>
        <v/>
      </c>
      <c r="I326" s="6">
        <f>INDEX(Segments!$F$5:$F$12,B326)=""</f>
        <v/>
      </c>
      <c r="J326" s="18">
        <f>INDEX(Segments!$K$5:$K$12,B326)</f>
        <v/>
      </c>
      <c r="K326" s="18">
        <f>IF(INDEX(Segments!$F$5:$F$12,B326)&lt;&gt;"",INDEX(Segments!$F$5:$F$12,B326),IF(INDEX(Segments!$E$5:$E$12,B326)&lt;&gt;"",INDEX(Segments!$E$5:$E$12,B326),""))</f>
        <v/>
      </c>
      <c r="L326" s="21">
        <f>AA325</f>
        <v/>
      </c>
      <c r="M326" s="21">
        <f>IFERROR(INDEX(Overrides!$C:$C,MATCH(A326,Overrides!$A:$A,0)),"")</f>
        <v/>
      </c>
      <c r="N326" s="21">
        <f>IFERROR(INDEX(Overrides!$E:$E,MATCH(A326,Overrides!$A:$A,0)),"")</f>
        <v/>
      </c>
      <c r="O326" s="21">
        <f>IFERROR(INDEX(Overrides!$D:$D,MATCH(A326,Overrides!$A:$A,0)),"")</f>
        <v/>
      </c>
      <c r="P326" s="21">
        <f>IFERROR(INDEX(Overrides!$B:$B,MATCH(A326,Overrides!$A:$A,0)),"")</f>
        <v/>
      </c>
      <c r="Q326" s="6">
        <f>IFERROR(INDEX(Overrides!$F:$F,MATCH(A326,Overrides!$A:$A,0)),"")</f>
        <v/>
      </c>
      <c r="R326" s="6">
        <f>ISNUMBER(MATCH(A326,Overrides!$A:$A,0))</f>
        <v/>
      </c>
      <c r="S326" s="6">
        <f>OR(ROUND(L326-ROUND(G326-T326,2),2)&lt;=0,AND(I326,K326&lt;&gt;"",(A326-D326+1)=K326))</f>
        <v/>
      </c>
      <c r="T326" s="21">
        <f>IF(M326&lt;&gt;"",M326,ROUND(L326*F326,2))</f>
        <v/>
      </c>
      <c r="U326" s="21">
        <f>IF(R326,IF(O326&lt;&gt;"",O326,IF(N326&lt;&gt;"",ROUND(L326-N326,2),ROUND((IF(P326&lt;&gt;"",P326,G326))-T326,2))),IF(H326,0,IF(S326,L326,ROUND(G326-T326,2))))</f>
        <v/>
      </c>
      <c r="V326" s="21">
        <f>IF(R326,IF(P326&lt;&gt;"",P326,ROUND(T326+U326,2)),IF(H326,T326,IF(S326,ROUND(T326+U326,2),G326)))</f>
        <v/>
      </c>
      <c r="W326" s="21">
        <f>IF(R326,IF(N326&lt;&gt;"",N326,ROUND(L326-U326,2)),IF(H326,L326,IF(S326,0,ROUND(L326-U326,2))))</f>
        <v/>
      </c>
      <c r="X326" s="21">
        <f>IFERROR(MIN(INDEX(LumpSums!$B:$B,MATCH(A326,LumpSums!$A:$A,0)),W326),0)</f>
        <v/>
      </c>
      <c r="Y326" s="21">
        <f>ROUND(U326+X326,2)</f>
        <v/>
      </c>
      <c r="Z326" s="21">
        <f>ROUND(V326+X326,2)</f>
        <v/>
      </c>
      <c r="AA326" s="21">
        <f>ROUND(W326-X326,2)</f>
        <v/>
      </c>
      <c r="AB326" s="6">
        <f>AND(AB325,L326&gt;0)</f>
        <v/>
      </c>
      <c r="AC326" s="21">
        <f>IF(PMI_Costs!$B$8=0,0,ROUND(PMI_Costs!$B$8*(1+PMI_Costs!$B$9/100)^INT((A326-1)/12)/12,2))</f>
        <v/>
      </c>
      <c r="AD326" s="21">
        <f>IF(PMI_Costs!$B$10=0,0,ROUND(PMI_Costs!$B$10*(1+PMI_Costs!$B$11/100)^INT((A326-1)/12)/12,2))</f>
        <v/>
      </c>
      <c r="AE326" s="21">
        <f>IF(PMI_Costs!$B$12=0,0,ROUND(PMI_Costs!$B$12*(1+PMI_Costs!$B$13/100)^INT((A326-1)/12)/12,2))</f>
        <v/>
      </c>
      <c r="AF326" s="22">
        <f>IF(PMI_Costs!$B$5=0,0,AA326/PMI_Costs!$B$5)</f>
        <v/>
      </c>
      <c r="AG326" s="6">
        <f>AND(PMI_Costs!$B$4&gt;0,AF326&gt;PMI_Costs!$B$6/100)</f>
        <v/>
      </c>
      <c r="AH326" s="21">
        <f>IF(AG326,ROUND(Segments!$G$5*PMI_Costs!$B$4/100/12,2),0)</f>
        <v/>
      </c>
      <c r="AI326" s="6">
        <f>AND(NOT(AG326),AG325)</f>
        <v/>
      </c>
    </row>
    <row r="327">
      <c r="A327" s="18" t="n">
        <v>323</v>
      </c>
      <c r="B327" s="18">
        <f>SUMPRODUCT((Segments!$J$5:$J$12&lt;&gt;"")*(Segments!$J$5:$J$12&lt;=A327))</f>
        <v/>
      </c>
      <c r="C327" s="19">
        <f>INDEX(Segments!$B$5:$B$12,B327)</f>
        <v/>
      </c>
      <c r="D327" s="18">
        <f>INDEX(Segments!$J$5:$J$12,B327)</f>
        <v/>
      </c>
      <c r="E327" s="19">
        <f>DATE(YEAR(C327)+INT((MONTH(C327)-1+(A327-D327))/12),MOD(MONTH(C327)-1+(A327-D327),12)+1,1)+(DAY(C327)-1)</f>
        <v/>
      </c>
      <c r="F327" s="20">
        <f>INDEX(Segments!$C$5:$C$12,B327)/100/12</f>
        <v/>
      </c>
      <c r="G327" s="21">
        <f>INDEX(Segments!$L$5:$L$12,B327)</f>
        <v/>
      </c>
      <c r="H327" s="6">
        <f>INDEX(Segments!$I$5:$I$12,B327)="Y"</f>
        <v/>
      </c>
      <c r="I327" s="6">
        <f>INDEX(Segments!$F$5:$F$12,B327)=""</f>
        <v/>
      </c>
      <c r="J327" s="18">
        <f>INDEX(Segments!$K$5:$K$12,B327)</f>
        <v/>
      </c>
      <c r="K327" s="18">
        <f>IF(INDEX(Segments!$F$5:$F$12,B327)&lt;&gt;"",INDEX(Segments!$F$5:$F$12,B327),IF(INDEX(Segments!$E$5:$E$12,B327)&lt;&gt;"",INDEX(Segments!$E$5:$E$12,B327),""))</f>
        <v/>
      </c>
      <c r="L327" s="21">
        <f>AA326</f>
        <v/>
      </c>
      <c r="M327" s="21">
        <f>IFERROR(INDEX(Overrides!$C:$C,MATCH(A327,Overrides!$A:$A,0)),"")</f>
        <v/>
      </c>
      <c r="N327" s="21">
        <f>IFERROR(INDEX(Overrides!$E:$E,MATCH(A327,Overrides!$A:$A,0)),"")</f>
        <v/>
      </c>
      <c r="O327" s="21">
        <f>IFERROR(INDEX(Overrides!$D:$D,MATCH(A327,Overrides!$A:$A,0)),"")</f>
        <v/>
      </c>
      <c r="P327" s="21">
        <f>IFERROR(INDEX(Overrides!$B:$B,MATCH(A327,Overrides!$A:$A,0)),"")</f>
        <v/>
      </c>
      <c r="Q327" s="6">
        <f>IFERROR(INDEX(Overrides!$F:$F,MATCH(A327,Overrides!$A:$A,0)),"")</f>
        <v/>
      </c>
      <c r="R327" s="6">
        <f>ISNUMBER(MATCH(A327,Overrides!$A:$A,0))</f>
        <v/>
      </c>
      <c r="S327" s="6">
        <f>OR(ROUND(L327-ROUND(G327-T327,2),2)&lt;=0,AND(I327,K327&lt;&gt;"",(A327-D327+1)=K327))</f>
        <v/>
      </c>
      <c r="T327" s="21">
        <f>IF(M327&lt;&gt;"",M327,ROUND(L327*F327,2))</f>
        <v/>
      </c>
      <c r="U327" s="21">
        <f>IF(R327,IF(O327&lt;&gt;"",O327,IF(N327&lt;&gt;"",ROUND(L327-N327,2),ROUND((IF(P327&lt;&gt;"",P327,G327))-T327,2))),IF(H327,0,IF(S327,L327,ROUND(G327-T327,2))))</f>
        <v/>
      </c>
      <c r="V327" s="21">
        <f>IF(R327,IF(P327&lt;&gt;"",P327,ROUND(T327+U327,2)),IF(H327,T327,IF(S327,ROUND(T327+U327,2),G327)))</f>
        <v/>
      </c>
      <c r="W327" s="21">
        <f>IF(R327,IF(N327&lt;&gt;"",N327,ROUND(L327-U327,2)),IF(H327,L327,IF(S327,0,ROUND(L327-U327,2))))</f>
        <v/>
      </c>
      <c r="X327" s="21">
        <f>IFERROR(MIN(INDEX(LumpSums!$B:$B,MATCH(A327,LumpSums!$A:$A,0)),W327),0)</f>
        <v/>
      </c>
      <c r="Y327" s="21">
        <f>ROUND(U327+X327,2)</f>
        <v/>
      </c>
      <c r="Z327" s="21">
        <f>ROUND(V327+X327,2)</f>
        <v/>
      </c>
      <c r="AA327" s="21">
        <f>ROUND(W327-X327,2)</f>
        <v/>
      </c>
      <c r="AB327" s="6">
        <f>AND(AB326,L327&gt;0)</f>
        <v/>
      </c>
      <c r="AC327" s="21">
        <f>IF(PMI_Costs!$B$8=0,0,ROUND(PMI_Costs!$B$8*(1+PMI_Costs!$B$9/100)^INT((A327-1)/12)/12,2))</f>
        <v/>
      </c>
      <c r="AD327" s="21">
        <f>IF(PMI_Costs!$B$10=0,0,ROUND(PMI_Costs!$B$10*(1+PMI_Costs!$B$11/100)^INT((A327-1)/12)/12,2))</f>
        <v/>
      </c>
      <c r="AE327" s="21">
        <f>IF(PMI_Costs!$B$12=0,0,ROUND(PMI_Costs!$B$12*(1+PMI_Costs!$B$13/100)^INT((A327-1)/12)/12,2))</f>
        <v/>
      </c>
      <c r="AF327" s="22">
        <f>IF(PMI_Costs!$B$5=0,0,AA327/PMI_Costs!$B$5)</f>
        <v/>
      </c>
      <c r="AG327" s="6">
        <f>AND(PMI_Costs!$B$4&gt;0,AF327&gt;PMI_Costs!$B$6/100)</f>
        <v/>
      </c>
      <c r="AH327" s="21">
        <f>IF(AG327,ROUND(Segments!$G$5*PMI_Costs!$B$4/100/12,2),0)</f>
        <v/>
      </c>
      <c r="AI327" s="6">
        <f>AND(NOT(AG327),AG326)</f>
        <v/>
      </c>
    </row>
    <row r="328">
      <c r="A328" s="18" t="n">
        <v>324</v>
      </c>
      <c r="B328" s="18">
        <f>SUMPRODUCT((Segments!$J$5:$J$12&lt;&gt;"")*(Segments!$J$5:$J$12&lt;=A328))</f>
        <v/>
      </c>
      <c r="C328" s="19">
        <f>INDEX(Segments!$B$5:$B$12,B328)</f>
        <v/>
      </c>
      <c r="D328" s="18">
        <f>INDEX(Segments!$J$5:$J$12,B328)</f>
        <v/>
      </c>
      <c r="E328" s="19">
        <f>DATE(YEAR(C328)+INT((MONTH(C328)-1+(A328-D328))/12),MOD(MONTH(C328)-1+(A328-D328),12)+1,1)+(DAY(C328)-1)</f>
        <v/>
      </c>
      <c r="F328" s="20">
        <f>INDEX(Segments!$C$5:$C$12,B328)/100/12</f>
        <v/>
      </c>
      <c r="G328" s="21">
        <f>INDEX(Segments!$L$5:$L$12,B328)</f>
        <v/>
      </c>
      <c r="H328" s="6">
        <f>INDEX(Segments!$I$5:$I$12,B328)="Y"</f>
        <v/>
      </c>
      <c r="I328" s="6">
        <f>INDEX(Segments!$F$5:$F$12,B328)=""</f>
        <v/>
      </c>
      <c r="J328" s="18">
        <f>INDEX(Segments!$K$5:$K$12,B328)</f>
        <v/>
      </c>
      <c r="K328" s="18">
        <f>IF(INDEX(Segments!$F$5:$F$12,B328)&lt;&gt;"",INDEX(Segments!$F$5:$F$12,B328),IF(INDEX(Segments!$E$5:$E$12,B328)&lt;&gt;"",INDEX(Segments!$E$5:$E$12,B328),""))</f>
        <v/>
      </c>
      <c r="L328" s="21">
        <f>AA327</f>
        <v/>
      </c>
      <c r="M328" s="21">
        <f>IFERROR(INDEX(Overrides!$C:$C,MATCH(A328,Overrides!$A:$A,0)),"")</f>
        <v/>
      </c>
      <c r="N328" s="21">
        <f>IFERROR(INDEX(Overrides!$E:$E,MATCH(A328,Overrides!$A:$A,0)),"")</f>
        <v/>
      </c>
      <c r="O328" s="21">
        <f>IFERROR(INDEX(Overrides!$D:$D,MATCH(A328,Overrides!$A:$A,0)),"")</f>
        <v/>
      </c>
      <c r="P328" s="21">
        <f>IFERROR(INDEX(Overrides!$B:$B,MATCH(A328,Overrides!$A:$A,0)),"")</f>
        <v/>
      </c>
      <c r="Q328" s="6">
        <f>IFERROR(INDEX(Overrides!$F:$F,MATCH(A328,Overrides!$A:$A,0)),"")</f>
        <v/>
      </c>
      <c r="R328" s="6">
        <f>ISNUMBER(MATCH(A328,Overrides!$A:$A,0))</f>
        <v/>
      </c>
      <c r="S328" s="6">
        <f>OR(ROUND(L328-ROUND(G328-T328,2),2)&lt;=0,AND(I328,K328&lt;&gt;"",(A328-D328+1)=K328))</f>
        <v/>
      </c>
      <c r="T328" s="21">
        <f>IF(M328&lt;&gt;"",M328,ROUND(L328*F328,2))</f>
        <v/>
      </c>
      <c r="U328" s="21">
        <f>IF(R328,IF(O328&lt;&gt;"",O328,IF(N328&lt;&gt;"",ROUND(L328-N328,2),ROUND((IF(P328&lt;&gt;"",P328,G328))-T328,2))),IF(H328,0,IF(S328,L328,ROUND(G328-T328,2))))</f>
        <v/>
      </c>
      <c r="V328" s="21">
        <f>IF(R328,IF(P328&lt;&gt;"",P328,ROUND(T328+U328,2)),IF(H328,T328,IF(S328,ROUND(T328+U328,2),G328)))</f>
        <v/>
      </c>
      <c r="W328" s="21">
        <f>IF(R328,IF(N328&lt;&gt;"",N328,ROUND(L328-U328,2)),IF(H328,L328,IF(S328,0,ROUND(L328-U328,2))))</f>
        <v/>
      </c>
      <c r="X328" s="21">
        <f>IFERROR(MIN(INDEX(LumpSums!$B:$B,MATCH(A328,LumpSums!$A:$A,0)),W328),0)</f>
        <v/>
      </c>
      <c r="Y328" s="21">
        <f>ROUND(U328+X328,2)</f>
        <v/>
      </c>
      <c r="Z328" s="21">
        <f>ROUND(V328+X328,2)</f>
        <v/>
      </c>
      <c r="AA328" s="21">
        <f>ROUND(W328-X328,2)</f>
        <v/>
      </c>
      <c r="AB328" s="6">
        <f>AND(AB327,L328&gt;0)</f>
        <v/>
      </c>
      <c r="AC328" s="21">
        <f>IF(PMI_Costs!$B$8=0,0,ROUND(PMI_Costs!$B$8*(1+PMI_Costs!$B$9/100)^INT((A328-1)/12)/12,2))</f>
        <v/>
      </c>
      <c r="AD328" s="21">
        <f>IF(PMI_Costs!$B$10=0,0,ROUND(PMI_Costs!$B$10*(1+PMI_Costs!$B$11/100)^INT((A328-1)/12)/12,2))</f>
        <v/>
      </c>
      <c r="AE328" s="21">
        <f>IF(PMI_Costs!$B$12=0,0,ROUND(PMI_Costs!$B$12*(1+PMI_Costs!$B$13/100)^INT((A328-1)/12)/12,2))</f>
        <v/>
      </c>
      <c r="AF328" s="22">
        <f>IF(PMI_Costs!$B$5=0,0,AA328/PMI_Costs!$B$5)</f>
        <v/>
      </c>
      <c r="AG328" s="6">
        <f>AND(PMI_Costs!$B$4&gt;0,AF328&gt;PMI_Costs!$B$6/100)</f>
        <v/>
      </c>
      <c r="AH328" s="21">
        <f>IF(AG328,ROUND(Segments!$G$5*PMI_Costs!$B$4/100/12,2),0)</f>
        <v/>
      </c>
      <c r="AI328" s="6">
        <f>AND(NOT(AG328),AG327)</f>
        <v/>
      </c>
    </row>
    <row r="329">
      <c r="A329" s="18" t="n">
        <v>325</v>
      </c>
      <c r="B329" s="18">
        <f>SUMPRODUCT((Segments!$J$5:$J$12&lt;&gt;"")*(Segments!$J$5:$J$12&lt;=A329))</f>
        <v/>
      </c>
      <c r="C329" s="19">
        <f>INDEX(Segments!$B$5:$B$12,B329)</f>
        <v/>
      </c>
      <c r="D329" s="18">
        <f>INDEX(Segments!$J$5:$J$12,B329)</f>
        <v/>
      </c>
      <c r="E329" s="19">
        <f>DATE(YEAR(C329)+INT((MONTH(C329)-1+(A329-D329))/12),MOD(MONTH(C329)-1+(A329-D329),12)+1,1)+(DAY(C329)-1)</f>
        <v/>
      </c>
      <c r="F329" s="20">
        <f>INDEX(Segments!$C$5:$C$12,B329)/100/12</f>
        <v/>
      </c>
      <c r="G329" s="21">
        <f>INDEX(Segments!$L$5:$L$12,B329)</f>
        <v/>
      </c>
      <c r="H329" s="6">
        <f>INDEX(Segments!$I$5:$I$12,B329)="Y"</f>
        <v/>
      </c>
      <c r="I329" s="6">
        <f>INDEX(Segments!$F$5:$F$12,B329)=""</f>
        <v/>
      </c>
      <c r="J329" s="18">
        <f>INDEX(Segments!$K$5:$K$12,B329)</f>
        <v/>
      </c>
      <c r="K329" s="18">
        <f>IF(INDEX(Segments!$F$5:$F$12,B329)&lt;&gt;"",INDEX(Segments!$F$5:$F$12,B329),IF(INDEX(Segments!$E$5:$E$12,B329)&lt;&gt;"",INDEX(Segments!$E$5:$E$12,B329),""))</f>
        <v/>
      </c>
      <c r="L329" s="21">
        <f>AA328</f>
        <v/>
      </c>
      <c r="M329" s="21">
        <f>IFERROR(INDEX(Overrides!$C:$C,MATCH(A329,Overrides!$A:$A,0)),"")</f>
        <v/>
      </c>
      <c r="N329" s="21">
        <f>IFERROR(INDEX(Overrides!$E:$E,MATCH(A329,Overrides!$A:$A,0)),"")</f>
        <v/>
      </c>
      <c r="O329" s="21">
        <f>IFERROR(INDEX(Overrides!$D:$D,MATCH(A329,Overrides!$A:$A,0)),"")</f>
        <v/>
      </c>
      <c r="P329" s="21">
        <f>IFERROR(INDEX(Overrides!$B:$B,MATCH(A329,Overrides!$A:$A,0)),"")</f>
        <v/>
      </c>
      <c r="Q329" s="6">
        <f>IFERROR(INDEX(Overrides!$F:$F,MATCH(A329,Overrides!$A:$A,0)),"")</f>
        <v/>
      </c>
      <c r="R329" s="6">
        <f>ISNUMBER(MATCH(A329,Overrides!$A:$A,0))</f>
        <v/>
      </c>
      <c r="S329" s="6">
        <f>OR(ROUND(L329-ROUND(G329-T329,2),2)&lt;=0,AND(I329,K329&lt;&gt;"",(A329-D329+1)=K329))</f>
        <v/>
      </c>
      <c r="T329" s="21">
        <f>IF(M329&lt;&gt;"",M329,ROUND(L329*F329,2))</f>
        <v/>
      </c>
      <c r="U329" s="21">
        <f>IF(R329,IF(O329&lt;&gt;"",O329,IF(N329&lt;&gt;"",ROUND(L329-N329,2),ROUND((IF(P329&lt;&gt;"",P329,G329))-T329,2))),IF(H329,0,IF(S329,L329,ROUND(G329-T329,2))))</f>
        <v/>
      </c>
      <c r="V329" s="21">
        <f>IF(R329,IF(P329&lt;&gt;"",P329,ROUND(T329+U329,2)),IF(H329,T329,IF(S329,ROUND(T329+U329,2),G329)))</f>
        <v/>
      </c>
      <c r="W329" s="21">
        <f>IF(R329,IF(N329&lt;&gt;"",N329,ROUND(L329-U329,2)),IF(H329,L329,IF(S329,0,ROUND(L329-U329,2))))</f>
        <v/>
      </c>
      <c r="X329" s="21">
        <f>IFERROR(MIN(INDEX(LumpSums!$B:$B,MATCH(A329,LumpSums!$A:$A,0)),W329),0)</f>
        <v/>
      </c>
      <c r="Y329" s="21">
        <f>ROUND(U329+X329,2)</f>
        <v/>
      </c>
      <c r="Z329" s="21">
        <f>ROUND(V329+X329,2)</f>
        <v/>
      </c>
      <c r="AA329" s="21">
        <f>ROUND(W329-X329,2)</f>
        <v/>
      </c>
      <c r="AB329" s="6">
        <f>AND(AB328,L329&gt;0)</f>
        <v/>
      </c>
      <c r="AC329" s="21">
        <f>IF(PMI_Costs!$B$8=0,0,ROUND(PMI_Costs!$B$8*(1+PMI_Costs!$B$9/100)^INT((A329-1)/12)/12,2))</f>
        <v/>
      </c>
      <c r="AD329" s="21">
        <f>IF(PMI_Costs!$B$10=0,0,ROUND(PMI_Costs!$B$10*(1+PMI_Costs!$B$11/100)^INT((A329-1)/12)/12,2))</f>
        <v/>
      </c>
      <c r="AE329" s="21">
        <f>IF(PMI_Costs!$B$12=0,0,ROUND(PMI_Costs!$B$12*(1+PMI_Costs!$B$13/100)^INT((A329-1)/12)/12,2))</f>
        <v/>
      </c>
      <c r="AF329" s="22">
        <f>IF(PMI_Costs!$B$5=0,0,AA329/PMI_Costs!$B$5)</f>
        <v/>
      </c>
      <c r="AG329" s="6">
        <f>AND(PMI_Costs!$B$4&gt;0,AF329&gt;PMI_Costs!$B$6/100)</f>
        <v/>
      </c>
      <c r="AH329" s="21">
        <f>IF(AG329,ROUND(Segments!$G$5*PMI_Costs!$B$4/100/12,2),0)</f>
        <v/>
      </c>
      <c r="AI329" s="6">
        <f>AND(NOT(AG329),AG328)</f>
        <v/>
      </c>
    </row>
    <row r="330">
      <c r="A330" s="18" t="n">
        <v>326</v>
      </c>
      <c r="B330" s="18">
        <f>SUMPRODUCT((Segments!$J$5:$J$12&lt;&gt;"")*(Segments!$J$5:$J$12&lt;=A330))</f>
        <v/>
      </c>
      <c r="C330" s="19">
        <f>INDEX(Segments!$B$5:$B$12,B330)</f>
        <v/>
      </c>
      <c r="D330" s="18">
        <f>INDEX(Segments!$J$5:$J$12,B330)</f>
        <v/>
      </c>
      <c r="E330" s="19">
        <f>DATE(YEAR(C330)+INT((MONTH(C330)-1+(A330-D330))/12),MOD(MONTH(C330)-1+(A330-D330),12)+1,1)+(DAY(C330)-1)</f>
        <v/>
      </c>
      <c r="F330" s="20">
        <f>INDEX(Segments!$C$5:$C$12,B330)/100/12</f>
        <v/>
      </c>
      <c r="G330" s="21">
        <f>INDEX(Segments!$L$5:$L$12,B330)</f>
        <v/>
      </c>
      <c r="H330" s="6">
        <f>INDEX(Segments!$I$5:$I$12,B330)="Y"</f>
        <v/>
      </c>
      <c r="I330" s="6">
        <f>INDEX(Segments!$F$5:$F$12,B330)=""</f>
        <v/>
      </c>
      <c r="J330" s="18">
        <f>INDEX(Segments!$K$5:$K$12,B330)</f>
        <v/>
      </c>
      <c r="K330" s="18">
        <f>IF(INDEX(Segments!$F$5:$F$12,B330)&lt;&gt;"",INDEX(Segments!$F$5:$F$12,B330),IF(INDEX(Segments!$E$5:$E$12,B330)&lt;&gt;"",INDEX(Segments!$E$5:$E$12,B330),""))</f>
        <v/>
      </c>
      <c r="L330" s="21">
        <f>AA329</f>
        <v/>
      </c>
      <c r="M330" s="21">
        <f>IFERROR(INDEX(Overrides!$C:$C,MATCH(A330,Overrides!$A:$A,0)),"")</f>
        <v/>
      </c>
      <c r="N330" s="21">
        <f>IFERROR(INDEX(Overrides!$E:$E,MATCH(A330,Overrides!$A:$A,0)),"")</f>
        <v/>
      </c>
      <c r="O330" s="21">
        <f>IFERROR(INDEX(Overrides!$D:$D,MATCH(A330,Overrides!$A:$A,0)),"")</f>
        <v/>
      </c>
      <c r="P330" s="21">
        <f>IFERROR(INDEX(Overrides!$B:$B,MATCH(A330,Overrides!$A:$A,0)),"")</f>
        <v/>
      </c>
      <c r="Q330" s="6">
        <f>IFERROR(INDEX(Overrides!$F:$F,MATCH(A330,Overrides!$A:$A,0)),"")</f>
        <v/>
      </c>
      <c r="R330" s="6">
        <f>ISNUMBER(MATCH(A330,Overrides!$A:$A,0))</f>
        <v/>
      </c>
      <c r="S330" s="6">
        <f>OR(ROUND(L330-ROUND(G330-T330,2),2)&lt;=0,AND(I330,K330&lt;&gt;"",(A330-D330+1)=K330))</f>
        <v/>
      </c>
      <c r="T330" s="21">
        <f>IF(M330&lt;&gt;"",M330,ROUND(L330*F330,2))</f>
        <v/>
      </c>
      <c r="U330" s="21">
        <f>IF(R330,IF(O330&lt;&gt;"",O330,IF(N330&lt;&gt;"",ROUND(L330-N330,2),ROUND((IF(P330&lt;&gt;"",P330,G330))-T330,2))),IF(H330,0,IF(S330,L330,ROUND(G330-T330,2))))</f>
        <v/>
      </c>
      <c r="V330" s="21">
        <f>IF(R330,IF(P330&lt;&gt;"",P330,ROUND(T330+U330,2)),IF(H330,T330,IF(S330,ROUND(T330+U330,2),G330)))</f>
        <v/>
      </c>
      <c r="W330" s="21">
        <f>IF(R330,IF(N330&lt;&gt;"",N330,ROUND(L330-U330,2)),IF(H330,L330,IF(S330,0,ROUND(L330-U330,2))))</f>
        <v/>
      </c>
      <c r="X330" s="21">
        <f>IFERROR(MIN(INDEX(LumpSums!$B:$B,MATCH(A330,LumpSums!$A:$A,0)),W330),0)</f>
        <v/>
      </c>
      <c r="Y330" s="21">
        <f>ROUND(U330+X330,2)</f>
        <v/>
      </c>
      <c r="Z330" s="21">
        <f>ROUND(V330+X330,2)</f>
        <v/>
      </c>
      <c r="AA330" s="21">
        <f>ROUND(W330-X330,2)</f>
        <v/>
      </c>
      <c r="AB330" s="6">
        <f>AND(AB329,L330&gt;0)</f>
        <v/>
      </c>
      <c r="AC330" s="21">
        <f>IF(PMI_Costs!$B$8=0,0,ROUND(PMI_Costs!$B$8*(1+PMI_Costs!$B$9/100)^INT((A330-1)/12)/12,2))</f>
        <v/>
      </c>
      <c r="AD330" s="21">
        <f>IF(PMI_Costs!$B$10=0,0,ROUND(PMI_Costs!$B$10*(1+PMI_Costs!$B$11/100)^INT((A330-1)/12)/12,2))</f>
        <v/>
      </c>
      <c r="AE330" s="21">
        <f>IF(PMI_Costs!$B$12=0,0,ROUND(PMI_Costs!$B$12*(1+PMI_Costs!$B$13/100)^INT((A330-1)/12)/12,2))</f>
        <v/>
      </c>
      <c r="AF330" s="22">
        <f>IF(PMI_Costs!$B$5=0,0,AA330/PMI_Costs!$B$5)</f>
        <v/>
      </c>
      <c r="AG330" s="6">
        <f>AND(PMI_Costs!$B$4&gt;0,AF330&gt;PMI_Costs!$B$6/100)</f>
        <v/>
      </c>
      <c r="AH330" s="21">
        <f>IF(AG330,ROUND(Segments!$G$5*PMI_Costs!$B$4/100/12,2),0)</f>
        <v/>
      </c>
      <c r="AI330" s="6">
        <f>AND(NOT(AG330),AG329)</f>
        <v/>
      </c>
    </row>
    <row r="331">
      <c r="A331" s="18" t="n">
        <v>327</v>
      </c>
      <c r="B331" s="18">
        <f>SUMPRODUCT((Segments!$J$5:$J$12&lt;&gt;"")*(Segments!$J$5:$J$12&lt;=A331))</f>
        <v/>
      </c>
      <c r="C331" s="19">
        <f>INDEX(Segments!$B$5:$B$12,B331)</f>
        <v/>
      </c>
      <c r="D331" s="18">
        <f>INDEX(Segments!$J$5:$J$12,B331)</f>
        <v/>
      </c>
      <c r="E331" s="19">
        <f>DATE(YEAR(C331)+INT((MONTH(C331)-1+(A331-D331))/12),MOD(MONTH(C331)-1+(A331-D331),12)+1,1)+(DAY(C331)-1)</f>
        <v/>
      </c>
      <c r="F331" s="20">
        <f>INDEX(Segments!$C$5:$C$12,B331)/100/12</f>
        <v/>
      </c>
      <c r="G331" s="21">
        <f>INDEX(Segments!$L$5:$L$12,B331)</f>
        <v/>
      </c>
      <c r="H331" s="6">
        <f>INDEX(Segments!$I$5:$I$12,B331)="Y"</f>
        <v/>
      </c>
      <c r="I331" s="6">
        <f>INDEX(Segments!$F$5:$F$12,B331)=""</f>
        <v/>
      </c>
      <c r="J331" s="18">
        <f>INDEX(Segments!$K$5:$K$12,B331)</f>
        <v/>
      </c>
      <c r="K331" s="18">
        <f>IF(INDEX(Segments!$F$5:$F$12,B331)&lt;&gt;"",INDEX(Segments!$F$5:$F$12,B331),IF(INDEX(Segments!$E$5:$E$12,B331)&lt;&gt;"",INDEX(Segments!$E$5:$E$12,B331),""))</f>
        <v/>
      </c>
      <c r="L331" s="21">
        <f>AA330</f>
        <v/>
      </c>
      <c r="M331" s="21">
        <f>IFERROR(INDEX(Overrides!$C:$C,MATCH(A331,Overrides!$A:$A,0)),"")</f>
        <v/>
      </c>
      <c r="N331" s="21">
        <f>IFERROR(INDEX(Overrides!$E:$E,MATCH(A331,Overrides!$A:$A,0)),"")</f>
        <v/>
      </c>
      <c r="O331" s="21">
        <f>IFERROR(INDEX(Overrides!$D:$D,MATCH(A331,Overrides!$A:$A,0)),"")</f>
        <v/>
      </c>
      <c r="P331" s="21">
        <f>IFERROR(INDEX(Overrides!$B:$B,MATCH(A331,Overrides!$A:$A,0)),"")</f>
        <v/>
      </c>
      <c r="Q331" s="6">
        <f>IFERROR(INDEX(Overrides!$F:$F,MATCH(A331,Overrides!$A:$A,0)),"")</f>
        <v/>
      </c>
      <c r="R331" s="6">
        <f>ISNUMBER(MATCH(A331,Overrides!$A:$A,0))</f>
        <v/>
      </c>
      <c r="S331" s="6">
        <f>OR(ROUND(L331-ROUND(G331-T331,2),2)&lt;=0,AND(I331,K331&lt;&gt;"",(A331-D331+1)=K331))</f>
        <v/>
      </c>
      <c r="T331" s="21">
        <f>IF(M331&lt;&gt;"",M331,ROUND(L331*F331,2))</f>
        <v/>
      </c>
      <c r="U331" s="21">
        <f>IF(R331,IF(O331&lt;&gt;"",O331,IF(N331&lt;&gt;"",ROUND(L331-N331,2),ROUND((IF(P331&lt;&gt;"",P331,G331))-T331,2))),IF(H331,0,IF(S331,L331,ROUND(G331-T331,2))))</f>
        <v/>
      </c>
      <c r="V331" s="21">
        <f>IF(R331,IF(P331&lt;&gt;"",P331,ROUND(T331+U331,2)),IF(H331,T331,IF(S331,ROUND(T331+U331,2),G331)))</f>
        <v/>
      </c>
      <c r="W331" s="21">
        <f>IF(R331,IF(N331&lt;&gt;"",N331,ROUND(L331-U331,2)),IF(H331,L331,IF(S331,0,ROUND(L331-U331,2))))</f>
        <v/>
      </c>
      <c r="X331" s="21">
        <f>IFERROR(MIN(INDEX(LumpSums!$B:$B,MATCH(A331,LumpSums!$A:$A,0)),W331),0)</f>
        <v/>
      </c>
      <c r="Y331" s="21">
        <f>ROUND(U331+X331,2)</f>
        <v/>
      </c>
      <c r="Z331" s="21">
        <f>ROUND(V331+X331,2)</f>
        <v/>
      </c>
      <c r="AA331" s="21">
        <f>ROUND(W331-X331,2)</f>
        <v/>
      </c>
      <c r="AB331" s="6">
        <f>AND(AB330,L331&gt;0)</f>
        <v/>
      </c>
      <c r="AC331" s="21">
        <f>IF(PMI_Costs!$B$8=0,0,ROUND(PMI_Costs!$B$8*(1+PMI_Costs!$B$9/100)^INT((A331-1)/12)/12,2))</f>
        <v/>
      </c>
      <c r="AD331" s="21">
        <f>IF(PMI_Costs!$B$10=0,0,ROUND(PMI_Costs!$B$10*(1+PMI_Costs!$B$11/100)^INT((A331-1)/12)/12,2))</f>
        <v/>
      </c>
      <c r="AE331" s="21">
        <f>IF(PMI_Costs!$B$12=0,0,ROUND(PMI_Costs!$B$12*(1+PMI_Costs!$B$13/100)^INT((A331-1)/12)/12,2))</f>
        <v/>
      </c>
      <c r="AF331" s="22">
        <f>IF(PMI_Costs!$B$5=0,0,AA331/PMI_Costs!$B$5)</f>
        <v/>
      </c>
      <c r="AG331" s="6">
        <f>AND(PMI_Costs!$B$4&gt;0,AF331&gt;PMI_Costs!$B$6/100)</f>
        <v/>
      </c>
      <c r="AH331" s="21">
        <f>IF(AG331,ROUND(Segments!$G$5*PMI_Costs!$B$4/100/12,2),0)</f>
        <v/>
      </c>
      <c r="AI331" s="6">
        <f>AND(NOT(AG331),AG330)</f>
        <v/>
      </c>
    </row>
    <row r="332">
      <c r="A332" s="18" t="n">
        <v>328</v>
      </c>
      <c r="B332" s="18">
        <f>SUMPRODUCT((Segments!$J$5:$J$12&lt;&gt;"")*(Segments!$J$5:$J$12&lt;=A332))</f>
        <v/>
      </c>
      <c r="C332" s="19">
        <f>INDEX(Segments!$B$5:$B$12,B332)</f>
        <v/>
      </c>
      <c r="D332" s="18">
        <f>INDEX(Segments!$J$5:$J$12,B332)</f>
        <v/>
      </c>
      <c r="E332" s="19">
        <f>DATE(YEAR(C332)+INT((MONTH(C332)-1+(A332-D332))/12),MOD(MONTH(C332)-1+(A332-D332),12)+1,1)+(DAY(C332)-1)</f>
        <v/>
      </c>
      <c r="F332" s="20">
        <f>INDEX(Segments!$C$5:$C$12,B332)/100/12</f>
        <v/>
      </c>
      <c r="G332" s="21">
        <f>INDEX(Segments!$L$5:$L$12,B332)</f>
        <v/>
      </c>
      <c r="H332" s="6">
        <f>INDEX(Segments!$I$5:$I$12,B332)="Y"</f>
        <v/>
      </c>
      <c r="I332" s="6">
        <f>INDEX(Segments!$F$5:$F$12,B332)=""</f>
        <v/>
      </c>
      <c r="J332" s="18">
        <f>INDEX(Segments!$K$5:$K$12,B332)</f>
        <v/>
      </c>
      <c r="K332" s="18">
        <f>IF(INDEX(Segments!$F$5:$F$12,B332)&lt;&gt;"",INDEX(Segments!$F$5:$F$12,B332),IF(INDEX(Segments!$E$5:$E$12,B332)&lt;&gt;"",INDEX(Segments!$E$5:$E$12,B332),""))</f>
        <v/>
      </c>
      <c r="L332" s="21">
        <f>AA331</f>
        <v/>
      </c>
      <c r="M332" s="21">
        <f>IFERROR(INDEX(Overrides!$C:$C,MATCH(A332,Overrides!$A:$A,0)),"")</f>
        <v/>
      </c>
      <c r="N332" s="21">
        <f>IFERROR(INDEX(Overrides!$E:$E,MATCH(A332,Overrides!$A:$A,0)),"")</f>
        <v/>
      </c>
      <c r="O332" s="21">
        <f>IFERROR(INDEX(Overrides!$D:$D,MATCH(A332,Overrides!$A:$A,0)),"")</f>
        <v/>
      </c>
      <c r="P332" s="21">
        <f>IFERROR(INDEX(Overrides!$B:$B,MATCH(A332,Overrides!$A:$A,0)),"")</f>
        <v/>
      </c>
      <c r="Q332" s="6">
        <f>IFERROR(INDEX(Overrides!$F:$F,MATCH(A332,Overrides!$A:$A,0)),"")</f>
        <v/>
      </c>
      <c r="R332" s="6">
        <f>ISNUMBER(MATCH(A332,Overrides!$A:$A,0))</f>
        <v/>
      </c>
      <c r="S332" s="6">
        <f>OR(ROUND(L332-ROUND(G332-T332,2),2)&lt;=0,AND(I332,K332&lt;&gt;"",(A332-D332+1)=K332))</f>
        <v/>
      </c>
      <c r="T332" s="21">
        <f>IF(M332&lt;&gt;"",M332,ROUND(L332*F332,2))</f>
        <v/>
      </c>
      <c r="U332" s="21">
        <f>IF(R332,IF(O332&lt;&gt;"",O332,IF(N332&lt;&gt;"",ROUND(L332-N332,2),ROUND((IF(P332&lt;&gt;"",P332,G332))-T332,2))),IF(H332,0,IF(S332,L332,ROUND(G332-T332,2))))</f>
        <v/>
      </c>
      <c r="V332" s="21">
        <f>IF(R332,IF(P332&lt;&gt;"",P332,ROUND(T332+U332,2)),IF(H332,T332,IF(S332,ROUND(T332+U332,2),G332)))</f>
        <v/>
      </c>
      <c r="W332" s="21">
        <f>IF(R332,IF(N332&lt;&gt;"",N332,ROUND(L332-U332,2)),IF(H332,L332,IF(S332,0,ROUND(L332-U332,2))))</f>
        <v/>
      </c>
      <c r="X332" s="21">
        <f>IFERROR(MIN(INDEX(LumpSums!$B:$B,MATCH(A332,LumpSums!$A:$A,0)),W332),0)</f>
        <v/>
      </c>
      <c r="Y332" s="21">
        <f>ROUND(U332+X332,2)</f>
        <v/>
      </c>
      <c r="Z332" s="21">
        <f>ROUND(V332+X332,2)</f>
        <v/>
      </c>
      <c r="AA332" s="21">
        <f>ROUND(W332-X332,2)</f>
        <v/>
      </c>
      <c r="AB332" s="6">
        <f>AND(AB331,L332&gt;0)</f>
        <v/>
      </c>
      <c r="AC332" s="21">
        <f>IF(PMI_Costs!$B$8=0,0,ROUND(PMI_Costs!$B$8*(1+PMI_Costs!$B$9/100)^INT((A332-1)/12)/12,2))</f>
        <v/>
      </c>
      <c r="AD332" s="21">
        <f>IF(PMI_Costs!$B$10=0,0,ROUND(PMI_Costs!$B$10*(1+PMI_Costs!$B$11/100)^INT((A332-1)/12)/12,2))</f>
        <v/>
      </c>
      <c r="AE332" s="21">
        <f>IF(PMI_Costs!$B$12=0,0,ROUND(PMI_Costs!$B$12*(1+PMI_Costs!$B$13/100)^INT((A332-1)/12)/12,2))</f>
        <v/>
      </c>
      <c r="AF332" s="22">
        <f>IF(PMI_Costs!$B$5=0,0,AA332/PMI_Costs!$B$5)</f>
        <v/>
      </c>
      <c r="AG332" s="6">
        <f>AND(PMI_Costs!$B$4&gt;0,AF332&gt;PMI_Costs!$B$6/100)</f>
        <v/>
      </c>
      <c r="AH332" s="21">
        <f>IF(AG332,ROUND(Segments!$G$5*PMI_Costs!$B$4/100/12,2),0)</f>
        <v/>
      </c>
      <c r="AI332" s="6">
        <f>AND(NOT(AG332),AG331)</f>
        <v/>
      </c>
    </row>
    <row r="333">
      <c r="A333" s="18" t="n">
        <v>329</v>
      </c>
      <c r="B333" s="18">
        <f>SUMPRODUCT((Segments!$J$5:$J$12&lt;&gt;"")*(Segments!$J$5:$J$12&lt;=A333))</f>
        <v/>
      </c>
      <c r="C333" s="19">
        <f>INDEX(Segments!$B$5:$B$12,B333)</f>
        <v/>
      </c>
      <c r="D333" s="18">
        <f>INDEX(Segments!$J$5:$J$12,B333)</f>
        <v/>
      </c>
      <c r="E333" s="19">
        <f>DATE(YEAR(C333)+INT((MONTH(C333)-1+(A333-D333))/12),MOD(MONTH(C333)-1+(A333-D333),12)+1,1)+(DAY(C333)-1)</f>
        <v/>
      </c>
      <c r="F333" s="20">
        <f>INDEX(Segments!$C$5:$C$12,B333)/100/12</f>
        <v/>
      </c>
      <c r="G333" s="21">
        <f>INDEX(Segments!$L$5:$L$12,B333)</f>
        <v/>
      </c>
      <c r="H333" s="6">
        <f>INDEX(Segments!$I$5:$I$12,B333)="Y"</f>
        <v/>
      </c>
      <c r="I333" s="6">
        <f>INDEX(Segments!$F$5:$F$12,B333)=""</f>
        <v/>
      </c>
      <c r="J333" s="18">
        <f>INDEX(Segments!$K$5:$K$12,B333)</f>
        <v/>
      </c>
      <c r="K333" s="18">
        <f>IF(INDEX(Segments!$F$5:$F$12,B333)&lt;&gt;"",INDEX(Segments!$F$5:$F$12,B333),IF(INDEX(Segments!$E$5:$E$12,B333)&lt;&gt;"",INDEX(Segments!$E$5:$E$12,B333),""))</f>
        <v/>
      </c>
      <c r="L333" s="21">
        <f>AA332</f>
        <v/>
      </c>
      <c r="M333" s="21">
        <f>IFERROR(INDEX(Overrides!$C:$C,MATCH(A333,Overrides!$A:$A,0)),"")</f>
        <v/>
      </c>
      <c r="N333" s="21">
        <f>IFERROR(INDEX(Overrides!$E:$E,MATCH(A333,Overrides!$A:$A,0)),"")</f>
        <v/>
      </c>
      <c r="O333" s="21">
        <f>IFERROR(INDEX(Overrides!$D:$D,MATCH(A333,Overrides!$A:$A,0)),"")</f>
        <v/>
      </c>
      <c r="P333" s="21">
        <f>IFERROR(INDEX(Overrides!$B:$B,MATCH(A333,Overrides!$A:$A,0)),"")</f>
        <v/>
      </c>
      <c r="Q333" s="6">
        <f>IFERROR(INDEX(Overrides!$F:$F,MATCH(A333,Overrides!$A:$A,0)),"")</f>
        <v/>
      </c>
      <c r="R333" s="6">
        <f>ISNUMBER(MATCH(A333,Overrides!$A:$A,0))</f>
        <v/>
      </c>
      <c r="S333" s="6">
        <f>OR(ROUND(L333-ROUND(G333-T333,2),2)&lt;=0,AND(I333,K333&lt;&gt;"",(A333-D333+1)=K333))</f>
        <v/>
      </c>
      <c r="T333" s="21">
        <f>IF(M333&lt;&gt;"",M333,ROUND(L333*F333,2))</f>
        <v/>
      </c>
      <c r="U333" s="21">
        <f>IF(R333,IF(O333&lt;&gt;"",O333,IF(N333&lt;&gt;"",ROUND(L333-N333,2),ROUND((IF(P333&lt;&gt;"",P333,G333))-T333,2))),IF(H333,0,IF(S333,L333,ROUND(G333-T333,2))))</f>
        <v/>
      </c>
      <c r="V333" s="21">
        <f>IF(R333,IF(P333&lt;&gt;"",P333,ROUND(T333+U333,2)),IF(H333,T333,IF(S333,ROUND(T333+U333,2),G333)))</f>
        <v/>
      </c>
      <c r="W333" s="21">
        <f>IF(R333,IF(N333&lt;&gt;"",N333,ROUND(L333-U333,2)),IF(H333,L333,IF(S333,0,ROUND(L333-U333,2))))</f>
        <v/>
      </c>
      <c r="X333" s="21">
        <f>IFERROR(MIN(INDEX(LumpSums!$B:$B,MATCH(A333,LumpSums!$A:$A,0)),W333),0)</f>
        <v/>
      </c>
      <c r="Y333" s="21">
        <f>ROUND(U333+X333,2)</f>
        <v/>
      </c>
      <c r="Z333" s="21">
        <f>ROUND(V333+X333,2)</f>
        <v/>
      </c>
      <c r="AA333" s="21">
        <f>ROUND(W333-X333,2)</f>
        <v/>
      </c>
      <c r="AB333" s="6">
        <f>AND(AB332,L333&gt;0)</f>
        <v/>
      </c>
      <c r="AC333" s="21">
        <f>IF(PMI_Costs!$B$8=0,0,ROUND(PMI_Costs!$B$8*(1+PMI_Costs!$B$9/100)^INT((A333-1)/12)/12,2))</f>
        <v/>
      </c>
      <c r="AD333" s="21">
        <f>IF(PMI_Costs!$B$10=0,0,ROUND(PMI_Costs!$B$10*(1+PMI_Costs!$B$11/100)^INT((A333-1)/12)/12,2))</f>
        <v/>
      </c>
      <c r="AE333" s="21">
        <f>IF(PMI_Costs!$B$12=0,0,ROUND(PMI_Costs!$B$12*(1+PMI_Costs!$B$13/100)^INT((A333-1)/12)/12,2))</f>
        <v/>
      </c>
      <c r="AF333" s="22">
        <f>IF(PMI_Costs!$B$5=0,0,AA333/PMI_Costs!$B$5)</f>
        <v/>
      </c>
      <c r="AG333" s="6">
        <f>AND(PMI_Costs!$B$4&gt;0,AF333&gt;PMI_Costs!$B$6/100)</f>
        <v/>
      </c>
      <c r="AH333" s="21">
        <f>IF(AG333,ROUND(Segments!$G$5*PMI_Costs!$B$4/100/12,2),0)</f>
        <v/>
      </c>
      <c r="AI333" s="6">
        <f>AND(NOT(AG333),AG332)</f>
        <v/>
      </c>
    </row>
    <row r="334">
      <c r="A334" s="18" t="n">
        <v>330</v>
      </c>
      <c r="B334" s="18">
        <f>SUMPRODUCT((Segments!$J$5:$J$12&lt;&gt;"")*(Segments!$J$5:$J$12&lt;=A334))</f>
        <v/>
      </c>
      <c r="C334" s="19">
        <f>INDEX(Segments!$B$5:$B$12,B334)</f>
        <v/>
      </c>
      <c r="D334" s="18">
        <f>INDEX(Segments!$J$5:$J$12,B334)</f>
        <v/>
      </c>
      <c r="E334" s="19">
        <f>DATE(YEAR(C334)+INT((MONTH(C334)-1+(A334-D334))/12),MOD(MONTH(C334)-1+(A334-D334),12)+1,1)+(DAY(C334)-1)</f>
        <v/>
      </c>
      <c r="F334" s="20">
        <f>INDEX(Segments!$C$5:$C$12,B334)/100/12</f>
        <v/>
      </c>
      <c r="G334" s="21">
        <f>INDEX(Segments!$L$5:$L$12,B334)</f>
        <v/>
      </c>
      <c r="H334" s="6">
        <f>INDEX(Segments!$I$5:$I$12,B334)="Y"</f>
        <v/>
      </c>
      <c r="I334" s="6">
        <f>INDEX(Segments!$F$5:$F$12,B334)=""</f>
        <v/>
      </c>
      <c r="J334" s="18">
        <f>INDEX(Segments!$K$5:$K$12,B334)</f>
        <v/>
      </c>
      <c r="K334" s="18">
        <f>IF(INDEX(Segments!$F$5:$F$12,B334)&lt;&gt;"",INDEX(Segments!$F$5:$F$12,B334),IF(INDEX(Segments!$E$5:$E$12,B334)&lt;&gt;"",INDEX(Segments!$E$5:$E$12,B334),""))</f>
        <v/>
      </c>
      <c r="L334" s="21">
        <f>AA333</f>
        <v/>
      </c>
      <c r="M334" s="21">
        <f>IFERROR(INDEX(Overrides!$C:$C,MATCH(A334,Overrides!$A:$A,0)),"")</f>
        <v/>
      </c>
      <c r="N334" s="21">
        <f>IFERROR(INDEX(Overrides!$E:$E,MATCH(A334,Overrides!$A:$A,0)),"")</f>
        <v/>
      </c>
      <c r="O334" s="21">
        <f>IFERROR(INDEX(Overrides!$D:$D,MATCH(A334,Overrides!$A:$A,0)),"")</f>
        <v/>
      </c>
      <c r="P334" s="21">
        <f>IFERROR(INDEX(Overrides!$B:$B,MATCH(A334,Overrides!$A:$A,0)),"")</f>
        <v/>
      </c>
      <c r="Q334" s="6">
        <f>IFERROR(INDEX(Overrides!$F:$F,MATCH(A334,Overrides!$A:$A,0)),"")</f>
        <v/>
      </c>
      <c r="R334" s="6">
        <f>ISNUMBER(MATCH(A334,Overrides!$A:$A,0))</f>
        <v/>
      </c>
      <c r="S334" s="6">
        <f>OR(ROUND(L334-ROUND(G334-T334,2),2)&lt;=0,AND(I334,K334&lt;&gt;"",(A334-D334+1)=K334))</f>
        <v/>
      </c>
      <c r="T334" s="21">
        <f>IF(M334&lt;&gt;"",M334,ROUND(L334*F334,2))</f>
        <v/>
      </c>
      <c r="U334" s="21">
        <f>IF(R334,IF(O334&lt;&gt;"",O334,IF(N334&lt;&gt;"",ROUND(L334-N334,2),ROUND((IF(P334&lt;&gt;"",P334,G334))-T334,2))),IF(H334,0,IF(S334,L334,ROUND(G334-T334,2))))</f>
        <v/>
      </c>
      <c r="V334" s="21">
        <f>IF(R334,IF(P334&lt;&gt;"",P334,ROUND(T334+U334,2)),IF(H334,T334,IF(S334,ROUND(T334+U334,2),G334)))</f>
        <v/>
      </c>
      <c r="W334" s="21">
        <f>IF(R334,IF(N334&lt;&gt;"",N334,ROUND(L334-U334,2)),IF(H334,L334,IF(S334,0,ROUND(L334-U334,2))))</f>
        <v/>
      </c>
      <c r="X334" s="21">
        <f>IFERROR(MIN(INDEX(LumpSums!$B:$B,MATCH(A334,LumpSums!$A:$A,0)),W334),0)</f>
        <v/>
      </c>
      <c r="Y334" s="21">
        <f>ROUND(U334+X334,2)</f>
        <v/>
      </c>
      <c r="Z334" s="21">
        <f>ROUND(V334+X334,2)</f>
        <v/>
      </c>
      <c r="AA334" s="21">
        <f>ROUND(W334-X334,2)</f>
        <v/>
      </c>
      <c r="AB334" s="6">
        <f>AND(AB333,L334&gt;0)</f>
        <v/>
      </c>
      <c r="AC334" s="21">
        <f>IF(PMI_Costs!$B$8=0,0,ROUND(PMI_Costs!$B$8*(1+PMI_Costs!$B$9/100)^INT((A334-1)/12)/12,2))</f>
        <v/>
      </c>
      <c r="AD334" s="21">
        <f>IF(PMI_Costs!$B$10=0,0,ROUND(PMI_Costs!$B$10*(1+PMI_Costs!$B$11/100)^INT((A334-1)/12)/12,2))</f>
        <v/>
      </c>
      <c r="AE334" s="21">
        <f>IF(PMI_Costs!$B$12=0,0,ROUND(PMI_Costs!$B$12*(1+PMI_Costs!$B$13/100)^INT((A334-1)/12)/12,2))</f>
        <v/>
      </c>
      <c r="AF334" s="22">
        <f>IF(PMI_Costs!$B$5=0,0,AA334/PMI_Costs!$B$5)</f>
        <v/>
      </c>
      <c r="AG334" s="6">
        <f>AND(PMI_Costs!$B$4&gt;0,AF334&gt;PMI_Costs!$B$6/100)</f>
        <v/>
      </c>
      <c r="AH334" s="21">
        <f>IF(AG334,ROUND(Segments!$G$5*PMI_Costs!$B$4/100/12,2),0)</f>
        <v/>
      </c>
      <c r="AI334" s="6">
        <f>AND(NOT(AG334),AG333)</f>
        <v/>
      </c>
    </row>
    <row r="335">
      <c r="A335" s="18" t="n">
        <v>331</v>
      </c>
      <c r="B335" s="18">
        <f>SUMPRODUCT((Segments!$J$5:$J$12&lt;&gt;"")*(Segments!$J$5:$J$12&lt;=A335))</f>
        <v/>
      </c>
      <c r="C335" s="19">
        <f>INDEX(Segments!$B$5:$B$12,B335)</f>
        <v/>
      </c>
      <c r="D335" s="18">
        <f>INDEX(Segments!$J$5:$J$12,B335)</f>
        <v/>
      </c>
      <c r="E335" s="19">
        <f>DATE(YEAR(C335)+INT((MONTH(C335)-1+(A335-D335))/12),MOD(MONTH(C335)-1+(A335-D335),12)+1,1)+(DAY(C335)-1)</f>
        <v/>
      </c>
      <c r="F335" s="20">
        <f>INDEX(Segments!$C$5:$C$12,B335)/100/12</f>
        <v/>
      </c>
      <c r="G335" s="21">
        <f>INDEX(Segments!$L$5:$L$12,B335)</f>
        <v/>
      </c>
      <c r="H335" s="6">
        <f>INDEX(Segments!$I$5:$I$12,B335)="Y"</f>
        <v/>
      </c>
      <c r="I335" s="6">
        <f>INDEX(Segments!$F$5:$F$12,B335)=""</f>
        <v/>
      </c>
      <c r="J335" s="18">
        <f>INDEX(Segments!$K$5:$K$12,B335)</f>
        <v/>
      </c>
      <c r="K335" s="18">
        <f>IF(INDEX(Segments!$F$5:$F$12,B335)&lt;&gt;"",INDEX(Segments!$F$5:$F$12,B335),IF(INDEX(Segments!$E$5:$E$12,B335)&lt;&gt;"",INDEX(Segments!$E$5:$E$12,B335),""))</f>
        <v/>
      </c>
      <c r="L335" s="21">
        <f>AA334</f>
        <v/>
      </c>
      <c r="M335" s="21">
        <f>IFERROR(INDEX(Overrides!$C:$C,MATCH(A335,Overrides!$A:$A,0)),"")</f>
        <v/>
      </c>
      <c r="N335" s="21">
        <f>IFERROR(INDEX(Overrides!$E:$E,MATCH(A335,Overrides!$A:$A,0)),"")</f>
        <v/>
      </c>
      <c r="O335" s="21">
        <f>IFERROR(INDEX(Overrides!$D:$D,MATCH(A335,Overrides!$A:$A,0)),"")</f>
        <v/>
      </c>
      <c r="P335" s="21">
        <f>IFERROR(INDEX(Overrides!$B:$B,MATCH(A335,Overrides!$A:$A,0)),"")</f>
        <v/>
      </c>
      <c r="Q335" s="6">
        <f>IFERROR(INDEX(Overrides!$F:$F,MATCH(A335,Overrides!$A:$A,0)),"")</f>
        <v/>
      </c>
      <c r="R335" s="6">
        <f>ISNUMBER(MATCH(A335,Overrides!$A:$A,0))</f>
        <v/>
      </c>
      <c r="S335" s="6">
        <f>OR(ROUND(L335-ROUND(G335-T335,2),2)&lt;=0,AND(I335,K335&lt;&gt;"",(A335-D335+1)=K335))</f>
        <v/>
      </c>
      <c r="T335" s="21">
        <f>IF(M335&lt;&gt;"",M335,ROUND(L335*F335,2))</f>
        <v/>
      </c>
      <c r="U335" s="21">
        <f>IF(R335,IF(O335&lt;&gt;"",O335,IF(N335&lt;&gt;"",ROUND(L335-N335,2),ROUND((IF(P335&lt;&gt;"",P335,G335))-T335,2))),IF(H335,0,IF(S335,L335,ROUND(G335-T335,2))))</f>
        <v/>
      </c>
      <c r="V335" s="21">
        <f>IF(R335,IF(P335&lt;&gt;"",P335,ROUND(T335+U335,2)),IF(H335,T335,IF(S335,ROUND(T335+U335,2),G335)))</f>
        <v/>
      </c>
      <c r="W335" s="21">
        <f>IF(R335,IF(N335&lt;&gt;"",N335,ROUND(L335-U335,2)),IF(H335,L335,IF(S335,0,ROUND(L335-U335,2))))</f>
        <v/>
      </c>
      <c r="X335" s="21">
        <f>IFERROR(MIN(INDEX(LumpSums!$B:$B,MATCH(A335,LumpSums!$A:$A,0)),W335),0)</f>
        <v/>
      </c>
      <c r="Y335" s="21">
        <f>ROUND(U335+X335,2)</f>
        <v/>
      </c>
      <c r="Z335" s="21">
        <f>ROUND(V335+X335,2)</f>
        <v/>
      </c>
      <c r="AA335" s="21">
        <f>ROUND(W335-X335,2)</f>
        <v/>
      </c>
      <c r="AB335" s="6">
        <f>AND(AB334,L335&gt;0)</f>
        <v/>
      </c>
      <c r="AC335" s="21">
        <f>IF(PMI_Costs!$B$8=0,0,ROUND(PMI_Costs!$B$8*(1+PMI_Costs!$B$9/100)^INT((A335-1)/12)/12,2))</f>
        <v/>
      </c>
      <c r="AD335" s="21">
        <f>IF(PMI_Costs!$B$10=0,0,ROUND(PMI_Costs!$B$10*(1+PMI_Costs!$B$11/100)^INT((A335-1)/12)/12,2))</f>
        <v/>
      </c>
      <c r="AE335" s="21">
        <f>IF(PMI_Costs!$B$12=0,0,ROUND(PMI_Costs!$B$12*(1+PMI_Costs!$B$13/100)^INT((A335-1)/12)/12,2))</f>
        <v/>
      </c>
      <c r="AF335" s="22">
        <f>IF(PMI_Costs!$B$5=0,0,AA335/PMI_Costs!$B$5)</f>
        <v/>
      </c>
      <c r="AG335" s="6">
        <f>AND(PMI_Costs!$B$4&gt;0,AF335&gt;PMI_Costs!$B$6/100)</f>
        <v/>
      </c>
      <c r="AH335" s="21">
        <f>IF(AG335,ROUND(Segments!$G$5*PMI_Costs!$B$4/100/12,2),0)</f>
        <v/>
      </c>
      <c r="AI335" s="6">
        <f>AND(NOT(AG335),AG334)</f>
        <v/>
      </c>
    </row>
    <row r="336">
      <c r="A336" s="18" t="n">
        <v>332</v>
      </c>
      <c r="B336" s="18">
        <f>SUMPRODUCT((Segments!$J$5:$J$12&lt;&gt;"")*(Segments!$J$5:$J$12&lt;=A336))</f>
        <v/>
      </c>
      <c r="C336" s="19">
        <f>INDEX(Segments!$B$5:$B$12,B336)</f>
        <v/>
      </c>
      <c r="D336" s="18">
        <f>INDEX(Segments!$J$5:$J$12,B336)</f>
        <v/>
      </c>
      <c r="E336" s="19">
        <f>DATE(YEAR(C336)+INT((MONTH(C336)-1+(A336-D336))/12),MOD(MONTH(C336)-1+(A336-D336),12)+1,1)+(DAY(C336)-1)</f>
        <v/>
      </c>
      <c r="F336" s="20">
        <f>INDEX(Segments!$C$5:$C$12,B336)/100/12</f>
        <v/>
      </c>
      <c r="G336" s="21">
        <f>INDEX(Segments!$L$5:$L$12,B336)</f>
        <v/>
      </c>
      <c r="H336" s="6">
        <f>INDEX(Segments!$I$5:$I$12,B336)="Y"</f>
        <v/>
      </c>
      <c r="I336" s="6">
        <f>INDEX(Segments!$F$5:$F$12,B336)=""</f>
        <v/>
      </c>
      <c r="J336" s="18">
        <f>INDEX(Segments!$K$5:$K$12,B336)</f>
        <v/>
      </c>
      <c r="K336" s="18">
        <f>IF(INDEX(Segments!$F$5:$F$12,B336)&lt;&gt;"",INDEX(Segments!$F$5:$F$12,B336),IF(INDEX(Segments!$E$5:$E$12,B336)&lt;&gt;"",INDEX(Segments!$E$5:$E$12,B336),""))</f>
        <v/>
      </c>
      <c r="L336" s="21">
        <f>AA335</f>
        <v/>
      </c>
      <c r="M336" s="21">
        <f>IFERROR(INDEX(Overrides!$C:$C,MATCH(A336,Overrides!$A:$A,0)),"")</f>
        <v/>
      </c>
      <c r="N336" s="21">
        <f>IFERROR(INDEX(Overrides!$E:$E,MATCH(A336,Overrides!$A:$A,0)),"")</f>
        <v/>
      </c>
      <c r="O336" s="21">
        <f>IFERROR(INDEX(Overrides!$D:$D,MATCH(A336,Overrides!$A:$A,0)),"")</f>
        <v/>
      </c>
      <c r="P336" s="21">
        <f>IFERROR(INDEX(Overrides!$B:$B,MATCH(A336,Overrides!$A:$A,0)),"")</f>
        <v/>
      </c>
      <c r="Q336" s="6">
        <f>IFERROR(INDEX(Overrides!$F:$F,MATCH(A336,Overrides!$A:$A,0)),"")</f>
        <v/>
      </c>
      <c r="R336" s="6">
        <f>ISNUMBER(MATCH(A336,Overrides!$A:$A,0))</f>
        <v/>
      </c>
      <c r="S336" s="6">
        <f>OR(ROUND(L336-ROUND(G336-T336,2),2)&lt;=0,AND(I336,K336&lt;&gt;"",(A336-D336+1)=K336))</f>
        <v/>
      </c>
      <c r="T336" s="21">
        <f>IF(M336&lt;&gt;"",M336,ROUND(L336*F336,2))</f>
        <v/>
      </c>
      <c r="U336" s="21">
        <f>IF(R336,IF(O336&lt;&gt;"",O336,IF(N336&lt;&gt;"",ROUND(L336-N336,2),ROUND((IF(P336&lt;&gt;"",P336,G336))-T336,2))),IF(H336,0,IF(S336,L336,ROUND(G336-T336,2))))</f>
        <v/>
      </c>
      <c r="V336" s="21">
        <f>IF(R336,IF(P336&lt;&gt;"",P336,ROUND(T336+U336,2)),IF(H336,T336,IF(S336,ROUND(T336+U336,2),G336)))</f>
        <v/>
      </c>
      <c r="W336" s="21">
        <f>IF(R336,IF(N336&lt;&gt;"",N336,ROUND(L336-U336,2)),IF(H336,L336,IF(S336,0,ROUND(L336-U336,2))))</f>
        <v/>
      </c>
      <c r="X336" s="21">
        <f>IFERROR(MIN(INDEX(LumpSums!$B:$B,MATCH(A336,LumpSums!$A:$A,0)),W336),0)</f>
        <v/>
      </c>
      <c r="Y336" s="21">
        <f>ROUND(U336+X336,2)</f>
        <v/>
      </c>
      <c r="Z336" s="21">
        <f>ROUND(V336+X336,2)</f>
        <v/>
      </c>
      <c r="AA336" s="21">
        <f>ROUND(W336-X336,2)</f>
        <v/>
      </c>
      <c r="AB336" s="6">
        <f>AND(AB335,L336&gt;0)</f>
        <v/>
      </c>
      <c r="AC336" s="21">
        <f>IF(PMI_Costs!$B$8=0,0,ROUND(PMI_Costs!$B$8*(1+PMI_Costs!$B$9/100)^INT((A336-1)/12)/12,2))</f>
        <v/>
      </c>
      <c r="AD336" s="21">
        <f>IF(PMI_Costs!$B$10=0,0,ROUND(PMI_Costs!$B$10*(1+PMI_Costs!$B$11/100)^INT((A336-1)/12)/12,2))</f>
        <v/>
      </c>
      <c r="AE336" s="21">
        <f>IF(PMI_Costs!$B$12=0,0,ROUND(PMI_Costs!$B$12*(1+PMI_Costs!$B$13/100)^INT((A336-1)/12)/12,2))</f>
        <v/>
      </c>
      <c r="AF336" s="22">
        <f>IF(PMI_Costs!$B$5=0,0,AA336/PMI_Costs!$B$5)</f>
        <v/>
      </c>
      <c r="AG336" s="6">
        <f>AND(PMI_Costs!$B$4&gt;0,AF336&gt;PMI_Costs!$B$6/100)</f>
        <v/>
      </c>
      <c r="AH336" s="21">
        <f>IF(AG336,ROUND(Segments!$G$5*PMI_Costs!$B$4/100/12,2),0)</f>
        <v/>
      </c>
      <c r="AI336" s="6">
        <f>AND(NOT(AG336),AG335)</f>
        <v/>
      </c>
    </row>
    <row r="337">
      <c r="A337" s="18" t="n">
        <v>333</v>
      </c>
      <c r="B337" s="18">
        <f>SUMPRODUCT((Segments!$J$5:$J$12&lt;&gt;"")*(Segments!$J$5:$J$12&lt;=A337))</f>
        <v/>
      </c>
      <c r="C337" s="19">
        <f>INDEX(Segments!$B$5:$B$12,B337)</f>
        <v/>
      </c>
      <c r="D337" s="18">
        <f>INDEX(Segments!$J$5:$J$12,B337)</f>
        <v/>
      </c>
      <c r="E337" s="19">
        <f>DATE(YEAR(C337)+INT((MONTH(C337)-1+(A337-D337))/12),MOD(MONTH(C337)-1+(A337-D337),12)+1,1)+(DAY(C337)-1)</f>
        <v/>
      </c>
      <c r="F337" s="20">
        <f>INDEX(Segments!$C$5:$C$12,B337)/100/12</f>
        <v/>
      </c>
      <c r="G337" s="21">
        <f>INDEX(Segments!$L$5:$L$12,B337)</f>
        <v/>
      </c>
      <c r="H337" s="6">
        <f>INDEX(Segments!$I$5:$I$12,B337)="Y"</f>
        <v/>
      </c>
      <c r="I337" s="6">
        <f>INDEX(Segments!$F$5:$F$12,B337)=""</f>
        <v/>
      </c>
      <c r="J337" s="18">
        <f>INDEX(Segments!$K$5:$K$12,B337)</f>
        <v/>
      </c>
      <c r="K337" s="18">
        <f>IF(INDEX(Segments!$F$5:$F$12,B337)&lt;&gt;"",INDEX(Segments!$F$5:$F$12,B337),IF(INDEX(Segments!$E$5:$E$12,B337)&lt;&gt;"",INDEX(Segments!$E$5:$E$12,B337),""))</f>
        <v/>
      </c>
      <c r="L337" s="21">
        <f>AA336</f>
        <v/>
      </c>
      <c r="M337" s="21">
        <f>IFERROR(INDEX(Overrides!$C:$C,MATCH(A337,Overrides!$A:$A,0)),"")</f>
        <v/>
      </c>
      <c r="N337" s="21">
        <f>IFERROR(INDEX(Overrides!$E:$E,MATCH(A337,Overrides!$A:$A,0)),"")</f>
        <v/>
      </c>
      <c r="O337" s="21">
        <f>IFERROR(INDEX(Overrides!$D:$D,MATCH(A337,Overrides!$A:$A,0)),"")</f>
        <v/>
      </c>
      <c r="P337" s="21">
        <f>IFERROR(INDEX(Overrides!$B:$B,MATCH(A337,Overrides!$A:$A,0)),"")</f>
        <v/>
      </c>
      <c r="Q337" s="6">
        <f>IFERROR(INDEX(Overrides!$F:$F,MATCH(A337,Overrides!$A:$A,0)),"")</f>
        <v/>
      </c>
      <c r="R337" s="6">
        <f>ISNUMBER(MATCH(A337,Overrides!$A:$A,0))</f>
        <v/>
      </c>
      <c r="S337" s="6">
        <f>OR(ROUND(L337-ROUND(G337-T337,2),2)&lt;=0,AND(I337,K337&lt;&gt;"",(A337-D337+1)=K337))</f>
        <v/>
      </c>
      <c r="T337" s="21">
        <f>IF(M337&lt;&gt;"",M337,ROUND(L337*F337,2))</f>
        <v/>
      </c>
      <c r="U337" s="21">
        <f>IF(R337,IF(O337&lt;&gt;"",O337,IF(N337&lt;&gt;"",ROUND(L337-N337,2),ROUND((IF(P337&lt;&gt;"",P337,G337))-T337,2))),IF(H337,0,IF(S337,L337,ROUND(G337-T337,2))))</f>
        <v/>
      </c>
      <c r="V337" s="21">
        <f>IF(R337,IF(P337&lt;&gt;"",P337,ROUND(T337+U337,2)),IF(H337,T337,IF(S337,ROUND(T337+U337,2),G337)))</f>
        <v/>
      </c>
      <c r="W337" s="21">
        <f>IF(R337,IF(N337&lt;&gt;"",N337,ROUND(L337-U337,2)),IF(H337,L337,IF(S337,0,ROUND(L337-U337,2))))</f>
        <v/>
      </c>
      <c r="X337" s="21">
        <f>IFERROR(MIN(INDEX(LumpSums!$B:$B,MATCH(A337,LumpSums!$A:$A,0)),W337),0)</f>
        <v/>
      </c>
      <c r="Y337" s="21">
        <f>ROUND(U337+X337,2)</f>
        <v/>
      </c>
      <c r="Z337" s="21">
        <f>ROUND(V337+X337,2)</f>
        <v/>
      </c>
      <c r="AA337" s="21">
        <f>ROUND(W337-X337,2)</f>
        <v/>
      </c>
      <c r="AB337" s="6">
        <f>AND(AB336,L337&gt;0)</f>
        <v/>
      </c>
      <c r="AC337" s="21">
        <f>IF(PMI_Costs!$B$8=0,0,ROUND(PMI_Costs!$B$8*(1+PMI_Costs!$B$9/100)^INT((A337-1)/12)/12,2))</f>
        <v/>
      </c>
      <c r="AD337" s="21">
        <f>IF(PMI_Costs!$B$10=0,0,ROUND(PMI_Costs!$B$10*(1+PMI_Costs!$B$11/100)^INT((A337-1)/12)/12,2))</f>
        <v/>
      </c>
      <c r="AE337" s="21">
        <f>IF(PMI_Costs!$B$12=0,0,ROUND(PMI_Costs!$B$12*(1+PMI_Costs!$B$13/100)^INT((A337-1)/12)/12,2))</f>
        <v/>
      </c>
      <c r="AF337" s="22">
        <f>IF(PMI_Costs!$B$5=0,0,AA337/PMI_Costs!$B$5)</f>
        <v/>
      </c>
      <c r="AG337" s="6">
        <f>AND(PMI_Costs!$B$4&gt;0,AF337&gt;PMI_Costs!$B$6/100)</f>
        <v/>
      </c>
      <c r="AH337" s="21">
        <f>IF(AG337,ROUND(Segments!$G$5*PMI_Costs!$B$4/100/12,2),0)</f>
        <v/>
      </c>
      <c r="AI337" s="6">
        <f>AND(NOT(AG337),AG336)</f>
        <v/>
      </c>
    </row>
    <row r="338">
      <c r="A338" s="18" t="n">
        <v>334</v>
      </c>
      <c r="B338" s="18">
        <f>SUMPRODUCT((Segments!$J$5:$J$12&lt;&gt;"")*(Segments!$J$5:$J$12&lt;=A338))</f>
        <v/>
      </c>
      <c r="C338" s="19">
        <f>INDEX(Segments!$B$5:$B$12,B338)</f>
        <v/>
      </c>
      <c r="D338" s="18">
        <f>INDEX(Segments!$J$5:$J$12,B338)</f>
        <v/>
      </c>
      <c r="E338" s="19">
        <f>DATE(YEAR(C338)+INT((MONTH(C338)-1+(A338-D338))/12),MOD(MONTH(C338)-1+(A338-D338),12)+1,1)+(DAY(C338)-1)</f>
        <v/>
      </c>
      <c r="F338" s="20">
        <f>INDEX(Segments!$C$5:$C$12,B338)/100/12</f>
        <v/>
      </c>
      <c r="G338" s="21">
        <f>INDEX(Segments!$L$5:$L$12,B338)</f>
        <v/>
      </c>
      <c r="H338" s="6">
        <f>INDEX(Segments!$I$5:$I$12,B338)="Y"</f>
        <v/>
      </c>
      <c r="I338" s="6">
        <f>INDEX(Segments!$F$5:$F$12,B338)=""</f>
        <v/>
      </c>
      <c r="J338" s="18">
        <f>INDEX(Segments!$K$5:$K$12,B338)</f>
        <v/>
      </c>
      <c r="K338" s="18">
        <f>IF(INDEX(Segments!$F$5:$F$12,B338)&lt;&gt;"",INDEX(Segments!$F$5:$F$12,B338),IF(INDEX(Segments!$E$5:$E$12,B338)&lt;&gt;"",INDEX(Segments!$E$5:$E$12,B338),""))</f>
        <v/>
      </c>
      <c r="L338" s="21">
        <f>AA337</f>
        <v/>
      </c>
      <c r="M338" s="21">
        <f>IFERROR(INDEX(Overrides!$C:$C,MATCH(A338,Overrides!$A:$A,0)),"")</f>
        <v/>
      </c>
      <c r="N338" s="21">
        <f>IFERROR(INDEX(Overrides!$E:$E,MATCH(A338,Overrides!$A:$A,0)),"")</f>
        <v/>
      </c>
      <c r="O338" s="21">
        <f>IFERROR(INDEX(Overrides!$D:$D,MATCH(A338,Overrides!$A:$A,0)),"")</f>
        <v/>
      </c>
      <c r="P338" s="21">
        <f>IFERROR(INDEX(Overrides!$B:$B,MATCH(A338,Overrides!$A:$A,0)),"")</f>
        <v/>
      </c>
      <c r="Q338" s="6">
        <f>IFERROR(INDEX(Overrides!$F:$F,MATCH(A338,Overrides!$A:$A,0)),"")</f>
        <v/>
      </c>
      <c r="R338" s="6">
        <f>ISNUMBER(MATCH(A338,Overrides!$A:$A,0))</f>
        <v/>
      </c>
      <c r="S338" s="6">
        <f>OR(ROUND(L338-ROUND(G338-T338,2),2)&lt;=0,AND(I338,K338&lt;&gt;"",(A338-D338+1)=K338))</f>
        <v/>
      </c>
      <c r="T338" s="21">
        <f>IF(M338&lt;&gt;"",M338,ROUND(L338*F338,2))</f>
        <v/>
      </c>
      <c r="U338" s="21">
        <f>IF(R338,IF(O338&lt;&gt;"",O338,IF(N338&lt;&gt;"",ROUND(L338-N338,2),ROUND((IF(P338&lt;&gt;"",P338,G338))-T338,2))),IF(H338,0,IF(S338,L338,ROUND(G338-T338,2))))</f>
        <v/>
      </c>
      <c r="V338" s="21">
        <f>IF(R338,IF(P338&lt;&gt;"",P338,ROUND(T338+U338,2)),IF(H338,T338,IF(S338,ROUND(T338+U338,2),G338)))</f>
        <v/>
      </c>
      <c r="W338" s="21">
        <f>IF(R338,IF(N338&lt;&gt;"",N338,ROUND(L338-U338,2)),IF(H338,L338,IF(S338,0,ROUND(L338-U338,2))))</f>
        <v/>
      </c>
      <c r="X338" s="21">
        <f>IFERROR(MIN(INDEX(LumpSums!$B:$B,MATCH(A338,LumpSums!$A:$A,0)),W338),0)</f>
        <v/>
      </c>
      <c r="Y338" s="21">
        <f>ROUND(U338+X338,2)</f>
        <v/>
      </c>
      <c r="Z338" s="21">
        <f>ROUND(V338+X338,2)</f>
        <v/>
      </c>
      <c r="AA338" s="21">
        <f>ROUND(W338-X338,2)</f>
        <v/>
      </c>
      <c r="AB338" s="6">
        <f>AND(AB337,L338&gt;0)</f>
        <v/>
      </c>
      <c r="AC338" s="21">
        <f>IF(PMI_Costs!$B$8=0,0,ROUND(PMI_Costs!$B$8*(1+PMI_Costs!$B$9/100)^INT((A338-1)/12)/12,2))</f>
        <v/>
      </c>
      <c r="AD338" s="21">
        <f>IF(PMI_Costs!$B$10=0,0,ROUND(PMI_Costs!$B$10*(1+PMI_Costs!$B$11/100)^INT((A338-1)/12)/12,2))</f>
        <v/>
      </c>
      <c r="AE338" s="21">
        <f>IF(PMI_Costs!$B$12=0,0,ROUND(PMI_Costs!$B$12*(1+PMI_Costs!$B$13/100)^INT((A338-1)/12)/12,2))</f>
        <v/>
      </c>
      <c r="AF338" s="22">
        <f>IF(PMI_Costs!$B$5=0,0,AA338/PMI_Costs!$B$5)</f>
        <v/>
      </c>
      <c r="AG338" s="6">
        <f>AND(PMI_Costs!$B$4&gt;0,AF338&gt;PMI_Costs!$B$6/100)</f>
        <v/>
      </c>
      <c r="AH338" s="21">
        <f>IF(AG338,ROUND(Segments!$G$5*PMI_Costs!$B$4/100/12,2),0)</f>
        <v/>
      </c>
      <c r="AI338" s="6">
        <f>AND(NOT(AG338),AG337)</f>
        <v/>
      </c>
    </row>
    <row r="339">
      <c r="A339" s="18" t="n">
        <v>335</v>
      </c>
      <c r="B339" s="18">
        <f>SUMPRODUCT((Segments!$J$5:$J$12&lt;&gt;"")*(Segments!$J$5:$J$12&lt;=A339))</f>
        <v/>
      </c>
      <c r="C339" s="19">
        <f>INDEX(Segments!$B$5:$B$12,B339)</f>
        <v/>
      </c>
      <c r="D339" s="18">
        <f>INDEX(Segments!$J$5:$J$12,B339)</f>
        <v/>
      </c>
      <c r="E339" s="19">
        <f>DATE(YEAR(C339)+INT((MONTH(C339)-1+(A339-D339))/12),MOD(MONTH(C339)-1+(A339-D339),12)+1,1)+(DAY(C339)-1)</f>
        <v/>
      </c>
      <c r="F339" s="20">
        <f>INDEX(Segments!$C$5:$C$12,B339)/100/12</f>
        <v/>
      </c>
      <c r="G339" s="21">
        <f>INDEX(Segments!$L$5:$L$12,B339)</f>
        <v/>
      </c>
      <c r="H339" s="6">
        <f>INDEX(Segments!$I$5:$I$12,B339)="Y"</f>
        <v/>
      </c>
      <c r="I339" s="6">
        <f>INDEX(Segments!$F$5:$F$12,B339)=""</f>
        <v/>
      </c>
      <c r="J339" s="18">
        <f>INDEX(Segments!$K$5:$K$12,B339)</f>
        <v/>
      </c>
      <c r="K339" s="18">
        <f>IF(INDEX(Segments!$F$5:$F$12,B339)&lt;&gt;"",INDEX(Segments!$F$5:$F$12,B339),IF(INDEX(Segments!$E$5:$E$12,B339)&lt;&gt;"",INDEX(Segments!$E$5:$E$12,B339),""))</f>
        <v/>
      </c>
      <c r="L339" s="21">
        <f>AA338</f>
        <v/>
      </c>
      <c r="M339" s="21">
        <f>IFERROR(INDEX(Overrides!$C:$C,MATCH(A339,Overrides!$A:$A,0)),"")</f>
        <v/>
      </c>
      <c r="N339" s="21">
        <f>IFERROR(INDEX(Overrides!$E:$E,MATCH(A339,Overrides!$A:$A,0)),"")</f>
        <v/>
      </c>
      <c r="O339" s="21">
        <f>IFERROR(INDEX(Overrides!$D:$D,MATCH(A339,Overrides!$A:$A,0)),"")</f>
        <v/>
      </c>
      <c r="P339" s="21">
        <f>IFERROR(INDEX(Overrides!$B:$B,MATCH(A339,Overrides!$A:$A,0)),"")</f>
        <v/>
      </c>
      <c r="Q339" s="6">
        <f>IFERROR(INDEX(Overrides!$F:$F,MATCH(A339,Overrides!$A:$A,0)),"")</f>
        <v/>
      </c>
      <c r="R339" s="6">
        <f>ISNUMBER(MATCH(A339,Overrides!$A:$A,0))</f>
        <v/>
      </c>
      <c r="S339" s="6">
        <f>OR(ROUND(L339-ROUND(G339-T339,2),2)&lt;=0,AND(I339,K339&lt;&gt;"",(A339-D339+1)=K339))</f>
        <v/>
      </c>
      <c r="T339" s="21">
        <f>IF(M339&lt;&gt;"",M339,ROUND(L339*F339,2))</f>
        <v/>
      </c>
      <c r="U339" s="21">
        <f>IF(R339,IF(O339&lt;&gt;"",O339,IF(N339&lt;&gt;"",ROUND(L339-N339,2),ROUND((IF(P339&lt;&gt;"",P339,G339))-T339,2))),IF(H339,0,IF(S339,L339,ROUND(G339-T339,2))))</f>
        <v/>
      </c>
      <c r="V339" s="21">
        <f>IF(R339,IF(P339&lt;&gt;"",P339,ROUND(T339+U339,2)),IF(H339,T339,IF(S339,ROUND(T339+U339,2),G339)))</f>
        <v/>
      </c>
      <c r="W339" s="21">
        <f>IF(R339,IF(N339&lt;&gt;"",N339,ROUND(L339-U339,2)),IF(H339,L339,IF(S339,0,ROUND(L339-U339,2))))</f>
        <v/>
      </c>
      <c r="X339" s="21">
        <f>IFERROR(MIN(INDEX(LumpSums!$B:$B,MATCH(A339,LumpSums!$A:$A,0)),W339),0)</f>
        <v/>
      </c>
      <c r="Y339" s="21">
        <f>ROUND(U339+X339,2)</f>
        <v/>
      </c>
      <c r="Z339" s="21">
        <f>ROUND(V339+X339,2)</f>
        <v/>
      </c>
      <c r="AA339" s="21">
        <f>ROUND(W339-X339,2)</f>
        <v/>
      </c>
      <c r="AB339" s="6">
        <f>AND(AB338,L339&gt;0)</f>
        <v/>
      </c>
      <c r="AC339" s="21">
        <f>IF(PMI_Costs!$B$8=0,0,ROUND(PMI_Costs!$B$8*(1+PMI_Costs!$B$9/100)^INT((A339-1)/12)/12,2))</f>
        <v/>
      </c>
      <c r="AD339" s="21">
        <f>IF(PMI_Costs!$B$10=0,0,ROUND(PMI_Costs!$B$10*(1+PMI_Costs!$B$11/100)^INT((A339-1)/12)/12,2))</f>
        <v/>
      </c>
      <c r="AE339" s="21">
        <f>IF(PMI_Costs!$B$12=0,0,ROUND(PMI_Costs!$B$12*(1+PMI_Costs!$B$13/100)^INT((A339-1)/12)/12,2))</f>
        <v/>
      </c>
      <c r="AF339" s="22">
        <f>IF(PMI_Costs!$B$5=0,0,AA339/PMI_Costs!$B$5)</f>
        <v/>
      </c>
      <c r="AG339" s="6">
        <f>AND(PMI_Costs!$B$4&gt;0,AF339&gt;PMI_Costs!$B$6/100)</f>
        <v/>
      </c>
      <c r="AH339" s="21">
        <f>IF(AG339,ROUND(Segments!$G$5*PMI_Costs!$B$4/100/12,2),0)</f>
        <v/>
      </c>
      <c r="AI339" s="6">
        <f>AND(NOT(AG339),AG338)</f>
        <v/>
      </c>
    </row>
    <row r="340">
      <c r="A340" s="18" t="n">
        <v>336</v>
      </c>
      <c r="B340" s="18">
        <f>SUMPRODUCT((Segments!$J$5:$J$12&lt;&gt;"")*(Segments!$J$5:$J$12&lt;=A340))</f>
        <v/>
      </c>
      <c r="C340" s="19">
        <f>INDEX(Segments!$B$5:$B$12,B340)</f>
        <v/>
      </c>
      <c r="D340" s="18">
        <f>INDEX(Segments!$J$5:$J$12,B340)</f>
        <v/>
      </c>
      <c r="E340" s="19">
        <f>DATE(YEAR(C340)+INT((MONTH(C340)-1+(A340-D340))/12),MOD(MONTH(C340)-1+(A340-D340),12)+1,1)+(DAY(C340)-1)</f>
        <v/>
      </c>
      <c r="F340" s="20">
        <f>INDEX(Segments!$C$5:$C$12,B340)/100/12</f>
        <v/>
      </c>
      <c r="G340" s="21">
        <f>INDEX(Segments!$L$5:$L$12,B340)</f>
        <v/>
      </c>
      <c r="H340" s="6">
        <f>INDEX(Segments!$I$5:$I$12,B340)="Y"</f>
        <v/>
      </c>
      <c r="I340" s="6">
        <f>INDEX(Segments!$F$5:$F$12,B340)=""</f>
        <v/>
      </c>
      <c r="J340" s="18">
        <f>INDEX(Segments!$K$5:$K$12,B340)</f>
        <v/>
      </c>
      <c r="K340" s="18">
        <f>IF(INDEX(Segments!$F$5:$F$12,B340)&lt;&gt;"",INDEX(Segments!$F$5:$F$12,B340),IF(INDEX(Segments!$E$5:$E$12,B340)&lt;&gt;"",INDEX(Segments!$E$5:$E$12,B340),""))</f>
        <v/>
      </c>
      <c r="L340" s="21">
        <f>AA339</f>
        <v/>
      </c>
      <c r="M340" s="21">
        <f>IFERROR(INDEX(Overrides!$C:$C,MATCH(A340,Overrides!$A:$A,0)),"")</f>
        <v/>
      </c>
      <c r="N340" s="21">
        <f>IFERROR(INDEX(Overrides!$E:$E,MATCH(A340,Overrides!$A:$A,0)),"")</f>
        <v/>
      </c>
      <c r="O340" s="21">
        <f>IFERROR(INDEX(Overrides!$D:$D,MATCH(A340,Overrides!$A:$A,0)),"")</f>
        <v/>
      </c>
      <c r="P340" s="21">
        <f>IFERROR(INDEX(Overrides!$B:$B,MATCH(A340,Overrides!$A:$A,0)),"")</f>
        <v/>
      </c>
      <c r="Q340" s="6">
        <f>IFERROR(INDEX(Overrides!$F:$F,MATCH(A340,Overrides!$A:$A,0)),"")</f>
        <v/>
      </c>
      <c r="R340" s="6">
        <f>ISNUMBER(MATCH(A340,Overrides!$A:$A,0))</f>
        <v/>
      </c>
      <c r="S340" s="6">
        <f>OR(ROUND(L340-ROUND(G340-T340,2),2)&lt;=0,AND(I340,K340&lt;&gt;"",(A340-D340+1)=K340))</f>
        <v/>
      </c>
      <c r="T340" s="21">
        <f>IF(M340&lt;&gt;"",M340,ROUND(L340*F340,2))</f>
        <v/>
      </c>
      <c r="U340" s="21">
        <f>IF(R340,IF(O340&lt;&gt;"",O340,IF(N340&lt;&gt;"",ROUND(L340-N340,2),ROUND((IF(P340&lt;&gt;"",P340,G340))-T340,2))),IF(H340,0,IF(S340,L340,ROUND(G340-T340,2))))</f>
        <v/>
      </c>
      <c r="V340" s="21">
        <f>IF(R340,IF(P340&lt;&gt;"",P340,ROUND(T340+U340,2)),IF(H340,T340,IF(S340,ROUND(T340+U340,2),G340)))</f>
        <v/>
      </c>
      <c r="W340" s="21">
        <f>IF(R340,IF(N340&lt;&gt;"",N340,ROUND(L340-U340,2)),IF(H340,L340,IF(S340,0,ROUND(L340-U340,2))))</f>
        <v/>
      </c>
      <c r="X340" s="21">
        <f>IFERROR(MIN(INDEX(LumpSums!$B:$B,MATCH(A340,LumpSums!$A:$A,0)),W340),0)</f>
        <v/>
      </c>
      <c r="Y340" s="21">
        <f>ROUND(U340+X340,2)</f>
        <v/>
      </c>
      <c r="Z340" s="21">
        <f>ROUND(V340+X340,2)</f>
        <v/>
      </c>
      <c r="AA340" s="21">
        <f>ROUND(W340-X340,2)</f>
        <v/>
      </c>
      <c r="AB340" s="6">
        <f>AND(AB339,L340&gt;0)</f>
        <v/>
      </c>
      <c r="AC340" s="21">
        <f>IF(PMI_Costs!$B$8=0,0,ROUND(PMI_Costs!$B$8*(1+PMI_Costs!$B$9/100)^INT((A340-1)/12)/12,2))</f>
        <v/>
      </c>
      <c r="AD340" s="21">
        <f>IF(PMI_Costs!$B$10=0,0,ROUND(PMI_Costs!$B$10*(1+PMI_Costs!$B$11/100)^INT((A340-1)/12)/12,2))</f>
        <v/>
      </c>
      <c r="AE340" s="21">
        <f>IF(PMI_Costs!$B$12=0,0,ROUND(PMI_Costs!$B$12*(1+PMI_Costs!$B$13/100)^INT((A340-1)/12)/12,2))</f>
        <v/>
      </c>
      <c r="AF340" s="22">
        <f>IF(PMI_Costs!$B$5=0,0,AA340/PMI_Costs!$B$5)</f>
        <v/>
      </c>
      <c r="AG340" s="6">
        <f>AND(PMI_Costs!$B$4&gt;0,AF340&gt;PMI_Costs!$B$6/100)</f>
        <v/>
      </c>
      <c r="AH340" s="21">
        <f>IF(AG340,ROUND(Segments!$G$5*PMI_Costs!$B$4/100/12,2),0)</f>
        <v/>
      </c>
      <c r="AI340" s="6">
        <f>AND(NOT(AG340),AG339)</f>
        <v/>
      </c>
    </row>
    <row r="341">
      <c r="A341" s="18" t="n">
        <v>337</v>
      </c>
      <c r="B341" s="18">
        <f>SUMPRODUCT((Segments!$J$5:$J$12&lt;&gt;"")*(Segments!$J$5:$J$12&lt;=A341))</f>
        <v/>
      </c>
      <c r="C341" s="19">
        <f>INDEX(Segments!$B$5:$B$12,B341)</f>
        <v/>
      </c>
      <c r="D341" s="18">
        <f>INDEX(Segments!$J$5:$J$12,B341)</f>
        <v/>
      </c>
      <c r="E341" s="19">
        <f>DATE(YEAR(C341)+INT((MONTH(C341)-1+(A341-D341))/12),MOD(MONTH(C341)-1+(A341-D341),12)+1,1)+(DAY(C341)-1)</f>
        <v/>
      </c>
      <c r="F341" s="20">
        <f>INDEX(Segments!$C$5:$C$12,B341)/100/12</f>
        <v/>
      </c>
      <c r="G341" s="21">
        <f>INDEX(Segments!$L$5:$L$12,B341)</f>
        <v/>
      </c>
      <c r="H341" s="6">
        <f>INDEX(Segments!$I$5:$I$12,B341)="Y"</f>
        <v/>
      </c>
      <c r="I341" s="6">
        <f>INDEX(Segments!$F$5:$F$12,B341)=""</f>
        <v/>
      </c>
      <c r="J341" s="18">
        <f>INDEX(Segments!$K$5:$K$12,B341)</f>
        <v/>
      </c>
      <c r="K341" s="18">
        <f>IF(INDEX(Segments!$F$5:$F$12,B341)&lt;&gt;"",INDEX(Segments!$F$5:$F$12,B341),IF(INDEX(Segments!$E$5:$E$12,B341)&lt;&gt;"",INDEX(Segments!$E$5:$E$12,B341),""))</f>
        <v/>
      </c>
      <c r="L341" s="21">
        <f>AA340</f>
        <v/>
      </c>
      <c r="M341" s="21">
        <f>IFERROR(INDEX(Overrides!$C:$C,MATCH(A341,Overrides!$A:$A,0)),"")</f>
        <v/>
      </c>
      <c r="N341" s="21">
        <f>IFERROR(INDEX(Overrides!$E:$E,MATCH(A341,Overrides!$A:$A,0)),"")</f>
        <v/>
      </c>
      <c r="O341" s="21">
        <f>IFERROR(INDEX(Overrides!$D:$D,MATCH(A341,Overrides!$A:$A,0)),"")</f>
        <v/>
      </c>
      <c r="P341" s="21">
        <f>IFERROR(INDEX(Overrides!$B:$B,MATCH(A341,Overrides!$A:$A,0)),"")</f>
        <v/>
      </c>
      <c r="Q341" s="6">
        <f>IFERROR(INDEX(Overrides!$F:$F,MATCH(A341,Overrides!$A:$A,0)),"")</f>
        <v/>
      </c>
      <c r="R341" s="6">
        <f>ISNUMBER(MATCH(A341,Overrides!$A:$A,0))</f>
        <v/>
      </c>
      <c r="S341" s="6">
        <f>OR(ROUND(L341-ROUND(G341-T341,2),2)&lt;=0,AND(I341,K341&lt;&gt;"",(A341-D341+1)=K341))</f>
        <v/>
      </c>
      <c r="T341" s="21">
        <f>IF(M341&lt;&gt;"",M341,ROUND(L341*F341,2))</f>
        <v/>
      </c>
      <c r="U341" s="21">
        <f>IF(R341,IF(O341&lt;&gt;"",O341,IF(N341&lt;&gt;"",ROUND(L341-N341,2),ROUND((IF(P341&lt;&gt;"",P341,G341))-T341,2))),IF(H341,0,IF(S341,L341,ROUND(G341-T341,2))))</f>
        <v/>
      </c>
      <c r="V341" s="21">
        <f>IF(R341,IF(P341&lt;&gt;"",P341,ROUND(T341+U341,2)),IF(H341,T341,IF(S341,ROUND(T341+U341,2),G341)))</f>
        <v/>
      </c>
      <c r="W341" s="21">
        <f>IF(R341,IF(N341&lt;&gt;"",N341,ROUND(L341-U341,2)),IF(H341,L341,IF(S341,0,ROUND(L341-U341,2))))</f>
        <v/>
      </c>
      <c r="X341" s="21">
        <f>IFERROR(MIN(INDEX(LumpSums!$B:$B,MATCH(A341,LumpSums!$A:$A,0)),W341),0)</f>
        <v/>
      </c>
      <c r="Y341" s="21">
        <f>ROUND(U341+X341,2)</f>
        <v/>
      </c>
      <c r="Z341" s="21">
        <f>ROUND(V341+X341,2)</f>
        <v/>
      </c>
      <c r="AA341" s="21">
        <f>ROUND(W341-X341,2)</f>
        <v/>
      </c>
      <c r="AB341" s="6">
        <f>AND(AB340,L341&gt;0)</f>
        <v/>
      </c>
      <c r="AC341" s="21">
        <f>IF(PMI_Costs!$B$8=0,0,ROUND(PMI_Costs!$B$8*(1+PMI_Costs!$B$9/100)^INT((A341-1)/12)/12,2))</f>
        <v/>
      </c>
      <c r="AD341" s="21">
        <f>IF(PMI_Costs!$B$10=0,0,ROUND(PMI_Costs!$B$10*(1+PMI_Costs!$B$11/100)^INT((A341-1)/12)/12,2))</f>
        <v/>
      </c>
      <c r="AE341" s="21">
        <f>IF(PMI_Costs!$B$12=0,0,ROUND(PMI_Costs!$B$12*(1+PMI_Costs!$B$13/100)^INT((A341-1)/12)/12,2))</f>
        <v/>
      </c>
      <c r="AF341" s="22">
        <f>IF(PMI_Costs!$B$5=0,0,AA341/PMI_Costs!$B$5)</f>
        <v/>
      </c>
      <c r="AG341" s="6">
        <f>AND(PMI_Costs!$B$4&gt;0,AF341&gt;PMI_Costs!$B$6/100)</f>
        <v/>
      </c>
      <c r="AH341" s="21">
        <f>IF(AG341,ROUND(Segments!$G$5*PMI_Costs!$B$4/100/12,2),0)</f>
        <v/>
      </c>
      <c r="AI341" s="6">
        <f>AND(NOT(AG341),AG340)</f>
        <v/>
      </c>
    </row>
    <row r="342">
      <c r="A342" s="18" t="n">
        <v>338</v>
      </c>
      <c r="B342" s="18">
        <f>SUMPRODUCT((Segments!$J$5:$J$12&lt;&gt;"")*(Segments!$J$5:$J$12&lt;=A342))</f>
        <v/>
      </c>
      <c r="C342" s="19">
        <f>INDEX(Segments!$B$5:$B$12,B342)</f>
        <v/>
      </c>
      <c r="D342" s="18">
        <f>INDEX(Segments!$J$5:$J$12,B342)</f>
        <v/>
      </c>
      <c r="E342" s="19">
        <f>DATE(YEAR(C342)+INT((MONTH(C342)-1+(A342-D342))/12),MOD(MONTH(C342)-1+(A342-D342),12)+1,1)+(DAY(C342)-1)</f>
        <v/>
      </c>
      <c r="F342" s="20">
        <f>INDEX(Segments!$C$5:$C$12,B342)/100/12</f>
        <v/>
      </c>
      <c r="G342" s="21">
        <f>INDEX(Segments!$L$5:$L$12,B342)</f>
        <v/>
      </c>
      <c r="H342" s="6">
        <f>INDEX(Segments!$I$5:$I$12,B342)="Y"</f>
        <v/>
      </c>
      <c r="I342" s="6">
        <f>INDEX(Segments!$F$5:$F$12,B342)=""</f>
        <v/>
      </c>
      <c r="J342" s="18">
        <f>INDEX(Segments!$K$5:$K$12,B342)</f>
        <v/>
      </c>
      <c r="K342" s="18">
        <f>IF(INDEX(Segments!$F$5:$F$12,B342)&lt;&gt;"",INDEX(Segments!$F$5:$F$12,B342),IF(INDEX(Segments!$E$5:$E$12,B342)&lt;&gt;"",INDEX(Segments!$E$5:$E$12,B342),""))</f>
        <v/>
      </c>
      <c r="L342" s="21">
        <f>AA341</f>
        <v/>
      </c>
      <c r="M342" s="21">
        <f>IFERROR(INDEX(Overrides!$C:$C,MATCH(A342,Overrides!$A:$A,0)),"")</f>
        <v/>
      </c>
      <c r="N342" s="21">
        <f>IFERROR(INDEX(Overrides!$E:$E,MATCH(A342,Overrides!$A:$A,0)),"")</f>
        <v/>
      </c>
      <c r="O342" s="21">
        <f>IFERROR(INDEX(Overrides!$D:$D,MATCH(A342,Overrides!$A:$A,0)),"")</f>
        <v/>
      </c>
      <c r="P342" s="21">
        <f>IFERROR(INDEX(Overrides!$B:$B,MATCH(A342,Overrides!$A:$A,0)),"")</f>
        <v/>
      </c>
      <c r="Q342" s="6">
        <f>IFERROR(INDEX(Overrides!$F:$F,MATCH(A342,Overrides!$A:$A,0)),"")</f>
        <v/>
      </c>
      <c r="R342" s="6">
        <f>ISNUMBER(MATCH(A342,Overrides!$A:$A,0))</f>
        <v/>
      </c>
      <c r="S342" s="6">
        <f>OR(ROUND(L342-ROUND(G342-T342,2),2)&lt;=0,AND(I342,K342&lt;&gt;"",(A342-D342+1)=K342))</f>
        <v/>
      </c>
      <c r="T342" s="21">
        <f>IF(M342&lt;&gt;"",M342,ROUND(L342*F342,2))</f>
        <v/>
      </c>
      <c r="U342" s="21">
        <f>IF(R342,IF(O342&lt;&gt;"",O342,IF(N342&lt;&gt;"",ROUND(L342-N342,2),ROUND((IF(P342&lt;&gt;"",P342,G342))-T342,2))),IF(H342,0,IF(S342,L342,ROUND(G342-T342,2))))</f>
        <v/>
      </c>
      <c r="V342" s="21">
        <f>IF(R342,IF(P342&lt;&gt;"",P342,ROUND(T342+U342,2)),IF(H342,T342,IF(S342,ROUND(T342+U342,2),G342)))</f>
        <v/>
      </c>
      <c r="W342" s="21">
        <f>IF(R342,IF(N342&lt;&gt;"",N342,ROUND(L342-U342,2)),IF(H342,L342,IF(S342,0,ROUND(L342-U342,2))))</f>
        <v/>
      </c>
      <c r="X342" s="21">
        <f>IFERROR(MIN(INDEX(LumpSums!$B:$B,MATCH(A342,LumpSums!$A:$A,0)),W342),0)</f>
        <v/>
      </c>
      <c r="Y342" s="21">
        <f>ROUND(U342+X342,2)</f>
        <v/>
      </c>
      <c r="Z342" s="21">
        <f>ROUND(V342+X342,2)</f>
        <v/>
      </c>
      <c r="AA342" s="21">
        <f>ROUND(W342-X342,2)</f>
        <v/>
      </c>
      <c r="AB342" s="6">
        <f>AND(AB341,L342&gt;0)</f>
        <v/>
      </c>
      <c r="AC342" s="21">
        <f>IF(PMI_Costs!$B$8=0,0,ROUND(PMI_Costs!$B$8*(1+PMI_Costs!$B$9/100)^INT((A342-1)/12)/12,2))</f>
        <v/>
      </c>
      <c r="AD342" s="21">
        <f>IF(PMI_Costs!$B$10=0,0,ROUND(PMI_Costs!$B$10*(1+PMI_Costs!$B$11/100)^INT((A342-1)/12)/12,2))</f>
        <v/>
      </c>
      <c r="AE342" s="21">
        <f>IF(PMI_Costs!$B$12=0,0,ROUND(PMI_Costs!$B$12*(1+PMI_Costs!$B$13/100)^INT((A342-1)/12)/12,2))</f>
        <v/>
      </c>
      <c r="AF342" s="22">
        <f>IF(PMI_Costs!$B$5=0,0,AA342/PMI_Costs!$B$5)</f>
        <v/>
      </c>
      <c r="AG342" s="6">
        <f>AND(PMI_Costs!$B$4&gt;0,AF342&gt;PMI_Costs!$B$6/100)</f>
        <v/>
      </c>
      <c r="AH342" s="21">
        <f>IF(AG342,ROUND(Segments!$G$5*PMI_Costs!$B$4/100/12,2),0)</f>
        <v/>
      </c>
      <c r="AI342" s="6">
        <f>AND(NOT(AG342),AG341)</f>
        <v/>
      </c>
    </row>
    <row r="343">
      <c r="A343" s="18" t="n">
        <v>339</v>
      </c>
      <c r="B343" s="18">
        <f>SUMPRODUCT((Segments!$J$5:$J$12&lt;&gt;"")*(Segments!$J$5:$J$12&lt;=A343))</f>
        <v/>
      </c>
      <c r="C343" s="19">
        <f>INDEX(Segments!$B$5:$B$12,B343)</f>
        <v/>
      </c>
      <c r="D343" s="18">
        <f>INDEX(Segments!$J$5:$J$12,B343)</f>
        <v/>
      </c>
      <c r="E343" s="19">
        <f>DATE(YEAR(C343)+INT((MONTH(C343)-1+(A343-D343))/12),MOD(MONTH(C343)-1+(A343-D343),12)+1,1)+(DAY(C343)-1)</f>
        <v/>
      </c>
      <c r="F343" s="20">
        <f>INDEX(Segments!$C$5:$C$12,B343)/100/12</f>
        <v/>
      </c>
      <c r="G343" s="21">
        <f>INDEX(Segments!$L$5:$L$12,B343)</f>
        <v/>
      </c>
      <c r="H343" s="6">
        <f>INDEX(Segments!$I$5:$I$12,B343)="Y"</f>
        <v/>
      </c>
      <c r="I343" s="6">
        <f>INDEX(Segments!$F$5:$F$12,B343)=""</f>
        <v/>
      </c>
      <c r="J343" s="18">
        <f>INDEX(Segments!$K$5:$K$12,B343)</f>
        <v/>
      </c>
      <c r="K343" s="18">
        <f>IF(INDEX(Segments!$F$5:$F$12,B343)&lt;&gt;"",INDEX(Segments!$F$5:$F$12,B343),IF(INDEX(Segments!$E$5:$E$12,B343)&lt;&gt;"",INDEX(Segments!$E$5:$E$12,B343),""))</f>
        <v/>
      </c>
      <c r="L343" s="21">
        <f>AA342</f>
        <v/>
      </c>
      <c r="M343" s="21">
        <f>IFERROR(INDEX(Overrides!$C:$C,MATCH(A343,Overrides!$A:$A,0)),"")</f>
        <v/>
      </c>
      <c r="N343" s="21">
        <f>IFERROR(INDEX(Overrides!$E:$E,MATCH(A343,Overrides!$A:$A,0)),"")</f>
        <v/>
      </c>
      <c r="O343" s="21">
        <f>IFERROR(INDEX(Overrides!$D:$D,MATCH(A343,Overrides!$A:$A,0)),"")</f>
        <v/>
      </c>
      <c r="P343" s="21">
        <f>IFERROR(INDEX(Overrides!$B:$B,MATCH(A343,Overrides!$A:$A,0)),"")</f>
        <v/>
      </c>
      <c r="Q343" s="6">
        <f>IFERROR(INDEX(Overrides!$F:$F,MATCH(A343,Overrides!$A:$A,0)),"")</f>
        <v/>
      </c>
      <c r="R343" s="6">
        <f>ISNUMBER(MATCH(A343,Overrides!$A:$A,0))</f>
        <v/>
      </c>
      <c r="S343" s="6">
        <f>OR(ROUND(L343-ROUND(G343-T343,2),2)&lt;=0,AND(I343,K343&lt;&gt;"",(A343-D343+1)=K343))</f>
        <v/>
      </c>
      <c r="T343" s="21">
        <f>IF(M343&lt;&gt;"",M343,ROUND(L343*F343,2))</f>
        <v/>
      </c>
      <c r="U343" s="21">
        <f>IF(R343,IF(O343&lt;&gt;"",O343,IF(N343&lt;&gt;"",ROUND(L343-N343,2),ROUND((IF(P343&lt;&gt;"",P343,G343))-T343,2))),IF(H343,0,IF(S343,L343,ROUND(G343-T343,2))))</f>
        <v/>
      </c>
      <c r="V343" s="21">
        <f>IF(R343,IF(P343&lt;&gt;"",P343,ROUND(T343+U343,2)),IF(H343,T343,IF(S343,ROUND(T343+U343,2),G343)))</f>
        <v/>
      </c>
      <c r="W343" s="21">
        <f>IF(R343,IF(N343&lt;&gt;"",N343,ROUND(L343-U343,2)),IF(H343,L343,IF(S343,0,ROUND(L343-U343,2))))</f>
        <v/>
      </c>
      <c r="X343" s="21">
        <f>IFERROR(MIN(INDEX(LumpSums!$B:$B,MATCH(A343,LumpSums!$A:$A,0)),W343),0)</f>
        <v/>
      </c>
      <c r="Y343" s="21">
        <f>ROUND(U343+X343,2)</f>
        <v/>
      </c>
      <c r="Z343" s="21">
        <f>ROUND(V343+X343,2)</f>
        <v/>
      </c>
      <c r="AA343" s="21">
        <f>ROUND(W343-X343,2)</f>
        <v/>
      </c>
      <c r="AB343" s="6">
        <f>AND(AB342,L343&gt;0)</f>
        <v/>
      </c>
      <c r="AC343" s="21">
        <f>IF(PMI_Costs!$B$8=0,0,ROUND(PMI_Costs!$B$8*(1+PMI_Costs!$B$9/100)^INT((A343-1)/12)/12,2))</f>
        <v/>
      </c>
      <c r="AD343" s="21">
        <f>IF(PMI_Costs!$B$10=0,0,ROUND(PMI_Costs!$B$10*(1+PMI_Costs!$B$11/100)^INT((A343-1)/12)/12,2))</f>
        <v/>
      </c>
      <c r="AE343" s="21">
        <f>IF(PMI_Costs!$B$12=0,0,ROUND(PMI_Costs!$B$12*(1+PMI_Costs!$B$13/100)^INT((A343-1)/12)/12,2))</f>
        <v/>
      </c>
      <c r="AF343" s="22">
        <f>IF(PMI_Costs!$B$5=0,0,AA343/PMI_Costs!$B$5)</f>
        <v/>
      </c>
      <c r="AG343" s="6">
        <f>AND(PMI_Costs!$B$4&gt;0,AF343&gt;PMI_Costs!$B$6/100)</f>
        <v/>
      </c>
      <c r="AH343" s="21">
        <f>IF(AG343,ROUND(Segments!$G$5*PMI_Costs!$B$4/100/12,2),0)</f>
        <v/>
      </c>
      <c r="AI343" s="6">
        <f>AND(NOT(AG343),AG342)</f>
        <v/>
      </c>
    </row>
    <row r="344">
      <c r="A344" s="18" t="n">
        <v>340</v>
      </c>
      <c r="B344" s="18">
        <f>SUMPRODUCT((Segments!$J$5:$J$12&lt;&gt;"")*(Segments!$J$5:$J$12&lt;=A344))</f>
        <v/>
      </c>
      <c r="C344" s="19">
        <f>INDEX(Segments!$B$5:$B$12,B344)</f>
        <v/>
      </c>
      <c r="D344" s="18">
        <f>INDEX(Segments!$J$5:$J$12,B344)</f>
        <v/>
      </c>
      <c r="E344" s="19">
        <f>DATE(YEAR(C344)+INT((MONTH(C344)-1+(A344-D344))/12),MOD(MONTH(C344)-1+(A344-D344),12)+1,1)+(DAY(C344)-1)</f>
        <v/>
      </c>
      <c r="F344" s="20">
        <f>INDEX(Segments!$C$5:$C$12,B344)/100/12</f>
        <v/>
      </c>
      <c r="G344" s="21">
        <f>INDEX(Segments!$L$5:$L$12,B344)</f>
        <v/>
      </c>
      <c r="H344" s="6">
        <f>INDEX(Segments!$I$5:$I$12,B344)="Y"</f>
        <v/>
      </c>
      <c r="I344" s="6">
        <f>INDEX(Segments!$F$5:$F$12,B344)=""</f>
        <v/>
      </c>
      <c r="J344" s="18">
        <f>INDEX(Segments!$K$5:$K$12,B344)</f>
        <v/>
      </c>
      <c r="K344" s="18">
        <f>IF(INDEX(Segments!$F$5:$F$12,B344)&lt;&gt;"",INDEX(Segments!$F$5:$F$12,B344),IF(INDEX(Segments!$E$5:$E$12,B344)&lt;&gt;"",INDEX(Segments!$E$5:$E$12,B344),""))</f>
        <v/>
      </c>
      <c r="L344" s="21">
        <f>AA343</f>
        <v/>
      </c>
      <c r="M344" s="21">
        <f>IFERROR(INDEX(Overrides!$C:$C,MATCH(A344,Overrides!$A:$A,0)),"")</f>
        <v/>
      </c>
      <c r="N344" s="21">
        <f>IFERROR(INDEX(Overrides!$E:$E,MATCH(A344,Overrides!$A:$A,0)),"")</f>
        <v/>
      </c>
      <c r="O344" s="21">
        <f>IFERROR(INDEX(Overrides!$D:$D,MATCH(A344,Overrides!$A:$A,0)),"")</f>
        <v/>
      </c>
      <c r="P344" s="21">
        <f>IFERROR(INDEX(Overrides!$B:$B,MATCH(A344,Overrides!$A:$A,0)),"")</f>
        <v/>
      </c>
      <c r="Q344" s="6">
        <f>IFERROR(INDEX(Overrides!$F:$F,MATCH(A344,Overrides!$A:$A,0)),"")</f>
        <v/>
      </c>
      <c r="R344" s="6">
        <f>ISNUMBER(MATCH(A344,Overrides!$A:$A,0))</f>
        <v/>
      </c>
      <c r="S344" s="6">
        <f>OR(ROUND(L344-ROUND(G344-T344,2),2)&lt;=0,AND(I344,K344&lt;&gt;"",(A344-D344+1)=K344))</f>
        <v/>
      </c>
      <c r="T344" s="21">
        <f>IF(M344&lt;&gt;"",M344,ROUND(L344*F344,2))</f>
        <v/>
      </c>
      <c r="U344" s="21">
        <f>IF(R344,IF(O344&lt;&gt;"",O344,IF(N344&lt;&gt;"",ROUND(L344-N344,2),ROUND((IF(P344&lt;&gt;"",P344,G344))-T344,2))),IF(H344,0,IF(S344,L344,ROUND(G344-T344,2))))</f>
        <v/>
      </c>
      <c r="V344" s="21">
        <f>IF(R344,IF(P344&lt;&gt;"",P344,ROUND(T344+U344,2)),IF(H344,T344,IF(S344,ROUND(T344+U344,2),G344)))</f>
        <v/>
      </c>
      <c r="W344" s="21">
        <f>IF(R344,IF(N344&lt;&gt;"",N344,ROUND(L344-U344,2)),IF(H344,L344,IF(S344,0,ROUND(L344-U344,2))))</f>
        <v/>
      </c>
      <c r="X344" s="21">
        <f>IFERROR(MIN(INDEX(LumpSums!$B:$B,MATCH(A344,LumpSums!$A:$A,0)),W344),0)</f>
        <v/>
      </c>
      <c r="Y344" s="21">
        <f>ROUND(U344+X344,2)</f>
        <v/>
      </c>
      <c r="Z344" s="21">
        <f>ROUND(V344+X344,2)</f>
        <v/>
      </c>
      <c r="AA344" s="21">
        <f>ROUND(W344-X344,2)</f>
        <v/>
      </c>
      <c r="AB344" s="6">
        <f>AND(AB343,L344&gt;0)</f>
        <v/>
      </c>
      <c r="AC344" s="21">
        <f>IF(PMI_Costs!$B$8=0,0,ROUND(PMI_Costs!$B$8*(1+PMI_Costs!$B$9/100)^INT((A344-1)/12)/12,2))</f>
        <v/>
      </c>
      <c r="AD344" s="21">
        <f>IF(PMI_Costs!$B$10=0,0,ROUND(PMI_Costs!$B$10*(1+PMI_Costs!$B$11/100)^INT((A344-1)/12)/12,2))</f>
        <v/>
      </c>
      <c r="AE344" s="21">
        <f>IF(PMI_Costs!$B$12=0,0,ROUND(PMI_Costs!$B$12*(1+PMI_Costs!$B$13/100)^INT((A344-1)/12)/12,2))</f>
        <v/>
      </c>
      <c r="AF344" s="22">
        <f>IF(PMI_Costs!$B$5=0,0,AA344/PMI_Costs!$B$5)</f>
        <v/>
      </c>
      <c r="AG344" s="6">
        <f>AND(PMI_Costs!$B$4&gt;0,AF344&gt;PMI_Costs!$B$6/100)</f>
        <v/>
      </c>
      <c r="AH344" s="21">
        <f>IF(AG344,ROUND(Segments!$G$5*PMI_Costs!$B$4/100/12,2),0)</f>
        <v/>
      </c>
      <c r="AI344" s="6">
        <f>AND(NOT(AG344),AG343)</f>
        <v/>
      </c>
    </row>
    <row r="345">
      <c r="A345" s="18" t="n">
        <v>341</v>
      </c>
      <c r="B345" s="18">
        <f>SUMPRODUCT((Segments!$J$5:$J$12&lt;&gt;"")*(Segments!$J$5:$J$12&lt;=A345))</f>
        <v/>
      </c>
      <c r="C345" s="19">
        <f>INDEX(Segments!$B$5:$B$12,B345)</f>
        <v/>
      </c>
      <c r="D345" s="18">
        <f>INDEX(Segments!$J$5:$J$12,B345)</f>
        <v/>
      </c>
      <c r="E345" s="19">
        <f>DATE(YEAR(C345)+INT((MONTH(C345)-1+(A345-D345))/12),MOD(MONTH(C345)-1+(A345-D345),12)+1,1)+(DAY(C345)-1)</f>
        <v/>
      </c>
      <c r="F345" s="20">
        <f>INDEX(Segments!$C$5:$C$12,B345)/100/12</f>
        <v/>
      </c>
      <c r="G345" s="21">
        <f>INDEX(Segments!$L$5:$L$12,B345)</f>
        <v/>
      </c>
      <c r="H345" s="6">
        <f>INDEX(Segments!$I$5:$I$12,B345)="Y"</f>
        <v/>
      </c>
      <c r="I345" s="6">
        <f>INDEX(Segments!$F$5:$F$12,B345)=""</f>
        <v/>
      </c>
      <c r="J345" s="18">
        <f>INDEX(Segments!$K$5:$K$12,B345)</f>
        <v/>
      </c>
      <c r="K345" s="18">
        <f>IF(INDEX(Segments!$F$5:$F$12,B345)&lt;&gt;"",INDEX(Segments!$F$5:$F$12,B345),IF(INDEX(Segments!$E$5:$E$12,B345)&lt;&gt;"",INDEX(Segments!$E$5:$E$12,B345),""))</f>
        <v/>
      </c>
      <c r="L345" s="21">
        <f>AA344</f>
        <v/>
      </c>
      <c r="M345" s="21">
        <f>IFERROR(INDEX(Overrides!$C:$C,MATCH(A345,Overrides!$A:$A,0)),"")</f>
        <v/>
      </c>
      <c r="N345" s="21">
        <f>IFERROR(INDEX(Overrides!$E:$E,MATCH(A345,Overrides!$A:$A,0)),"")</f>
        <v/>
      </c>
      <c r="O345" s="21">
        <f>IFERROR(INDEX(Overrides!$D:$D,MATCH(A345,Overrides!$A:$A,0)),"")</f>
        <v/>
      </c>
      <c r="P345" s="21">
        <f>IFERROR(INDEX(Overrides!$B:$B,MATCH(A345,Overrides!$A:$A,0)),"")</f>
        <v/>
      </c>
      <c r="Q345" s="6">
        <f>IFERROR(INDEX(Overrides!$F:$F,MATCH(A345,Overrides!$A:$A,0)),"")</f>
        <v/>
      </c>
      <c r="R345" s="6">
        <f>ISNUMBER(MATCH(A345,Overrides!$A:$A,0))</f>
        <v/>
      </c>
      <c r="S345" s="6">
        <f>OR(ROUND(L345-ROUND(G345-T345,2),2)&lt;=0,AND(I345,K345&lt;&gt;"",(A345-D345+1)=K345))</f>
        <v/>
      </c>
      <c r="T345" s="21">
        <f>IF(M345&lt;&gt;"",M345,ROUND(L345*F345,2))</f>
        <v/>
      </c>
      <c r="U345" s="21">
        <f>IF(R345,IF(O345&lt;&gt;"",O345,IF(N345&lt;&gt;"",ROUND(L345-N345,2),ROUND((IF(P345&lt;&gt;"",P345,G345))-T345,2))),IF(H345,0,IF(S345,L345,ROUND(G345-T345,2))))</f>
        <v/>
      </c>
      <c r="V345" s="21">
        <f>IF(R345,IF(P345&lt;&gt;"",P345,ROUND(T345+U345,2)),IF(H345,T345,IF(S345,ROUND(T345+U345,2),G345)))</f>
        <v/>
      </c>
      <c r="W345" s="21">
        <f>IF(R345,IF(N345&lt;&gt;"",N345,ROUND(L345-U345,2)),IF(H345,L345,IF(S345,0,ROUND(L345-U345,2))))</f>
        <v/>
      </c>
      <c r="X345" s="21">
        <f>IFERROR(MIN(INDEX(LumpSums!$B:$B,MATCH(A345,LumpSums!$A:$A,0)),W345),0)</f>
        <v/>
      </c>
      <c r="Y345" s="21">
        <f>ROUND(U345+X345,2)</f>
        <v/>
      </c>
      <c r="Z345" s="21">
        <f>ROUND(V345+X345,2)</f>
        <v/>
      </c>
      <c r="AA345" s="21">
        <f>ROUND(W345-X345,2)</f>
        <v/>
      </c>
      <c r="AB345" s="6">
        <f>AND(AB344,L345&gt;0)</f>
        <v/>
      </c>
      <c r="AC345" s="21">
        <f>IF(PMI_Costs!$B$8=0,0,ROUND(PMI_Costs!$B$8*(1+PMI_Costs!$B$9/100)^INT((A345-1)/12)/12,2))</f>
        <v/>
      </c>
      <c r="AD345" s="21">
        <f>IF(PMI_Costs!$B$10=0,0,ROUND(PMI_Costs!$B$10*(1+PMI_Costs!$B$11/100)^INT((A345-1)/12)/12,2))</f>
        <v/>
      </c>
      <c r="AE345" s="21">
        <f>IF(PMI_Costs!$B$12=0,0,ROUND(PMI_Costs!$B$12*(1+PMI_Costs!$B$13/100)^INT((A345-1)/12)/12,2))</f>
        <v/>
      </c>
      <c r="AF345" s="22">
        <f>IF(PMI_Costs!$B$5=0,0,AA345/PMI_Costs!$B$5)</f>
        <v/>
      </c>
      <c r="AG345" s="6">
        <f>AND(PMI_Costs!$B$4&gt;0,AF345&gt;PMI_Costs!$B$6/100)</f>
        <v/>
      </c>
      <c r="AH345" s="21">
        <f>IF(AG345,ROUND(Segments!$G$5*PMI_Costs!$B$4/100/12,2),0)</f>
        <v/>
      </c>
      <c r="AI345" s="6">
        <f>AND(NOT(AG345),AG344)</f>
        <v/>
      </c>
    </row>
    <row r="346">
      <c r="A346" s="18" t="n">
        <v>342</v>
      </c>
      <c r="B346" s="18">
        <f>SUMPRODUCT((Segments!$J$5:$J$12&lt;&gt;"")*(Segments!$J$5:$J$12&lt;=A346))</f>
        <v/>
      </c>
      <c r="C346" s="19">
        <f>INDEX(Segments!$B$5:$B$12,B346)</f>
        <v/>
      </c>
      <c r="D346" s="18">
        <f>INDEX(Segments!$J$5:$J$12,B346)</f>
        <v/>
      </c>
      <c r="E346" s="19">
        <f>DATE(YEAR(C346)+INT((MONTH(C346)-1+(A346-D346))/12),MOD(MONTH(C346)-1+(A346-D346),12)+1,1)+(DAY(C346)-1)</f>
        <v/>
      </c>
      <c r="F346" s="20">
        <f>INDEX(Segments!$C$5:$C$12,B346)/100/12</f>
        <v/>
      </c>
      <c r="G346" s="21">
        <f>INDEX(Segments!$L$5:$L$12,B346)</f>
        <v/>
      </c>
      <c r="H346" s="6">
        <f>INDEX(Segments!$I$5:$I$12,B346)="Y"</f>
        <v/>
      </c>
      <c r="I346" s="6">
        <f>INDEX(Segments!$F$5:$F$12,B346)=""</f>
        <v/>
      </c>
      <c r="J346" s="18">
        <f>INDEX(Segments!$K$5:$K$12,B346)</f>
        <v/>
      </c>
      <c r="K346" s="18">
        <f>IF(INDEX(Segments!$F$5:$F$12,B346)&lt;&gt;"",INDEX(Segments!$F$5:$F$12,B346),IF(INDEX(Segments!$E$5:$E$12,B346)&lt;&gt;"",INDEX(Segments!$E$5:$E$12,B346),""))</f>
        <v/>
      </c>
      <c r="L346" s="21">
        <f>AA345</f>
        <v/>
      </c>
      <c r="M346" s="21">
        <f>IFERROR(INDEX(Overrides!$C:$C,MATCH(A346,Overrides!$A:$A,0)),"")</f>
        <v/>
      </c>
      <c r="N346" s="21">
        <f>IFERROR(INDEX(Overrides!$E:$E,MATCH(A346,Overrides!$A:$A,0)),"")</f>
        <v/>
      </c>
      <c r="O346" s="21">
        <f>IFERROR(INDEX(Overrides!$D:$D,MATCH(A346,Overrides!$A:$A,0)),"")</f>
        <v/>
      </c>
      <c r="P346" s="21">
        <f>IFERROR(INDEX(Overrides!$B:$B,MATCH(A346,Overrides!$A:$A,0)),"")</f>
        <v/>
      </c>
      <c r="Q346" s="6">
        <f>IFERROR(INDEX(Overrides!$F:$F,MATCH(A346,Overrides!$A:$A,0)),"")</f>
        <v/>
      </c>
      <c r="R346" s="6">
        <f>ISNUMBER(MATCH(A346,Overrides!$A:$A,0))</f>
        <v/>
      </c>
      <c r="S346" s="6">
        <f>OR(ROUND(L346-ROUND(G346-T346,2),2)&lt;=0,AND(I346,K346&lt;&gt;"",(A346-D346+1)=K346))</f>
        <v/>
      </c>
      <c r="T346" s="21">
        <f>IF(M346&lt;&gt;"",M346,ROUND(L346*F346,2))</f>
        <v/>
      </c>
      <c r="U346" s="21">
        <f>IF(R346,IF(O346&lt;&gt;"",O346,IF(N346&lt;&gt;"",ROUND(L346-N346,2),ROUND((IF(P346&lt;&gt;"",P346,G346))-T346,2))),IF(H346,0,IF(S346,L346,ROUND(G346-T346,2))))</f>
        <v/>
      </c>
      <c r="V346" s="21">
        <f>IF(R346,IF(P346&lt;&gt;"",P346,ROUND(T346+U346,2)),IF(H346,T346,IF(S346,ROUND(T346+U346,2),G346)))</f>
        <v/>
      </c>
      <c r="W346" s="21">
        <f>IF(R346,IF(N346&lt;&gt;"",N346,ROUND(L346-U346,2)),IF(H346,L346,IF(S346,0,ROUND(L346-U346,2))))</f>
        <v/>
      </c>
      <c r="X346" s="21">
        <f>IFERROR(MIN(INDEX(LumpSums!$B:$B,MATCH(A346,LumpSums!$A:$A,0)),W346),0)</f>
        <v/>
      </c>
      <c r="Y346" s="21">
        <f>ROUND(U346+X346,2)</f>
        <v/>
      </c>
      <c r="Z346" s="21">
        <f>ROUND(V346+X346,2)</f>
        <v/>
      </c>
      <c r="AA346" s="21">
        <f>ROUND(W346-X346,2)</f>
        <v/>
      </c>
      <c r="AB346" s="6">
        <f>AND(AB345,L346&gt;0)</f>
        <v/>
      </c>
      <c r="AC346" s="21">
        <f>IF(PMI_Costs!$B$8=0,0,ROUND(PMI_Costs!$B$8*(1+PMI_Costs!$B$9/100)^INT((A346-1)/12)/12,2))</f>
        <v/>
      </c>
      <c r="AD346" s="21">
        <f>IF(PMI_Costs!$B$10=0,0,ROUND(PMI_Costs!$B$10*(1+PMI_Costs!$B$11/100)^INT((A346-1)/12)/12,2))</f>
        <v/>
      </c>
      <c r="AE346" s="21">
        <f>IF(PMI_Costs!$B$12=0,0,ROUND(PMI_Costs!$B$12*(1+PMI_Costs!$B$13/100)^INT((A346-1)/12)/12,2))</f>
        <v/>
      </c>
      <c r="AF346" s="22">
        <f>IF(PMI_Costs!$B$5=0,0,AA346/PMI_Costs!$B$5)</f>
        <v/>
      </c>
      <c r="AG346" s="6">
        <f>AND(PMI_Costs!$B$4&gt;0,AF346&gt;PMI_Costs!$B$6/100)</f>
        <v/>
      </c>
      <c r="AH346" s="21">
        <f>IF(AG346,ROUND(Segments!$G$5*PMI_Costs!$B$4/100/12,2),0)</f>
        <v/>
      </c>
      <c r="AI346" s="6">
        <f>AND(NOT(AG346),AG345)</f>
        <v/>
      </c>
    </row>
    <row r="347">
      <c r="A347" s="18" t="n">
        <v>343</v>
      </c>
      <c r="B347" s="18">
        <f>SUMPRODUCT((Segments!$J$5:$J$12&lt;&gt;"")*(Segments!$J$5:$J$12&lt;=A347))</f>
        <v/>
      </c>
      <c r="C347" s="19">
        <f>INDEX(Segments!$B$5:$B$12,B347)</f>
        <v/>
      </c>
      <c r="D347" s="18">
        <f>INDEX(Segments!$J$5:$J$12,B347)</f>
        <v/>
      </c>
      <c r="E347" s="19">
        <f>DATE(YEAR(C347)+INT((MONTH(C347)-1+(A347-D347))/12),MOD(MONTH(C347)-1+(A347-D347),12)+1,1)+(DAY(C347)-1)</f>
        <v/>
      </c>
      <c r="F347" s="20">
        <f>INDEX(Segments!$C$5:$C$12,B347)/100/12</f>
        <v/>
      </c>
      <c r="G347" s="21">
        <f>INDEX(Segments!$L$5:$L$12,B347)</f>
        <v/>
      </c>
      <c r="H347" s="6">
        <f>INDEX(Segments!$I$5:$I$12,B347)="Y"</f>
        <v/>
      </c>
      <c r="I347" s="6">
        <f>INDEX(Segments!$F$5:$F$12,B347)=""</f>
        <v/>
      </c>
      <c r="J347" s="18">
        <f>INDEX(Segments!$K$5:$K$12,B347)</f>
        <v/>
      </c>
      <c r="K347" s="18">
        <f>IF(INDEX(Segments!$F$5:$F$12,B347)&lt;&gt;"",INDEX(Segments!$F$5:$F$12,B347),IF(INDEX(Segments!$E$5:$E$12,B347)&lt;&gt;"",INDEX(Segments!$E$5:$E$12,B347),""))</f>
        <v/>
      </c>
      <c r="L347" s="21">
        <f>AA346</f>
        <v/>
      </c>
      <c r="M347" s="21">
        <f>IFERROR(INDEX(Overrides!$C:$C,MATCH(A347,Overrides!$A:$A,0)),"")</f>
        <v/>
      </c>
      <c r="N347" s="21">
        <f>IFERROR(INDEX(Overrides!$E:$E,MATCH(A347,Overrides!$A:$A,0)),"")</f>
        <v/>
      </c>
      <c r="O347" s="21">
        <f>IFERROR(INDEX(Overrides!$D:$D,MATCH(A347,Overrides!$A:$A,0)),"")</f>
        <v/>
      </c>
      <c r="P347" s="21">
        <f>IFERROR(INDEX(Overrides!$B:$B,MATCH(A347,Overrides!$A:$A,0)),"")</f>
        <v/>
      </c>
      <c r="Q347" s="6">
        <f>IFERROR(INDEX(Overrides!$F:$F,MATCH(A347,Overrides!$A:$A,0)),"")</f>
        <v/>
      </c>
      <c r="R347" s="6">
        <f>ISNUMBER(MATCH(A347,Overrides!$A:$A,0))</f>
        <v/>
      </c>
      <c r="S347" s="6">
        <f>OR(ROUND(L347-ROUND(G347-T347,2),2)&lt;=0,AND(I347,K347&lt;&gt;"",(A347-D347+1)=K347))</f>
        <v/>
      </c>
      <c r="T347" s="21">
        <f>IF(M347&lt;&gt;"",M347,ROUND(L347*F347,2))</f>
        <v/>
      </c>
      <c r="U347" s="21">
        <f>IF(R347,IF(O347&lt;&gt;"",O347,IF(N347&lt;&gt;"",ROUND(L347-N347,2),ROUND((IF(P347&lt;&gt;"",P347,G347))-T347,2))),IF(H347,0,IF(S347,L347,ROUND(G347-T347,2))))</f>
        <v/>
      </c>
      <c r="V347" s="21">
        <f>IF(R347,IF(P347&lt;&gt;"",P347,ROUND(T347+U347,2)),IF(H347,T347,IF(S347,ROUND(T347+U347,2),G347)))</f>
        <v/>
      </c>
      <c r="W347" s="21">
        <f>IF(R347,IF(N347&lt;&gt;"",N347,ROUND(L347-U347,2)),IF(H347,L347,IF(S347,0,ROUND(L347-U347,2))))</f>
        <v/>
      </c>
      <c r="X347" s="21">
        <f>IFERROR(MIN(INDEX(LumpSums!$B:$B,MATCH(A347,LumpSums!$A:$A,0)),W347),0)</f>
        <v/>
      </c>
      <c r="Y347" s="21">
        <f>ROUND(U347+X347,2)</f>
        <v/>
      </c>
      <c r="Z347" s="21">
        <f>ROUND(V347+X347,2)</f>
        <v/>
      </c>
      <c r="AA347" s="21">
        <f>ROUND(W347-X347,2)</f>
        <v/>
      </c>
      <c r="AB347" s="6">
        <f>AND(AB346,L347&gt;0)</f>
        <v/>
      </c>
      <c r="AC347" s="21">
        <f>IF(PMI_Costs!$B$8=0,0,ROUND(PMI_Costs!$B$8*(1+PMI_Costs!$B$9/100)^INT((A347-1)/12)/12,2))</f>
        <v/>
      </c>
      <c r="AD347" s="21">
        <f>IF(PMI_Costs!$B$10=0,0,ROUND(PMI_Costs!$B$10*(1+PMI_Costs!$B$11/100)^INT((A347-1)/12)/12,2))</f>
        <v/>
      </c>
      <c r="AE347" s="21">
        <f>IF(PMI_Costs!$B$12=0,0,ROUND(PMI_Costs!$B$12*(1+PMI_Costs!$B$13/100)^INT((A347-1)/12)/12,2))</f>
        <v/>
      </c>
      <c r="AF347" s="22">
        <f>IF(PMI_Costs!$B$5=0,0,AA347/PMI_Costs!$B$5)</f>
        <v/>
      </c>
      <c r="AG347" s="6">
        <f>AND(PMI_Costs!$B$4&gt;0,AF347&gt;PMI_Costs!$B$6/100)</f>
        <v/>
      </c>
      <c r="AH347" s="21">
        <f>IF(AG347,ROUND(Segments!$G$5*PMI_Costs!$B$4/100/12,2),0)</f>
        <v/>
      </c>
      <c r="AI347" s="6">
        <f>AND(NOT(AG347),AG346)</f>
        <v/>
      </c>
    </row>
    <row r="348">
      <c r="A348" s="18" t="n">
        <v>344</v>
      </c>
      <c r="B348" s="18">
        <f>SUMPRODUCT((Segments!$J$5:$J$12&lt;&gt;"")*(Segments!$J$5:$J$12&lt;=A348))</f>
        <v/>
      </c>
      <c r="C348" s="19">
        <f>INDEX(Segments!$B$5:$B$12,B348)</f>
        <v/>
      </c>
      <c r="D348" s="18">
        <f>INDEX(Segments!$J$5:$J$12,B348)</f>
        <v/>
      </c>
      <c r="E348" s="19">
        <f>DATE(YEAR(C348)+INT((MONTH(C348)-1+(A348-D348))/12),MOD(MONTH(C348)-1+(A348-D348),12)+1,1)+(DAY(C348)-1)</f>
        <v/>
      </c>
      <c r="F348" s="20">
        <f>INDEX(Segments!$C$5:$C$12,B348)/100/12</f>
        <v/>
      </c>
      <c r="G348" s="21">
        <f>INDEX(Segments!$L$5:$L$12,B348)</f>
        <v/>
      </c>
      <c r="H348" s="6">
        <f>INDEX(Segments!$I$5:$I$12,B348)="Y"</f>
        <v/>
      </c>
      <c r="I348" s="6">
        <f>INDEX(Segments!$F$5:$F$12,B348)=""</f>
        <v/>
      </c>
      <c r="J348" s="18">
        <f>INDEX(Segments!$K$5:$K$12,B348)</f>
        <v/>
      </c>
      <c r="K348" s="18">
        <f>IF(INDEX(Segments!$F$5:$F$12,B348)&lt;&gt;"",INDEX(Segments!$F$5:$F$12,B348),IF(INDEX(Segments!$E$5:$E$12,B348)&lt;&gt;"",INDEX(Segments!$E$5:$E$12,B348),""))</f>
        <v/>
      </c>
      <c r="L348" s="21">
        <f>AA347</f>
        <v/>
      </c>
      <c r="M348" s="21">
        <f>IFERROR(INDEX(Overrides!$C:$C,MATCH(A348,Overrides!$A:$A,0)),"")</f>
        <v/>
      </c>
      <c r="N348" s="21">
        <f>IFERROR(INDEX(Overrides!$E:$E,MATCH(A348,Overrides!$A:$A,0)),"")</f>
        <v/>
      </c>
      <c r="O348" s="21">
        <f>IFERROR(INDEX(Overrides!$D:$D,MATCH(A348,Overrides!$A:$A,0)),"")</f>
        <v/>
      </c>
      <c r="P348" s="21">
        <f>IFERROR(INDEX(Overrides!$B:$B,MATCH(A348,Overrides!$A:$A,0)),"")</f>
        <v/>
      </c>
      <c r="Q348" s="6">
        <f>IFERROR(INDEX(Overrides!$F:$F,MATCH(A348,Overrides!$A:$A,0)),"")</f>
        <v/>
      </c>
      <c r="R348" s="6">
        <f>ISNUMBER(MATCH(A348,Overrides!$A:$A,0))</f>
        <v/>
      </c>
      <c r="S348" s="6">
        <f>OR(ROUND(L348-ROUND(G348-T348,2),2)&lt;=0,AND(I348,K348&lt;&gt;"",(A348-D348+1)=K348))</f>
        <v/>
      </c>
      <c r="T348" s="21">
        <f>IF(M348&lt;&gt;"",M348,ROUND(L348*F348,2))</f>
        <v/>
      </c>
      <c r="U348" s="21">
        <f>IF(R348,IF(O348&lt;&gt;"",O348,IF(N348&lt;&gt;"",ROUND(L348-N348,2),ROUND((IF(P348&lt;&gt;"",P348,G348))-T348,2))),IF(H348,0,IF(S348,L348,ROUND(G348-T348,2))))</f>
        <v/>
      </c>
      <c r="V348" s="21">
        <f>IF(R348,IF(P348&lt;&gt;"",P348,ROUND(T348+U348,2)),IF(H348,T348,IF(S348,ROUND(T348+U348,2),G348)))</f>
        <v/>
      </c>
      <c r="W348" s="21">
        <f>IF(R348,IF(N348&lt;&gt;"",N348,ROUND(L348-U348,2)),IF(H348,L348,IF(S348,0,ROUND(L348-U348,2))))</f>
        <v/>
      </c>
      <c r="X348" s="21">
        <f>IFERROR(MIN(INDEX(LumpSums!$B:$B,MATCH(A348,LumpSums!$A:$A,0)),W348),0)</f>
        <v/>
      </c>
      <c r="Y348" s="21">
        <f>ROUND(U348+X348,2)</f>
        <v/>
      </c>
      <c r="Z348" s="21">
        <f>ROUND(V348+X348,2)</f>
        <v/>
      </c>
      <c r="AA348" s="21">
        <f>ROUND(W348-X348,2)</f>
        <v/>
      </c>
      <c r="AB348" s="6">
        <f>AND(AB347,L348&gt;0)</f>
        <v/>
      </c>
      <c r="AC348" s="21">
        <f>IF(PMI_Costs!$B$8=0,0,ROUND(PMI_Costs!$B$8*(1+PMI_Costs!$B$9/100)^INT((A348-1)/12)/12,2))</f>
        <v/>
      </c>
      <c r="AD348" s="21">
        <f>IF(PMI_Costs!$B$10=0,0,ROUND(PMI_Costs!$B$10*(1+PMI_Costs!$B$11/100)^INT((A348-1)/12)/12,2))</f>
        <v/>
      </c>
      <c r="AE348" s="21">
        <f>IF(PMI_Costs!$B$12=0,0,ROUND(PMI_Costs!$B$12*(1+PMI_Costs!$B$13/100)^INT((A348-1)/12)/12,2))</f>
        <v/>
      </c>
      <c r="AF348" s="22">
        <f>IF(PMI_Costs!$B$5=0,0,AA348/PMI_Costs!$B$5)</f>
        <v/>
      </c>
      <c r="AG348" s="6">
        <f>AND(PMI_Costs!$B$4&gt;0,AF348&gt;PMI_Costs!$B$6/100)</f>
        <v/>
      </c>
      <c r="AH348" s="21">
        <f>IF(AG348,ROUND(Segments!$G$5*PMI_Costs!$B$4/100/12,2),0)</f>
        <v/>
      </c>
      <c r="AI348" s="6">
        <f>AND(NOT(AG348),AG347)</f>
        <v/>
      </c>
    </row>
    <row r="349">
      <c r="A349" s="18" t="n">
        <v>345</v>
      </c>
      <c r="B349" s="18">
        <f>SUMPRODUCT((Segments!$J$5:$J$12&lt;&gt;"")*(Segments!$J$5:$J$12&lt;=A349))</f>
        <v/>
      </c>
      <c r="C349" s="19">
        <f>INDEX(Segments!$B$5:$B$12,B349)</f>
        <v/>
      </c>
      <c r="D349" s="18">
        <f>INDEX(Segments!$J$5:$J$12,B349)</f>
        <v/>
      </c>
      <c r="E349" s="19">
        <f>DATE(YEAR(C349)+INT((MONTH(C349)-1+(A349-D349))/12),MOD(MONTH(C349)-1+(A349-D349),12)+1,1)+(DAY(C349)-1)</f>
        <v/>
      </c>
      <c r="F349" s="20">
        <f>INDEX(Segments!$C$5:$C$12,B349)/100/12</f>
        <v/>
      </c>
      <c r="G349" s="21">
        <f>INDEX(Segments!$L$5:$L$12,B349)</f>
        <v/>
      </c>
      <c r="H349" s="6">
        <f>INDEX(Segments!$I$5:$I$12,B349)="Y"</f>
        <v/>
      </c>
      <c r="I349" s="6">
        <f>INDEX(Segments!$F$5:$F$12,B349)=""</f>
        <v/>
      </c>
      <c r="J349" s="18">
        <f>INDEX(Segments!$K$5:$K$12,B349)</f>
        <v/>
      </c>
      <c r="K349" s="18">
        <f>IF(INDEX(Segments!$F$5:$F$12,B349)&lt;&gt;"",INDEX(Segments!$F$5:$F$12,B349),IF(INDEX(Segments!$E$5:$E$12,B349)&lt;&gt;"",INDEX(Segments!$E$5:$E$12,B349),""))</f>
        <v/>
      </c>
      <c r="L349" s="21">
        <f>AA348</f>
        <v/>
      </c>
      <c r="M349" s="21">
        <f>IFERROR(INDEX(Overrides!$C:$C,MATCH(A349,Overrides!$A:$A,0)),"")</f>
        <v/>
      </c>
      <c r="N349" s="21">
        <f>IFERROR(INDEX(Overrides!$E:$E,MATCH(A349,Overrides!$A:$A,0)),"")</f>
        <v/>
      </c>
      <c r="O349" s="21">
        <f>IFERROR(INDEX(Overrides!$D:$D,MATCH(A349,Overrides!$A:$A,0)),"")</f>
        <v/>
      </c>
      <c r="P349" s="21">
        <f>IFERROR(INDEX(Overrides!$B:$B,MATCH(A349,Overrides!$A:$A,0)),"")</f>
        <v/>
      </c>
      <c r="Q349" s="6">
        <f>IFERROR(INDEX(Overrides!$F:$F,MATCH(A349,Overrides!$A:$A,0)),"")</f>
        <v/>
      </c>
      <c r="R349" s="6">
        <f>ISNUMBER(MATCH(A349,Overrides!$A:$A,0))</f>
        <v/>
      </c>
      <c r="S349" s="6">
        <f>OR(ROUND(L349-ROUND(G349-T349,2),2)&lt;=0,AND(I349,K349&lt;&gt;"",(A349-D349+1)=K349))</f>
        <v/>
      </c>
      <c r="T349" s="21">
        <f>IF(M349&lt;&gt;"",M349,ROUND(L349*F349,2))</f>
        <v/>
      </c>
      <c r="U349" s="21">
        <f>IF(R349,IF(O349&lt;&gt;"",O349,IF(N349&lt;&gt;"",ROUND(L349-N349,2),ROUND((IF(P349&lt;&gt;"",P349,G349))-T349,2))),IF(H349,0,IF(S349,L349,ROUND(G349-T349,2))))</f>
        <v/>
      </c>
      <c r="V349" s="21">
        <f>IF(R349,IF(P349&lt;&gt;"",P349,ROUND(T349+U349,2)),IF(H349,T349,IF(S349,ROUND(T349+U349,2),G349)))</f>
        <v/>
      </c>
      <c r="W349" s="21">
        <f>IF(R349,IF(N349&lt;&gt;"",N349,ROUND(L349-U349,2)),IF(H349,L349,IF(S349,0,ROUND(L349-U349,2))))</f>
        <v/>
      </c>
      <c r="X349" s="21">
        <f>IFERROR(MIN(INDEX(LumpSums!$B:$B,MATCH(A349,LumpSums!$A:$A,0)),W349),0)</f>
        <v/>
      </c>
      <c r="Y349" s="21">
        <f>ROUND(U349+X349,2)</f>
        <v/>
      </c>
      <c r="Z349" s="21">
        <f>ROUND(V349+X349,2)</f>
        <v/>
      </c>
      <c r="AA349" s="21">
        <f>ROUND(W349-X349,2)</f>
        <v/>
      </c>
      <c r="AB349" s="6">
        <f>AND(AB348,L349&gt;0)</f>
        <v/>
      </c>
      <c r="AC349" s="21">
        <f>IF(PMI_Costs!$B$8=0,0,ROUND(PMI_Costs!$B$8*(1+PMI_Costs!$B$9/100)^INT((A349-1)/12)/12,2))</f>
        <v/>
      </c>
      <c r="AD349" s="21">
        <f>IF(PMI_Costs!$B$10=0,0,ROUND(PMI_Costs!$B$10*(1+PMI_Costs!$B$11/100)^INT((A349-1)/12)/12,2))</f>
        <v/>
      </c>
      <c r="AE349" s="21">
        <f>IF(PMI_Costs!$B$12=0,0,ROUND(PMI_Costs!$B$12*(1+PMI_Costs!$B$13/100)^INT((A349-1)/12)/12,2))</f>
        <v/>
      </c>
      <c r="AF349" s="22">
        <f>IF(PMI_Costs!$B$5=0,0,AA349/PMI_Costs!$B$5)</f>
        <v/>
      </c>
      <c r="AG349" s="6">
        <f>AND(PMI_Costs!$B$4&gt;0,AF349&gt;PMI_Costs!$B$6/100)</f>
        <v/>
      </c>
      <c r="AH349" s="21">
        <f>IF(AG349,ROUND(Segments!$G$5*PMI_Costs!$B$4/100/12,2),0)</f>
        <v/>
      </c>
      <c r="AI349" s="6">
        <f>AND(NOT(AG349),AG348)</f>
        <v/>
      </c>
    </row>
    <row r="350">
      <c r="A350" s="18" t="n">
        <v>346</v>
      </c>
      <c r="B350" s="18">
        <f>SUMPRODUCT((Segments!$J$5:$J$12&lt;&gt;"")*(Segments!$J$5:$J$12&lt;=A350))</f>
        <v/>
      </c>
      <c r="C350" s="19">
        <f>INDEX(Segments!$B$5:$B$12,B350)</f>
        <v/>
      </c>
      <c r="D350" s="18">
        <f>INDEX(Segments!$J$5:$J$12,B350)</f>
        <v/>
      </c>
      <c r="E350" s="19">
        <f>DATE(YEAR(C350)+INT((MONTH(C350)-1+(A350-D350))/12),MOD(MONTH(C350)-1+(A350-D350),12)+1,1)+(DAY(C350)-1)</f>
        <v/>
      </c>
      <c r="F350" s="20">
        <f>INDEX(Segments!$C$5:$C$12,B350)/100/12</f>
        <v/>
      </c>
      <c r="G350" s="21">
        <f>INDEX(Segments!$L$5:$L$12,B350)</f>
        <v/>
      </c>
      <c r="H350" s="6">
        <f>INDEX(Segments!$I$5:$I$12,B350)="Y"</f>
        <v/>
      </c>
      <c r="I350" s="6">
        <f>INDEX(Segments!$F$5:$F$12,B350)=""</f>
        <v/>
      </c>
      <c r="J350" s="18">
        <f>INDEX(Segments!$K$5:$K$12,B350)</f>
        <v/>
      </c>
      <c r="K350" s="18">
        <f>IF(INDEX(Segments!$F$5:$F$12,B350)&lt;&gt;"",INDEX(Segments!$F$5:$F$12,B350),IF(INDEX(Segments!$E$5:$E$12,B350)&lt;&gt;"",INDEX(Segments!$E$5:$E$12,B350),""))</f>
        <v/>
      </c>
      <c r="L350" s="21">
        <f>AA349</f>
        <v/>
      </c>
      <c r="M350" s="21">
        <f>IFERROR(INDEX(Overrides!$C:$C,MATCH(A350,Overrides!$A:$A,0)),"")</f>
        <v/>
      </c>
      <c r="N350" s="21">
        <f>IFERROR(INDEX(Overrides!$E:$E,MATCH(A350,Overrides!$A:$A,0)),"")</f>
        <v/>
      </c>
      <c r="O350" s="21">
        <f>IFERROR(INDEX(Overrides!$D:$D,MATCH(A350,Overrides!$A:$A,0)),"")</f>
        <v/>
      </c>
      <c r="P350" s="21">
        <f>IFERROR(INDEX(Overrides!$B:$B,MATCH(A350,Overrides!$A:$A,0)),"")</f>
        <v/>
      </c>
      <c r="Q350" s="6">
        <f>IFERROR(INDEX(Overrides!$F:$F,MATCH(A350,Overrides!$A:$A,0)),"")</f>
        <v/>
      </c>
      <c r="R350" s="6">
        <f>ISNUMBER(MATCH(A350,Overrides!$A:$A,0))</f>
        <v/>
      </c>
      <c r="S350" s="6">
        <f>OR(ROUND(L350-ROUND(G350-T350,2),2)&lt;=0,AND(I350,K350&lt;&gt;"",(A350-D350+1)=K350))</f>
        <v/>
      </c>
      <c r="T350" s="21">
        <f>IF(M350&lt;&gt;"",M350,ROUND(L350*F350,2))</f>
        <v/>
      </c>
      <c r="U350" s="21">
        <f>IF(R350,IF(O350&lt;&gt;"",O350,IF(N350&lt;&gt;"",ROUND(L350-N350,2),ROUND((IF(P350&lt;&gt;"",P350,G350))-T350,2))),IF(H350,0,IF(S350,L350,ROUND(G350-T350,2))))</f>
        <v/>
      </c>
      <c r="V350" s="21">
        <f>IF(R350,IF(P350&lt;&gt;"",P350,ROUND(T350+U350,2)),IF(H350,T350,IF(S350,ROUND(T350+U350,2),G350)))</f>
        <v/>
      </c>
      <c r="W350" s="21">
        <f>IF(R350,IF(N350&lt;&gt;"",N350,ROUND(L350-U350,2)),IF(H350,L350,IF(S350,0,ROUND(L350-U350,2))))</f>
        <v/>
      </c>
      <c r="X350" s="21">
        <f>IFERROR(MIN(INDEX(LumpSums!$B:$B,MATCH(A350,LumpSums!$A:$A,0)),W350),0)</f>
        <v/>
      </c>
      <c r="Y350" s="21">
        <f>ROUND(U350+X350,2)</f>
        <v/>
      </c>
      <c r="Z350" s="21">
        <f>ROUND(V350+X350,2)</f>
        <v/>
      </c>
      <c r="AA350" s="21">
        <f>ROUND(W350-X350,2)</f>
        <v/>
      </c>
      <c r="AB350" s="6">
        <f>AND(AB349,L350&gt;0)</f>
        <v/>
      </c>
      <c r="AC350" s="21">
        <f>IF(PMI_Costs!$B$8=0,0,ROUND(PMI_Costs!$B$8*(1+PMI_Costs!$B$9/100)^INT((A350-1)/12)/12,2))</f>
        <v/>
      </c>
      <c r="AD350" s="21">
        <f>IF(PMI_Costs!$B$10=0,0,ROUND(PMI_Costs!$B$10*(1+PMI_Costs!$B$11/100)^INT((A350-1)/12)/12,2))</f>
        <v/>
      </c>
      <c r="AE350" s="21">
        <f>IF(PMI_Costs!$B$12=0,0,ROUND(PMI_Costs!$B$12*(1+PMI_Costs!$B$13/100)^INT((A350-1)/12)/12,2))</f>
        <v/>
      </c>
      <c r="AF350" s="22">
        <f>IF(PMI_Costs!$B$5=0,0,AA350/PMI_Costs!$B$5)</f>
        <v/>
      </c>
      <c r="AG350" s="6">
        <f>AND(PMI_Costs!$B$4&gt;0,AF350&gt;PMI_Costs!$B$6/100)</f>
        <v/>
      </c>
      <c r="AH350" s="21">
        <f>IF(AG350,ROUND(Segments!$G$5*PMI_Costs!$B$4/100/12,2),0)</f>
        <v/>
      </c>
      <c r="AI350" s="6">
        <f>AND(NOT(AG350),AG349)</f>
        <v/>
      </c>
    </row>
    <row r="351">
      <c r="A351" s="18" t="n">
        <v>347</v>
      </c>
      <c r="B351" s="18">
        <f>SUMPRODUCT((Segments!$J$5:$J$12&lt;&gt;"")*(Segments!$J$5:$J$12&lt;=A351))</f>
        <v/>
      </c>
      <c r="C351" s="19">
        <f>INDEX(Segments!$B$5:$B$12,B351)</f>
        <v/>
      </c>
      <c r="D351" s="18">
        <f>INDEX(Segments!$J$5:$J$12,B351)</f>
        <v/>
      </c>
      <c r="E351" s="19">
        <f>DATE(YEAR(C351)+INT((MONTH(C351)-1+(A351-D351))/12),MOD(MONTH(C351)-1+(A351-D351),12)+1,1)+(DAY(C351)-1)</f>
        <v/>
      </c>
      <c r="F351" s="20">
        <f>INDEX(Segments!$C$5:$C$12,B351)/100/12</f>
        <v/>
      </c>
      <c r="G351" s="21">
        <f>INDEX(Segments!$L$5:$L$12,B351)</f>
        <v/>
      </c>
      <c r="H351" s="6">
        <f>INDEX(Segments!$I$5:$I$12,B351)="Y"</f>
        <v/>
      </c>
      <c r="I351" s="6">
        <f>INDEX(Segments!$F$5:$F$12,B351)=""</f>
        <v/>
      </c>
      <c r="J351" s="18">
        <f>INDEX(Segments!$K$5:$K$12,B351)</f>
        <v/>
      </c>
      <c r="K351" s="18">
        <f>IF(INDEX(Segments!$F$5:$F$12,B351)&lt;&gt;"",INDEX(Segments!$F$5:$F$12,B351),IF(INDEX(Segments!$E$5:$E$12,B351)&lt;&gt;"",INDEX(Segments!$E$5:$E$12,B351),""))</f>
        <v/>
      </c>
      <c r="L351" s="21">
        <f>AA350</f>
        <v/>
      </c>
      <c r="M351" s="21">
        <f>IFERROR(INDEX(Overrides!$C:$C,MATCH(A351,Overrides!$A:$A,0)),"")</f>
        <v/>
      </c>
      <c r="N351" s="21">
        <f>IFERROR(INDEX(Overrides!$E:$E,MATCH(A351,Overrides!$A:$A,0)),"")</f>
        <v/>
      </c>
      <c r="O351" s="21">
        <f>IFERROR(INDEX(Overrides!$D:$D,MATCH(A351,Overrides!$A:$A,0)),"")</f>
        <v/>
      </c>
      <c r="P351" s="21">
        <f>IFERROR(INDEX(Overrides!$B:$B,MATCH(A351,Overrides!$A:$A,0)),"")</f>
        <v/>
      </c>
      <c r="Q351" s="6">
        <f>IFERROR(INDEX(Overrides!$F:$F,MATCH(A351,Overrides!$A:$A,0)),"")</f>
        <v/>
      </c>
      <c r="R351" s="6">
        <f>ISNUMBER(MATCH(A351,Overrides!$A:$A,0))</f>
        <v/>
      </c>
      <c r="S351" s="6">
        <f>OR(ROUND(L351-ROUND(G351-T351,2),2)&lt;=0,AND(I351,K351&lt;&gt;"",(A351-D351+1)=K351))</f>
        <v/>
      </c>
      <c r="T351" s="21">
        <f>IF(M351&lt;&gt;"",M351,ROUND(L351*F351,2))</f>
        <v/>
      </c>
      <c r="U351" s="21">
        <f>IF(R351,IF(O351&lt;&gt;"",O351,IF(N351&lt;&gt;"",ROUND(L351-N351,2),ROUND((IF(P351&lt;&gt;"",P351,G351))-T351,2))),IF(H351,0,IF(S351,L351,ROUND(G351-T351,2))))</f>
        <v/>
      </c>
      <c r="V351" s="21">
        <f>IF(R351,IF(P351&lt;&gt;"",P351,ROUND(T351+U351,2)),IF(H351,T351,IF(S351,ROUND(T351+U351,2),G351)))</f>
        <v/>
      </c>
      <c r="W351" s="21">
        <f>IF(R351,IF(N351&lt;&gt;"",N351,ROUND(L351-U351,2)),IF(H351,L351,IF(S351,0,ROUND(L351-U351,2))))</f>
        <v/>
      </c>
      <c r="X351" s="21">
        <f>IFERROR(MIN(INDEX(LumpSums!$B:$B,MATCH(A351,LumpSums!$A:$A,0)),W351),0)</f>
        <v/>
      </c>
      <c r="Y351" s="21">
        <f>ROUND(U351+X351,2)</f>
        <v/>
      </c>
      <c r="Z351" s="21">
        <f>ROUND(V351+X351,2)</f>
        <v/>
      </c>
      <c r="AA351" s="21">
        <f>ROUND(W351-X351,2)</f>
        <v/>
      </c>
      <c r="AB351" s="6">
        <f>AND(AB350,L351&gt;0)</f>
        <v/>
      </c>
      <c r="AC351" s="21">
        <f>IF(PMI_Costs!$B$8=0,0,ROUND(PMI_Costs!$B$8*(1+PMI_Costs!$B$9/100)^INT((A351-1)/12)/12,2))</f>
        <v/>
      </c>
      <c r="AD351" s="21">
        <f>IF(PMI_Costs!$B$10=0,0,ROUND(PMI_Costs!$B$10*(1+PMI_Costs!$B$11/100)^INT((A351-1)/12)/12,2))</f>
        <v/>
      </c>
      <c r="AE351" s="21">
        <f>IF(PMI_Costs!$B$12=0,0,ROUND(PMI_Costs!$B$12*(1+PMI_Costs!$B$13/100)^INT((A351-1)/12)/12,2))</f>
        <v/>
      </c>
      <c r="AF351" s="22">
        <f>IF(PMI_Costs!$B$5=0,0,AA351/PMI_Costs!$B$5)</f>
        <v/>
      </c>
      <c r="AG351" s="6">
        <f>AND(PMI_Costs!$B$4&gt;0,AF351&gt;PMI_Costs!$B$6/100)</f>
        <v/>
      </c>
      <c r="AH351" s="21">
        <f>IF(AG351,ROUND(Segments!$G$5*PMI_Costs!$B$4/100/12,2),0)</f>
        <v/>
      </c>
      <c r="AI351" s="6">
        <f>AND(NOT(AG351),AG350)</f>
        <v/>
      </c>
    </row>
    <row r="352">
      <c r="A352" s="18" t="n">
        <v>348</v>
      </c>
      <c r="B352" s="18">
        <f>SUMPRODUCT((Segments!$J$5:$J$12&lt;&gt;"")*(Segments!$J$5:$J$12&lt;=A352))</f>
        <v/>
      </c>
      <c r="C352" s="19">
        <f>INDEX(Segments!$B$5:$B$12,B352)</f>
        <v/>
      </c>
      <c r="D352" s="18">
        <f>INDEX(Segments!$J$5:$J$12,B352)</f>
        <v/>
      </c>
      <c r="E352" s="19">
        <f>DATE(YEAR(C352)+INT((MONTH(C352)-1+(A352-D352))/12),MOD(MONTH(C352)-1+(A352-D352),12)+1,1)+(DAY(C352)-1)</f>
        <v/>
      </c>
      <c r="F352" s="20">
        <f>INDEX(Segments!$C$5:$C$12,B352)/100/12</f>
        <v/>
      </c>
      <c r="G352" s="21">
        <f>INDEX(Segments!$L$5:$L$12,B352)</f>
        <v/>
      </c>
      <c r="H352" s="6">
        <f>INDEX(Segments!$I$5:$I$12,B352)="Y"</f>
        <v/>
      </c>
      <c r="I352" s="6">
        <f>INDEX(Segments!$F$5:$F$12,B352)=""</f>
        <v/>
      </c>
      <c r="J352" s="18">
        <f>INDEX(Segments!$K$5:$K$12,B352)</f>
        <v/>
      </c>
      <c r="K352" s="18">
        <f>IF(INDEX(Segments!$F$5:$F$12,B352)&lt;&gt;"",INDEX(Segments!$F$5:$F$12,B352),IF(INDEX(Segments!$E$5:$E$12,B352)&lt;&gt;"",INDEX(Segments!$E$5:$E$12,B352),""))</f>
        <v/>
      </c>
      <c r="L352" s="21">
        <f>AA351</f>
        <v/>
      </c>
      <c r="M352" s="21">
        <f>IFERROR(INDEX(Overrides!$C:$C,MATCH(A352,Overrides!$A:$A,0)),"")</f>
        <v/>
      </c>
      <c r="N352" s="21">
        <f>IFERROR(INDEX(Overrides!$E:$E,MATCH(A352,Overrides!$A:$A,0)),"")</f>
        <v/>
      </c>
      <c r="O352" s="21">
        <f>IFERROR(INDEX(Overrides!$D:$D,MATCH(A352,Overrides!$A:$A,0)),"")</f>
        <v/>
      </c>
      <c r="P352" s="21">
        <f>IFERROR(INDEX(Overrides!$B:$B,MATCH(A352,Overrides!$A:$A,0)),"")</f>
        <v/>
      </c>
      <c r="Q352" s="6">
        <f>IFERROR(INDEX(Overrides!$F:$F,MATCH(A352,Overrides!$A:$A,0)),"")</f>
        <v/>
      </c>
      <c r="R352" s="6">
        <f>ISNUMBER(MATCH(A352,Overrides!$A:$A,0))</f>
        <v/>
      </c>
      <c r="S352" s="6">
        <f>OR(ROUND(L352-ROUND(G352-T352,2),2)&lt;=0,AND(I352,K352&lt;&gt;"",(A352-D352+1)=K352))</f>
        <v/>
      </c>
      <c r="T352" s="21">
        <f>IF(M352&lt;&gt;"",M352,ROUND(L352*F352,2))</f>
        <v/>
      </c>
      <c r="U352" s="21">
        <f>IF(R352,IF(O352&lt;&gt;"",O352,IF(N352&lt;&gt;"",ROUND(L352-N352,2),ROUND((IF(P352&lt;&gt;"",P352,G352))-T352,2))),IF(H352,0,IF(S352,L352,ROUND(G352-T352,2))))</f>
        <v/>
      </c>
      <c r="V352" s="21">
        <f>IF(R352,IF(P352&lt;&gt;"",P352,ROUND(T352+U352,2)),IF(H352,T352,IF(S352,ROUND(T352+U352,2),G352)))</f>
        <v/>
      </c>
      <c r="W352" s="21">
        <f>IF(R352,IF(N352&lt;&gt;"",N352,ROUND(L352-U352,2)),IF(H352,L352,IF(S352,0,ROUND(L352-U352,2))))</f>
        <v/>
      </c>
      <c r="X352" s="21">
        <f>IFERROR(MIN(INDEX(LumpSums!$B:$B,MATCH(A352,LumpSums!$A:$A,0)),W352),0)</f>
        <v/>
      </c>
      <c r="Y352" s="21">
        <f>ROUND(U352+X352,2)</f>
        <v/>
      </c>
      <c r="Z352" s="21">
        <f>ROUND(V352+X352,2)</f>
        <v/>
      </c>
      <c r="AA352" s="21">
        <f>ROUND(W352-X352,2)</f>
        <v/>
      </c>
      <c r="AB352" s="6">
        <f>AND(AB351,L352&gt;0)</f>
        <v/>
      </c>
      <c r="AC352" s="21">
        <f>IF(PMI_Costs!$B$8=0,0,ROUND(PMI_Costs!$B$8*(1+PMI_Costs!$B$9/100)^INT((A352-1)/12)/12,2))</f>
        <v/>
      </c>
      <c r="AD352" s="21">
        <f>IF(PMI_Costs!$B$10=0,0,ROUND(PMI_Costs!$B$10*(1+PMI_Costs!$B$11/100)^INT((A352-1)/12)/12,2))</f>
        <v/>
      </c>
      <c r="AE352" s="21">
        <f>IF(PMI_Costs!$B$12=0,0,ROUND(PMI_Costs!$B$12*(1+PMI_Costs!$B$13/100)^INT((A352-1)/12)/12,2))</f>
        <v/>
      </c>
      <c r="AF352" s="22">
        <f>IF(PMI_Costs!$B$5=0,0,AA352/PMI_Costs!$B$5)</f>
        <v/>
      </c>
      <c r="AG352" s="6">
        <f>AND(PMI_Costs!$B$4&gt;0,AF352&gt;PMI_Costs!$B$6/100)</f>
        <v/>
      </c>
      <c r="AH352" s="21">
        <f>IF(AG352,ROUND(Segments!$G$5*PMI_Costs!$B$4/100/12,2),0)</f>
        <v/>
      </c>
      <c r="AI352" s="6">
        <f>AND(NOT(AG352),AG351)</f>
        <v/>
      </c>
    </row>
    <row r="353">
      <c r="A353" s="18" t="n">
        <v>349</v>
      </c>
      <c r="B353" s="18">
        <f>SUMPRODUCT((Segments!$J$5:$J$12&lt;&gt;"")*(Segments!$J$5:$J$12&lt;=A353))</f>
        <v/>
      </c>
      <c r="C353" s="19">
        <f>INDEX(Segments!$B$5:$B$12,B353)</f>
        <v/>
      </c>
      <c r="D353" s="18">
        <f>INDEX(Segments!$J$5:$J$12,B353)</f>
        <v/>
      </c>
      <c r="E353" s="19">
        <f>DATE(YEAR(C353)+INT((MONTH(C353)-1+(A353-D353))/12),MOD(MONTH(C353)-1+(A353-D353),12)+1,1)+(DAY(C353)-1)</f>
        <v/>
      </c>
      <c r="F353" s="20">
        <f>INDEX(Segments!$C$5:$C$12,B353)/100/12</f>
        <v/>
      </c>
      <c r="G353" s="21">
        <f>INDEX(Segments!$L$5:$L$12,B353)</f>
        <v/>
      </c>
      <c r="H353" s="6">
        <f>INDEX(Segments!$I$5:$I$12,B353)="Y"</f>
        <v/>
      </c>
      <c r="I353" s="6">
        <f>INDEX(Segments!$F$5:$F$12,B353)=""</f>
        <v/>
      </c>
      <c r="J353" s="18">
        <f>INDEX(Segments!$K$5:$K$12,B353)</f>
        <v/>
      </c>
      <c r="K353" s="18">
        <f>IF(INDEX(Segments!$F$5:$F$12,B353)&lt;&gt;"",INDEX(Segments!$F$5:$F$12,B353),IF(INDEX(Segments!$E$5:$E$12,B353)&lt;&gt;"",INDEX(Segments!$E$5:$E$12,B353),""))</f>
        <v/>
      </c>
      <c r="L353" s="21">
        <f>AA352</f>
        <v/>
      </c>
      <c r="M353" s="21">
        <f>IFERROR(INDEX(Overrides!$C:$C,MATCH(A353,Overrides!$A:$A,0)),"")</f>
        <v/>
      </c>
      <c r="N353" s="21">
        <f>IFERROR(INDEX(Overrides!$E:$E,MATCH(A353,Overrides!$A:$A,0)),"")</f>
        <v/>
      </c>
      <c r="O353" s="21">
        <f>IFERROR(INDEX(Overrides!$D:$D,MATCH(A353,Overrides!$A:$A,0)),"")</f>
        <v/>
      </c>
      <c r="P353" s="21">
        <f>IFERROR(INDEX(Overrides!$B:$B,MATCH(A353,Overrides!$A:$A,0)),"")</f>
        <v/>
      </c>
      <c r="Q353" s="6">
        <f>IFERROR(INDEX(Overrides!$F:$F,MATCH(A353,Overrides!$A:$A,0)),"")</f>
        <v/>
      </c>
      <c r="R353" s="6">
        <f>ISNUMBER(MATCH(A353,Overrides!$A:$A,0))</f>
        <v/>
      </c>
      <c r="S353" s="6">
        <f>OR(ROUND(L353-ROUND(G353-T353,2),2)&lt;=0,AND(I353,K353&lt;&gt;"",(A353-D353+1)=K353))</f>
        <v/>
      </c>
      <c r="T353" s="21">
        <f>IF(M353&lt;&gt;"",M353,ROUND(L353*F353,2))</f>
        <v/>
      </c>
      <c r="U353" s="21">
        <f>IF(R353,IF(O353&lt;&gt;"",O353,IF(N353&lt;&gt;"",ROUND(L353-N353,2),ROUND((IF(P353&lt;&gt;"",P353,G353))-T353,2))),IF(H353,0,IF(S353,L353,ROUND(G353-T353,2))))</f>
        <v/>
      </c>
      <c r="V353" s="21">
        <f>IF(R353,IF(P353&lt;&gt;"",P353,ROUND(T353+U353,2)),IF(H353,T353,IF(S353,ROUND(T353+U353,2),G353)))</f>
        <v/>
      </c>
      <c r="W353" s="21">
        <f>IF(R353,IF(N353&lt;&gt;"",N353,ROUND(L353-U353,2)),IF(H353,L353,IF(S353,0,ROUND(L353-U353,2))))</f>
        <v/>
      </c>
      <c r="X353" s="21">
        <f>IFERROR(MIN(INDEX(LumpSums!$B:$B,MATCH(A353,LumpSums!$A:$A,0)),W353),0)</f>
        <v/>
      </c>
      <c r="Y353" s="21">
        <f>ROUND(U353+X353,2)</f>
        <v/>
      </c>
      <c r="Z353" s="21">
        <f>ROUND(V353+X353,2)</f>
        <v/>
      </c>
      <c r="AA353" s="21">
        <f>ROUND(W353-X353,2)</f>
        <v/>
      </c>
      <c r="AB353" s="6">
        <f>AND(AB352,L353&gt;0)</f>
        <v/>
      </c>
      <c r="AC353" s="21">
        <f>IF(PMI_Costs!$B$8=0,0,ROUND(PMI_Costs!$B$8*(1+PMI_Costs!$B$9/100)^INT((A353-1)/12)/12,2))</f>
        <v/>
      </c>
      <c r="AD353" s="21">
        <f>IF(PMI_Costs!$B$10=0,0,ROUND(PMI_Costs!$B$10*(1+PMI_Costs!$B$11/100)^INT((A353-1)/12)/12,2))</f>
        <v/>
      </c>
      <c r="AE353" s="21">
        <f>IF(PMI_Costs!$B$12=0,0,ROUND(PMI_Costs!$B$12*(1+PMI_Costs!$B$13/100)^INT((A353-1)/12)/12,2))</f>
        <v/>
      </c>
      <c r="AF353" s="22">
        <f>IF(PMI_Costs!$B$5=0,0,AA353/PMI_Costs!$B$5)</f>
        <v/>
      </c>
      <c r="AG353" s="6">
        <f>AND(PMI_Costs!$B$4&gt;0,AF353&gt;PMI_Costs!$B$6/100)</f>
        <v/>
      </c>
      <c r="AH353" s="21">
        <f>IF(AG353,ROUND(Segments!$G$5*PMI_Costs!$B$4/100/12,2),0)</f>
        <v/>
      </c>
      <c r="AI353" s="6">
        <f>AND(NOT(AG353),AG352)</f>
        <v/>
      </c>
    </row>
    <row r="354">
      <c r="A354" s="18" t="n">
        <v>350</v>
      </c>
      <c r="B354" s="18">
        <f>SUMPRODUCT((Segments!$J$5:$J$12&lt;&gt;"")*(Segments!$J$5:$J$12&lt;=A354))</f>
        <v/>
      </c>
      <c r="C354" s="19">
        <f>INDEX(Segments!$B$5:$B$12,B354)</f>
        <v/>
      </c>
      <c r="D354" s="18">
        <f>INDEX(Segments!$J$5:$J$12,B354)</f>
        <v/>
      </c>
      <c r="E354" s="19">
        <f>DATE(YEAR(C354)+INT((MONTH(C354)-1+(A354-D354))/12),MOD(MONTH(C354)-1+(A354-D354),12)+1,1)+(DAY(C354)-1)</f>
        <v/>
      </c>
      <c r="F354" s="20">
        <f>INDEX(Segments!$C$5:$C$12,B354)/100/12</f>
        <v/>
      </c>
      <c r="G354" s="21">
        <f>INDEX(Segments!$L$5:$L$12,B354)</f>
        <v/>
      </c>
      <c r="H354" s="6">
        <f>INDEX(Segments!$I$5:$I$12,B354)="Y"</f>
        <v/>
      </c>
      <c r="I354" s="6">
        <f>INDEX(Segments!$F$5:$F$12,B354)=""</f>
        <v/>
      </c>
      <c r="J354" s="18">
        <f>INDEX(Segments!$K$5:$K$12,B354)</f>
        <v/>
      </c>
      <c r="K354" s="18">
        <f>IF(INDEX(Segments!$F$5:$F$12,B354)&lt;&gt;"",INDEX(Segments!$F$5:$F$12,B354),IF(INDEX(Segments!$E$5:$E$12,B354)&lt;&gt;"",INDEX(Segments!$E$5:$E$12,B354),""))</f>
        <v/>
      </c>
      <c r="L354" s="21">
        <f>AA353</f>
        <v/>
      </c>
      <c r="M354" s="21">
        <f>IFERROR(INDEX(Overrides!$C:$C,MATCH(A354,Overrides!$A:$A,0)),"")</f>
        <v/>
      </c>
      <c r="N354" s="21">
        <f>IFERROR(INDEX(Overrides!$E:$E,MATCH(A354,Overrides!$A:$A,0)),"")</f>
        <v/>
      </c>
      <c r="O354" s="21">
        <f>IFERROR(INDEX(Overrides!$D:$D,MATCH(A354,Overrides!$A:$A,0)),"")</f>
        <v/>
      </c>
      <c r="P354" s="21">
        <f>IFERROR(INDEX(Overrides!$B:$B,MATCH(A354,Overrides!$A:$A,0)),"")</f>
        <v/>
      </c>
      <c r="Q354" s="6">
        <f>IFERROR(INDEX(Overrides!$F:$F,MATCH(A354,Overrides!$A:$A,0)),"")</f>
        <v/>
      </c>
      <c r="R354" s="6">
        <f>ISNUMBER(MATCH(A354,Overrides!$A:$A,0))</f>
        <v/>
      </c>
      <c r="S354" s="6">
        <f>OR(ROUND(L354-ROUND(G354-T354,2),2)&lt;=0,AND(I354,K354&lt;&gt;"",(A354-D354+1)=K354))</f>
        <v/>
      </c>
      <c r="T354" s="21">
        <f>IF(M354&lt;&gt;"",M354,ROUND(L354*F354,2))</f>
        <v/>
      </c>
      <c r="U354" s="21">
        <f>IF(R354,IF(O354&lt;&gt;"",O354,IF(N354&lt;&gt;"",ROUND(L354-N354,2),ROUND((IF(P354&lt;&gt;"",P354,G354))-T354,2))),IF(H354,0,IF(S354,L354,ROUND(G354-T354,2))))</f>
        <v/>
      </c>
      <c r="V354" s="21">
        <f>IF(R354,IF(P354&lt;&gt;"",P354,ROUND(T354+U354,2)),IF(H354,T354,IF(S354,ROUND(T354+U354,2),G354)))</f>
        <v/>
      </c>
      <c r="W354" s="21">
        <f>IF(R354,IF(N354&lt;&gt;"",N354,ROUND(L354-U354,2)),IF(H354,L354,IF(S354,0,ROUND(L354-U354,2))))</f>
        <v/>
      </c>
      <c r="X354" s="21">
        <f>IFERROR(MIN(INDEX(LumpSums!$B:$B,MATCH(A354,LumpSums!$A:$A,0)),W354),0)</f>
        <v/>
      </c>
      <c r="Y354" s="21">
        <f>ROUND(U354+X354,2)</f>
        <v/>
      </c>
      <c r="Z354" s="21">
        <f>ROUND(V354+X354,2)</f>
        <v/>
      </c>
      <c r="AA354" s="21">
        <f>ROUND(W354-X354,2)</f>
        <v/>
      </c>
      <c r="AB354" s="6">
        <f>AND(AB353,L354&gt;0)</f>
        <v/>
      </c>
      <c r="AC354" s="21">
        <f>IF(PMI_Costs!$B$8=0,0,ROUND(PMI_Costs!$B$8*(1+PMI_Costs!$B$9/100)^INT((A354-1)/12)/12,2))</f>
        <v/>
      </c>
      <c r="AD354" s="21">
        <f>IF(PMI_Costs!$B$10=0,0,ROUND(PMI_Costs!$B$10*(1+PMI_Costs!$B$11/100)^INT((A354-1)/12)/12,2))</f>
        <v/>
      </c>
      <c r="AE354" s="21">
        <f>IF(PMI_Costs!$B$12=0,0,ROUND(PMI_Costs!$B$12*(1+PMI_Costs!$B$13/100)^INT((A354-1)/12)/12,2))</f>
        <v/>
      </c>
      <c r="AF354" s="22">
        <f>IF(PMI_Costs!$B$5=0,0,AA354/PMI_Costs!$B$5)</f>
        <v/>
      </c>
      <c r="AG354" s="6">
        <f>AND(PMI_Costs!$B$4&gt;0,AF354&gt;PMI_Costs!$B$6/100)</f>
        <v/>
      </c>
      <c r="AH354" s="21">
        <f>IF(AG354,ROUND(Segments!$G$5*PMI_Costs!$B$4/100/12,2),0)</f>
        <v/>
      </c>
      <c r="AI354" s="6">
        <f>AND(NOT(AG354),AG353)</f>
        <v/>
      </c>
    </row>
    <row r="355">
      <c r="A355" s="18" t="n">
        <v>351</v>
      </c>
      <c r="B355" s="18">
        <f>SUMPRODUCT((Segments!$J$5:$J$12&lt;&gt;"")*(Segments!$J$5:$J$12&lt;=A355))</f>
        <v/>
      </c>
      <c r="C355" s="19">
        <f>INDEX(Segments!$B$5:$B$12,B355)</f>
        <v/>
      </c>
      <c r="D355" s="18">
        <f>INDEX(Segments!$J$5:$J$12,B355)</f>
        <v/>
      </c>
      <c r="E355" s="19">
        <f>DATE(YEAR(C355)+INT((MONTH(C355)-1+(A355-D355))/12),MOD(MONTH(C355)-1+(A355-D355),12)+1,1)+(DAY(C355)-1)</f>
        <v/>
      </c>
      <c r="F355" s="20">
        <f>INDEX(Segments!$C$5:$C$12,B355)/100/12</f>
        <v/>
      </c>
      <c r="G355" s="21">
        <f>INDEX(Segments!$L$5:$L$12,B355)</f>
        <v/>
      </c>
      <c r="H355" s="6">
        <f>INDEX(Segments!$I$5:$I$12,B355)="Y"</f>
        <v/>
      </c>
      <c r="I355" s="6">
        <f>INDEX(Segments!$F$5:$F$12,B355)=""</f>
        <v/>
      </c>
      <c r="J355" s="18">
        <f>INDEX(Segments!$K$5:$K$12,B355)</f>
        <v/>
      </c>
      <c r="K355" s="18">
        <f>IF(INDEX(Segments!$F$5:$F$12,B355)&lt;&gt;"",INDEX(Segments!$F$5:$F$12,B355),IF(INDEX(Segments!$E$5:$E$12,B355)&lt;&gt;"",INDEX(Segments!$E$5:$E$12,B355),""))</f>
        <v/>
      </c>
      <c r="L355" s="21">
        <f>AA354</f>
        <v/>
      </c>
      <c r="M355" s="21">
        <f>IFERROR(INDEX(Overrides!$C:$C,MATCH(A355,Overrides!$A:$A,0)),"")</f>
        <v/>
      </c>
      <c r="N355" s="21">
        <f>IFERROR(INDEX(Overrides!$E:$E,MATCH(A355,Overrides!$A:$A,0)),"")</f>
        <v/>
      </c>
      <c r="O355" s="21">
        <f>IFERROR(INDEX(Overrides!$D:$D,MATCH(A355,Overrides!$A:$A,0)),"")</f>
        <v/>
      </c>
      <c r="P355" s="21">
        <f>IFERROR(INDEX(Overrides!$B:$B,MATCH(A355,Overrides!$A:$A,0)),"")</f>
        <v/>
      </c>
      <c r="Q355" s="6">
        <f>IFERROR(INDEX(Overrides!$F:$F,MATCH(A355,Overrides!$A:$A,0)),"")</f>
        <v/>
      </c>
      <c r="R355" s="6">
        <f>ISNUMBER(MATCH(A355,Overrides!$A:$A,0))</f>
        <v/>
      </c>
      <c r="S355" s="6">
        <f>OR(ROUND(L355-ROUND(G355-T355,2),2)&lt;=0,AND(I355,K355&lt;&gt;"",(A355-D355+1)=K355))</f>
        <v/>
      </c>
      <c r="T355" s="21">
        <f>IF(M355&lt;&gt;"",M355,ROUND(L355*F355,2))</f>
        <v/>
      </c>
      <c r="U355" s="21">
        <f>IF(R355,IF(O355&lt;&gt;"",O355,IF(N355&lt;&gt;"",ROUND(L355-N355,2),ROUND((IF(P355&lt;&gt;"",P355,G355))-T355,2))),IF(H355,0,IF(S355,L355,ROUND(G355-T355,2))))</f>
        <v/>
      </c>
      <c r="V355" s="21">
        <f>IF(R355,IF(P355&lt;&gt;"",P355,ROUND(T355+U355,2)),IF(H355,T355,IF(S355,ROUND(T355+U355,2),G355)))</f>
        <v/>
      </c>
      <c r="W355" s="21">
        <f>IF(R355,IF(N355&lt;&gt;"",N355,ROUND(L355-U355,2)),IF(H355,L355,IF(S355,0,ROUND(L355-U355,2))))</f>
        <v/>
      </c>
      <c r="X355" s="21">
        <f>IFERROR(MIN(INDEX(LumpSums!$B:$B,MATCH(A355,LumpSums!$A:$A,0)),W355),0)</f>
        <v/>
      </c>
      <c r="Y355" s="21">
        <f>ROUND(U355+X355,2)</f>
        <v/>
      </c>
      <c r="Z355" s="21">
        <f>ROUND(V355+X355,2)</f>
        <v/>
      </c>
      <c r="AA355" s="21">
        <f>ROUND(W355-X355,2)</f>
        <v/>
      </c>
      <c r="AB355" s="6">
        <f>AND(AB354,L355&gt;0)</f>
        <v/>
      </c>
      <c r="AC355" s="21">
        <f>IF(PMI_Costs!$B$8=0,0,ROUND(PMI_Costs!$B$8*(1+PMI_Costs!$B$9/100)^INT((A355-1)/12)/12,2))</f>
        <v/>
      </c>
      <c r="AD355" s="21">
        <f>IF(PMI_Costs!$B$10=0,0,ROUND(PMI_Costs!$B$10*(1+PMI_Costs!$B$11/100)^INT((A355-1)/12)/12,2))</f>
        <v/>
      </c>
      <c r="AE355" s="21">
        <f>IF(PMI_Costs!$B$12=0,0,ROUND(PMI_Costs!$B$12*(1+PMI_Costs!$B$13/100)^INT((A355-1)/12)/12,2))</f>
        <v/>
      </c>
      <c r="AF355" s="22">
        <f>IF(PMI_Costs!$B$5=0,0,AA355/PMI_Costs!$B$5)</f>
        <v/>
      </c>
      <c r="AG355" s="6">
        <f>AND(PMI_Costs!$B$4&gt;0,AF355&gt;PMI_Costs!$B$6/100)</f>
        <v/>
      </c>
      <c r="AH355" s="21">
        <f>IF(AG355,ROUND(Segments!$G$5*PMI_Costs!$B$4/100/12,2),0)</f>
        <v/>
      </c>
      <c r="AI355" s="6">
        <f>AND(NOT(AG355),AG354)</f>
        <v/>
      </c>
    </row>
    <row r="356">
      <c r="A356" s="18" t="n">
        <v>352</v>
      </c>
      <c r="B356" s="18">
        <f>SUMPRODUCT((Segments!$J$5:$J$12&lt;&gt;"")*(Segments!$J$5:$J$12&lt;=A356))</f>
        <v/>
      </c>
      <c r="C356" s="19">
        <f>INDEX(Segments!$B$5:$B$12,B356)</f>
        <v/>
      </c>
      <c r="D356" s="18">
        <f>INDEX(Segments!$J$5:$J$12,B356)</f>
        <v/>
      </c>
      <c r="E356" s="19">
        <f>DATE(YEAR(C356)+INT((MONTH(C356)-1+(A356-D356))/12),MOD(MONTH(C356)-1+(A356-D356),12)+1,1)+(DAY(C356)-1)</f>
        <v/>
      </c>
      <c r="F356" s="20">
        <f>INDEX(Segments!$C$5:$C$12,B356)/100/12</f>
        <v/>
      </c>
      <c r="G356" s="21">
        <f>INDEX(Segments!$L$5:$L$12,B356)</f>
        <v/>
      </c>
      <c r="H356" s="6">
        <f>INDEX(Segments!$I$5:$I$12,B356)="Y"</f>
        <v/>
      </c>
      <c r="I356" s="6">
        <f>INDEX(Segments!$F$5:$F$12,B356)=""</f>
        <v/>
      </c>
      <c r="J356" s="18">
        <f>INDEX(Segments!$K$5:$K$12,B356)</f>
        <v/>
      </c>
      <c r="K356" s="18">
        <f>IF(INDEX(Segments!$F$5:$F$12,B356)&lt;&gt;"",INDEX(Segments!$F$5:$F$12,B356),IF(INDEX(Segments!$E$5:$E$12,B356)&lt;&gt;"",INDEX(Segments!$E$5:$E$12,B356),""))</f>
        <v/>
      </c>
      <c r="L356" s="21">
        <f>AA355</f>
        <v/>
      </c>
      <c r="M356" s="21">
        <f>IFERROR(INDEX(Overrides!$C:$C,MATCH(A356,Overrides!$A:$A,0)),"")</f>
        <v/>
      </c>
      <c r="N356" s="21">
        <f>IFERROR(INDEX(Overrides!$E:$E,MATCH(A356,Overrides!$A:$A,0)),"")</f>
        <v/>
      </c>
      <c r="O356" s="21">
        <f>IFERROR(INDEX(Overrides!$D:$D,MATCH(A356,Overrides!$A:$A,0)),"")</f>
        <v/>
      </c>
      <c r="P356" s="21">
        <f>IFERROR(INDEX(Overrides!$B:$B,MATCH(A356,Overrides!$A:$A,0)),"")</f>
        <v/>
      </c>
      <c r="Q356" s="6">
        <f>IFERROR(INDEX(Overrides!$F:$F,MATCH(A356,Overrides!$A:$A,0)),"")</f>
        <v/>
      </c>
      <c r="R356" s="6">
        <f>ISNUMBER(MATCH(A356,Overrides!$A:$A,0))</f>
        <v/>
      </c>
      <c r="S356" s="6">
        <f>OR(ROUND(L356-ROUND(G356-T356,2),2)&lt;=0,AND(I356,K356&lt;&gt;"",(A356-D356+1)=K356))</f>
        <v/>
      </c>
      <c r="T356" s="21">
        <f>IF(M356&lt;&gt;"",M356,ROUND(L356*F356,2))</f>
        <v/>
      </c>
      <c r="U356" s="21">
        <f>IF(R356,IF(O356&lt;&gt;"",O356,IF(N356&lt;&gt;"",ROUND(L356-N356,2),ROUND((IF(P356&lt;&gt;"",P356,G356))-T356,2))),IF(H356,0,IF(S356,L356,ROUND(G356-T356,2))))</f>
        <v/>
      </c>
      <c r="V356" s="21">
        <f>IF(R356,IF(P356&lt;&gt;"",P356,ROUND(T356+U356,2)),IF(H356,T356,IF(S356,ROUND(T356+U356,2),G356)))</f>
        <v/>
      </c>
      <c r="W356" s="21">
        <f>IF(R356,IF(N356&lt;&gt;"",N356,ROUND(L356-U356,2)),IF(H356,L356,IF(S356,0,ROUND(L356-U356,2))))</f>
        <v/>
      </c>
      <c r="X356" s="21">
        <f>IFERROR(MIN(INDEX(LumpSums!$B:$B,MATCH(A356,LumpSums!$A:$A,0)),W356),0)</f>
        <v/>
      </c>
      <c r="Y356" s="21">
        <f>ROUND(U356+X356,2)</f>
        <v/>
      </c>
      <c r="Z356" s="21">
        <f>ROUND(V356+X356,2)</f>
        <v/>
      </c>
      <c r="AA356" s="21">
        <f>ROUND(W356-X356,2)</f>
        <v/>
      </c>
      <c r="AB356" s="6">
        <f>AND(AB355,L356&gt;0)</f>
        <v/>
      </c>
      <c r="AC356" s="21">
        <f>IF(PMI_Costs!$B$8=0,0,ROUND(PMI_Costs!$B$8*(1+PMI_Costs!$B$9/100)^INT((A356-1)/12)/12,2))</f>
        <v/>
      </c>
      <c r="AD356" s="21">
        <f>IF(PMI_Costs!$B$10=0,0,ROUND(PMI_Costs!$B$10*(1+PMI_Costs!$B$11/100)^INT((A356-1)/12)/12,2))</f>
        <v/>
      </c>
      <c r="AE356" s="21">
        <f>IF(PMI_Costs!$B$12=0,0,ROUND(PMI_Costs!$B$12*(1+PMI_Costs!$B$13/100)^INT((A356-1)/12)/12,2))</f>
        <v/>
      </c>
      <c r="AF356" s="22">
        <f>IF(PMI_Costs!$B$5=0,0,AA356/PMI_Costs!$B$5)</f>
        <v/>
      </c>
      <c r="AG356" s="6">
        <f>AND(PMI_Costs!$B$4&gt;0,AF356&gt;PMI_Costs!$B$6/100)</f>
        <v/>
      </c>
      <c r="AH356" s="21">
        <f>IF(AG356,ROUND(Segments!$G$5*PMI_Costs!$B$4/100/12,2),0)</f>
        <v/>
      </c>
      <c r="AI356" s="6">
        <f>AND(NOT(AG356),AG355)</f>
        <v/>
      </c>
    </row>
    <row r="357">
      <c r="A357" s="18" t="n">
        <v>353</v>
      </c>
      <c r="B357" s="18">
        <f>SUMPRODUCT((Segments!$J$5:$J$12&lt;&gt;"")*(Segments!$J$5:$J$12&lt;=A357))</f>
        <v/>
      </c>
      <c r="C357" s="19">
        <f>INDEX(Segments!$B$5:$B$12,B357)</f>
        <v/>
      </c>
      <c r="D357" s="18">
        <f>INDEX(Segments!$J$5:$J$12,B357)</f>
        <v/>
      </c>
      <c r="E357" s="19">
        <f>DATE(YEAR(C357)+INT((MONTH(C357)-1+(A357-D357))/12),MOD(MONTH(C357)-1+(A357-D357),12)+1,1)+(DAY(C357)-1)</f>
        <v/>
      </c>
      <c r="F357" s="20">
        <f>INDEX(Segments!$C$5:$C$12,B357)/100/12</f>
        <v/>
      </c>
      <c r="G357" s="21">
        <f>INDEX(Segments!$L$5:$L$12,B357)</f>
        <v/>
      </c>
      <c r="H357" s="6">
        <f>INDEX(Segments!$I$5:$I$12,B357)="Y"</f>
        <v/>
      </c>
      <c r="I357" s="6">
        <f>INDEX(Segments!$F$5:$F$12,B357)=""</f>
        <v/>
      </c>
      <c r="J357" s="18">
        <f>INDEX(Segments!$K$5:$K$12,B357)</f>
        <v/>
      </c>
      <c r="K357" s="18">
        <f>IF(INDEX(Segments!$F$5:$F$12,B357)&lt;&gt;"",INDEX(Segments!$F$5:$F$12,B357),IF(INDEX(Segments!$E$5:$E$12,B357)&lt;&gt;"",INDEX(Segments!$E$5:$E$12,B357),""))</f>
        <v/>
      </c>
      <c r="L357" s="21">
        <f>AA356</f>
        <v/>
      </c>
      <c r="M357" s="21">
        <f>IFERROR(INDEX(Overrides!$C:$C,MATCH(A357,Overrides!$A:$A,0)),"")</f>
        <v/>
      </c>
      <c r="N357" s="21">
        <f>IFERROR(INDEX(Overrides!$E:$E,MATCH(A357,Overrides!$A:$A,0)),"")</f>
        <v/>
      </c>
      <c r="O357" s="21">
        <f>IFERROR(INDEX(Overrides!$D:$D,MATCH(A357,Overrides!$A:$A,0)),"")</f>
        <v/>
      </c>
      <c r="P357" s="21">
        <f>IFERROR(INDEX(Overrides!$B:$B,MATCH(A357,Overrides!$A:$A,0)),"")</f>
        <v/>
      </c>
      <c r="Q357" s="6">
        <f>IFERROR(INDEX(Overrides!$F:$F,MATCH(A357,Overrides!$A:$A,0)),"")</f>
        <v/>
      </c>
      <c r="R357" s="6">
        <f>ISNUMBER(MATCH(A357,Overrides!$A:$A,0))</f>
        <v/>
      </c>
      <c r="S357" s="6">
        <f>OR(ROUND(L357-ROUND(G357-T357,2),2)&lt;=0,AND(I357,K357&lt;&gt;"",(A357-D357+1)=K357))</f>
        <v/>
      </c>
      <c r="T357" s="21">
        <f>IF(M357&lt;&gt;"",M357,ROUND(L357*F357,2))</f>
        <v/>
      </c>
      <c r="U357" s="21">
        <f>IF(R357,IF(O357&lt;&gt;"",O357,IF(N357&lt;&gt;"",ROUND(L357-N357,2),ROUND((IF(P357&lt;&gt;"",P357,G357))-T357,2))),IF(H357,0,IF(S357,L357,ROUND(G357-T357,2))))</f>
        <v/>
      </c>
      <c r="V357" s="21">
        <f>IF(R357,IF(P357&lt;&gt;"",P357,ROUND(T357+U357,2)),IF(H357,T357,IF(S357,ROUND(T357+U357,2),G357)))</f>
        <v/>
      </c>
      <c r="W357" s="21">
        <f>IF(R357,IF(N357&lt;&gt;"",N357,ROUND(L357-U357,2)),IF(H357,L357,IF(S357,0,ROUND(L357-U357,2))))</f>
        <v/>
      </c>
      <c r="X357" s="21">
        <f>IFERROR(MIN(INDEX(LumpSums!$B:$B,MATCH(A357,LumpSums!$A:$A,0)),W357),0)</f>
        <v/>
      </c>
      <c r="Y357" s="21">
        <f>ROUND(U357+X357,2)</f>
        <v/>
      </c>
      <c r="Z357" s="21">
        <f>ROUND(V357+X357,2)</f>
        <v/>
      </c>
      <c r="AA357" s="21">
        <f>ROUND(W357-X357,2)</f>
        <v/>
      </c>
      <c r="AB357" s="6">
        <f>AND(AB356,L357&gt;0)</f>
        <v/>
      </c>
      <c r="AC357" s="21">
        <f>IF(PMI_Costs!$B$8=0,0,ROUND(PMI_Costs!$B$8*(1+PMI_Costs!$B$9/100)^INT((A357-1)/12)/12,2))</f>
        <v/>
      </c>
      <c r="AD357" s="21">
        <f>IF(PMI_Costs!$B$10=0,0,ROUND(PMI_Costs!$B$10*(1+PMI_Costs!$B$11/100)^INT((A357-1)/12)/12,2))</f>
        <v/>
      </c>
      <c r="AE357" s="21">
        <f>IF(PMI_Costs!$B$12=0,0,ROUND(PMI_Costs!$B$12*(1+PMI_Costs!$B$13/100)^INT((A357-1)/12)/12,2))</f>
        <v/>
      </c>
      <c r="AF357" s="22">
        <f>IF(PMI_Costs!$B$5=0,0,AA357/PMI_Costs!$B$5)</f>
        <v/>
      </c>
      <c r="AG357" s="6">
        <f>AND(PMI_Costs!$B$4&gt;0,AF357&gt;PMI_Costs!$B$6/100)</f>
        <v/>
      </c>
      <c r="AH357" s="21">
        <f>IF(AG357,ROUND(Segments!$G$5*PMI_Costs!$B$4/100/12,2),0)</f>
        <v/>
      </c>
      <c r="AI357" s="6">
        <f>AND(NOT(AG357),AG356)</f>
        <v/>
      </c>
    </row>
    <row r="358">
      <c r="A358" s="18" t="n">
        <v>354</v>
      </c>
      <c r="B358" s="18">
        <f>SUMPRODUCT((Segments!$J$5:$J$12&lt;&gt;"")*(Segments!$J$5:$J$12&lt;=A358))</f>
        <v/>
      </c>
      <c r="C358" s="19">
        <f>INDEX(Segments!$B$5:$B$12,B358)</f>
        <v/>
      </c>
      <c r="D358" s="18">
        <f>INDEX(Segments!$J$5:$J$12,B358)</f>
        <v/>
      </c>
      <c r="E358" s="19">
        <f>DATE(YEAR(C358)+INT((MONTH(C358)-1+(A358-D358))/12),MOD(MONTH(C358)-1+(A358-D358),12)+1,1)+(DAY(C358)-1)</f>
        <v/>
      </c>
      <c r="F358" s="20">
        <f>INDEX(Segments!$C$5:$C$12,B358)/100/12</f>
        <v/>
      </c>
      <c r="G358" s="21">
        <f>INDEX(Segments!$L$5:$L$12,B358)</f>
        <v/>
      </c>
      <c r="H358" s="6">
        <f>INDEX(Segments!$I$5:$I$12,B358)="Y"</f>
        <v/>
      </c>
      <c r="I358" s="6">
        <f>INDEX(Segments!$F$5:$F$12,B358)=""</f>
        <v/>
      </c>
      <c r="J358" s="18">
        <f>INDEX(Segments!$K$5:$K$12,B358)</f>
        <v/>
      </c>
      <c r="K358" s="18">
        <f>IF(INDEX(Segments!$F$5:$F$12,B358)&lt;&gt;"",INDEX(Segments!$F$5:$F$12,B358),IF(INDEX(Segments!$E$5:$E$12,B358)&lt;&gt;"",INDEX(Segments!$E$5:$E$12,B358),""))</f>
        <v/>
      </c>
      <c r="L358" s="21">
        <f>AA357</f>
        <v/>
      </c>
      <c r="M358" s="21">
        <f>IFERROR(INDEX(Overrides!$C:$C,MATCH(A358,Overrides!$A:$A,0)),"")</f>
        <v/>
      </c>
      <c r="N358" s="21">
        <f>IFERROR(INDEX(Overrides!$E:$E,MATCH(A358,Overrides!$A:$A,0)),"")</f>
        <v/>
      </c>
      <c r="O358" s="21">
        <f>IFERROR(INDEX(Overrides!$D:$D,MATCH(A358,Overrides!$A:$A,0)),"")</f>
        <v/>
      </c>
      <c r="P358" s="21">
        <f>IFERROR(INDEX(Overrides!$B:$B,MATCH(A358,Overrides!$A:$A,0)),"")</f>
        <v/>
      </c>
      <c r="Q358" s="6">
        <f>IFERROR(INDEX(Overrides!$F:$F,MATCH(A358,Overrides!$A:$A,0)),"")</f>
        <v/>
      </c>
      <c r="R358" s="6">
        <f>ISNUMBER(MATCH(A358,Overrides!$A:$A,0))</f>
        <v/>
      </c>
      <c r="S358" s="6">
        <f>OR(ROUND(L358-ROUND(G358-T358,2),2)&lt;=0,AND(I358,K358&lt;&gt;"",(A358-D358+1)=K358))</f>
        <v/>
      </c>
      <c r="T358" s="21">
        <f>IF(M358&lt;&gt;"",M358,ROUND(L358*F358,2))</f>
        <v/>
      </c>
      <c r="U358" s="21">
        <f>IF(R358,IF(O358&lt;&gt;"",O358,IF(N358&lt;&gt;"",ROUND(L358-N358,2),ROUND((IF(P358&lt;&gt;"",P358,G358))-T358,2))),IF(H358,0,IF(S358,L358,ROUND(G358-T358,2))))</f>
        <v/>
      </c>
      <c r="V358" s="21">
        <f>IF(R358,IF(P358&lt;&gt;"",P358,ROUND(T358+U358,2)),IF(H358,T358,IF(S358,ROUND(T358+U358,2),G358)))</f>
        <v/>
      </c>
      <c r="W358" s="21">
        <f>IF(R358,IF(N358&lt;&gt;"",N358,ROUND(L358-U358,2)),IF(H358,L358,IF(S358,0,ROUND(L358-U358,2))))</f>
        <v/>
      </c>
      <c r="X358" s="21">
        <f>IFERROR(MIN(INDEX(LumpSums!$B:$B,MATCH(A358,LumpSums!$A:$A,0)),W358),0)</f>
        <v/>
      </c>
      <c r="Y358" s="21">
        <f>ROUND(U358+X358,2)</f>
        <v/>
      </c>
      <c r="Z358" s="21">
        <f>ROUND(V358+X358,2)</f>
        <v/>
      </c>
      <c r="AA358" s="21">
        <f>ROUND(W358-X358,2)</f>
        <v/>
      </c>
      <c r="AB358" s="6">
        <f>AND(AB357,L358&gt;0)</f>
        <v/>
      </c>
      <c r="AC358" s="21">
        <f>IF(PMI_Costs!$B$8=0,0,ROUND(PMI_Costs!$B$8*(1+PMI_Costs!$B$9/100)^INT((A358-1)/12)/12,2))</f>
        <v/>
      </c>
      <c r="AD358" s="21">
        <f>IF(PMI_Costs!$B$10=0,0,ROUND(PMI_Costs!$B$10*(1+PMI_Costs!$B$11/100)^INT((A358-1)/12)/12,2))</f>
        <v/>
      </c>
      <c r="AE358" s="21">
        <f>IF(PMI_Costs!$B$12=0,0,ROUND(PMI_Costs!$B$12*(1+PMI_Costs!$B$13/100)^INT((A358-1)/12)/12,2))</f>
        <v/>
      </c>
      <c r="AF358" s="22">
        <f>IF(PMI_Costs!$B$5=0,0,AA358/PMI_Costs!$B$5)</f>
        <v/>
      </c>
      <c r="AG358" s="6">
        <f>AND(PMI_Costs!$B$4&gt;0,AF358&gt;PMI_Costs!$B$6/100)</f>
        <v/>
      </c>
      <c r="AH358" s="21">
        <f>IF(AG358,ROUND(Segments!$G$5*PMI_Costs!$B$4/100/12,2),0)</f>
        <v/>
      </c>
      <c r="AI358" s="6">
        <f>AND(NOT(AG358),AG357)</f>
        <v/>
      </c>
    </row>
    <row r="359">
      <c r="A359" s="18" t="n">
        <v>355</v>
      </c>
      <c r="B359" s="18">
        <f>SUMPRODUCT((Segments!$J$5:$J$12&lt;&gt;"")*(Segments!$J$5:$J$12&lt;=A359))</f>
        <v/>
      </c>
      <c r="C359" s="19">
        <f>INDEX(Segments!$B$5:$B$12,B359)</f>
        <v/>
      </c>
      <c r="D359" s="18">
        <f>INDEX(Segments!$J$5:$J$12,B359)</f>
        <v/>
      </c>
      <c r="E359" s="19">
        <f>DATE(YEAR(C359)+INT((MONTH(C359)-1+(A359-D359))/12),MOD(MONTH(C359)-1+(A359-D359),12)+1,1)+(DAY(C359)-1)</f>
        <v/>
      </c>
      <c r="F359" s="20">
        <f>INDEX(Segments!$C$5:$C$12,B359)/100/12</f>
        <v/>
      </c>
      <c r="G359" s="21">
        <f>INDEX(Segments!$L$5:$L$12,B359)</f>
        <v/>
      </c>
      <c r="H359" s="6">
        <f>INDEX(Segments!$I$5:$I$12,B359)="Y"</f>
        <v/>
      </c>
      <c r="I359" s="6">
        <f>INDEX(Segments!$F$5:$F$12,B359)=""</f>
        <v/>
      </c>
      <c r="J359" s="18">
        <f>INDEX(Segments!$K$5:$K$12,B359)</f>
        <v/>
      </c>
      <c r="K359" s="18">
        <f>IF(INDEX(Segments!$F$5:$F$12,B359)&lt;&gt;"",INDEX(Segments!$F$5:$F$12,B359),IF(INDEX(Segments!$E$5:$E$12,B359)&lt;&gt;"",INDEX(Segments!$E$5:$E$12,B359),""))</f>
        <v/>
      </c>
      <c r="L359" s="21">
        <f>AA358</f>
        <v/>
      </c>
      <c r="M359" s="21">
        <f>IFERROR(INDEX(Overrides!$C:$C,MATCH(A359,Overrides!$A:$A,0)),"")</f>
        <v/>
      </c>
      <c r="N359" s="21">
        <f>IFERROR(INDEX(Overrides!$E:$E,MATCH(A359,Overrides!$A:$A,0)),"")</f>
        <v/>
      </c>
      <c r="O359" s="21">
        <f>IFERROR(INDEX(Overrides!$D:$D,MATCH(A359,Overrides!$A:$A,0)),"")</f>
        <v/>
      </c>
      <c r="P359" s="21">
        <f>IFERROR(INDEX(Overrides!$B:$B,MATCH(A359,Overrides!$A:$A,0)),"")</f>
        <v/>
      </c>
      <c r="Q359" s="6">
        <f>IFERROR(INDEX(Overrides!$F:$F,MATCH(A359,Overrides!$A:$A,0)),"")</f>
        <v/>
      </c>
      <c r="R359" s="6">
        <f>ISNUMBER(MATCH(A359,Overrides!$A:$A,0))</f>
        <v/>
      </c>
      <c r="S359" s="6">
        <f>OR(ROUND(L359-ROUND(G359-T359,2),2)&lt;=0,AND(I359,K359&lt;&gt;"",(A359-D359+1)=K359))</f>
        <v/>
      </c>
      <c r="T359" s="21">
        <f>IF(M359&lt;&gt;"",M359,ROUND(L359*F359,2))</f>
        <v/>
      </c>
      <c r="U359" s="21">
        <f>IF(R359,IF(O359&lt;&gt;"",O359,IF(N359&lt;&gt;"",ROUND(L359-N359,2),ROUND((IF(P359&lt;&gt;"",P359,G359))-T359,2))),IF(H359,0,IF(S359,L359,ROUND(G359-T359,2))))</f>
        <v/>
      </c>
      <c r="V359" s="21">
        <f>IF(R359,IF(P359&lt;&gt;"",P359,ROUND(T359+U359,2)),IF(H359,T359,IF(S359,ROUND(T359+U359,2),G359)))</f>
        <v/>
      </c>
      <c r="W359" s="21">
        <f>IF(R359,IF(N359&lt;&gt;"",N359,ROUND(L359-U359,2)),IF(H359,L359,IF(S359,0,ROUND(L359-U359,2))))</f>
        <v/>
      </c>
      <c r="X359" s="21">
        <f>IFERROR(MIN(INDEX(LumpSums!$B:$B,MATCH(A359,LumpSums!$A:$A,0)),W359),0)</f>
        <v/>
      </c>
      <c r="Y359" s="21">
        <f>ROUND(U359+X359,2)</f>
        <v/>
      </c>
      <c r="Z359" s="21">
        <f>ROUND(V359+X359,2)</f>
        <v/>
      </c>
      <c r="AA359" s="21">
        <f>ROUND(W359-X359,2)</f>
        <v/>
      </c>
      <c r="AB359" s="6">
        <f>AND(AB358,L359&gt;0)</f>
        <v/>
      </c>
      <c r="AC359" s="21">
        <f>IF(PMI_Costs!$B$8=0,0,ROUND(PMI_Costs!$B$8*(1+PMI_Costs!$B$9/100)^INT((A359-1)/12)/12,2))</f>
        <v/>
      </c>
      <c r="AD359" s="21">
        <f>IF(PMI_Costs!$B$10=0,0,ROUND(PMI_Costs!$B$10*(1+PMI_Costs!$B$11/100)^INT((A359-1)/12)/12,2))</f>
        <v/>
      </c>
      <c r="AE359" s="21">
        <f>IF(PMI_Costs!$B$12=0,0,ROUND(PMI_Costs!$B$12*(1+PMI_Costs!$B$13/100)^INT((A359-1)/12)/12,2))</f>
        <v/>
      </c>
      <c r="AF359" s="22">
        <f>IF(PMI_Costs!$B$5=0,0,AA359/PMI_Costs!$B$5)</f>
        <v/>
      </c>
      <c r="AG359" s="6">
        <f>AND(PMI_Costs!$B$4&gt;0,AF359&gt;PMI_Costs!$B$6/100)</f>
        <v/>
      </c>
      <c r="AH359" s="21">
        <f>IF(AG359,ROUND(Segments!$G$5*PMI_Costs!$B$4/100/12,2),0)</f>
        <v/>
      </c>
      <c r="AI359" s="6">
        <f>AND(NOT(AG359),AG358)</f>
        <v/>
      </c>
    </row>
    <row r="360">
      <c r="A360" s="18" t="n">
        <v>356</v>
      </c>
      <c r="B360" s="18">
        <f>SUMPRODUCT((Segments!$J$5:$J$12&lt;&gt;"")*(Segments!$J$5:$J$12&lt;=A360))</f>
        <v/>
      </c>
      <c r="C360" s="19">
        <f>INDEX(Segments!$B$5:$B$12,B360)</f>
        <v/>
      </c>
      <c r="D360" s="18">
        <f>INDEX(Segments!$J$5:$J$12,B360)</f>
        <v/>
      </c>
      <c r="E360" s="19">
        <f>DATE(YEAR(C360)+INT((MONTH(C360)-1+(A360-D360))/12),MOD(MONTH(C360)-1+(A360-D360),12)+1,1)+(DAY(C360)-1)</f>
        <v/>
      </c>
      <c r="F360" s="20">
        <f>INDEX(Segments!$C$5:$C$12,B360)/100/12</f>
        <v/>
      </c>
      <c r="G360" s="21">
        <f>INDEX(Segments!$L$5:$L$12,B360)</f>
        <v/>
      </c>
      <c r="H360" s="6">
        <f>INDEX(Segments!$I$5:$I$12,B360)="Y"</f>
        <v/>
      </c>
      <c r="I360" s="6">
        <f>INDEX(Segments!$F$5:$F$12,B360)=""</f>
        <v/>
      </c>
      <c r="J360" s="18">
        <f>INDEX(Segments!$K$5:$K$12,B360)</f>
        <v/>
      </c>
      <c r="K360" s="18">
        <f>IF(INDEX(Segments!$F$5:$F$12,B360)&lt;&gt;"",INDEX(Segments!$F$5:$F$12,B360),IF(INDEX(Segments!$E$5:$E$12,B360)&lt;&gt;"",INDEX(Segments!$E$5:$E$12,B360),""))</f>
        <v/>
      </c>
      <c r="L360" s="21">
        <f>AA359</f>
        <v/>
      </c>
      <c r="M360" s="21">
        <f>IFERROR(INDEX(Overrides!$C:$C,MATCH(A360,Overrides!$A:$A,0)),"")</f>
        <v/>
      </c>
      <c r="N360" s="21">
        <f>IFERROR(INDEX(Overrides!$E:$E,MATCH(A360,Overrides!$A:$A,0)),"")</f>
        <v/>
      </c>
      <c r="O360" s="21">
        <f>IFERROR(INDEX(Overrides!$D:$D,MATCH(A360,Overrides!$A:$A,0)),"")</f>
        <v/>
      </c>
      <c r="P360" s="21">
        <f>IFERROR(INDEX(Overrides!$B:$B,MATCH(A360,Overrides!$A:$A,0)),"")</f>
        <v/>
      </c>
      <c r="Q360" s="6">
        <f>IFERROR(INDEX(Overrides!$F:$F,MATCH(A360,Overrides!$A:$A,0)),"")</f>
        <v/>
      </c>
      <c r="R360" s="6">
        <f>ISNUMBER(MATCH(A360,Overrides!$A:$A,0))</f>
        <v/>
      </c>
      <c r="S360" s="6">
        <f>OR(ROUND(L360-ROUND(G360-T360,2),2)&lt;=0,AND(I360,K360&lt;&gt;"",(A360-D360+1)=K360))</f>
        <v/>
      </c>
      <c r="T360" s="21">
        <f>IF(M360&lt;&gt;"",M360,ROUND(L360*F360,2))</f>
        <v/>
      </c>
      <c r="U360" s="21">
        <f>IF(R360,IF(O360&lt;&gt;"",O360,IF(N360&lt;&gt;"",ROUND(L360-N360,2),ROUND((IF(P360&lt;&gt;"",P360,G360))-T360,2))),IF(H360,0,IF(S360,L360,ROUND(G360-T360,2))))</f>
        <v/>
      </c>
      <c r="V360" s="21">
        <f>IF(R360,IF(P360&lt;&gt;"",P360,ROUND(T360+U360,2)),IF(H360,T360,IF(S360,ROUND(T360+U360,2),G360)))</f>
        <v/>
      </c>
      <c r="W360" s="21">
        <f>IF(R360,IF(N360&lt;&gt;"",N360,ROUND(L360-U360,2)),IF(H360,L360,IF(S360,0,ROUND(L360-U360,2))))</f>
        <v/>
      </c>
      <c r="X360" s="21">
        <f>IFERROR(MIN(INDEX(LumpSums!$B:$B,MATCH(A360,LumpSums!$A:$A,0)),W360),0)</f>
        <v/>
      </c>
      <c r="Y360" s="21">
        <f>ROUND(U360+X360,2)</f>
        <v/>
      </c>
      <c r="Z360" s="21">
        <f>ROUND(V360+X360,2)</f>
        <v/>
      </c>
      <c r="AA360" s="21">
        <f>ROUND(W360-X360,2)</f>
        <v/>
      </c>
      <c r="AB360" s="6">
        <f>AND(AB359,L360&gt;0)</f>
        <v/>
      </c>
      <c r="AC360" s="21">
        <f>IF(PMI_Costs!$B$8=0,0,ROUND(PMI_Costs!$B$8*(1+PMI_Costs!$B$9/100)^INT((A360-1)/12)/12,2))</f>
        <v/>
      </c>
      <c r="AD360" s="21">
        <f>IF(PMI_Costs!$B$10=0,0,ROUND(PMI_Costs!$B$10*(1+PMI_Costs!$B$11/100)^INT((A360-1)/12)/12,2))</f>
        <v/>
      </c>
      <c r="AE360" s="21">
        <f>IF(PMI_Costs!$B$12=0,0,ROUND(PMI_Costs!$B$12*(1+PMI_Costs!$B$13/100)^INT((A360-1)/12)/12,2))</f>
        <v/>
      </c>
      <c r="AF360" s="22">
        <f>IF(PMI_Costs!$B$5=0,0,AA360/PMI_Costs!$B$5)</f>
        <v/>
      </c>
      <c r="AG360" s="6">
        <f>AND(PMI_Costs!$B$4&gt;0,AF360&gt;PMI_Costs!$B$6/100)</f>
        <v/>
      </c>
      <c r="AH360" s="21">
        <f>IF(AG360,ROUND(Segments!$G$5*PMI_Costs!$B$4/100/12,2),0)</f>
        <v/>
      </c>
      <c r="AI360" s="6">
        <f>AND(NOT(AG360),AG359)</f>
        <v/>
      </c>
    </row>
    <row r="361">
      <c r="A361" s="18" t="n">
        <v>357</v>
      </c>
      <c r="B361" s="18">
        <f>SUMPRODUCT((Segments!$J$5:$J$12&lt;&gt;"")*(Segments!$J$5:$J$12&lt;=A361))</f>
        <v/>
      </c>
      <c r="C361" s="19">
        <f>INDEX(Segments!$B$5:$B$12,B361)</f>
        <v/>
      </c>
      <c r="D361" s="18">
        <f>INDEX(Segments!$J$5:$J$12,B361)</f>
        <v/>
      </c>
      <c r="E361" s="19">
        <f>DATE(YEAR(C361)+INT((MONTH(C361)-1+(A361-D361))/12),MOD(MONTH(C361)-1+(A361-D361),12)+1,1)+(DAY(C361)-1)</f>
        <v/>
      </c>
      <c r="F361" s="20">
        <f>INDEX(Segments!$C$5:$C$12,B361)/100/12</f>
        <v/>
      </c>
      <c r="G361" s="21">
        <f>INDEX(Segments!$L$5:$L$12,B361)</f>
        <v/>
      </c>
      <c r="H361" s="6">
        <f>INDEX(Segments!$I$5:$I$12,B361)="Y"</f>
        <v/>
      </c>
      <c r="I361" s="6">
        <f>INDEX(Segments!$F$5:$F$12,B361)=""</f>
        <v/>
      </c>
      <c r="J361" s="18">
        <f>INDEX(Segments!$K$5:$K$12,B361)</f>
        <v/>
      </c>
      <c r="K361" s="18">
        <f>IF(INDEX(Segments!$F$5:$F$12,B361)&lt;&gt;"",INDEX(Segments!$F$5:$F$12,B361),IF(INDEX(Segments!$E$5:$E$12,B361)&lt;&gt;"",INDEX(Segments!$E$5:$E$12,B361),""))</f>
        <v/>
      </c>
      <c r="L361" s="21">
        <f>AA360</f>
        <v/>
      </c>
      <c r="M361" s="21">
        <f>IFERROR(INDEX(Overrides!$C:$C,MATCH(A361,Overrides!$A:$A,0)),"")</f>
        <v/>
      </c>
      <c r="N361" s="21">
        <f>IFERROR(INDEX(Overrides!$E:$E,MATCH(A361,Overrides!$A:$A,0)),"")</f>
        <v/>
      </c>
      <c r="O361" s="21">
        <f>IFERROR(INDEX(Overrides!$D:$D,MATCH(A361,Overrides!$A:$A,0)),"")</f>
        <v/>
      </c>
      <c r="P361" s="21">
        <f>IFERROR(INDEX(Overrides!$B:$B,MATCH(A361,Overrides!$A:$A,0)),"")</f>
        <v/>
      </c>
      <c r="Q361" s="6">
        <f>IFERROR(INDEX(Overrides!$F:$F,MATCH(A361,Overrides!$A:$A,0)),"")</f>
        <v/>
      </c>
      <c r="R361" s="6">
        <f>ISNUMBER(MATCH(A361,Overrides!$A:$A,0))</f>
        <v/>
      </c>
      <c r="S361" s="6">
        <f>OR(ROUND(L361-ROUND(G361-T361,2),2)&lt;=0,AND(I361,K361&lt;&gt;"",(A361-D361+1)=K361))</f>
        <v/>
      </c>
      <c r="T361" s="21">
        <f>IF(M361&lt;&gt;"",M361,ROUND(L361*F361,2))</f>
        <v/>
      </c>
      <c r="U361" s="21">
        <f>IF(R361,IF(O361&lt;&gt;"",O361,IF(N361&lt;&gt;"",ROUND(L361-N361,2),ROUND((IF(P361&lt;&gt;"",P361,G361))-T361,2))),IF(H361,0,IF(S361,L361,ROUND(G361-T361,2))))</f>
        <v/>
      </c>
      <c r="V361" s="21">
        <f>IF(R361,IF(P361&lt;&gt;"",P361,ROUND(T361+U361,2)),IF(H361,T361,IF(S361,ROUND(T361+U361,2),G361)))</f>
        <v/>
      </c>
      <c r="W361" s="21">
        <f>IF(R361,IF(N361&lt;&gt;"",N361,ROUND(L361-U361,2)),IF(H361,L361,IF(S361,0,ROUND(L361-U361,2))))</f>
        <v/>
      </c>
      <c r="X361" s="21">
        <f>IFERROR(MIN(INDEX(LumpSums!$B:$B,MATCH(A361,LumpSums!$A:$A,0)),W361),0)</f>
        <v/>
      </c>
      <c r="Y361" s="21">
        <f>ROUND(U361+X361,2)</f>
        <v/>
      </c>
      <c r="Z361" s="21">
        <f>ROUND(V361+X361,2)</f>
        <v/>
      </c>
      <c r="AA361" s="21">
        <f>ROUND(W361-X361,2)</f>
        <v/>
      </c>
      <c r="AB361" s="6">
        <f>AND(AB360,L361&gt;0)</f>
        <v/>
      </c>
      <c r="AC361" s="21">
        <f>IF(PMI_Costs!$B$8=0,0,ROUND(PMI_Costs!$B$8*(1+PMI_Costs!$B$9/100)^INT((A361-1)/12)/12,2))</f>
        <v/>
      </c>
      <c r="AD361" s="21">
        <f>IF(PMI_Costs!$B$10=0,0,ROUND(PMI_Costs!$B$10*(1+PMI_Costs!$B$11/100)^INT((A361-1)/12)/12,2))</f>
        <v/>
      </c>
      <c r="AE361" s="21">
        <f>IF(PMI_Costs!$B$12=0,0,ROUND(PMI_Costs!$B$12*(1+PMI_Costs!$B$13/100)^INT((A361-1)/12)/12,2))</f>
        <v/>
      </c>
      <c r="AF361" s="22">
        <f>IF(PMI_Costs!$B$5=0,0,AA361/PMI_Costs!$B$5)</f>
        <v/>
      </c>
      <c r="AG361" s="6">
        <f>AND(PMI_Costs!$B$4&gt;0,AF361&gt;PMI_Costs!$B$6/100)</f>
        <v/>
      </c>
      <c r="AH361" s="21">
        <f>IF(AG361,ROUND(Segments!$G$5*PMI_Costs!$B$4/100/12,2),0)</f>
        <v/>
      </c>
      <c r="AI361" s="6">
        <f>AND(NOT(AG361),AG360)</f>
        <v/>
      </c>
    </row>
    <row r="362">
      <c r="A362" s="18" t="n">
        <v>358</v>
      </c>
      <c r="B362" s="18">
        <f>SUMPRODUCT((Segments!$J$5:$J$12&lt;&gt;"")*(Segments!$J$5:$J$12&lt;=A362))</f>
        <v/>
      </c>
      <c r="C362" s="19">
        <f>INDEX(Segments!$B$5:$B$12,B362)</f>
        <v/>
      </c>
      <c r="D362" s="18">
        <f>INDEX(Segments!$J$5:$J$12,B362)</f>
        <v/>
      </c>
      <c r="E362" s="19">
        <f>DATE(YEAR(C362)+INT((MONTH(C362)-1+(A362-D362))/12),MOD(MONTH(C362)-1+(A362-D362),12)+1,1)+(DAY(C362)-1)</f>
        <v/>
      </c>
      <c r="F362" s="20">
        <f>INDEX(Segments!$C$5:$C$12,B362)/100/12</f>
        <v/>
      </c>
      <c r="G362" s="21">
        <f>INDEX(Segments!$L$5:$L$12,B362)</f>
        <v/>
      </c>
      <c r="H362" s="6">
        <f>INDEX(Segments!$I$5:$I$12,B362)="Y"</f>
        <v/>
      </c>
      <c r="I362" s="6">
        <f>INDEX(Segments!$F$5:$F$12,B362)=""</f>
        <v/>
      </c>
      <c r="J362" s="18">
        <f>INDEX(Segments!$K$5:$K$12,B362)</f>
        <v/>
      </c>
      <c r="K362" s="18">
        <f>IF(INDEX(Segments!$F$5:$F$12,B362)&lt;&gt;"",INDEX(Segments!$F$5:$F$12,B362),IF(INDEX(Segments!$E$5:$E$12,B362)&lt;&gt;"",INDEX(Segments!$E$5:$E$12,B362),""))</f>
        <v/>
      </c>
      <c r="L362" s="21">
        <f>AA361</f>
        <v/>
      </c>
      <c r="M362" s="21">
        <f>IFERROR(INDEX(Overrides!$C:$C,MATCH(A362,Overrides!$A:$A,0)),"")</f>
        <v/>
      </c>
      <c r="N362" s="21">
        <f>IFERROR(INDEX(Overrides!$E:$E,MATCH(A362,Overrides!$A:$A,0)),"")</f>
        <v/>
      </c>
      <c r="O362" s="21">
        <f>IFERROR(INDEX(Overrides!$D:$D,MATCH(A362,Overrides!$A:$A,0)),"")</f>
        <v/>
      </c>
      <c r="P362" s="21">
        <f>IFERROR(INDEX(Overrides!$B:$B,MATCH(A362,Overrides!$A:$A,0)),"")</f>
        <v/>
      </c>
      <c r="Q362" s="6">
        <f>IFERROR(INDEX(Overrides!$F:$F,MATCH(A362,Overrides!$A:$A,0)),"")</f>
        <v/>
      </c>
      <c r="R362" s="6">
        <f>ISNUMBER(MATCH(A362,Overrides!$A:$A,0))</f>
        <v/>
      </c>
      <c r="S362" s="6">
        <f>OR(ROUND(L362-ROUND(G362-T362,2),2)&lt;=0,AND(I362,K362&lt;&gt;"",(A362-D362+1)=K362))</f>
        <v/>
      </c>
      <c r="T362" s="21">
        <f>IF(M362&lt;&gt;"",M362,ROUND(L362*F362,2))</f>
        <v/>
      </c>
      <c r="U362" s="21">
        <f>IF(R362,IF(O362&lt;&gt;"",O362,IF(N362&lt;&gt;"",ROUND(L362-N362,2),ROUND((IF(P362&lt;&gt;"",P362,G362))-T362,2))),IF(H362,0,IF(S362,L362,ROUND(G362-T362,2))))</f>
        <v/>
      </c>
      <c r="V362" s="21">
        <f>IF(R362,IF(P362&lt;&gt;"",P362,ROUND(T362+U362,2)),IF(H362,T362,IF(S362,ROUND(T362+U362,2),G362)))</f>
        <v/>
      </c>
      <c r="W362" s="21">
        <f>IF(R362,IF(N362&lt;&gt;"",N362,ROUND(L362-U362,2)),IF(H362,L362,IF(S362,0,ROUND(L362-U362,2))))</f>
        <v/>
      </c>
      <c r="X362" s="21">
        <f>IFERROR(MIN(INDEX(LumpSums!$B:$B,MATCH(A362,LumpSums!$A:$A,0)),W362),0)</f>
        <v/>
      </c>
      <c r="Y362" s="21">
        <f>ROUND(U362+X362,2)</f>
        <v/>
      </c>
      <c r="Z362" s="21">
        <f>ROUND(V362+X362,2)</f>
        <v/>
      </c>
      <c r="AA362" s="21">
        <f>ROUND(W362-X362,2)</f>
        <v/>
      </c>
      <c r="AB362" s="6">
        <f>AND(AB361,L362&gt;0)</f>
        <v/>
      </c>
      <c r="AC362" s="21">
        <f>IF(PMI_Costs!$B$8=0,0,ROUND(PMI_Costs!$B$8*(1+PMI_Costs!$B$9/100)^INT((A362-1)/12)/12,2))</f>
        <v/>
      </c>
      <c r="AD362" s="21">
        <f>IF(PMI_Costs!$B$10=0,0,ROUND(PMI_Costs!$B$10*(1+PMI_Costs!$B$11/100)^INT((A362-1)/12)/12,2))</f>
        <v/>
      </c>
      <c r="AE362" s="21">
        <f>IF(PMI_Costs!$B$12=0,0,ROUND(PMI_Costs!$B$12*(1+PMI_Costs!$B$13/100)^INT((A362-1)/12)/12,2))</f>
        <v/>
      </c>
      <c r="AF362" s="22">
        <f>IF(PMI_Costs!$B$5=0,0,AA362/PMI_Costs!$B$5)</f>
        <v/>
      </c>
      <c r="AG362" s="6">
        <f>AND(PMI_Costs!$B$4&gt;0,AF362&gt;PMI_Costs!$B$6/100)</f>
        <v/>
      </c>
      <c r="AH362" s="21">
        <f>IF(AG362,ROUND(Segments!$G$5*PMI_Costs!$B$4/100/12,2),0)</f>
        <v/>
      </c>
      <c r="AI362" s="6">
        <f>AND(NOT(AG362),AG361)</f>
        <v/>
      </c>
    </row>
    <row r="363">
      <c r="A363" s="18" t="n">
        <v>359</v>
      </c>
      <c r="B363" s="18">
        <f>SUMPRODUCT((Segments!$J$5:$J$12&lt;&gt;"")*(Segments!$J$5:$J$12&lt;=A363))</f>
        <v/>
      </c>
      <c r="C363" s="19">
        <f>INDEX(Segments!$B$5:$B$12,B363)</f>
        <v/>
      </c>
      <c r="D363" s="18">
        <f>INDEX(Segments!$J$5:$J$12,B363)</f>
        <v/>
      </c>
      <c r="E363" s="19">
        <f>DATE(YEAR(C363)+INT((MONTH(C363)-1+(A363-D363))/12),MOD(MONTH(C363)-1+(A363-D363),12)+1,1)+(DAY(C363)-1)</f>
        <v/>
      </c>
      <c r="F363" s="20">
        <f>INDEX(Segments!$C$5:$C$12,B363)/100/12</f>
        <v/>
      </c>
      <c r="G363" s="21">
        <f>INDEX(Segments!$L$5:$L$12,B363)</f>
        <v/>
      </c>
      <c r="H363" s="6">
        <f>INDEX(Segments!$I$5:$I$12,B363)="Y"</f>
        <v/>
      </c>
      <c r="I363" s="6">
        <f>INDEX(Segments!$F$5:$F$12,B363)=""</f>
        <v/>
      </c>
      <c r="J363" s="18">
        <f>INDEX(Segments!$K$5:$K$12,B363)</f>
        <v/>
      </c>
      <c r="K363" s="18">
        <f>IF(INDEX(Segments!$F$5:$F$12,B363)&lt;&gt;"",INDEX(Segments!$F$5:$F$12,B363),IF(INDEX(Segments!$E$5:$E$12,B363)&lt;&gt;"",INDEX(Segments!$E$5:$E$12,B363),""))</f>
        <v/>
      </c>
      <c r="L363" s="21">
        <f>AA362</f>
        <v/>
      </c>
      <c r="M363" s="21">
        <f>IFERROR(INDEX(Overrides!$C:$C,MATCH(A363,Overrides!$A:$A,0)),"")</f>
        <v/>
      </c>
      <c r="N363" s="21">
        <f>IFERROR(INDEX(Overrides!$E:$E,MATCH(A363,Overrides!$A:$A,0)),"")</f>
        <v/>
      </c>
      <c r="O363" s="21">
        <f>IFERROR(INDEX(Overrides!$D:$D,MATCH(A363,Overrides!$A:$A,0)),"")</f>
        <v/>
      </c>
      <c r="P363" s="21">
        <f>IFERROR(INDEX(Overrides!$B:$B,MATCH(A363,Overrides!$A:$A,0)),"")</f>
        <v/>
      </c>
      <c r="Q363" s="6">
        <f>IFERROR(INDEX(Overrides!$F:$F,MATCH(A363,Overrides!$A:$A,0)),"")</f>
        <v/>
      </c>
      <c r="R363" s="6">
        <f>ISNUMBER(MATCH(A363,Overrides!$A:$A,0))</f>
        <v/>
      </c>
      <c r="S363" s="6">
        <f>OR(ROUND(L363-ROUND(G363-T363,2),2)&lt;=0,AND(I363,K363&lt;&gt;"",(A363-D363+1)=K363))</f>
        <v/>
      </c>
      <c r="T363" s="21">
        <f>IF(M363&lt;&gt;"",M363,ROUND(L363*F363,2))</f>
        <v/>
      </c>
      <c r="U363" s="21">
        <f>IF(R363,IF(O363&lt;&gt;"",O363,IF(N363&lt;&gt;"",ROUND(L363-N363,2),ROUND((IF(P363&lt;&gt;"",P363,G363))-T363,2))),IF(H363,0,IF(S363,L363,ROUND(G363-T363,2))))</f>
        <v/>
      </c>
      <c r="V363" s="21">
        <f>IF(R363,IF(P363&lt;&gt;"",P363,ROUND(T363+U363,2)),IF(H363,T363,IF(S363,ROUND(T363+U363,2),G363)))</f>
        <v/>
      </c>
      <c r="W363" s="21">
        <f>IF(R363,IF(N363&lt;&gt;"",N363,ROUND(L363-U363,2)),IF(H363,L363,IF(S363,0,ROUND(L363-U363,2))))</f>
        <v/>
      </c>
      <c r="X363" s="21">
        <f>IFERROR(MIN(INDEX(LumpSums!$B:$B,MATCH(A363,LumpSums!$A:$A,0)),W363),0)</f>
        <v/>
      </c>
      <c r="Y363" s="21">
        <f>ROUND(U363+X363,2)</f>
        <v/>
      </c>
      <c r="Z363" s="21">
        <f>ROUND(V363+X363,2)</f>
        <v/>
      </c>
      <c r="AA363" s="21">
        <f>ROUND(W363-X363,2)</f>
        <v/>
      </c>
      <c r="AB363" s="6">
        <f>AND(AB362,L363&gt;0)</f>
        <v/>
      </c>
      <c r="AC363" s="21">
        <f>IF(PMI_Costs!$B$8=0,0,ROUND(PMI_Costs!$B$8*(1+PMI_Costs!$B$9/100)^INT((A363-1)/12)/12,2))</f>
        <v/>
      </c>
      <c r="AD363" s="21">
        <f>IF(PMI_Costs!$B$10=0,0,ROUND(PMI_Costs!$B$10*(1+PMI_Costs!$B$11/100)^INT((A363-1)/12)/12,2))</f>
        <v/>
      </c>
      <c r="AE363" s="21">
        <f>IF(PMI_Costs!$B$12=0,0,ROUND(PMI_Costs!$B$12*(1+PMI_Costs!$B$13/100)^INT((A363-1)/12)/12,2))</f>
        <v/>
      </c>
      <c r="AF363" s="22">
        <f>IF(PMI_Costs!$B$5=0,0,AA363/PMI_Costs!$B$5)</f>
        <v/>
      </c>
      <c r="AG363" s="6">
        <f>AND(PMI_Costs!$B$4&gt;0,AF363&gt;PMI_Costs!$B$6/100)</f>
        <v/>
      </c>
      <c r="AH363" s="21">
        <f>IF(AG363,ROUND(Segments!$G$5*PMI_Costs!$B$4/100/12,2),0)</f>
        <v/>
      </c>
      <c r="AI363" s="6">
        <f>AND(NOT(AG363),AG362)</f>
        <v/>
      </c>
    </row>
    <row r="364">
      <c r="A364" s="18" t="n">
        <v>360</v>
      </c>
      <c r="B364" s="18">
        <f>SUMPRODUCT((Segments!$J$5:$J$12&lt;&gt;"")*(Segments!$J$5:$J$12&lt;=A364))</f>
        <v/>
      </c>
      <c r="C364" s="19">
        <f>INDEX(Segments!$B$5:$B$12,B364)</f>
        <v/>
      </c>
      <c r="D364" s="18">
        <f>INDEX(Segments!$J$5:$J$12,B364)</f>
        <v/>
      </c>
      <c r="E364" s="19">
        <f>DATE(YEAR(C364)+INT((MONTH(C364)-1+(A364-D364))/12),MOD(MONTH(C364)-1+(A364-D364),12)+1,1)+(DAY(C364)-1)</f>
        <v/>
      </c>
      <c r="F364" s="20">
        <f>INDEX(Segments!$C$5:$C$12,B364)/100/12</f>
        <v/>
      </c>
      <c r="G364" s="21">
        <f>INDEX(Segments!$L$5:$L$12,B364)</f>
        <v/>
      </c>
      <c r="H364" s="6">
        <f>INDEX(Segments!$I$5:$I$12,B364)="Y"</f>
        <v/>
      </c>
      <c r="I364" s="6">
        <f>INDEX(Segments!$F$5:$F$12,B364)=""</f>
        <v/>
      </c>
      <c r="J364" s="18">
        <f>INDEX(Segments!$K$5:$K$12,B364)</f>
        <v/>
      </c>
      <c r="K364" s="18">
        <f>IF(INDEX(Segments!$F$5:$F$12,B364)&lt;&gt;"",INDEX(Segments!$F$5:$F$12,B364),IF(INDEX(Segments!$E$5:$E$12,B364)&lt;&gt;"",INDEX(Segments!$E$5:$E$12,B364),""))</f>
        <v/>
      </c>
      <c r="L364" s="21">
        <f>AA363</f>
        <v/>
      </c>
      <c r="M364" s="21">
        <f>IFERROR(INDEX(Overrides!$C:$C,MATCH(A364,Overrides!$A:$A,0)),"")</f>
        <v/>
      </c>
      <c r="N364" s="21">
        <f>IFERROR(INDEX(Overrides!$E:$E,MATCH(A364,Overrides!$A:$A,0)),"")</f>
        <v/>
      </c>
      <c r="O364" s="21">
        <f>IFERROR(INDEX(Overrides!$D:$D,MATCH(A364,Overrides!$A:$A,0)),"")</f>
        <v/>
      </c>
      <c r="P364" s="21">
        <f>IFERROR(INDEX(Overrides!$B:$B,MATCH(A364,Overrides!$A:$A,0)),"")</f>
        <v/>
      </c>
      <c r="Q364" s="6">
        <f>IFERROR(INDEX(Overrides!$F:$F,MATCH(A364,Overrides!$A:$A,0)),"")</f>
        <v/>
      </c>
      <c r="R364" s="6">
        <f>ISNUMBER(MATCH(A364,Overrides!$A:$A,0))</f>
        <v/>
      </c>
      <c r="S364" s="6">
        <f>OR(ROUND(L364-ROUND(G364-T364,2),2)&lt;=0,AND(I364,K364&lt;&gt;"",(A364-D364+1)=K364))</f>
        <v/>
      </c>
      <c r="T364" s="21">
        <f>IF(M364&lt;&gt;"",M364,ROUND(L364*F364,2))</f>
        <v/>
      </c>
      <c r="U364" s="21">
        <f>IF(R364,IF(O364&lt;&gt;"",O364,IF(N364&lt;&gt;"",ROUND(L364-N364,2),ROUND((IF(P364&lt;&gt;"",P364,G364))-T364,2))),IF(H364,0,IF(S364,L364,ROUND(G364-T364,2))))</f>
        <v/>
      </c>
      <c r="V364" s="21">
        <f>IF(R364,IF(P364&lt;&gt;"",P364,ROUND(T364+U364,2)),IF(H364,T364,IF(S364,ROUND(T364+U364,2),G364)))</f>
        <v/>
      </c>
      <c r="W364" s="21">
        <f>IF(R364,IF(N364&lt;&gt;"",N364,ROUND(L364-U364,2)),IF(H364,L364,IF(S364,0,ROUND(L364-U364,2))))</f>
        <v/>
      </c>
      <c r="X364" s="21">
        <f>IFERROR(MIN(INDEX(LumpSums!$B:$B,MATCH(A364,LumpSums!$A:$A,0)),W364),0)</f>
        <v/>
      </c>
      <c r="Y364" s="21">
        <f>ROUND(U364+X364,2)</f>
        <v/>
      </c>
      <c r="Z364" s="21">
        <f>ROUND(V364+X364,2)</f>
        <v/>
      </c>
      <c r="AA364" s="21">
        <f>ROUND(W364-X364,2)</f>
        <v/>
      </c>
      <c r="AB364" s="6">
        <f>AND(AB363,L364&gt;0)</f>
        <v/>
      </c>
      <c r="AC364" s="21">
        <f>IF(PMI_Costs!$B$8=0,0,ROUND(PMI_Costs!$B$8*(1+PMI_Costs!$B$9/100)^INT((A364-1)/12)/12,2))</f>
        <v/>
      </c>
      <c r="AD364" s="21">
        <f>IF(PMI_Costs!$B$10=0,0,ROUND(PMI_Costs!$B$10*(1+PMI_Costs!$B$11/100)^INT((A364-1)/12)/12,2))</f>
        <v/>
      </c>
      <c r="AE364" s="21">
        <f>IF(PMI_Costs!$B$12=0,0,ROUND(PMI_Costs!$B$12*(1+PMI_Costs!$B$13/100)^INT((A364-1)/12)/12,2))</f>
        <v/>
      </c>
      <c r="AF364" s="22">
        <f>IF(PMI_Costs!$B$5=0,0,AA364/PMI_Costs!$B$5)</f>
        <v/>
      </c>
      <c r="AG364" s="6">
        <f>AND(PMI_Costs!$B$4&gt;0,AF364&gt;PMI_Costs!$B$6/100)</f>
        <v/>
      </c>
      <c r="AH364" s="21">
        <f>IF(AG364,ROUND(Segments!$G$5*PMI_Costs!$B$4/100/12,2),0)</f>
        <v/>
      </c>
      <c r="AI364" s="6">
        <f>AND(NOT(AG364),AG363)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20" customWidth="1" min="2" max="2"/>
  </cols>
  <sheetData>
    <row r="1">
      <c r="A1" s="1" t="inlineStr">
        <is>
          <t>Summary (computed)</t>
        </is>
      </c>
    </row>
    <row r="2">
      <c r="A2" s="2" t="inlineStr">
        <is>
          <t>Totals over the Schedule sheet's active rows only.</t>
        </is>
      </c>
    </row>
    <row r="3"/>
    <row r="4">
      <c r="A4" s="17" t="inlineStr">
        <is>
          <t>Number of payments</t>
        </is>
      </c>
      <c r="B4" s="18">
        <f>COUNTIF(Schedule!$AB$5:$AB$364,TRUE)</f>
        <v/>
      </c>
    </row>
    <row r="5">
      <c r="A5" s="17" t="inlineStr">
        <is>
          <t>Total interest paid</t>
        </is>
      </c>
      <c r="B5" s="21">
        <f>SUMIFS(Schedule!$T$5:$T$364,Schedule!$AB$5:$AB$364,TRUE)</f>
        <v/>
      </c>
    </row>
    <row r="6">
      <c r="A6" s="17" t="inlineStr">
        <is>
          <t>Total principal paid (P&amp;I only)</t>
        </is>
      </c>
      <c r="B6" s="21">
        <f>SUMIFS(Schedule!$Y$5:$Y$364,Schedule!$AB$5:$AB$364,TRUE)</f>
        <v/>
      </c>
    </row>
    <row r="7">
      <c r="A7" s="17" t="inlineStr">
        <is>
          <t>Total of payments (P&amp;I)</t>
        </is>
      </c>
      <c r="B7" s="21">
        <f>SUMIFS(Schedule!$Z$5:$Z$364,Schedule!$AB$5:$AB$364,TRUE)</f>
        <v/>
      </c>
    </row>
    <row r="8">
      <c r="A8" s="17" t="inlineStr">
        <is>
          <t>Payoff date</t>
        </is>
      </c>
      <c r="B8" s="19">
        <f>SUMPRODUCT(MAX((Schedule!$AB$5:$AB$364)*(Schedule!$E$5:$E$364)))</f>
        <v/>
      </c>
    </row>
    <row r="9"/>
    <row r="10">
      <c r="A10" s="17" t="inlineStr">
        <is>
          <t>Total tax paid</t>
        </is>
      </c>
      <c r="B10" s="21">
        <f>SUMIFS(Schedule!$AC$5:$AC$364,Schedule!$AB$5:$AB$364,TRUE)</f>
        <v/>
      </c>
    </row>
    <row r="11">
      <c r="A11" s="17" t="inlineStr">
        <is>
          <t>Total insurance paid</t>
        </is>
      </c>
      <c r="B11" s="21">
        <f>SUMIFS(Schedule!$AD$5:$AD$364,Schedule!$AB$5:$AB$364,TRUE)</f>
        <v/>
      </c>
    </row>
    <row r="12">
      <c r="A12" s="17" t="inlineStr">
        <is>
          <t>Total HOA paid</t>
        </is>
      </c>
      <c r="B12" s="21">
        <f>SUMIFS(Schedule!$AE$5:$AE$364,Schedule!$AB$5:$AB$364,TRUE)</f>
        <v/>
      </c>
    </row>
    <row r="13">
      <c r="A13" s="17" t="inlineStr">
        <is>
          <t>Total PMI paid</t>
        </is>
      </c>
      <c r="B13" s="21">
        <f>SUMIFS(Schedule!$AH$5:$AH$364,Schedule!$AB$5:$AB$364,TRUE)</f>
        <v/>
      </c>
    </row>
    <row r="14">
      <c r="A14" s="17" t="inlineStr">
        <is>
          <t>Total cost of ownership</t>
        </is>
      </c>
      <c r="B14" s="21">
        <f>B7+B10+B11+B12+B13</f>
        <v/>
      </c>
    </row>
    <row r="15">
      <c r="A15" s="17" t="inlineStr">
        <is>
          <t>PMI dropped at payment #</t>
        </is>
      </c>
      <c r="B15" s="6">
        <f>IFERROR(INDEX(Schedule!$A$5:$A$364,MATCH(TRUE,Schedule!$AI$5:$AI$364,0)),IF(SUMPRODUCT((Schedule!$AB$5:$AB$364)*(Schedule!$AG$5:$AG$364))&gt;0,"active through payoff","never"))</f>
        <v/>
      </c>
    </row>
    <row r="16"/>
    <row r="17">
      <c r="A17" s="17" t="inlineStr">
        <is>
          <t>Balloon segment index (last active row's segment)</t>
        </is>
      </c>
      <c r="B17" s="18">
        <f>SUMPRODUCT(MAX((Schedule!$AB$5:$AB$364)*(Schedule!$B$5:$B$364)))</f>
        <v/>
      </c>
    </row>
    <row r="18">
      <c r="A18" s="17" t="inlineStr">
        <is>
          <t>Balloon payment due?</t>
        </is>
      </c>
      <c r="B18" s="6">
        <f>IF(INDEX(Segments!$H:$H,B17+4)="Y","Yes","No")</f>
        <v/>
      </c>
    </row>
    <row r="19">
      <c r="A19" s="17" t="inlineStr">
        <is>
          <t>Balloon amount (if due)</t>
        </is>
      </c>
      <c r="B19" s="21">
        <f>IF(INDEX(Segments!$H:$H,B17+4)="Y",SUMPRODUCT(MAX((Schedule!$AB$5:$AB$364)*(Schedule!$W$5:$W$364))),"n/a")</f>
        <v/>
      </c>
    </row>
    <row r="20">
      <c r="A20" s="17" t="inlineStr">
        <is>
          <t>Balloon due date (if due)</t>
        </is>
      </c>
      <c r="B20" s="19">
        <f>IF(INDEX(Segments!$H:$H,B17+4)="Y",SUMPRODUCT(MAX((Schedule!$AB$5:$AB$364)*(Schedule!$E$5:$E$364))),"n/a")</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 customWidth="1" min="1" max="1"/>
    <col width="16" customWidth="1" min="2" max="2"/>
    <col width="16" customWidth="1" min="3" max="3"/>
    <col width="16" customWidth="1" min="4" max="4"/>
    <col width="15" customWidth="1" min="5" max="5"/>
    <col width="15" customWidth="1" min="6" max="6"/>
  </cols>
  <sheetData>
    <row r="1">
      <c r="A1" s="1" t="inlineStr">
        <is>
          <t>Yearly Summary / Report Window</t>
        </is>
      </c>
    </row>
    <row r="2">
      <c r="A2" s="2" t="inlineStr">
        <is>
          <t>Set 'Show through year' below (blue cell) to see cumulative totals for just the first N years -- e.g. enter 5 to answer 'how much interest will I pay in the first 5 years?' without scrolling the full Schedule.</t>
        </is>
      </c>
    </row>
    <row r="3"/>
    <row r="4">
      <c r="A4" s="17" t="inlineStr">
        <is>
          <t>Show through year:</t>
        </is>
      </c>
      <c r="B4" s="10" t="n">
        <v>5</v>
      </c>
    </row>
    <row r="5"/>
    <row r="6">
      <c r="A6" s="5" t="inlineStr">
        <is>
          <t>Year</t>
        </is>
      </c>
      <c r="B6" s="5" t="inlineStr">
        <is>
          <t>Payments in Year</t>
        </is>
      </c>
      <c r="C6" s="5" t="inlineStr">
        <is>
          <t>Starting Balance</t>
        </is>
      </c>
      <c r="D6" s="5" t="inlineStr">
        <is>
          <t>Ending Balance</t>
        </is>
      </c>
      <c r="E6" s="5" t="inlineStr">
        <is>
          <t>Interest Paid</t>
        </is>
      </c>
      <c r="F6" s="5" t="inlineStr">
        <is>
          <t>Principal Paid</t>
        </is>
      </c>
    </row>
    <row r="7">
      <c r="A7" s="6" t="n">
        <v>1</v>
      </c>
      <c r="B7" s="6">
        <f>SUMPRODUCT(((INT((Schedule!$A$5:$A$364-1)/12)+1=1))*(Schedule!$AB$5:$AB$364))</f>
        <v/>
      </c>
      <c r="C7" s="21">
        <f>IFERROR(INDEX(Schedule!$L$5:$L$364,MATCH(1,((INT((Schedule!$A$5:$A$364-1)/12)+1=1))*(Schedule!$AB$5:$AB$364),0)),"")</f>
        <v/>
      </c>
      <c r="D7" s="21">
        <f>IFERROR(INDEX(Schedule!$AA$5:$AA$364,MATCH(SUMPRODUCT(MAX(((INT((Schedule!$A$5:$A$364-1)/12)+1=1))*(Schedule!$AB$5:$AB$364)*(Schedule!$A$5:$A$364))),Schedule!$A$5:$A$364,0)),"")</f>
        <v/>
      </c>
      <c r="E7" s="21">
        <f>SUMPRODUCT(((INT((Schedule!$A$5:$A$364-1)/12)+1=1))*(Schedule!$AB$5:$AB$364)*(Schedule!$T$5:$T$364))</f>
        <v/>
      </c>
      <c r="F7" s="21">
        <f>SUMPRODUCT(((INT((Schedule!$A$5:$A$364-1)/12)+1=1))*(Schedule!$AB$5:$AB$364)*(Schedule!$Y$5:$Y$364))</f>
        <v/>
      </c>
    </row>
    <row r="8">
      <c r="A8" s="6" t="n">
        <v>2</v>
      </c>
      <c r="B8" s="6">
        <f>SUMPRODUCT(((INT((Schedule!$A$5:$A$364-1)/12)+1=2))*(Schedule!$AB$5:$AB$364))</f>
        <v/>
      </c>
      <c r="C8" s="21">
        <f>IFERROR(INDEX(Schedule!$L$5:$L$364,MATCH(1,((INT((Schedule!$A$5:$A$364-1)/12)+1=2))*(Schedule!$AB$5:$AB$364),0)),"")</f>
        <v/>
      </c>
      <c r="D8" s="21">
        <f>IFERROR(INDEX(Schedule!$AA$5:$AA$364,MATCH(SUMPRODUCT(MAX(((INT((Schedule!$A$5:$A$364-1)/12)+1=2))*(Schedule!$AB$5:$AB$364)*(Schedule!$A$5:$A$364))),Schedule!$A$5:$A$364,0)),"")</f>
        <v/>
      </c>
      <c r="E8" s="21">
        <f>SUMPRODUCT(((INT((Schedule!$A$5:$A$364-1)/12)+1=2))*(Schedule!$AB$5:$AB$364)*(Schedule!$T$5:$T$364))</f>
        <v/>
      </c>
      <c r="F8" s="21">
        <f>SUMPRODUCT(((INT((Schedule!$A$5:$A$364-1)/12)+1=2))*(Schedule!$AB$5:$AB$364)*(Schedule!$Y$5:$Y$364))</f>
        <v/>
      </c>
    </row>
    <row r="9">
      <c r="A9" s="6" t="n">
        <v>3</v>
      </c>
      <c r="B9" s="6">
        <f>SUMPRODUCT(((INT((Schedule!$A$5:$A$364-1)/12)+1=3))*(Schedule!$AB$5:$AB$364))</f>
        <v/>
      </c>
      <c r="C9" s="21">
        <f>IFERROR(INDEX(Schedule!$L$5:$L$364,MATCH(1,((INT((Schedule!$A$5:$A$364-1)/12)+1=3))*(Schedule!$AB$5:$AB$364),0)),"")</f>
        <v/>
      </c>
      <c r="D9" s="21">
        <f>IFERROR(INDEX(Schedule!$AA$5:$AA$364,MATCH(SUMPRODUCT(MAX(((INT((Schedule!$A$5:$A$364-1)/12)+1=3))*(Schedule!$AB$5:$AB$364)*(Schedule!$A$5:$A$364))),Schedule!$A$5:$A$364,0)),"")</f>
        <v/>
      </c>
      <c r="E9" s="21">
        <f>SUMPRODUCT(((INT((Schedule!$A$5:$A$364-1)/12)+1=3))*(Schedule!$AB$5:$AB$364)*(Schedule!$T$5:$T$364))</f>
        <v/>
      </c>
      <c r="F9" s="21">
        <f>SUMPRODUCT(((INT((Schedule!$A$5:$A$364-1)/12)+1=3))*(Schedule!$AB$5:$AB$364)*(Schedule!$Y$5:$Y$364))</f>
        <v/>
      </c>
    </row>
    <row r="10">
      <c r="A10" s="6" t="n">
        <v>4</v>
      </c>
      <c r="B10" s="6">
        <f>SUMPRODUCT(((INT((Schedule!$A$5:$A$364-1)/12)+1=4))*(Schedule!$AB$5:$AB$364))</f>
        <v/>
      </c>
      <c r="C10" s="21">
        <f>IFERROR(INDEX(Schedule!$L$5:$L$364,MATCH(1,((INT((Schedule!$A$5:$A$364-1)/12)+1=4))*(Schedule!$AB$5:$AB$364),0)),"")</f>
        <v/>
      </c>
      <c r="D10" s="21">
        <f>IFERROR(INDEX(Schedule!$AA$5:$AA$364,MATCH(SUMPRODUCT(MAX(((INT((Schedule!$A$5:$A$364-1)/12)+1=4))*(Schedule!$AB$5:$AB$364)*(Schedule!$A$5:$A$364))),Schedule!$A$5:$A$364,0)),"")</f>
        <v/>
      </c>
      <c r="E10" s="21">
        <f>SUMPRODUCT(((INT((Schedule!$A$5:$A$364-1)/12)+1=4))*(Schedule!$AB$5:$AB$364)*(Schedule!$T$5:$T$364))</f>
        <v/>
      </c>
      <c r="F10" s="21">
        <f>SUMPRODUCT(((INT((Schedule!$A$5:$A$364-1)/12)+1=4))*(Schedule!$AB$5:$AB$364)*(Schedule!$Y$5:$Y$364))</f>
        <v/>
      </c>
    </row>
    <row r="11">
      <c r="A11" s="6" t="n">
        <v>5</v>
      </c>
      <c r="B11" s="6">
        <f>SUMPRODUCT(((INT((Schedule!$A$5:$A$364-1)/12)+1=5))*(Schedule!$AB$5:$AB$364))</f>
        <v/>
      </c>
      <c r="C11" s="21">
        <f>IFERROR(INDEX(Schedule!$L$5:$L$364,MATCH(1,((INT((Schedule!$A$5:$A$364-1)/12)+1=5))*(Schedule!$AB$5:$AB$364),0)),"")</f>
        <v/>
      </c>
      <c r="D11" s="21">
        <f>IFERROR(INDEX(Schedule!$AA$5:$AA$364,MATCH(SUMPRODUCT(MAX(((INT((Schedule!$A$5:$A$364-1)/12)+1=5))*(Schedule!$AB$5:$AB$364)*(Schedule!$A$5:$A$364))),Schedule!$A$5:$A$364,0)),"")</f>
        <v/>
      </c>
      <c r="E11" s="21">
        <f>SUMPRODUCT(((INT((Schedule!$A$5:$A$364-1)/12)+1=5))*(Schedule!$AB$5:$AB$364)*(Schedule!$T$5:$T$364))</f>
        <v/>
      </c>
      <c r="F11" s="21">
        <f>SUMPRODUCT(((INT((Schedule!$A$5:$A$364-1)/12)+1=5))*(Schedule!$AB$5:$AB$364)*(Schedule!$Y$5:$Y$364))</f>
        <v/>
      </c>
    </row>
    <row r="12">
      <c r="A12" s="6" t="n">
        <v>6</v>
      </c>
      <c r="B12" s="6">
        <f>SUMPRODUCT(((INT((Schedule!$A$5:$A$364-1)/12)+1=6))*(Schedule!$AB$5:$AB$364))</f>
        <v/>
      </c>
      <c r="C12" s="21">
        <f>IFERROR(INDEX(Schedule!$L$5:$L$364,MATCH(1,((INT((Schedule!$A$5:$A$364-1)/12)+1=6))*(Schedule!$AB$5:$AB$364),0)),"")</f>
        <v/>
      </c>
      <c r="D12" s="21">
        <f>IFERROR(INDEX(Schedule!$AA$5:$AA$364,MATCH(SUMPRODUCT(MAX(((INT((Schedule!$A$5:$A$364-1)/12)+1=6))*(Schedule!$AB$5:$AB$364)*(Schedule!$A$5:$A$364))),Schedule!$A$5:$A$364,0)),"")</f>
        <v/>
      </c>
      <c r="E12" s="21">
        <f>SUMPRODUCT(((INT((Schedule!$A$5:$A$364-1)/12)+1=6))*(Schedule!$AB$5:$AB$364)*(Schedule!$T$5:$T$364))</f>
        <v/>
      </c>
      <c r="F12" s="21">
        <f>SUMPRODUCT(((INT((Schedule!$A$5:$A$364-1)/12)+1=6))*(Schedule!$AB$5:$AB$364)*(Schedule!$Y$5:$Y$364))</f>
        <v/>
      </c>
    </row>
    <row r="13">
      <c r="A13" s="6" t="n">
        <v>7</v>
      </c>
      <c r="B13" s="6">
        <f>SUMPRODUCT(((INT((Schedule!$A$5:$A$364-1)/12)+1=7))*(Schedule!$AB$5:$AB$364))</f>
        <v/>
      </c>
      <c r="C13" s="21">
        <f>IFERROR(INDEX(Schedule!$L$5:$L$364,MATCH(1,((INT((Schedule!$A$5:$A$364-1)/12)+1=7))*(Schedule!$AB$5:$AB$364),0)),"")</f>
        <v/>
      </c>
      <c r="D13" s="21">
        <f>IFERROR(INDEX(Schedule!$AA$5:$AA$364,MATCH(SUMPRODUCT(MAX(((INT((Schedule!$A$5:$A$364-1)/12)+1=7))*(Schedule!$AB$5:$AB$364)*(Schedule!$A$5:$A$364))),Schedule!$A$5:$A$364,0)),"")</f>
        <v/>
      </c>
      <c r="E13" s="21">
        <f>SUMPRODUCT(((INT((Schedule!$A$5:$A$364-1)/12)+1=7))*(Schedule!$AB$5:$AB$364)*(Schedule!$T$5:$T$364))</f>
        <v/>
      </c>
      <c r="F13" s="21">
        <f>SUMPRODUCT(((INT((Schedule!$A$5:$A$364-1)/12)+1=7))*(Schedule!$AB$5:$AB$364)*(Schedule!$Y$5:$Y$364))</f>
        <v/>
      </c>
    </row>
    <row r="14">
      <c r="A14" s="6" t="n">
        <v>8</v>
      </c>
      <c r="B14" s="6">
        <f>SUMPRODUCT(((INT((Schedule!$A$5:$A$364-1)/12)+1=8))*(Schedule!$AB$5:$AB$364))</f>
        <v/>
      </c>
      <c r="C14" s="21">
        <f>IFERROR(INDEX(Schedule!$L$5:$L$364,MATCH(1,((INT((Schedule!$A$5:$A$364-1)/12)+1=8))*(Schedule!$AB$5:$AB$364),0)),"")</f>
        <v/>
      </c>
      <c r="D14" s="21">
        <f>IFERROR(INDEX(Schedule!$AA$5:$AA$364,MATCH(SUMPRODUCT(MAX(((INT((Schedule!$A$5:$A$364-1)/12)+1=8))*(Schedule!$AB$5:$AB$364)*(Schedule!$A$5:$A$364))),Schedule!$A$5:$A$364,0)),"")</f>
        <v/>
      </c>
      <c r="E14" s="21">
        <f>SUMPRODUCT(((INT((Schedule!$A$5:$A$364-1)/12)+1=8))*(Schedule!$AB$5:$AB$364)*(Schedule!$T$5:$T$364))</f>
        <v/>
      </c>
      <c r="F14" s="21">
        <f>SUMPRODUCT(((INT((Schedule!$A$5:$A$364-1)/12)+1=8))*(Schedule!$AB$5:$AB$364)*(Schedule!$Y$5:$Y$364))</f>
        <v/>
      </c>
    </row>
    <row r="15">
      <c r="A15" s="6" t="n">
        <v>9</v>
      </c>
      <c r="B15" s="6">
        <f>SUMPRODUCT(((INT((Schedule!$A$5:$A$364-1)/12)+1=9))*(Schedule!$AB$5:$AB$364))</f>
        <v/>
      </c>
      <c r="C15" s="21">
        <f>IFERROR(INDEX(Schedule!$L$5:$L$364,MATCH(1,((INT((Schedule!$A$5:$A$364-1)/12)+1=9))*(Schedule!$AB$5:$AB$364),0)),"")</f>
        <v/>
      </c>
      <c r="D15" s="21">
        <f>IFERROR(INDEX(Schedule!$AA$5:$AA$364,MATCH(SUMPRODUCT(MAX(((INT((Schedule!$A$5:$A$364-1)/12)+1=9))*(Schedule!$AB$5:$AB$364)*(Schedule!$A$5:$A$364))),Schedule!$A$5:$A$364,0)),"")</f>
        <v/>
      </c>
      <c r="E15" s="21">
        <f>SUMPRODUCT(((INT((Schedule!$A$5:$A$364-1)/12)+1=9))*(Schedule!$AB$5:$AB$364)*(Schedule!$T$5:$T$364))</f>
        <v/>
      </c>
      <c r="F15" s="21">
        <f>SUMPRODUCT(((INT((Schedule!$A$5:$A$364-1)/12)+1=9))*(Schedule!$AB$5:$AB$364)*(Schedule!$Y$5:$Y$364))</f>
        <v/>
      </c>
    </row>
    <row r="16">
      <c r="A16" s="6" t="n">
        <v>10</v>
      </c>
      <c r="B16" s="6">
        <f>SUMPRODUCT(((INT((Schedule!$A$5:$A$364-1)/12)+1=10))*(Schedule!$AB$5:$AB$364))</f>
        <v/>
      </c>
      <c r="C16" s="21">
        <f>IFERROR(INDEX(Schedule!$L$5:$L$364,MATCH(1,((INT((Schedule!$A$5:$A$364-1)/12)+1=10))*(Schedule!$AB$5:$AB$364),0)),"")</f>
        <v/>
      </c>
      <c r="D16" s="21">
        <f>IFERROR(INDEX(Schedule!$AA$5:$AA$364,MATCH(SUMPRODUCT(MAX(((INT((Schedule!$A$5:$A$364-1)/12)+1=10))*(Schedule!$AB$5:$AB$364)*(Schedule!$A$5:$A$364))),Schedule!$A$5:$A$364,0)),"")</f>
        <v/>
      </c>
      <c r="E16" s="21">
        <f>SUMPRODUCT(((INT((Schedule!$A$5:$A$364-1)/12)+1=10))*(Schedule!$AB$5:$AB$364)*(Schedule!$T$5:$T$364))</f>
        <v/>
      </c>
      <c r="F16" s="21">
        <f>SUMPRODUCT(((INT((Schedule!$A$5:$A$364-1)/12)+1=10))*(Schedule!$AB$5:$AB$364)*(Schedule!$Y$5:$Y$364))</f>
        <v/>
      </c>
    </row>
    <row r="17">
      <c r="A17" s="6" t="n">
        <v>11</v>
      </c>
      <c r="B17" s="6">
        <f>SUMPRODUCT(((INT((Schedule!$A$5:$A$364-1)/12)+1=11))*(Schedule!$AB$5:$AB$364))</f>
        <v/>
      </c>
      <c r="C17" s="21">
        <f>IFERROR(INDEX(Schedule!$L$5:$L$364,MATCH(1,((INT((Schedule!$A$5:$A$364-1)/12)+1=11))*(Schedule!$AB$5:$AB$364),0)),"")</f>
        <v/>
      </c>
      <c r="D17" s="21">
        <f>IFERROR(INDEX(Schedule!$AA$5:$AA$364,MATCH(SUMPRODUCT(MAX(((INT((Schedule!$A$5:$A$364-1)/12)+1=11))*(Schedule!$AB$5:$AB$364)*(Schedule!$A$5:$A$364))),Schedule!$A$5:$A$364,0)),"")</f>
        <v/>
      </c>
      <c r="E17" s="21">
        <f>SUMPRODUCT(((INT((Schedule!$A$5:$A$364-1)/12)+1=11))*(Schedule!$AB$5:$AB$364)*(Schedule!$T$5:$T$364))</f>
        <v/>
      </c>
      <c r="F17" s="21">
        <f>SUMPRODUCT(((INT((Schedule!$A$5:$A$364-1)/12)+1=11))*(Schedule!$AB$5:$AB$364)*(Schedule!$Y$5:$Y$364))</f>
        <v/>
      </c>
    </row>
    <row r="18">
      <c r="A18" s="6" t="n">
        <v>12</v>
      </c>
      <c r="B18" s="6">
        <f>SUMPRODUCT(((INT((Schedule!$A$5:$A$364-1)/12)+1=12))*(Schedule!$AB$5:$AB$364))</f>
        <v/>
      </c>
      <c r="C18" s="21">
        <f>IFERROR(INDEX(Schedule!$L$5:$L$364,MATCH(1,((INT((Schedule!$A$5:$A$364-1)/12)+1=12))*(Schedule!$AB$5:$AB$364),0)),"")</f>
        <v/>
      </c>
      <c r="D18" s="21">
        <f>IFERROR(INDEX(Schedule!$AA$5:$AA$364,MATCH(SUMPRODUCT(MAX(((INT((Schedule!$A$5:$A$364-1)/12)+1=12))*(Schedule!$AB$5:$AB$364)*(Schedule!$A$5:$A$364))),Schedule!$A$5:$A$364,0)),"")</f>
        <v/>
      </c>
      <c r="E18" s="21">
        <f>SUMPRODUCT(((INT((Schedule!$A$5:$A$364-1)/12)+1=12))*(Schedule!$AB$5:$AB$364)*(Schedule!$T$5:$T$364))</f>
        <v/>
      </c>
      <c r="F18" s="21">
        <f>SUMPRODUCT(((INT((Schedule!$A$5:$A$364-1)/12)+1=12))*(Schedule!$AB$5:$AB$364)*(Schedule!$Y$5:$Y$364))</f>
        <v/>
      </c>
    </row>
    <row r="19">
      <c r="A19" s="6" t="n">
        <v>13</v>
      </c>
      <c r="B19" s="6">
        <f>SUMPRODUCT(((INT((Schedule!$A$5:$A$364-1)/12)+1=13))*(Schedule!$AB$5:$AB$364))</f>
        <v/>
      </c>
      <c r="C19" s="21">
        <f>IFERROR(INDEX(Schedule!$L$5:$L$364,MATCH(1,((INT((Schedule!$A$5:$A$364-1)/12)+1=13))*(Schedule!$AB$5:$AB$364),0)),"")</f>
        <v/>
      </c>
      <c r="D19" s="21">
        <f>IFERROR(INDEX(Schedule!$AA$5:$AA$364,MATCH(SUMPRODUCT(MAX(((INT((Schedule!$A$5:$A$364-1)/12)+1=13))*(Schedule!$AB$5:$AB$364)*(Schedule!$A$5:$A$364))),Schedule!$A$5:$A$364,0)),"")</f>
        <v/>
      </c>
      <c r="E19" s="21">
        <f>SUMPRODUCT(((INT((Schedule!$A$5:$A$364-1)/12)+1=13))*(Schedule!$AB$5:$AB$364)*(Schedule!$T$5:$T$364))</f>
        <v/>
      </c>
      <c r="F19" s="21">
        <f>SUMPRODUCT(((INT((Schedule!$A$5:$A$364-1)/12)+1=13))*(Schedule!$AB$5:$AB$364)*(Schedule!$Y$5:$Y$364))</f>
        <v/>
      </c>
    </row>
    <row r="20">
      <c r="A20" s="6" t="n">
        <v>14</v>
      </c>
      <c r="B20" s="6">
        <f>SUMPRODUCT(((INT((Schedule!$A$5:$A$364-1)/12)+1=14))*(Schedule!$AB$5:$AB$364))</f>
        <v/>
      </c>
      <c r="C20" s="21">
        <f>IFERROR(INDEX(Schedule!$L$5:$L$364,MATCH(1,((INT((Schedule!$A$5:$A$364-1)/12)+1=14))*(Schedule!$AB$5:$AB$364),0)),"")</f>
        <v/>
      </c>
      <c r="D20" s="21">
        <f>IFERROR(INDEX(Schedule!$AA$5:$AA$364,MATCH(SUMPRODUCT(MAX(((INT((Schedule!$A$5:$A$364-1)/12)+1=14))*(Schedule!$AB$5:$AB$364)*(Schedule!$A$5:$A$364))),Schedule!$A$5:$A$364,0)),"")</f>
        <v/>
      </c>
      <c r="E20" s="21">
        <f>SUMPRODUCT(((INT((Schedule!$A$5:$A$364-1)/12)+1=14))*(Schedule!$AB$5:$AB$364)*(Schedule!$T$5:$T$364))</f>
        <v/>
      </c>
      <c r="F20" s="21">
        <f>SUMPRODUCT(((INT((Schedule!$A$5:$A$364-1)/12)+1=14))*(Schedule!$AB$5:$AB$364)*(Schedule!$Y$5:$Y$364))</f>
        <v/>
      </c>
    </row>
    <row r="21">
      <c r="A21" s="6" t="n">
        <v>15</v>
      </c>
      <c r="B21" s="6">
        <f>SUMPRODUCT(((INT((Schedule!$A$5:$A$364-1)/12)+1=15))*(Schedule!$AB$5:$AB$364))</f>
        <v/>
      </c>
      <c r="C21" s="21">
        <f>IFERROR(INDEX(Schedule!$L$5:$L$364,MATCH(1,((INT((Schedule!$A$5:$A$364-1)/12)+1=15))*(Schedule!$AB$5:$AB$364),0)),"")</f>
        <v/>
      </c>
      <c r="D21" s="21">
        <f>IFERROR(INDEX(Schedule!$AA$5:$AA$364,MATCH(SUMPRODUCT(MAX(((INT((Schedule!$A$5:$A$364-1)/12)+1=15))*(Schedule!$AB$5:$AB$364)*(Schedule!$A$5:$A$364))),Schedule!$A$5:$A$364,0)),"")</f>
        <v/>
      </c>
      <c r="E21" s="21">
        <f>SUMPRODUCT(((INT((Schedule!$A$5:$A$364-1)/12)+1=15))*(Schedule!$AB$5:$AB$364)*(Schedule!$T$5:$T$364))</f>
        <v/>
      </c>
      <c r="F21" s="21">
        <f>SUMPRODUCT(((INT((Schedule!$A$5:$A$364-1)/12)+1=15))*(Schedule!$AB$5:$AB$364)*(Schedule!$Y$5:$Y$364))</f>
        <v/>
      </c>
    </row>
    <row r="22">
      <c r="A22" s="6" t="n">
        <v>16</v>
      </c>
      <c r="B22" s="6">
        <f>SUMPRODUCT(((INT((Schedule!$A$5:$A$364-1)/12)+1=16))*(Schedule!$AB$5:$AB$364))</f>
        <v/>
      </c>
      <c r="C22" s="21">
        <f>IFERROR(INDEX(Schedule!$L$5:$L$364,MATCH(1,((INT((Schedule!$A$5:$A$364-1)/12)+1=16))*(Schedule!$AB$5:$AB$364),0)),"")</f>
        <v/>
      </c>
      <c r="D22" s="21">
        <f>IFERROR(INDEX(Schedule!$AA$5:$AA$364,MATCH(SUMPRODUCT(MAX(((INT((Schedule!$A$5:$A$364-1)/12)+1=16))*(Schedule!$AB$5:$AB$364)*(Schedule!$A$5:$A$364))),Schedule!$A$5:$A$364,0)),"")</f>
        <v/>
      </c>
      <c r="E22" s="21">
        <f>SUMPRODUCT(((INT((Schedule!$A$5:$A$364-1)/12)+1=16))*(Schedule!$AB$5:$AB$364)*(Schedule!$T$5:$T$364))</f>
        <v/>
      </c>
      <c r="F22" s="21">
        <f>SUMPRODUCT(((INT((Schedule!$A$5:$A$364-1)/12)+1=16))*(Schedule!$AB$5:$AB$364)*(Schedule!$Y$5:$Y$364))</f>
        <v/>
      </c>
    </row>
    <row r="23">
      <c r="A23" s="6" t="n">
        <v>17</v>
      </c>
      <c r="B23" s="6">
        <f>SUMPRODUCT(((INT((Schedule!$A$5:$A$364-1)/12)+1=17))*(Schedule!$AB$5:$AB$364))</f>
        <v/>
      </c>
      <c r="C23" s="21">
        <f>IFERROR(INDEX(Schedule!$L$5:$L$364,MATCH(1,((INT((Schedule!$A$5:$A$364-1)/12)+1=17))*(Schedule!$AB$5:$AB$364),0)),"")</f>
        <v/>
      </c>
      <c r="D23" s="21">
        <f>IFERROR(INDEX(Schedule!$AA$5:$AA$364,MATCH(SUMPRODUCT(MAX(((INT((Schedule!$A$5:$A$364-1)/12)+1=17))*(Schedule!$AB$5:$AB$364)*(Schedule!$A$5:$A$364))),Schedule!$A$5:$A$364,0)),"")</f>
        <v/>
      </c>
      <c r="E23" s="21">
        <f>SUMPRODUCT(((INT((Schedule!$A$5:$A$364-1)/12)+1=17))*(Schedule!$AB$5:$AB$364)*(Schedule!$T$5:$T$364))</f>
        <v/>
      </c>
      <c r="F23" s="21">
        <f>SUMPRODUCT(((INT((Schedule!$A$5:$A$364-1)/12)+1=17))*(Schedule!$AB$5:$AB$364)*(Schedule!$Y$5:$Y$364))</f>
        <v/>
      </c>
    </row>
    <row r="24">
      <c r="A24" s="6" t="n">
        <v>18</v>
      </c>
      <c r="B24" s="6">
        <f>SUMPRODUCT(((INT((Schedule!$A$5:$A$364-1)/12)+1=18))*(Schedule!$AB$5:$AB$364))</f>
        <v/>
      </c>
      <c r="C24" s="21">
        <f>IFERROR(INDEX(Schedule!$L$5:$L$364,MATCH(1,((INT((Schedule!$A$5:$A$364-1)/12)+1=18))*(Schedule!$AB$5:$AB$364),0)),"")</f>
        <v/>
      </c>
      <c r="D24" s="21">
        <f>IFERROR(INDEX(Schedule!$AA$5:$AA$364,MATCH(SUMPRODUCT(MAX(((INT((Schedule!$A$5:$A$364-1)/12)+1=18))*(Schedule!$AB$5:$AB$364)*(Schedule!$A$5:$A$364))),Schedule!$A$5:$A$364,0)),"")</f>
        <v/>
      </c>
      <c r="E24" s="21">
        <f>SUMPRODUCT(((INT((Schedule!$A$5:$A$364-1)/12)+1=18))*(Schedule!$AB$5:$AB$364)*(Schedule!$T$5:$T$364))</f>
        <v/>
      </c>
      <c r="F24" s="21">
        <f>SUMPRODUCT(((INT((Schedule!$A$5:$A$364-1)/12)+1=18))*(Schedule!$AB$5:$AB$364)*(Schedule!$Y$5:$Y$364))</f>
        <v/>
      </c>
    </row>
    <row r="25">
      <c r="A25" s="6" t="n">
        <v>19</v>
      </c>
      <c r="B25" s="6">
        <f>SUMPRODUCT(((INT((Schedule!$A$5:$A$364-1)/12)+1=19))*(Schedule!$AB$5:$AB$364))</f>
        <v/>
      </c>
      <c r="C25" s="21">
        <f>IFERROR(INDEX(Schedule!$L$5:$L$364,MATCH(1,((INT((Schedule!$A$5:$A$364-1)/12)+1=19))*(Schedule!$AB$5:$AB$364),0)),"")</f>
        <v/>
      </c>
      <c r="D25" s="21">
        <f>IFERROR(INDEX(Schedule!$AA$5:$AA$364,MATCH(SUMPRODUCT(MAX(((INT((Schedule!$A$5:$A$364-1)/12)+1=19))*(Schedule!$AB$5:$AB$364)*(Schedule!$A$5:$A$364))),Schedule!$A$5:$A$364,0)),"")</f>
        <v/>
      </c>
      <c r="E25" s="21">
        <f>SUMPRODUCT(((INT((Schedule!$A$5:$A$364-1)/12)+1=19))*(Schedule!$AB$5:$AB$364)*(Schedule!$T$5:$T$364))</f>
        <v/>
      </c>
      <c r="F25" s="21">
        <f>SUMPRODUCT(((INT((Schedule!$A$5:$A$364-1)/12)+1=19))*(Schedule!$AB$5:$AB$364)*(Schedule!$Y$5:$Y$364))</f>
        <v/>
      </c>
    </row>
    <row r="26">
      <c r="A26" s="6" t="n">
        <v>20</v>
      </c>
      <c r="B26" s="6">
        <f>SUMPRODUCT(((INT((Schedule!$A$5:$A$364-1)/12)+1=20))*(Schedule!$AB$5:$AB$364))</f>
        <v/>
      </c>
      <c r="C26" s="21">
        <f>IFERROR(INDEX(Schedule!$L$5:$L$364,MATCH(1,((INT((Schedule!$A$5:$A$364-1)/12)+1=20))*(Schedule!$AB$5:$AB$364),0)),"")</f>
        <v/>
      </c>
      <c r="D26" s="21">
        <f>IFERROR(INDEX(Schedule!$AA$5:$AA$364,MATCH(SUMPRODUCT(MAX(((INT((Schedule!$A$5:$A$364-1)/12)+1=20))*(Schedule!$AB$5:$AB$364)*(Schedule!$A$5:$A$364))),Schedule!$A$5:$A$364,0)),"")</f>
        <v/>
      </c>
      <c r="E26" s="21">
        <f>SUMPRODUCT(((INT((Schedule!$A$5:$A$364-1)/12)+1=20))*(Schedule!$AB$5:$AB$364)*(Schedule!$T$5:$T$364))</f>
        <v/>
      </c>
      <c r="F26" s="21">
        <f>SUMPRODUCT(((INT((Schedule!$A$5:$A$364-1)/12)+1=20))*(Schedule!$AB$5:$AB$364)*(Schedule!$Y$5:$Y$364))</f>
        <v/>
      </c>
    </row>
    <row r="27">
      <c r="A27" s="6" t="n">
        <v>21</v>
      </c>
      <c r="B27" s="6">
        <f>SUMPRODUCT(((INT((Schedule!$A$5:$A$364-1)/12)+1=21))*(Schedule!$AB$5:$AB$364))</f>
        <v/>
      </c>
      <c r="C27" s="21">
        <f>IFERROR(INDEX(Schedule!$L$5:$L$364,MATCH(1,((INT((Schedule!$A$5:$A$364-1)/12)+1=21))*(Schedule!$AB$5:$AB$364),0)),"")</f>
        <v/>
      </c>
      <c r="D27" s="21">
        <f>IFERROR(INDEX(Schedule!$AA$5:$AA$364,MATCH(SUMPRODUCT(MAX(((INT((Schedule!$A$5:$A$364-1)/12)+1=21))*(Schedule!$AB$5:$AB$364)*(Schedule!$A$5:$A$364))),Schedule!$A$5:$A$364,0)),"")</f>
        <v/>
      </c>
      <c r="E27" s="21">
        <f>SUMPRODUCT(((INT((Schedule!$A$5:$A$364-1)/12)+1=21))*(Schedule!$AB$5:$AB$364)*(Schedule!$T$5:$T$364))</f>
        <v/>
      </c>
      <c r="F27" s="21">
        <f>SUMPRODUCT(((INT((Schedule!$A$5:$A$364-1)/12)+1=21))*(Schedule!$AB$5:$AB$364)*(Schedule!$Y$5:$Y$364))</f>
        <v/>
      </c>
    </row>
    <row r="28">
      <c r="A28" s="6" t="n">
        <v>22</v>
      </c>
      <c r="B28" s="6">
        <f>SUMPRODUCT(((INT((Schedule!$A$5:$A$364-1)/12)+1=22))*(Schedule!$AB$5:$AB$364))</f>
        <v/>
      </c>
      <c r="C28" s="21">
        <f>IFERROR(INDEX(Schedule!$L$5:$L$364,MATCH(1,((INT((Schedule!$A$5:$A$364-1)/12)+1=22))*(Schedule!$AB$5:$AB$364),0)),"")</f>
        <v/>
      </c>
      <c r="D28" s="21">
        <f>IFERROR(INDEX(Schedule!$AA$5:$AA$364,MATCH(SUMPRODUCT(MAX(((INT((Schedule!$A$5:$A$364-1)/12)+1=22))*(Schedule!$AB$5:$AB$364)*(Schedule!$A$5:$A$364))),Schedule!$A$5:$A$364,0)),"")</f>
        <v/>
      </c>
      <c r="E28" s="21">
        <f>SUMPRODUCT(((INT((Schedule!$A$5:$A$364-1)/12)+1=22))*(Schedule!$AB$5:$AB$364)*(Schedule!$T$5:$T$364))</f>
        <v/>
      </c>
      <c r="F28" s="21">
        <f>SUMPRODUCT(((INT((Schedule!$A$5:$A$364-1)/12)+1=22))*(Schedule!$AB$5:$AB$364)*(Schedule!$Y$5:$Y$364))</f>
        <v/>
      </c>
    </row>
    <row r="29">
      <c r="A29" s="6" t="n">
        <v>23</v>
      </c>
      <c r="B29" s="6">
        <f>SUMPRODUCT(((INT((Schedule!$A$5:$A$364-1)/12)+1=23))*(Schedule!$AB$5:$AB$364))</f>
        <v/>
      </c>
      <c r="C29" s="21">
        <f>IFERROR(INDEX(Schedule!$L$5:$L$364,MATCH(1,((INT((Schedule!$A$5:$A$364-1)/12)+1=23))*(Schedule!$AB$5:$AB$364),0)),"")</f>
        <v/>
      </c>
      <c r="D29" s="21">
        <f>IFERROR(INDEX(Schedule!$AA$5:$AA$364,MATCH(SUMPRODUCT(MAX(((INT((Schedule!$A$5:$A$364-1)/12)+1=23))*(Schedule!$AB$5:$AB$364)*(Schedule!$A$5:$A$364))),Schedule!$A$5:$A$364,0)),"")</f>
        <v/>
      </c>
      <c r="E29" s="21">
        <f>SUMPRODUCT(((INT((Schedule!$A$5:$A$364-1)/12)+1=23))*(Schedule!$AB$5:$AB$364)*(Schedule!$T$5:$T$364))</f>
        <v/>
      </c>
      <c r="F29" s="21">
        <f>SUMPRODUCT(((INT((Schedule!$A$5:$A$364-1)/12)+1=23))*(Schedule!$AB$5:$AB$364)*(Schedule!$Y$5:$Y$364))</f>
        <v/>
      </c>
    </row>
    <row r="30">
      <c r="A30" s="6" t="n">
        <v>24</v>
      </c>
      <c r="B30" s="6">
        <f>SUMPRODUCT(((INT((Schedule!$A$5:$A$364-1)/12)+1=24))*(Schedule!$AB$5:$AB$364))</f>
        <v/>
      </c>
      <c r="C30" s="21">
        <f>IFERROR(INDEX(Schedule!$L$5:$L$364,MATCH(1,((INT((Schedule!$A$5:$A$364-1)/12)+1=24))*(Schedule!$AB$5:$AB$364),0)),"")</f>
        <v/>
      </c>
      <c r="D30" s="21">
        <f>IFERROR(INDEX(Schedule!$AA$5:$AA$364,MATCH(SUMPRODUCT(MAX(((INT((Schedule!$A$5:$A$364-1)/12)+1=24))*(Schedule!$AB$5:$AB$364)*(Schedule!$A$5:$A$364))),Schedule!$A$5:$A$364,0)),"")</f>
        <v/>
      </c>
      <c r="E30" s="21">
        <f>SUMPRODUCT(((INT((Schedule!$A$5:$A$364-1)/12)+1=24))*(Schedule!$AB$5:$AB$364)*(Schedule!$T$5:$T$364))</f>
        <v/>
      </c>
      <c r="F30" s="21">
        <f>SUMPRODUCT(((INT((Schedule!$A$5:$A$364-1)/12)+1=24))*(Schedule!$AB$5:$AB$364)*(Schedule!$Y$5:$Y$364))</f>
        <v/>
      </c>
    </row>
    <row r="31">
      <c r="A31" s="6" t="n">
        <v>25</v>
      </c>
      <c r="B31" s="6">
        <f>SUMPRODUCT(((INT((Schedule!$A$5:$A$364-1)/12)+1=25))*(Schedule!$AB$5:$AB$364))</f>
        <v/>
      </c>
      <c r="C31" s="21">
        <f>IFERROR(INDEX(Schedule!$L$5:$L$364,MATCH(1,((INT((Schedule!$A$5:$A$364-1)/12)+1=25))*(Schedule!$AB$5:$AB$364),0)),"")</f>
        <v/>
      </c>
      <c r="D31" s="21">
        <f>IFERROR(INDEX(Schedule!$AA$5:$AA$364,MATCH(SUMPRODUCT(MAX(((INT((Schedule!$A$5:$A$364-1)/12)+1=25))*(Schedule!$AB$5:$AB$364)*(Schedule!$A$5:$A$364))),Schedule!$A$5:$A$364,0)),"")</f>
        <v/>
      </c>
      <c r="E31" s="21">
        <f>SUMPRODUCT(((INT((Schedule!$A$5:$A$364-1)/12)+1=25))*(Schedule!$AB$5:$AB$364)*(Schedule!$T$5:$T$364))</f>
        <v/>
      </c>
      <c r="F31" s="21">
        <f>SUMPRODUCT(((INT((Schedule!$A$5:$A$364-1)/12)+1=25))*(Schedule!$AB$5:$AB$364)*(Schedule!$Y$5:$Y$364))</f>
        <v/>
      </c>
    </row>
    <row r="32">
      <c r="A32" s="6" t="n">
        <v>26</v>
      </c>
      <c r="B32" s="6">
        <f>SUMPRODUCT(((INT((Schedule!$A$5:$A$364-1)/12)+1=26))*(Schedule!$AB$5:$AB$364))</f>
        <v/>
      </c>
      <c r="C32" s="21">
        <f>IFERROR(INDEX(Schedule!$L$5:$L$364,MATCH(1,((INT((Schedule!$A$5:$A$364-1)/12)+1=26))*(Schedule!$AB$5:$AB$364),0)),"")</f>
        <v/>
      </c>
      <c r="D32" s="21">
        <f>IFERROR(INDEX(Schedule!$AA$5:$AA$364,MATCH(SUMPRODUCT(MAX(((INT((Schedule!$A$5:$A$364-1)/12)+1=26))*(Schedule!$AB$5:$AB$364)*(Schedule!$A$5:$A$364))),Schedule!$A$5:$A$364,0)),"")</f>
        <v/>
      </c>
      <c r="E32" s="21">
        <f>SUMPRODUCT(((INT((Schedule!$A$5:$A$364-1)/12)+1=26))*(Schedule!$AB$5:$AB$364)*(Schedule!$T$5:$T$364))</f>
        <v/>
      </c>
      <c r="F32" s="21">
        <f>SUMPRODUCT(((INT((Schedule!$A$5:$A$364-1)/12)+1=26))*(Schedule!$AB$5:$AB$364)*(Schedule!$Y$5:$Y$364))</f>
        <v/>
      </c>
    </row>
    <row r="33">
      <c r="A33" s="6" t="n">
        <v>27</v>
      </c>
      <c r="B33" s="6">
        <f>SUMPRODUCT(((INT((Schedule!$A$5:$A$364-1)/12)+1=27))*(Schedule!$AB$5:$AB$364))</f>
        <v/>
      </c>
      <c r="C33" s="21">
        <f>IFERROR(INDEX(Schedule!$L$5:$L$364,MATCH(1,((INT((Schedule!$A$5:$A$364-1)/12)+1=27))*(Schedule!$AB$5:$AB$364),0)),"")</f>
        <v/>
      </c>
      <c r="D33" s="21">
        <f>IFERROR(INDEX(Schedule!$AA$5:$AA$364,MATCH(SUMPRODUCT(MAX(((INT((Schedule!$A$5:$A$364-1)/12)+1=27))*(Schedule!$AB$5:$AB$364)*(Schedule!$A$5:$A$364))),Schedule!$A$5:$A$364,0)),"")</f>
        <v/>
      </c>
      <c r="E33" s="21">
        <f>SUMPRODUCT(((INT((Schedule!$A$5:$A$364-1)/12)+1=27))*(Schedule!$AB$5:$AB$364)*(Schedule!$T$5:$T$364))</f>
        <v/>
      </c>
      <c r="F33" s="21">
        <f>SUMPRODUCT(((INT((Schedule!$A$5:$A$364-1)/12)+1=27))*(Schedule!$AB$5:$AB$364)*(Schedule!$Y$5:$Y$364))</f>
        <v/>
      </c>
    </row>
    <row r="34">
      <c r="A34" s="6" t="n">
        <v>28</v>
      </c>
      <c r="B34" s="6">
        <f>SUMPRODUCT(((INT((Schedule!$A$5:$A$364-1)/12)+1=28))*(Schedule!$AB$5:$AB$364))</f>
        <v/>
      </c>
      <c r="C34" s="21">
        <f>IFERROR(INDEX(Schedule!$L$5:$L$364,MATCH(1,((INT((Schedule!$A$5:$A$364-1)/12)+1=28))*(Schedule!$AB$5:$AB$364),0)),"")</f>
        <v/>
      </c>
      <c r="D34" s="21">
        <f>IFERROR(INDEX(Schedule!$AA$5:$AA$364,MATCH(SUMPRODUCT(MAX(((INT((Schedule!$A$5:$A$364-1)/12)+1=28))*(Schedule!$AB$5:$AB$364)*(Schedule!$A$5:$A$364))),Schedule!$A$5:$A$364,0)),"")</f>
        <v/>
      </c>
      <c r="E34" s="21">
        <f>SUMPRODUCT(((INT((Schedule!$A$5:$A$364-1)/12)+1=28))*(Schedule!$AB$5:$AB$364)*(Schedule!$T$5:$T$364))</f>
        <v/>
      </c>
      <c r="F34" s="21">
        <f>SUMPRODUCT(((INT((Schedule!$A$5:$A$364-1)/12)+1=28))*(Schedule!$AB$5:$AB$364)*(Schedule!$Y$5:$Y$364))</f>
        <v/>
      </c>
    </row>
    <row r="35">
      <c r="A35" s="6" t="n">
        <v>29</v>
      </c>
      <c r="B35" s="6">
        <f>SUMPRODUCT(((INT((Schedule!$A$5:$A$364-1)/12)+1=29))*(Schedule!$AB$5:$AB$364))</f>
        <v/>
      </c>
      <c r="C35" s="21">
        <f>IFERROR(INDEX(Schedule!$L$5:$L$364,MATCH(1,((INT((Schedule!$A$5:$A$364-1)/12)+1=29))*(Schedule!$AB$5:$AB$364),0)),"")</f>
        <v/>
      </c>
      <c r="D35" s="21">
        <f>IFERROR(INDEX(Schedule!$AA$5:$AA$364,MATCH(SUMPRODUCT(MAX(((INT((Schedule!$A$5:$A$364-1)/12)+1=29))*(Schedule!$AB$5:$AB$364)*(Schedule!$A$5:$A$364))),Schedule!$A$5:$A$364,0)),"")</f>
        <v/>
      </c>
      <c r="E35" s="21">
        <f>SUMPRODUCT(((INT((Schedule!$A$5:$A$364-1)/12)+1=29))*(Schedule!$AB$5:$AB$364)*(Schedule!$T$5:$T$364))</f>
        <v/>
      </c>
      <c r="F35" s="21">
        <f>SUMPRODUCT(((INT((Schedule!$A$5:$A$364-1)/12)+1=29))*(Schedule!$AB$5:$AB$364)*(Schedule!$Y$5:$Y$364))</f>
        <v/>
      </c>
    </row>
    <row r="36">
      <c r="A36" s="6" t="n">
        <v>30</v>
      </c>
      <c r="B36" s="6">
        <f>SUMPRODUCT(((INT((Schedule!$A$5:$A$364-1)/12)+1=30))*(Schedule!$AB$5:$AB$364))</f>
        <v/>
      </c>
      <c r="C36" s="21">
        <f>IFERROR(INDEX(Schedule!$L$5:$L$364,MATCH(1,((INT((Schedule!$A$5:$A$364-1)/12)+1=30))*(Schedule!$AB$5:$AB$364),0)),"")</f>
        <v/>
      </c>
      <c r="D36" s="21">
        <f>IFERROR(INDEX(Schedule!$AA$5:$AA$364,MATCH(SUMPRODUCT(MAX(((INT((Schedule!$A$5:$A$364-1)/12)+1=30))*(Schedule!$AB$5:$AB$364)*(Schedule!$A$5:$A$364))),Schedule!$A$5:$A$364,0)),"")</f>
        <v/>
      </c>
      <c r="E36" s="21">
        <f>SUMPRODUCT(((INT((Schedule!$A$5:$A$364-1)/12)+1=30))*(Schedule!$AB$5:$AB$364)*(Schedule!$T$5:$T$364))</f>
        <v/>
      </c>
      <c r="F36" s="21">
        <f>SUMPRODUCT(((INT((Schedule!$A$5:$A$364-1)/12)+1=30))*(Schedule!$AB$5:$AB$364)*(Schedule!$Y$5:$Y$364))</f>
        <v/>
      </c>
    </row>
    <row r="37"/>
    <row r="38">
      <c r="A38" s="17" t="inlineStr">
        <is>
          <t>Totals through year (see B4)</t>
        </is>
      </c>
      <c r="B38" s="21">
        <f>SUMIFS($E$7:$E$36,$A$7:$A$36,"&lt;="&amp;B4)</f>
        <v/>
      </c>
      <c r="C38" s="21">
        <f>SUMIFS($F$7:$F$36,$A$7:$A$36,"&lt;="&amp;B4)</f>
        <v/>
      </c>
      <c r="D38" s="21">
        <f>INDEX($D$7:$D$36,MATCH(MIN(B4,COUNT($A$7:$A$36)),$A$7:$A$36,0))</f>
        <v/>
      </c>
    </row>
    <row r="39">
      <c r="A39" s="2" t="inlineStr">
        <is>
          <t>(Interest / Principal / Ending balance)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76"/>
  <sheetViews>
    <sheetView workbookViewId="0">
      <pane ySplit="16" topLeftCell="A17" activePane="bottomLeft" state="frozen"/>
      <selection pane="bottomLeft" activeCell="A1" sqref="A1"/>
    </sheetView>
  </sheetViews>
  <sheetFormatPr baseColWidth="8" defaultRowHeight="15"/>
  <cols>
    <col width="30" customWidth="1" min="1" max="1"/>
    <col width="16" customWidth="1" min="2" max="2"/>
    <col width="10" customWidth="1" min="3" max="3"/>
    <col width="14" customWidth="1" min="4" max="4"/>
    <col width="16" customWidth="1" min="5" max="5"/>
    <col width="16" customWidth="1" min="6" max="6"/>
  </cols>
  <sheetData>
    <row r="1">
      <c r="A1" s="1" t="inlineStr">
        <is>
          <t>Payment Frequency (monthly / semi-monthly / biweekly / weekly)</t>
        </is>
      </c>
    </row>
    <row r="2">
      <c r="A2" s="2" t="inlineStr">
        <is>
          <t>Standalone single-loan calculator (not part of the segmented engine). Genuine per-period amortization at the chosen cadence. Bounded to 1560 periods (30 years at weekly, the densest cadence).</t>
        </is>
      </c>
    </row>
    <row r="3"/>
    <row r="4">
      <c r="A4" s="17" t="inlineStr">
        <is>
          <t>Loan amount ($)</t>
        </is>
      </c>
      <c r="B4" s="9" t="n">
        <v>300000</v>
      </c>
      <c r="D4" s="17" t="inlineStr">
        <is>
          <t>Frequency</t>
        </is>
      </c>
      <c r="E4" s="17" t="inlineStr">
        <is>
          <t>Payments/Yr</t>
        </is>
      </c>
      <c r="F4" s="17" t="inlineStr">
        <is>
          <t>Payment Fraction</t>
        </is>
      </c>
    </row>
    <row r="5">
      <c r="A5" s="17" t="inlineStr">
        <is>
          <t>Annual interest rate (%)</t>
        </is>
      </c>
      <c r="B5" s="8" t="n">
        <v>6.5</v>
      </c>
      <c r="D5" s="6" t="inlineStr">
        <is>
          <t>monthly</t>
        </is>
      </c>
      <c r="E5" s="6" t="n">
        <v>12</v>
      </c>
      <c r="F5" s="6" t="n">
        <v>1</v>
      </c>
    </row>
    <row r="6">
      <c r="A6" s="17" t="inlineStr">
        <is>
          <t>Term (months)</t>
        </is>
      </c>
      <c r="B6" s="23" t="n">
        <v>360</v>
      </c>
      <c r="D6" s="6" t="inlineStr">
        <is>
          <t>semiMonthly</t>
        </is>
      </c>
      <c r="E6" s="6" t="n">
        <v>24</v>
      </c>
      <c r="F6" s="6" t="n">
        <v>0.5</v>
      </c>
    </row>
    <row r="7">
      <c r="A7" s="17" t="inlineStr">
        <is>
          <t>Start date</t>
        </is>
      </c>
      <c r="B7" s="7" t="inlineStr">
        <is>
          <t>2024-01-01</t>
        </is>
      </c>
      <c r="D7" s="6" t="inlineStr">
        <is>
          <t>biweekly</t>
        </is>
      </c>
      <c r="E7" s="6" t="n">
        <v>26</v>
      </c>
      <c r="F7" s="6" t="n">
        <v>0.5</v>
      </c>
    </row>
    <row r="8">
      <c r="A8" s="17" t="inlineStr">
        <is>
          <t>Frequency (monthly/semiMonthly/biweekly/weekly)</t>
        </is>
      </c>
      <c r="B8" s="10" t="inlineStr">
        <is>
          <t>biweekly</t>
        </is>
      </c>
      <c r="D8" s="6" t="inlineStr">
        <is>
          <t>weekly</t>
        </is>
      </c>
      <c r="E8" s="6" t="n">
        <v>52</v>
      </c>
      <c r="F8" s="6" t="n">
        <v>0.25</v>
      </c>
    </row>
    <row r="9"/>
    <row r="10">
      <c r="A10" s="17" t="inlineStr">
        <is>
          <t>Payments per year (looked up)</t>
        </is>
      </c>
      <c r="B10" s="6">
        <f>INDEX($E$5:$E$8,MATCH(B8,$D$5:$D$8,0))</f>
        <v/>
      </c>
    </row>
    <row r="11">
      <c r="A11" s="17" t="inlineStr">
        <is>
          <t>Payment fraction (looked up)</t>
        </is>
      </c>
      <c r="B11" s="6">
        <f>INDEX($F$5:$F$8,MATCH(B8,$D$5:$D$8,0))</f>
        <v/>
      </c>
    </row>
    <row r="12">
      <c r="A12" s="17" t="inlineStr">
        <is>
          <t>Monthly-equivalent payment</t>
        </is>
      </c>
      <c r="B12" s="21">
        <f>ROUND(-PMT(B5/100/12,B6,B4),2)</f>
        <v/>
      </c>
    </row>
    <row r="13">
      <c r="A13" s="17" t="inlineStr">
        <is>
          <t>Period payment amount</t>
        </is>
      </c>
      <c r="B13" s="21">
        <f>ROUND(B12*B11,2)</f>
        <v/>
      </c>
    </row>
    <row r="14">
      <c r="A14" s="17" t="inlineStr">
        <is>
          <t>Number of periods to payoff</t>
        </is>
      </c>
      <c r="B14" s="6">
        <f>IFERROR(MATCH(0,$F$17:$F$1576,0),"loan does not pay off within 1560 periods -- extend the table")</f>
        <v/>
      </c>
    </row>
    <row r="15">
      <c r="A15" s="17" t="inlineStr">
        <is>
          <t>Total interest (this frequency)</t>
        </is>
      </c>
      <c r="B15" s="21">
        <f>SUM($D$17:$D$1576)</f>
        <v/>
      </c>
    </row>
    <row r="16">
      <c r="A16" s="5" t="inlineStr">
        <is>
          <t>Period #</t>
        </is>
      </c>
      <c r="B16" s="5" t="inlineStr">
        <is>
          <t>Period Date</t>
        </is>
      </c>
      <c r="C16" s="5" t="inlineStr">
        <is>
          <t>Payment</t>
        </is>
      </c>
      <c r="D16" s="5" t="inlineStr">
        <is>
          <t>Interest</t>
        </is>
      </c>
      <c r="E16" s="5" t="inlineStr">
        <is>
          <t>Principal</t>
        </is>
      </c>
      <c r="F16" s="5" t="inlineStr">
        <is>
          <t>Remaining Balance</t>
        </is>
      </c>
    </row>
    <row r="17">
      <c r="A17" s="6" t="n">
        <v>1</v>
      </c>
      <c r="B17" s="19">
        <f>IF(B8="monthly",DATE(YEAR(B7)+INT((MONTH(B7)-1+0)/12),MOD(MONTH(B7)-1+0,12)+1,1)+(DAY(B7)-1),IF(B8="weekly",B7+0,IF(B8="biweekly",B7+0,B7+ROUND((0*365.25)/24,0))))</f>
        <v/>
      </c>
      <c r="C17" s="21">
        <f>IF((ROUND(B4-ROUND($B$13-D17,2),2)&lt;=0),ROUND(D17+E17,2),$B$13)</f>
        <v/>
      </c>
      <c r="D17" s="21">
        <f>ROUND(B4*B5/100/B10,2)</f>
        <v/>
      </c>
      <c r="E17" s="21">
        <f>IF((ROUND(B4-ROUND($B$13-D17,2),2)&lt;=0),B4,ROUND($B$13-D17,2))</f>
        <v/>
      </c>
      <c r="F17" s="21">
        <f>IF((ROUND(B4-ROUND($B$13-D17,2),2)&lt;=0),0,ROUND(B4-E17,2))</f>
        <v/>
      </c>
    </row>
    <row r="18">
      <c r="A18" s="6" t="n">
        <v>2</v>
      </c>
      <c r="B18" s="19">
        <f>IF(B8="monthly",DATE(YEAR(B7)+INT((MONTH(B7)-1+1)/12),MOD(MONTH(B7)-1+1,12)+1,1)+(DAY(B7)-1),IF(B8="weekly",B7+7,IF(B8="biweekly",B7+14,B7+ROUND((1*365.25)/24,0))))</f>
        <v/>
      </c>
      <c r="C18" s="21">
        <f>IF((ROUND(F17-ROUND($B$13-D18,2),2)&lt;=0),ROUND(D18+E18,2),$B$13)</f>
        <v/>
      </c>
      <c r="D18" s="21">
        <f>ROUND(F17*B5/100/B10,2)</f>
        <v/>
      </c>
      <c r="E18" s="21">
        <f>IF((ROUND(F17-ROUND($B$13-D18,2),2)&lt;=0),F17,ROUND($B$13-D18,2))</f>
        <v/>
      </c>
      <c r="F18" s="21">
        <f>IF((ROUND(F17-ROUND($B$13-D18,2),2)&lt;=0),0,ROUND(F17-E18,2))</f>
        <v/>
      </c>
    </row>
    <row r="19">
      <c r="A19" s="6" t="n">
        <v>3</v>
      </c>
      <c r="B19" s="19">
        <f>IF(B8="monthly",DATE(YEAR(B7)+INT((MONTH(B7)-1+2)/12),MOD(MONTH(B7)-1+2,12)+1,1)+(DAY(B7)-1),IF(B8="weekly",B7+14,IF(B8="biweekly",B7+28,B7+ROUND((2*365.25)/24,0))))</f>
        <v/>
      </c>
      <c r="C19" s="21">
        <f>IF((ROUND(F18-ROUND($B$13-D19,2),2)&lt;=0),ROUND(D19+E19,2),$B$13)</f>
        <v/>
      </c>
      <c r="D19" s="21">
        <f>ROUND(F18*B5/100/B10,2)</f>
        <v/>
      </c>
      <c r="E19" s="21">
        <f>IF((ROUND(F18-ROUND($B$13-D19,2),2)&lt;=0),F18,ROUND($B$13-D19,2))</f>
        <v/>
      </c>
      <c r="F19" s="21">
        <f>IF((ROUND(F18-ROUND($B$13-D19,2),2)&lt;=0),0,ROUND(F18-E19,2))</f>
        <v/>
      </c>
    </row>
    <row r="20">
      <c r="A20" s="6" t="n">
        <v>4</v>
      </c>
      <c r="B20" s="19">
        <f>IF(B8="monthly",DATE(YEAR(B7)+INT((MONTH(B7)-1+3)/12),MOD(MONTH(B7)-1+3,12)+1,1)+(DAY(B7)-1),IF(B8="weekly",B7+21,IF(B8="biweekly",B7+42,B7+ROUND((3*365.25)/24,0))))</f>
        <v/>
      </c>
      <c r="C20" s="21">
        <f>IF((ROUND(F19-ROUND($B$13-D20,2),2)&lt;=0),ROUND(D20+E20,2),$B$13)</f>
        <v/>
      </c>
      <c r="D20" s="21">
        <f>ROUND(F19*B5/100/B10,2)</f>
        <v/>
      </c>
      <c r="E20" s="21">
        <f>IF((ROUND(F19-ROUND($B$13-D20,2),2)&lt;=0),F19,ROUND($B$13-D20,2))</f>
        <v/>
      </c>
      <c r="F20" s="21">
        <f>IF((ROUND(F19-ROUND($B$13-D20,2),2)&lt;=0),0,ROUND(F19-E20,2))</f>
        <v/>
      </c>
    </row>
    <row r="21">
      <c r="A21" s="6" t="n">
        <v>5</v>
      </c>
      <c r="B21" s="19">
        <f>IF(B8="monthly",DATE(YEAR(B7)+INT((MONTH(B7)-1+4)/12),MOD(MONTH(B7)-1+4,12)+1,1)+(DAY(B7)-1),IF(B8="weekly",B7+28,IF(B8="biweekly",B7+56,B7+ROUND((4*365.25)/24,0))))</f>
        <v/>
      </c>
      <c r="C21" s="21">
        <f>IF((ROUND(F20-ROUND($B$13-D21,2),2)&lt;=0),ROUND(D21+E21,2),$B$13)</f>
        <v/>
      </c>
      <c r="D21" s="21">
        <f>ROUND(F20*B5/100/B10,2)</f>
        <v/>
      </c>
      <c r="E21" s="21">
        <f>IF((ROUND(F20-ROUND($B$13-D21,2),2)&lt;=0),F20,ROUND($B$13-D21,2))</f>
        <v/>
      </c>
      <c r="F21" s="21">
        <f>IF((ROUND(F20-ROUND($B$13-D21,2),2)&lt;=0),0,ROUND(F20-E21,2))</f>
        <v/>
      </c>
    </row>
    <row r="22">
      <c r="A22" s="6" t="n">
        <v>6</v>
      </c>
      <c r="B22" s="19">
        <f>IF(B8="monthly",DATE(YEAR(B7)+INT((MONTH(B7)-1+5)/12),MOD(MONTH(B7)-1+5,12)+1,1)+(DAY(B7)-1),IF(B8="weekly",B7+35,IF(B8="biweekly",B7+70,B7+ROUND((5*365.25)/24,0))))</f>
        <v/>
      </c>
      <c r="C22" s="21">
        <f>IF((ROUND(F21-ROUND($B$13-D22,2),2)&lt;=0),ROUND(D22+E22,2),$B$13)</f>
        <v/>
      </c>
      <c r="D22" s="21">
        <f>ROUND(F21*B5/100/B10,2)</f>
        <v/>
      </c>
      <c r="E22" s="21">
        <f>IF((ROUND(F21-ROUND($B$13-D22,2),2)&lt;=0),F21,ROUND($B$13-D22,2))</f>
        <v/>
      </c>
      <c r="F22" s="21">
        <f>IF((ROUND(F21-ROUND($B$13-D22,2),2)&lt;=0),0,ROUND(F21-E22,2))</f>
        <v/>
      </c>
    </row>
    <row r="23">
      <c r="A23" s="6" t="n">
        <v>7</v>
      </c>
      <c r="B23" s="19">
        <f>IF(B8="monthly",DATE(YEAR(B7)+INT((MONTH(B7)-1+6)/12),MOD(MONTH(B7)-1+6,12)+1,1)+(DAY(B7)-1),IF(B8="weekly",B7+42,IF(B8="biweekly",B7+84,B7+ROUND((6*365.25)/24,0))))</f>
        <v/>
      </c>
      <c r="C23" s="21">
        <f>IF((ROUND(F22-ROUND($B$13-D23,2),2)&lt;=0),ROUND(D23+E23,2),$B$13)</f>
        <v/>
      </c>
      <c r="D23" s="21">
        <f>ROUND(F22*B5/100/B10,2)</f>
        <v/>
      </c>
      <c r="E23" s="21">
        <f>IF((ROUND(F22-ROUND($B$13-D23,2),2)&lt;=0),F22,ROUND($B$13-D23,2))</f>
        <v/>
      </c>
      <c r="F23" s="21">
        <f>IF((ROUND(F22-ROUND($B$13-D23,2),2)&lt;=0),0,ROUND(F22-E23,2))</f>
        <v/>
      </c>
    </row>
    <row r="24">
      <c r="A24" s="6" t="n">
        <v>8</v>
      </c>
      <c r="B24" s="19">
        <f>IF(B8="monthly",DATE(YEAR(B7)+INT((MONTH(B7)-1+7)/12),MOD(MONTH(B7)-1+7,12)+1,1)+(DAY(B7)-1),IF(B8="weekly",B7+49,IF(B8="biweekly",B7+98,B7+ROUND((7*365.25)/24,0))))</f>
        <v/>
      </c>
      <c r="C24" s="21">
        <f>IF((ROUND(F23-ROUND($B$13-D24,2),2)&lt;=0),ROUND(D24+E24,2),$B$13)</f>
        <v/>
      </c>
      <c r="D24" s="21">
        <f>ROUND(F23*B5/100/B10,2)</f>
        <v/>
      </c>
      <c r="E24" s="21">
        <f>IF((ROUND(F23-ROUND($B$13-D24,2),2)&lt;=0),F23,ROUND($B$13-D24,2))</f>
        <v/>
      </c>
      <c r="F24" s="21">
        <f>IF((ROUND(F23-ROUND($B$13-D24,2),2)&lt;=0),0,ROUND(F23-E24,2))</f>
        <v/>
      </c>
    </row>
    <row r="25">
      <c r="A25" s="6" t="n">
        <v>9</v>
      </c>
      <c r="B25" s="19">
        <f>IF(B8="monthly",DATE(YEAR(B7)+INT((MONTH(B7)-1+8)/12),MOD(MONTH(B7)-1+8,12)+1,1)+(DAY(B7)-1),IF(B8="weekly",B7+56,IF(B8="biweekly",B7+112,B7+ROUND((8*365.25)/24,0))))</f>
        <v/>
      </c>
      <c r="C25" s="21">
        <f>IF((ROUND(F24-ROUND($B$13-D25,2),2)&lt;=0),ROUND(D25+E25,2),$B$13)</f>
        <v/>
      </c>
      <c r="D25" s="21">
        <f>ROUND(F24*B5/100/B10,2)</f>
        <v/>
      </c>
      <c r="E25" s="21">
        <f>IF((ROUND(F24-ROUND($B$13-D25,2),2)&lt;=0),F24,ROUND($B$13-D25,2))</f>
        <v/>
      </c>
      <c r="F25" s="21">
        <f>IF((ROUND(F24-ROUND($B$13-D25,2),2)&lt;=0),0,ROUND(F24-E25,2))</f>
        <v/>
      </c>
    </row>
    <row r="26">
      <c r="A26" s="6" t="n">
        <v>10</v>
      </c>
      <c r="B26" s="19">
        <f>IF(B8="monthly",DATE(YEAR(B7)+INT((MONTH(B7)-1+9)/12),MOD(MONTH(B7)-1+9,12)+1,1)+(DAY(B7)-1),IF(B8="weekly",B7+63,IF(B8="biweekly",B7+126,B7+ROUND((9*365.25)/24,0))))</f>
        <v/>
      </c>
      <c r="C26" s="21">
        <f>IF((ROUND(F25-ROUND($B$13-D26,2),2)&lt;=0),ROUND(D26+E26,2),$B$13)</f>
        <v/>
      </c>
      <c r="D26" s="21">
        <f>ROUND(F25*B5/100/B10,2)</f>
        <v/>
      </c>
      <c r="E26" s="21">
        <f>IF((ROUND(F25-ROUND($B$13-D26,2),2)&lt;=0),F25,ROUND($B$13-D26,2))</f>
        <v/>
      </c>
      <c r="F26" s="21">
        <f>IF((ROUND(F25-ROUND($B$13-D26,2),2)&lt;=0),0,ROUND(F25-E26,2))</f>
        <v/>
      </c>
    </row>
    <row r="27">
      <c r="A27" s="6" t="n">
        <v>11</v>
      </c>
      <c r="B27" s="19">
        <f>IF(B8="monthly",DATE(YEAR(B7)+INT((MONTH(B7)-1+10)/12),MOD(MONTH(B7)-1+10,12)+1,1)+(DAY(B7)-1),IF(B8="weekly",B7+70,IF(B8="biweekly",B7+140,B7+ROUND((10*365.25)/24,0))))</f>
        <v/>
      </c>
      <c r="C27" s="21">
        <f>IF((ROUND(F26-ROUND($B$13-D27,2),2)&lt;=0),ROUND(D27+E27,2),$B$13)</f>
        <v/>
      </c>
      <c r="D27" s="21">
        <f>ROUND(F26*B5/100/B10,2)</f>
        <v/>
      </c>
      <c r="E27" s="21">
        <f>IF((ROUND(F26-ROUND($B$13-D27,2),2)&lt;=0),F26,ROUND($B$13-D27,2))</f>
        <v/>
      </c>
      <c r="F27" s="21">
        <f>IF((ROUND(F26-ROUND($B$13-D27,2),2)&lt;=0),0,ROUND(F26-E27,2))</f>
        <v/>
      </c>
    </row>
    <row r="28">
      <c r="A28" s="6" t="n">
        <v>12</v>
      </c>
      <c r="B28" s="19">
        <f>IF(B8="monthly",DATE(YEAR(B7)+INT((MONTH(B7)-1+11)/12),MOD(MONTH(B7)-1+11,12)+1,1)+(DAY(B7)-1),IF(B8="weekly",B7+77,IF(B8="biweekly",B7+154,B7+ROUND((11*365.25)/24,0))))</f>
        <v/>
      </c>
      <c r="C28" s="21">
        <f>IF((ROUND(F27-ROUND($B$13-D28,2),2)&lt;=0),ROUND(D28+E28,2),$B$13)</f>
        <v/>
      </c>
      <c r="D28" s="21">
        <f>ROUND(F27*B5/100/B10,2)</f>
        <v/>
      </c>
      <c r="E28" s="21">
        <f>IF((ROUND(F27-ROUND($B$13-D28,2),2)&lt;=0),F27,ROUND($B$13-D28,2))</f>
        <v/>
      </c>
      <c r="F28" s="21">
        <f>IF((ROUND(F27-ROUND($B$13-D28,2),2)&lt;=0),0,ROUND(F27-E28,2))</f>
        <v/>
      </c>
    </row>
    <row r="29">
      <c r="A29" s="6" t="n">
        <v>13</v>
      </c>
      <c r="B29" s="19">
        <f>IF(B8="monthly",DATE(YEAR(B7)+INT((MONTH(B7)-1+12)/12),MOD(MONTH(B7)-1+12,12)+1,1)+(DAY(B7)-1),IF(B8="weekly",B7+84,IF(B8="biweekly",B7+168,B7+ROUND((12*365.25)/24,0))))</f>
        <v/>
      </c>
      <c r="C29" s="21">
        <f>IF((ROUND(F28-ROUND($B$13-D29,2),2)&lt;=0),ROUND(D29+E29,2),$B$13)</f>
        <v/>
      </c>
      <c r="D29" s="21">
        <f>ROUND(F28*B5/100/B10,2)</f>
        <v/>
      </c>
      <c r="E29" s="21">
        <f>IF((ROUND(F28-ROUND($B$13-D29,2),2)&lt;=0),F28,ROUND($B$13-D29,2))</f>
        <v/>
      </c>
      <c r="F29" s="21">
        <f>IF((ROUND(F28-ROUND($B$13-D29,2),2)&lt;=0),0,ROUND(F28-E29,2))</f>
        <v/>
      </c>
    </row>
    <row r="30">
      <c r="A30" s="6" t="n">
        <v>14</v>
      </c>
      <c r="B30" s="19">
        <f>IF(B8="monthly",DATE(YEAR(B7)+INT((MONTH(B7)-1+13)/12),MOD(MONTH(B7)-1+13,12)+1,1)+(DAY(B7)-1),IF(B8="weekly",B7+91,IF(B8="biweekly",B7+182,B7+ROUND((13*365.25)/24,0))))</f>
        <v/>
      </c>
      <c r="C30" s="21">
        <f>IF((ROUND(F29-ROUND($B$13-D30,2),2)&lt;=0),ROUND(D30+E30,2),$B$13)</f>
        <v/>
      </c>
      <c r="D30" s="21">
        <f>ROUND(F29*B5/100/B10,2)</f>
        <v/>
      </c>
      <c r="E30" s="21">
        <f>IF((ROUND(F29-ROUND($B$13-D30,2),2)&lt;=0),F29,ROUND($B$13-D30,2))</f>
        <v/>
      </c>
      <c r="F30" s="21">
        <f>IF((ROUND(F29-ROUND($B$13-D30,2),2)&lt;=0),0,ROUND(F29-E30,2))</f>
        <v/>
      </c>
    </row>
    <row r="31">
      <c r="A31" s="6" t="n">
        <v>15</v>
      </c>
      <c r="B31" s="19">
        <f>IF(B8="monthly",DATE(YEAR(B7)+INT((MONTH(B7)-1+14)/12),MOD(MONTH(B7)-1+14,12)+1,1)+(DAY(B7)-1),IF(B8="weekly",B7+98,IF(B8="biweekly",B7+196,B7+ROUND((14*365.25)/24,0))))</f>
        <v/>
      </c>
      <c r="C31" s="21">
        <f>IF((ROUND(F30-ROUND($B$13-D31,2),2)&lt;=0),ROUND(D31+E31,2),$B$13)</f>
        <v/>
      </c>
      <c r="D31" s="21">
        <f>ROUND(F30*B5/100/B10,2)</f>
        <v/>
      </c>
      <c r="E31" s="21">
        <f>IF((ROUND(F30-ROUND($B$13-D31,2),2)&lt;=0),F30,ROUND($B$13-D31,2))</f>
        <v/>
      </c>
      <c r="F31" s="21">
        <f>IF((ROUND(F30-ROUND($B$13-D31,2),2)&lt;=0),0,ROUND(F30-E31,2))</f>
        <v/>
      </c>
    </row>
    <row r="32">
      <c r="A32" s="6" t="n">
        <v>16</v>
      </c>
      <c r="B32" s="19">
        <f>IF(B8="monthly",DATE(YEAR(B7)+INT((MONTH(B7)-1+15)/12),MOD(MONTH(B7)-1+15,12)+1,1)+(DAY(B7)-1),IF(B8="weekly",B7+105,IF(B8="biweekly",B7+210,B7+ROUND((15*365.25)/24,0))))</f>
        <v/>
      </c>
      <c r="C32" s="21">
        <f>IF((ROUND(F31-ROUND($B$13-D32,2),2)&lt;=0),ROUND(D32+E32,2),$B$13)</f>
        <v/>
      </c>
      <c r="D32" s="21">
        <f>ROUND(F31*B5/100/B10,2)</f>
        <v/>
      </c>
      <c r="E32" s="21">
        <f>IF((ROUND(F31-ROUND($B$13-D32,2),2)&lt;=0),F31,ROUND($B$13-D32,2))</f>
        <v/>
      </c>
      <c r="F32" s="21">
        <f>IF((ROUND(F31-ROUND($B$13-D32,2),2)&lt;=0),0,ROUND(F31-E32,2))</f>
        <v/>
      </c>
    </row>
    <row r="33">
      <c r="A33" s="6" t="n">
        <v>17</v>
      </c>
      <c r="B33" s="19">
        <f>IF(B8="monthly",DATE(YEAR(B7)+INT((MONTH(B7)-1+16)/12),MOD(MONTH(B7)-1+16,12)+1,1)+(DAY(B7)-1),IF(B8="weekly",B7+112,IF(B8="biweekly",B7+224,B7+ROUND((16*365.25)/24,0))))</f>
        <v/>
      </c>
      <c r="C33" s="21">
        <f>IF((ROUND(F32-ROUND($B$13-D33,2),2)&lt;=0),ROUND(D33+E33,2),$B$13)</f>
        <v/>
      </c>
      <c r="D33" s="21">
        <f>ROUND(F32*B5/100/B10,2)</f>
        <v/>
      </c>
      <c r="E33" s="21">
        <f>IF((ROUND(F32-ROUND($B$13-D33,2),2)&lt;=0),F32,ROUND($B$13-D33,2))</f>
        <v/>
      </c>
      <c r="F33" s="21">
        <f>IF((ROUND(F32-ROUND($B$13-D33,2),2)&lt;=0),0,ROUND(F32-E33,2))</f>
        <v/>
      </c>
    </row>
    <row r="34">
      <c r="A34" s="6" t="n">
        <v>18</v>
      </c>
      <c r="B34" s="19">
        <f>IF(B8="monthly",DATE(YEAR(B7)+INT((MONTH(B7)-1+17)/12),MOD(MONTH(B7)-1+17,12)+1,1)+(DAY(B7)-1),IF(B8="weekly",B7+119,IF(B8="biweekly",B7+238,B7+ROUND((17*365.25)/24,0))))</f>
        <v/>
      </c>
      <c r="C34" s="21">
        <f>IF((ROUND(F33-ROUND($B$13-D34,2),2)&lt;=0),ROUND(D34+E34,2),$B$13)</f>
        <v/>
      </c>
      <c r="D34" s="21">
        <f>ROUND(F33*B5/100/B10,2)</f>
        <v/>
      </c>
      <c r="E34" s="21">
        <f>IF((ROUND(F33-ROUND($B$13-D34,2),2)&lt;=0),F33,ROUND($B$13-D34,2))</f>
        <v/>
      </c>
      <c r="F34" s="21">
        <f>IF((ROUND(F33-ROUND($B$13-D34,2),2)&lt;=0),0,ROUND(F33-E34,2))</f>
        <v/>
      </c>
    </row>
    <row r="35">
      <c r="A35" s="6" t="n">
        <v>19</v>
      </c>
      <c r="B35" s="19">
        <f>IF(B8="monthly",DATE(YEAR(B7)+INT((MONTH(B7)-1+18)/12),MOD(MONTH(B7)-1+18,12)+1,1)+(DAY(B7)-1),IF(B8="weekly",B7+126,IF(B8="biweekly",B7+252,B7+ROUND((18*365.25)/24,0))))</f>
        <v/>
      </c>
      <c r="C35" s="21">
        <f>IF((ROUND(F34-ROUND($B$13-D35,2),2)&lt;=0),ROUND(D35+E35,2),$B$13)</f>
        <v/>
      </c>
      <c r="D35" s="21">
        <f>ROUND(F34*B5/100/B10,2)</f>
        <v/>
      </c>
      <c r="E35" s="21">
        <f>IF((ROUND(F34-ROUND($B$13-D35,2),2)&lt;=0),F34,ROUND($B$13-D35,2))</f>
        <v/>
      </c>
      <c r="F35" s="21">
        <f>IF((ROUND(F34-ROUND($B$13-D35,2),2)&lt;=0),0,ROUND(F34-E35,2))</f>
        <v/>
      </c>
    </row>
    <row r="36">
      <c r="A36" s="6" t="n">
        <v>20</v>
      </c>
      <c r="B36" s="19">
        <f>IF(B8="monthly",DATE(YEAR(B7)+INT((MONTH(B7)-1+19)/12),MOD(MONTH(B7)-1+19,12)+1,1)+(DAY(B7)-1),IF(B8="weekly",B7+133,IF(B8="biweekly",B7+266,B7+ROUND((19*365.25)/24,0))))</f>
        <v/>
      </c>
      <c r="C36" s="21">
        <f>IF((ROUND(F35-ROUND($B$13-D36,2),2)&lt;=0),ROUND(D36+E36,2),$B$13)</f>
        <v/>
      </c>
      <c r="D36" s="21">
        <f>ROUND(F35*B5/100/B10,2)</f>
        <v/>
      </c>
      <c r="E36" s="21">
        <f>IF((ROUND(F35-ROUND($B$13-D36,2),2)&lt;=0),F35,ROUND($B$13-D36,2))</f>
        <v/>
      </c>
      <c r="F36" s="21">
        <f>IF((ROUND(F35-ROUND($B$13-D36,2),2)&lt;=0),0,ROUND(F35-E36,2))</f>
        <v/>
      </c>
    </row>
    <row r="37">
      <c r="A37" s="6" t="n">
        <v>21</v>
      </c>
      <c r="B37" s="19">
        <f>IF(B8="monthly",DATE(YEAR(B7)+INT((MONTH(B7)-1+20)/12),MOD(MONTH(B7)-1+20,12)+1,1)+(DAY(B7)-1),IF(B8="weekly",B7+140,IF(B8="biweekly",B7+280,B7+ROUND((20*365.25)/24,0))))</f>
        <v/>
      </c>
      <c r="C37" s="21">
        <f>IF((ROUND(F36-ROUND($B$13-D37,2),2)&lt;=0),ROUND(D37+E37,2),$B$13)</f>
        <v/>
      </c>
      <c r="D37" s="21">
        <f>ROUND(F36*B5/100/B10,2)</f>
        <v/>
      </c>
      <c r="E37" s="21">
        <f>IF((ROUND(F36-ROUND($B$13-D37,2),2)&lt;=0),F36,ROUND($B$13-D37,2))</f>
        <v/>
      </c>
      <c r="F37" s="21">
        <f>IF((ROUND(F36-ROUND($B$13-D37,2),2)&lt;=0),0,ROUND(F36-E37,2))</f>
        <v/>
      </c>
    </row>
    <row r="38">
      <c r="A38" s="6" t="n">
        <v>22</v>
      </c>
      <c r="B38" s="19">
        <f>IF(B8="monthly",DATE(YEAR(B7)+INT((MONTH(B7)-1+21)/12),MOD(MONTH(B7)-1+21,12)+1,1)+(DAY(B7)-1),IF(B8="weekly",B7+147,IF(B8="biweekly",B7+294,B7+ROUND((21*365.25)/24,0))))</f>
        <v/>
      </c>
      <c r="C38" s="21">
        <f>IF((ROUND(F37-ROUND($B$13-D38,2),2)&lt;=0),ROUND(D38+E38,2),$B$13)</f>
        <v/>
      </c>
      <c r="D38" s="21">
        <f>ROUND(F37*B5/100/B10,2)</f>
        <v/>
      </c>
      <c r="E38" s="21">
        <f>IF((ROUND(F37-ROUND($B$13-D38,2),2)&lt;=0),F37,ROUND($B$13-D38,2))</f>
        <v/>
      </c>
      <c r="F38" s="21">
        <f>IF((ROUND(F37-ROUND($B$13-D38,2),2)&lt;=0),0,ROUND(F37-E38,2))</f>
        <v/>
      </c>
    </row>
    <row r="39">
      <c r="A39" s="6" t="n">
        <v>23</v>
      </c>
      <c r="B39" s="19">
        <f>IF(B8="monthly",DATE(YEAR(B7)+INT((MONTH(B7)-1+22)/12),MOD(MONTH(B7)-1+22,12)+1,1)+(DAY(B7)-1),IF(B8="weekly",B7+154,IF(B8="biweekly",B7+308,B7+ROUND((22*365.25)/24,0))))</f>
        <v/>
      </c>
      <c r="C39" s="21">
        <f>IF((ROUND(F38-ROUND($B$13-D39,2),2)&lt;=0),ROUND(D39+E39,2),$B$13)</f>
        <v/>
      </c>
      <c r="D39" s="21">
        <f>ROUND(F38*B5/100/B10,2)</f>
        <v/>
      </c>
      <c r="E39" s="21">
        <f>IF((ROUND(F38-ROUND($B$13-D39,2),2)&lt;=0),F38,ROUND($B$13-D39,2))</f>
        <v/>
      </c>
      <c r="F39" s="21">
        <f>IF((ROUND(F38-ROUND($B$13-D39,2),2)&lt;=0),0,ROUND(F38-E39,2))</f>
        <v/>
      </c>
    </row>
    <row r="40">
      <c r="A40" s="6" t="n">
        <v>24</v>
      </c>
      <c r="B40" s="19">
        <f>IF(B8="monthly",DATE(YEAR(B7)+INT((MONTH(B7)-1+23)/12),MOD(MONTH(B7)-1+23,12)+1,1)+(DAY(B7)-1),IF(B8="weekly",B7+161,IF(B8="biweekly",B7+322,B7+ROUND((23*365.25)/24,0))))</f>
        <v/>
      </c>
      <c r="C40" s="21">
        <f>IF((ROUND(F39-ROUND($B$13-D40,2),2)&lt;=0),ROUND(D40+E40,2),$B$13)</f>
        <v/>
      </c>
      <c r="D40" s="21">
        <f>ROUND(F39*B5/100/B10,2)</f>
        <v/>
      </c>
      <c r="E40" s="21">
        <f>IF((ROUND(F39-ROUND($B$13-D40,2),2)&lt;=0),F39,ROUND($B$13-D40,2))</f>
        <v/>
      </c>
      <c r="F40" s="21">
        <f>IF((ROUND(F39-ROUND($B$13-D40,2),2)&lt;=0),0,ROUND(F39-E40,2))</f>
        <v/>
      </c>
    </row>
    <row r="41">
      <c r="A41" s="6" t="n">
        <v>25</v>
      </c>
      <c r="B41" s="19">
        <f>IF(B8="monthly",DATE(YEAR(B7)+INT((MONTH(B7)-1+24)/12),MOD(MONTH(B7)-1+24,12)+1,1)+(DAY(B7)-1),IF(B8="weekly",B7+168,IF(B8="biweekly",B7+336,B7+ROUND((24*365.25)/24,0))))</f>
        <v/>
      </c>
      <c r="C41" s="21">
        <f>IF((ROUND(F40-ROUND($B$13-D41,2),2)&lt;=0),ROUND(D41+E41,2),$B$13)</f>
        <v/>
      </c>
      <c r="D41" s="21">
        <f>ROUND(F40*B5/100/B10,2)</f>
        <v/>
      </c>
      <c r="E41" s="21">
        <f>IF((ROUND(F40-ROUND($B$13-D41,2),2)&lt;=0),F40,ROUND($B$13-D41,2))</f>
        <v/>
      </c>
      <c r="F41" s="21">
        <f>IF((ROUND(F40-ROUND($B$13-D41,2),2)&lt;=0),0,ROUND(F40-E41,2))</f>
        <v/>
      </c>
    </row>
    <row r="42">
      <c r="A42" s="6" t="n">
        <v>26</v>
      </c>
      <c r="B42" s="19">
        <f>IF(B8="monthly",DATE(YEAR(B7)+INT((MONTH(B7)-1+25)/12),MOD(MONTH(B7)-1+25,12)+1,1)+(DAY(B7)-1),IF(B8="weekly",B7+175,IF(B8="biweekly",B7+350,B7+ROUND((25*365.25)/24,0))))</f>
        <v/>
      </c>
      <c r="C42" s="21">
        <f>IF((ROUND(F41-ROUND($B$13-D42,2),2)&lt;=0),ROUND(D42+E42,2),$B$13)</f>
        <v/>
      </c>
      <c r="D42" s="21">
        <f>ROUND(F41*B5/100/B10,2)</f>
        <v/>
      </c>
      <c r="E42" s="21">
        <f>IF((ROUND(F41-ROUND($B$13-D42,2),2)&lt;=0),F41,ROUND($B$13-D42,2))</f>
        <v/>
      </c>
      <c r="F42" s="21">
        <f>IF((ROUND(F41-ROUND($B$13-D42,2),2)&lt;=0),0,ROUND(F41-E42,2))</f>
        <v/>
      </c>
    </row>
    <row r="43">
      <c r="A43" s="6" t="n">
        <v>27</v>
      </c>
      <c r="B43" s="19">
        <f>IF(B8="monthly",DATE(YEAR(B7)+INT((MONTH(B7)-1+26)/12),MOD(MONTH(B7)-1+26,12)+1,1)+(DAY(B7)-1),IF(B8="weekly",B7+182,IF(B8="biweekly",B7+364,B7+ROUND((26*365.25)/24,0))))</f>
        <v/>
      </c>
      <c r="C43" s="21">
        <f>IF((ROUND(F42-ROUND($B$13-D43,2),2)&lt;=0),ROUND(D43+E43,2),$B$13)</f>
        <v/>
      </c>
      <c r="D43" s="21">
        <f>ROUND(F42*B5/100/B10,2)</f>
        <v/>
      </c>
      <c r="E43" s="21">
        <f>IF((ROUND(F42-ROUND($B$13-D43,2),2)&lt;=0),F42,ROUND($B$13-D43,2))</f>
        <v/>
      </c>
      <c r="F43" s="21">
        <f>IF((ROUND(F42-ROUND($B$13-D43,2),2)&lt;=0),0,ROUND(F42-E43,2))</f>
        <v/>
      </c>
    </row>
    <row r="44">
      <c r="A44" s="6" t="n">
        <v>28</v>
      </c>
      <c r="B44" s="19">
        <f>IF(B8="monthly",DATE(YEAR(B7)+INT((MONTH(B7)-1+27)/12),MOD(MONTH(B7)-1+27,12)+1,1)+(DAY(B7)-1),IF(B8="weekly",B7+189,IF(B8="biweekly",B7+378,B7+ROUND((27*365.25)/24,0))))</f>
        <v/>
      </c>
      <c r="C44" s="21">
        <f>IF((ROUND(F43-ROUND($B$13-D44,2),2)&lt;=0),ROUND(D44+E44,2),$B$13)</f>
        <v/>
      </c>
      <c r="D44" s="21">
        <f>ROUND(F43*B5/100/B10,2)</f>
        <v/>
      </c>
      <c r="E44" s="21">
        <f>IF((ROUND(F43-ROUND($B$13-D44,2),2)&lt;=0),F43,ROUND($B$13-D44,2))</f>
        <v/>
      </c>
      <c r="F44" s="21">
        <f>IF((ROUND(F43-ROUND($B$13-D44,2),2)&lt;=0),0,ROUND(F43-E44,2))</f>
        <v/>
      </c>
    </row>
    <row r="45">
      <c r="A45" s="6" t="n">
        <v>29</v>
      </c>
      <c r="B45" s="19">
        <f>IF(B8="monthly",DATE(YEAR(B7)+INT((MONTH(B7)-1+28)/12),MOD(MONTH(B7)-1+28,12)+1,1)+(DAY(B7)-1),IF(B8="weekly",B7+196,IF(B8="biweekly",B7+392,B7+ROUND((28*365.25)/24,0))))</f>
        <v/>
      </c>
      <c r="C45" s="21">
        <f>IF((ROUND(F44-ROUND($B$13-D45,2),2)&lt;=0),ROUND(D45+E45,2),$B$13)</f>
        <v/>
      </c>
      <c r="D45" s="21">
        <f>ROUND(F44*B5/100/B10,2)</f>
        <v/>
      </c>
      <c r="E45" s="21">
        <f>IF((ROUND(F44-ROUND($B$13-D45,2),2)&lt;=0),F44,ROUND($B$13-D45,2))</f>
        <v/>
      </c>
      <c r="F45" s="21">
        <f>IF((ROUND(F44-ROUND($B$13-D45,2),2)&lt;=0),0,ROUND(F44-E45,2))</f>
        <v/>
      </c>
    </row>
    <row r="46">
      <c r="A46" s="6" t="n">
        <v>30</v>
      </c>
      <c r="B46" s="19">
        <f>IF(B8="monthly",DATE(YEAR(B7)+INT((MONTH(B7)-1+29)/12),MOD(MONTH(B7)-1+29,12)+1,1)+(DAY(B7)-1),IF(B8="weekly",B7+203,IF(B8="biweekly",B7+406,B7+ROUND((29*365.25)/24,0))))</f>
        <v/>
      </c>
      <c r="C46" s="21">
        <f>IF((ROUND(F45-ROUND($B$13-D46,2),2)&lt;=0),ROUND(D46+E46,2),$B$13)</f>
        <v/>
      </c>
      <c r="D46" s="21">
        <f>ROUND(F45*B5/100/B10,2)</f>
        <v/>
      </c>
      <c r="E46" s="21">
        <f>IF((ROUND(F45-ROUND($B$13-D46,2),2)&lt;=0),F45,ROUND($B$13-D46,2))</f>
        <v/>
      </c>
      <c r="F46" s="21">
        <f>IF((ROUND(F45-ROUND($B$13-D46,2),2)&lt;=0),0,ROUND(F45-E46,2))</f>
        <v/>
      </c>
    </row>
    <row r="47">
      <c r="A47" s="6" t="n">
        <v>31</v>
      </c>
      <c r="B47" s="19">
        <f>IF(B8="monthly",DATE(YEAR(B7)+INT((MONTH(B7)-1+30)/12),MOD(MONTH(B7)-1+30,12)+1,1)+(DAY(B7)-1),IF(B8="weekly",B7+210,IF(B8="biweekly",B7+420,B7+ROUND((30*365.25)/24,0))))</f>
        <v/>
      </c>
      <c r="C47" s="21">
        <f>IF((ROUND(F46-ROUND($B$13-D47,2),2)&lt;=0),ROUND(D47+E47,2),$B$13)</f>
        <v/>
      </c>
      <c r="D47" s="21">
        <f>ROUND(F46*B5/100/B10,2)</f>
        <v/>
      </c>
      <c r="E47" s="21">
        <f>IF((ROUND(F46-ROUND($B$13-D47,2),2)&lt;=0),F46,ROUND($B$13-D47,2))</f>
        <v/>
      </c>
      <c r="F47" s="21">
        <f>IF((ROUND(F46-ROUND($B$13-D47,2),2)&lt;=0),0,ROUND(F46-E47,2))</f>
        <v/>
      </c>
    </row>
    <row r="48">
      <c r="A48" s="6" t="n">
        <v>32</v>
      </c>
      <c r="B48" s="19">
        <f>IF(B8="monthly",DATE(YEAR(B7)+INT((MONTH(B7)-1+31)/12),MOD(MONTH(B7)-1+31,12)+1,1)+(DAY(B7)-1),IF(B8="weekly",B7+217,IF(B8="biweekly",B7+434,B7+ROUND((31*365.25)/24,0))))</f>
        <v/>
      </c>
      <c r="C48" s="21">
        <f>IF((ROUND(F47-ROUND($B$13-D48,2),2)&lt;=0),ROUND(D48+E48,2),$B$13)</f>
        <v/>
      </c>
      <c r="D48" s="21">
        <f>ROUND(F47*B5/100/B10,2)</f>
        <v/>
      </c>
      <c r="E48" s="21">
        <f>IF((ROUND(F47-ROUND($B$13-D48,2),2)&lt;=0),F47,ROUND($B$13-D48,2))</f>
        <v/>
      </c>
      <c r="F48" s="21">
        <f>IF((ROUND(F47-ROUND($B$13-D48,2),2)&lt;=0),0,ROUND(F47-E48,2))</f>
        <v/>
      </c>
    </row>
    <row r="49">
      <c r="A49" s="6" t="n">
        <v>33</v>
      </c>
      <c r="B49" s="19">
        <f>IF(B8="monthly",DATE(YEAR(B7)+INT((MONTH(B7)-1+32)/12),MOD(MONTH(B7)-1+32,12)+1,1)+(DAY(B7)-1),IF(B8="weekly",B7+224,IF(B8="biweekly",B7+448,B7+ROUND((32*365.25)/24,0))))</f>
        <v/>
      </c>
      <c r="C49" s="21">
        <f>IF((ROUND(F48-ROUND($B$13-D49,2),2)&lt;=0),ROUND(D49+E49,2),$B$13)</f>
        <v/>
      </c>
      <c r="D49" s="21">
        <f>ROUND(F48*B5/100/B10,2)</f>
        <v/>
      </c>
      <c r="E49" s="21">
        <f>IF((ROUND(F48-ROUND($B$13-D49,2),2)&lt;=0),F48,ROUND($B$13-D49,2))</f>
        <v/>
      </c>
      <c r="F49" s="21">
        <f>IF((ROUND(F48-ROUND($B$13-D49,2),2)&lt;=0),0,ROUND(F48-E49,2))</f>
        <v/>
      </c>
    </row>
    <row r="50">
      <c r="A50" s="6" t="n">
        <v>34</v>
      </c>
      <c r="B50" s="19">
        <f>IF(B8="monthly",DATE(YEAR(B7)+INT((MONTH(B7)-1+33)/12),MOD(MONTH(B7)-1+33,12)+1,1)+(DAY(B7)-1),IF(B8="weekly",B7+231,IF(B8="biweekly",B7+462,B7+ROUND((33*365.25)/24,0))))</f>
        <v/>
      </c>
      <c r="C50" s="21">
        <f>IF((ROUND(F49-ROUND($B$13-D50,2),2)&lt;=0),ROUND(D50+E50,2),$B$13)</f>
        <v/>
      </c>
      <c r="D50" s="21">
        <f>ROUND(F49*B5/100/B10,2)</f>
        <v/>
      </c>
      <c r="E50" s="21">
        <f>IF((ROUND(F49-ROUND($B$13-D50,2),2)&lt;=0),F49,ROUND($B$13-D50,2))</f>
        <v/>
      </c>
      <c r="F50" s="21">
        <f>IF((ROUND(F49-ROUND($B$13-D50,2),2)&lt;=0),0,ROUND(F49-E50,2))</f>
        <v/>
      </c>
    </row>
    <row r="51">
      <c r="A51" s="6" t="n">
        <v>35</v>
      </c>
      <c r="B51" s="19">
        <f>IF(B8="monthly",DATE(YEAR(B7)+INT((MONTH(B7)-1+34)/12),MOD(MONTH(B7)-1+34,12)+1,1)+(DAY(B7)-1),IF(B8="weekly",B7+238,IF(B8="biweekly",B7+476,B7+ROUND((34*365.25)/24,0))))</f>
        <v/>
      </c>
      <c r="C51" s="21">
        <f>IF((ROUND(F50-ROUND($B$13-D51,2),2)&lt;=0),ROUND(D51+E51,2),$B$13)</f>
        <v/>
      </c>
      <c r="D51" s="21">
        <f>ROUND(F50*B5/100/B10,2)</f>
        <v/>
      </c>
      <c r="E51" s="21">
        <f>IF((ROUND(F50-ROUND($B$13-D51,2),2)&lt;=0),F50,ROUND($B$13-D51,2))</f>
        <v/>
      </c>
      <c r="F51" s="21">
        <f>IF((ROUND(F50-ROUND($B$13-D51,2),2)&lt;=0),0,ROUND(F50-E51,2))</f>
        <v/>
      </c>
    </row>
    <row r="52">
      <c r="A52" s="6" t="n">
        <v>36</v>
      </c>
      <c r="B52" s="19">
        <f>IF(B8="monthly",DATE(YEAR(B7)+INT((MONTH(B7)-1+35)/12),MOD(MONTH(B7)-1+35,12)+1,1)+(DAY(B7)-1),IF(B8="weekly",B7+245,IF(B8="biweekly",B7+490,B7+ROUND((35*365.25)/24,0))))</f>
        <v/>
      </c>
      <c r="C52" s="21">
        <f>IF((ROUND(F51-ROUND($B$13-D52,2),2)&lt;=0),ROUND(D52+E52,2),$B$13)</f>
        <v/>
      </c>
      <c r="D52" s="21">
        <f>ROUND(F51*B5/100/B10,2)</f>
        <v/>
      </c>
      <c r="E52" s="21">
        <f>IF((ROUND(F51-ROUND($B$13-D52,2),2)&lt;=0),F51,ROUND($B$13-D52,2))</f>
        <v/>
      </c>
      <c r="F52" s="21">
        <f>IF((ROUND(F51-ROUND($B$13-D52,2),2)&lt;=0),0,ROUND(F51-E52,2))</f>
        <v/>
      </c>
    </row>
    <row r="53">
      <c r="A53" s="6" t="n">
        <v>37</v>
      </c>
      <c r="B53" s="19">
        <f>IF(B8="monthly",DATE(YEAR(B7)+INT((MONTH(B7)-1+36)/12),MOD(MONTH(B7)-1+36,12)+1,1)+(DAY(B7)-1),IF(B8="weekly",B7+252,IF(B8="biweekly",B7+504,B7+ROUND((36*365.25)/24,0))))</f>
        <v/>
      </c>
      <c r="C53" s="21">
        <f>IF((ROUND(F52-ROUND($B$13-D53,2),2)&lt;=0),ROUND(D53+E53,2),$B$13)</f>
        <v/>
      </c>
      <c r="D53" s="21">
        <f>ROUND(F52*B5/100/B10,2)</f>
        <v/>
      </c>
      <c r="E53" s="21">
        <f>IF((ROUND(F52-ROUND($B$13-D53,2),2)&lt;=0),F52,ROUND($B$13-D53,2))</f>
        <v/>
      </c>
      <c r="F53" s="21">
        <f>IF((ROUND(F52-ROUND($B$13-D53,2),2)&lt;=0),0,ROUND(F52-E53,2))</f>
        <v/>
      </c>
    </row>
    <row r="54">
      <c r="A54" s="6" t="n">
        <v>38</v>
      </c>
      <c r="B54" s="19">
        <f>IF(B8="monthly",DATE(YEAR(B7)+INT((MONTH(B7)-1+37)/12),MOD(MONTH(B7)-1+37,12)+1,1)+(DAY(B7)-1),IF(B8="weekly",B7+259,IF(B8="biweekly",B7+518,B7+ROUND((37*365.25)/24,0))))</f>
        <v/>
      </c>
      <c r="C54" s="21">
        <f>IF((ROUND(F53-ROUND($B$13-D54,2),2)&lt;=0),ROUND(D54+E54,2),$B$13)</f>
        <v/>
      </c>
      <c r="D54" s="21">
        <f>ROUND(F53*B5/100/B10,2)</f>
        <v/>
      </c>
      <c r="E54" s="21">
        <f>IF((ROUND(F53-ROUND($B$13-D54,2),2)&lt;=0),F53,ROUND($B$13-D54,2))</f>
        <v/>
      </c>
      <c r="F54" s="21">
        <f>IF((ROUND(F53-ROUND($B$13-D54,2),2)&lt;=0),0,ROUND(F53-E54,2))</f>
        <v/>
      </c>
    </row>
    <row r="55">
      <c r="A55" s="6" t="n">
        <v>39</v>
      </c>
      <c r="B55" s="19">
        <f>IF(B8="monthly",DATE(YEAR(B7)+INT((MONTH(B7)-1+38)/12),MOD(MONTH(B7)-1+38,12)+1,1)+(DAY(B7)-1),IF(B8="weekly",B7+266,IF(B8="biweekly",B7+532,B7+ROUND((38*365.25)/24,0))))</f>
        <v/>
      </c>
      <c r="C55" s="21">
        <f>IF((ROUND(F54-ROUND($B$13-D55,2),2)&lt;=0),ROUND(D55+E55,2),$B$13)</f>
        <v/>
      </c>
      <c r="D55" s="21">
        <f>ROUND(F54*B5/100/B10,2)</f>
        <v/>
      </c>
      <c r="E55" s="21">
        <f>IF((ROUND(F54-ROUND($B$13-D55,2),2)&lt;=0),F54,ROUND($B$13-D55,2))</f>
        <v/>
      </c>
      <c r="F55" s="21">
        <f>IF((ROUND(F54-ROUND($B$13-D55,2),2)&lt;=0),0,ROUND(F54-E55,2))</f>
        <v/>
      </c>
    </row>
    <row r="56">
      <c r="A56" s="6" t="n">
        <v>40</v>
      </c>
      <c r="B56" s="19">
        <f>IF(B8="monthly",DATE(YEAR(B7)+INT((MONTH(B7)-1+39)/12),MOD(MONTH(B7)-1+39,12)+1,1)+(DAY(B7)-1),IF(B8="weekly",B7+273,IF(B8="biweekly",B7+546,B7+ROUND((39*365.25)/24,0))))</f>
        <v/>
      </c>
      <c r="C56" s="21">
        <f>IF((ROUND(F55-ROUND($B$13-D56,2),2)&lt;=0),ROUND(D56+E56,2),$B$13)</f>
        <v/>
      </c>
      <c r="D56" s="21">
        <f>ROUND(F55*B5/100/B10,2)</f>
        <v/>
      </c>
      <c r="E56" s="21">
        <f>IF((ROUND(F55-ROUND($B$13-D56,2),2)&lt;=0),F55,ROUND($B$13-D56,2))</f>
        <v/>
      </c>
      <c r="F56" s="21">
        <f>IF((ROUND(F55-ROUND($B$13-D56,2),2)&lt;=0),0,ROUND(F55-E56,2))</f>
        <v/>
      </c>
    </row>
    <row r="57">
      <c r="A57" s="6" t="n">
        <v>41</v>
      </c>
      <c r="B57" s="19">
        <f>IF(B8="monthly",DATE(YEAR(B7)+INT((MONTH(B7)-1+40)/12),MOD(MONTH(B7)-1+40,12)+1,1)+(DAY(B7)-1),IF(B8="weekly",B7+280,IF(B8="biweekly",B7+560,B7+ROUND((40*365.25)/24,0))))</f>
        <v/>
      </c>
      <c r="C57" s="21">
        <f>IF((ROUND(F56-ROUND($B$13-D57,2),2)&lt;=0),ROUND(D57+E57,2),$B$13)</f>
        <v/>
      </c>
      <c r="D57" s="21">
        <f>ROUND(F56*B5/100/B10,2)</f>
        <v/>
      </c>
      <c r="E57" s="21">
        <f>IF((ROUND(F56-ROUND($B$13-D57,2),2)&lt;=0),F56,ROUND($B$13-D57,2))</f>
        <v/>
      </c>
      <c r="F57" s="21">
        <f>IF((ROUND(F56-ROUND($B$13-D57,2),2)&lt;=0),0,ROUND(F56-E57,2))</f>
        <v/>
      </c>
    </row>
    <row r="58">
      <c r="A58" s="6" t="n">
        <v>42</v>
      </c>
      <c r="B58" s="19">
        <f>IF(B8="monthly",DATE(YEAR(B7)+INT((MONTH(B7)-1+41)/12),MOD(MONTH(B7)-1+41,12)+1,1)+(DAY(B7)-1),IF(B8="weekly",B7+287,IF(B8="biweekly",B7+574,B7+ROUND((41*365.25)/24,0))))</f>
        <v/>
      </c>
      <c r="C58" s="21">
        <f>IF((ROUND(F57-ROUND($B$13-D58,2),2)&lt;=0),ROUND(D58+E58,2),$B$13)</f>
        <v/>
      </c>
      <c r="D58" s="21">
        <f>ROUND(F57*B5/100/B10,2)</f>
        <v/>
      </c>
      <c r="E58" s="21">
        <f>IF((ROUND(F57-ROUND($B$13-D58,2),2)&lt;=0),F57,ROUND($B$13-D58,2))</f>
        <v/>
      </c>
      <c r="F58" s="21">
        <f>IF((ROUND(F57-ROUND($B$13-D58,2),2)&lt;=0),0,ROUND(F57-E58,2))</f>
        <v/>
      </c>
    </row>
    <row r="59">
      <c r="A59" s="6" t="n">
        <v>43</v>
      </c>
      <c r="B59" s="19">
        <f>IF(B8="monthly",DATE(YEAR(B7)+INT((MONTH(B7)-1+42)/12),MOD(MONTH(B7)-1+42,12)+1,1)+(DAY(B7)-1),IF(B8="weekly",B7+294,IF(B8="biweekly",B7+588,B7+ROUND((42*365.25)/24,0))))</f>
        <v/>
      </c>
      <c r="C59" s="21">
        <f>IF((ROUND(F58-ROUND($B$13-D59,2),2)&lt;=0),ROUND(D59+E59,2),$B$13)</f>
        <v/>
      </c>
      <c r="D59" s="21">
        <f>ROUND(F58*B5/100/B10,2)</f>
        <v/>
      </c>
      <c r="E59" s="21">
        <f>IF((ROUND(F58-ROUND($B$13-D59,2),2)&lt;=0),F58,ROUND($B$13-D59,2))</f>
        <v/>
      </c>
      <c r="F59" s="21">
        <f>IF((ROUND(F58-ROUND($B$13-D59,2),2)&lt;=0),0,ROUND(F58-E59,2))</f>
        <v/>
      </c>
    </row>
    <row r="60">
      <c r="A60" s="6" t="n">
        <v>44</v>
      </c>
      <c r="B60" s="19">
        <f>IF(B8="monthly",DATE(YEAR(B7)+INT((MONTH(B7)-1+43)/12),MOD(MONTH(B7)-1+43,12)+1,1)+(DAY(B7)-1),IF(B8="weekly",B7+301,IF(B8="biweekly",B7+602,B7+ROUND((43*365.25)/24,0))))</f>
        <v/>
      </c>
      <c r="C60" s="21">
        <f>IF((ROUND(F59-ROUND($B$13-D60,2),2)&lt;=0),ROUND(D60+E60,2),$B$13)</f>
        <v/>
      </c>
      <c r="D60" s="21">
        <f>ROUND(F59*B5/100/B10,2)</f>
        <v/>
      </c>
      <c r="E60" s="21">
        <f>IF((ROUND(F59-ROUND($B$13-D60,2),2)&lt;=0),F59,ROUND($B$13-D60,2))</f>
        <v/>
      </c>
      <c r="F60" s="21">
        <f>IF((ROUND(F59-ROUND($B$13-D60,2),2)&lt;=0),0,ROUND(F59-E60,2))</f>
        <v/>
      </c>
    </row>
    <row r="61">
      <c r="A61" s="6" t="n">
        <v>45</v>
      </c>
      <c r="B61" s="19">
        <f>IF(B8="monthly",DATE(YEAR(B7)+INT((MONTH(B7)-1+44)/12),MOD(MONTH(B7)-1+44,12)+1,1)+(DAY(B7)-1),IF(B8="weekly",B7+308,IF(B8="biweekly",B7+616,B7+ROUND((44*365.25)/24,0))))</f>
        <v/>
      </c>
      <c r="C61" s="21">
        <f>IF((ROUND(F60-ROUND($B$13-D61,2),2)&lt;=0),ROUND(D61+E61,2),$B$13)</f>
        <v/>
      </c>
      <c r="D61" s="21">
        <f>ROUND(F60*B5/100/B10,2)</f>
        <v/>
      </c>
      <c r="E61" s="21">
        <f>IF((ROUND(F60-ROUND($B$13-D61,2),2)&lt;=0),F60,ROUND($B$13-D61,2))</f>
        <v/>
      </c>
      <c r="F61" s="21">
        <f>IF((ROUND(F60-ROUND($B$13-D61,2),2)&lt;=0),0,ROUND(F60-E61,2))</f>
        <v/>
      </c>
    </row>
    <row r="62">
      <c r="A62" s="6" t="n">
        <v>46</v>
      </c>
      <c r="B62" s="19">
        <f>IF(B8="monthly",DATE(YEAR(B7)+INT((MONTH(B7)-1+45)/12),MOD(MONTH(B7)-1+45,12)+1,1)+(DAY(B7)-1),IF(B8="weekly",B7+315,IF(B8="biweekly",B7+630,B7+ROUND((45*365.25)/24,0))))</f>
        <v/>
      </c>
      <c r="C62" s="21">
        <f>IF((ROUND(F61-ROUND($B$13-D62,2),2)&lt;=0),ROUND(D62+E62,2),$B$13)</f>
        <v/>
      </c>
      <c r="D62" s="21">
        <f>ROUND(F61*B5/100/B10,2)</f>
        <v/>
      </c>
      <c r="E62" s="21">
        <f>IF((ROUND(F61-ROUND($B$13-D62,2),2)&lt;=0),F61,ROUND($B$13-D62,2))</f>
        <v/>
      </c>
      <c r="F62" s="21">
        <f>IF((ROUND(F61-ROUND($B$13-D62,2),2)&lt;=0),0,ROUND(F61-E62,2))</f>
        <v/>
      </c>
    </row>
    <row r="63">
      <c r="A63" s="6" t="n">
        <v>47</v>
      </c>
      <c r="B63" s="19">
        <f>IF(B8="monthly",DATE(YEAR(B7)+INT((MONTH(B7)-1+46)/12),MOD(MONTH(B7)-1+46,12)+1,1)+(DAY(B7)-1),IF(B8="weekly",B7+322,IF(B8="biweekly",B7+644,B7+ROUND((46*365.25)/24,0))))</f>
        <v/>
      </c>
      <c r="C63" s="21">
        <f>IF((ROUND(F62-ROUND($B$13-D63,2),2)&lt;=0),ROUND(D63+E63,2),$B$13)</f>
        <v/>
      </c>
      <c r="D63" s="21">
        <f>ROUND(F62*B5/100/B10,2)</f>
        <v/>
      </c>
      <c r="E63" s="21">
        <f>IF((ROUND(F62-ROUND($B$13-D63,2),2)&lt;=0),F62,ROUND($B$13-D63,2))</f>
        <v/>
      </c>
      <c r="F63" s="21">
        <f>IF((ROUND(F62-ROUND($B$13-D63,2),2)&lt;=0),0,ROUND(F62-E63,2))</f>
        <v/>
      </c>
    </row>
    <row r="64">
      <c r="A64" s="6" t="n">
        <v>48</v>
      </c>
      <c r="B64" s="19">
        <f>IF(B8="monthly",DATE(YEAR(B7)+INT((MONTH(B7)-1+47)/12),MOD(MONTH(B7)-1+47,12)+1,1)+(DAY(B7)-1),IF(B8="weekly",B7+329,IF(B8="biweekly",B7+658,B7+ROUND((47*365.25)/24,0))))</f>
        <v/>
      </c>
      <c r="C64" s="21">
        <f>IF((ROUND(F63-ROUND($B$13-D64,2),2)&lt;=0),ROUND(D64+E64,2),$B$13)</f>
        <v/>
      </c>
      <c r="D64" s="21">
        <f>ROUND(F63*B5/100/B10,2)</f>
        <v/>
      </c>
      <c r="E64" s="21">
        <f>IF((ROUND(F63-ROUND($B$13-D64,2),2)&lt;=0),F63,ROUND($B$13-D64,2))</f>
        <v/>
      </c>
      <c r="F64" s="21">
        <f>IF((ROUND(F63-ROUND($B$13-D64,2),2)&lt;=0),0,ROUND(F63-E64,2))</f>
        <v/>
      </c>
    </row>
    <row r="65">
      <c r="A65" s="6" t="n">
        <v>49</v>
      </c>
      <c r="B65" s="19">
        <f>IF(B8="monthly",DATE(YEAR(B7)+INT((MONTH(B7)-1+48)/12),MOD(MONTH(B7)-1+48,12)+1,1)+(DAY(B7)-1),IF(B8="weekly",B7+336,IF(B8="biweekly",B7+672,B7+ROUND((48*365.25)/24,0))))</f>
        <v/>
      </c>
      <c r="C65" s="21">
        <f>IF((ROUND(F64-ROUND($B$13-D65,2),2)&lt;=0),ROUND(D65+E65,2),$B$13)</f>
        <v/>
      </c>
      <c r="D65" s="21">
        <f>ROUND(F64*B5/100/B10,2)</f>
        <v/>
      </c>
      <c r="E65" s="21">
        <f>IF((ROUND(F64-ROUND($B$13-D65,2),2)&lt;=0),F64,ROUND($B$13-D65,2))</f>
        <v/>
      </c>
      <c r="F65" s="21">
        <f>IF((ROUND(F64-ROUND($B$13-D65,2),2)&lt;=0),0,ROUND(F64-E65,2))</f>
        <v/>
      </c>
    </row>
    <row r="66">
      <c r="A66" s="6" t="n">
        <v>50</v>
      </c>
      <c r="B66" s="19">
        <f>IF(B8="monthly",DATE(YEAR(B7)+INT((MONTH(B7)-1+49)/12),MOD(MONTH(B7)-1+49,12)+1,1)+(DAY(B7)-1),IF(B8="weekly",B7+343,IF(B8="biweekly",B7+686,B7+ROUND((49*365.25)/24,0))))</f>
        <v/>
      </c>
      <c r="C66" s="21">
        <f>IF((ROUND(F65-ROUND($B$13-D66,2),2)&lt;=0),ROUND(D66+E66,2),$B$13)</f>
        <v/>
      </c>
      <c r="D66" s="21">
        <f>ROUND(F65*B5/100/B10,2)</f>
        <v/>
      </c>
      <c r="E66" s="21">
        <f>IF((ROUND(F65-ROUND($B$13-D66,2),2)&lt;=0),F65,ROUND($B$13-D66,2))</f>
        <v/>
      </c>
      <c r="F66" s="21">
        <f>IF((ROUND(F65-ROUND($B$13-D66,2),2)&lt;=0),0,ROUND(F65-E66,2))</f>
        <v/>
      </c>
    </row>
    <row r="67">
      <c r="A67" s="6" t="n">
        <v>51</v>
      </c>
      <c r="B67" s="19">
        <f>IF(B8="monthly",DATE(YEAR(B7)+INT((MONTH(B7)-1+50)/12),MOD(MONTH(B7)-1+50,12)+1,1)+(DAY(B7)-1),IF(B8="weekly",B7+350,IF(B8="biweekly",B7+700,B7+ROUND((50*365.25)/24,0))))</f>
        <v/>
      </c>
      <c r="C67" s="21">
        <f>IF((ROUND(F66-ROUND($B$13-D67,2),2)&lt;=0),ROUND(D67+E67,2),$B$13)</f>
        <v/>
      </c>
      <c r="D67" s="21">
        <f>ROUND(F66*B5/100/B10,2)</f>
        <v/>
      </c>
      <c r="E67" s="21">
        <f>IF((ROUND(F66-ROUND($B$13-D67,2),2)&lt;=0),F66,ROUND($B$13-D67,2))</f>
        <v/>
      </c>
      <c r="F67" s="21">
        <f>IF((ROUND(F66-ROUND($B$13-D67,2),2)&lt;=0),0,ROUND(F66-E67,2))</f>
        <v/>
      </c>
    </row>
    <row r="68">
      <c r="A68" s="6" t="n">
        <v>52</v>
      </c>
      <c r="B68" s="19">
        <f>IF(B8="monthly",DATE(YEAR(B7)+INT((MONTH(B7)-1+51)/12),MOD(MONTH(B7)-1+51,12)+1,1)+(DAY(B7)-1),IF(B8="weekly",B7+357,IF(B8="biweekly",B7+714,B7+ROUND((51*365.25)/24,0))))</f>
        <v/>
      </c>
      <c r="C68" s="21">
        <f>IF((ROUND(F67-ROUND($B$13-D68,2),2)&lt;=0),ROUND(D68+E68,2),$B$13)</f>
        <v/>
      </c>
      <c r="D68" s="21">
        <f>ROUND(F67*B5/100/B10,2)</f>
        <v/>
      </c>
      <c r="E68" s="21">
        <f>IF((ROUND(F67-ROUND($B$13-D68,2),2)&lt;=0),F67,ROUND($B$13-D68,2))</f>
        <v/>
      </c>
      <c r="F68" s="21">
        <f>IF((ROUND(F67-ROUND($B$13-D68,2),2)&lt;=0),0,ROUND(F67-E68,2))</f>
        <v/>
      </c>
    </row>
    <row r="69">
      <c r="A69" s="6" t="n">
        <v>53</v>
      </c>
      <c r="B69" s="19">
        <f>IF(B8="monthly",DATE(YEAR(B7)+INT((MONTH(B7)-1+52)/12),MOD(MONTH(B7)-1+52,12)+1,1)+(DAY(B7)-1),IF(B8="weekly",B7+364,IF(B8="biweekly",B7+728,B7+ROUND((52*365.25)/24,0))))</f>
        <v/>
      </c>
      <c r="C69" s="21">
        <f>IF((ROUND(F68-ROUND($B$13-D69,2),2)&lt;=0),ROUND(D69+E69,2),$B$13)</f>
        <v/>
      </c>
      <c r="D69" s="21">
        <f>ROUND(F68*B5/100/B10,2)</f>
        <v/>
      </c>
      <c r="E69" s="21">
        <f>IF((ROUND(F68-ROUND($B$13-D69,2),2)&lt;=0),F68,ROUND($B$13-D69,2))</f>
        <v/>
      </c>
      <c r="F69" s="21">
        <f>IF((ROUND(F68-ROUND($B$13-D69,2),2)&lt;=0),0,ROUND(F68-E69,2))</f>
        <v/>
      </c>
    </row>
    <row r="70">
      <c r="A70" s="6" t="n">
        <v>54</v>
      </c>
      <c r="B70" s="19">
        <f>IF(B8="monthly",DATE(YEAR(B7)+INT((MONTH(B7)-1+53)/12),MOD(MONTH(B7)-1+53,12)+1,1)+(DAY(B7)-1),IF(B8="weekly",B7+371,IF(B8="biweekly",B7+742,B7+ROUND((53*365.25)/24,0))))</f>
        <v/>
      </c>
      <c r="C70" s="21">
        <f>IF((ROUND(F69-ROUND($B$13-D70,2),2)&lt;=0),ROUND(D70+E70,2),$B$13)</f>
        <v/>
      </c>
      <c r="D70" s="21">
        <f>ROUND(F69*B5/100/B10,2)</f>
        <v/>
      </c>
      <c r="E70" s="21">
        <f>IF((ROUND(F69-ROUND($B$13-D70,2),2)&lt;=0),F69,ROUND($B$13-D70,2))</f>
        <v/>
      </c>
      <c r="F70" s="21">
        <f>IF((ROUND(F69-ROUND($B$13-D70,2),2)&lt;=0),0,ROUND(F69-E70,2))</f>
        <v/>
      </c>
    </row>
    <row r="71">
      <c r="A71" s="6" t="n">
        <v>55</v>
      </c>
      <c r="B71" s="19">
        <f>IF(B8="monthly",DATE(YEAR(B7)+INT((MONTH(B7)-1+54)/12),MOD(MONTH(B7)-1+54,12)+1,1)+(DAY(B7)-1),IF(B8="weekly",B7+378,IF(B8="biweekly",B7+756,B7+ROUND((54*365.25)/24,0))))</f>
        <v/>
      </c>
      <c r="C71" s="21">
        <f>IF((ROUND(F70-ROUND($B$13-D71,2),2)&lt;=0),ROUND(D71+E71,2),$B$13)</f>
        <v/>
      </c>
      <c r="D71" s="21">
        <f>ROUND(F70*B5/100/B10,2)</f>
        <v/>
      </c>
      <c r="E71" s="21">
        <f>IF((ROUND(F70-ROUND($B$13-D71,2),2)&lt;=0),F70,ROUND($B$13-D71,2))</f>
        <v/>
      </c>
      <c r="F71" s="21">
        <f>IF((ROUND(F70-ROUND($B$13-D71,2),2)&lt;=0),0,ROUND(F70-E71,2))</f>
        <v/>
      </c>
    </row>
    <row r="72">
      <c r="A72" s="6" t="n">
        <v>56</v>
      </c>
      <c r="B72" s="19">
        <f>IF(B8="monthly",DATE(YEAR(B7)+INT((MONTH(B7)-1+55)/12),MOD(MONTH(B7)-1+55,12)+1,1)+(DAY(B7)-1),IF(B8="weekly",B7+385,IF(B8="biweekly",B7+770,B7+ROUND((55*365.25)/24,0))))</f>
        <v/>
      </c>
      <c r="C72" s="21">
        <f>IF((ROUND(F71-ROUND($B$13-D72,2),2)&lt;=0),ROUND(D72+E72,2),$B$13)</f>
        <v/>
      </c>
      <c r="D72" s="21">
        <f>ROUND(F71*B5/100/B10,2)</f>
        <v/>
      </c>
      <c r="E72" s="21">
        <f>IF((ROUND(F71-ROUND($B$13-D72,2),2)&lt;=0),F71,ROUND($B$13-D72,2))</f>
        <v/>
      </c>
      <c r="F72" s="21">
        <f>IF((ROUND(F71-ROUND($B$13-D72,2),2)&lt;=0),0,ROUND(F71-E72,2))</f>
        <v/>
      </c>
    </row>
    <row r="73">
      <c r="A73" s="6" t="n">
        <v>57</v>
      </c>
      <c r="B73" s="19">
        <f>IF(B8="monthly",DATE(YEAR(B7)+INT((MONTH(B7)-1+56)/12),MOD(MONTH(B7)-1+56,12)+1,1)+(DAY(B7)-1),IF(B8="weekly",B7+392,IF(B8="biweekly",B7+784,B7+ROUND((56*365.25)/24,0))))</f>
        <v/>
      </c>
      <c r="C73" s="21">
        <f>IF((ROUND(F72-ROUND($B$13-D73,2),2)&lt;=0),ROUND(D73+E73,2),$B$13)</f>
        <v/>
      </c>
      <c r="D73" s="21">
        <f>ROUND(F72*B5/100/B10,2)</f>
        <v/>
      </c>
      <c r="E73" s="21">
        <f>IF((ROUND(F72-ROUND($B$13-D73,2),2)&lt;=0),F72,ROUND($B$13-D73,2))</f>
        <v/>
      </c>
      <c r="F73" s="21">
        <f>IF((ROUND(F72-ROUND($B$13-D73,2),2)&lt;=0),0,ROUND(F72-E73,2))</f>
        <v/>
      </c>
    </row>
    <row r="74">
      <c r="A74" s="6" t="n">
        <v>58</v>
      </c>
      <c r="B74" s="19">
        <f>IF(B8="monthly",DATE(YEAR(B7)+INT((MONTH(B7)-1+57)/12),MOD(MONTH(B7)-1+57,12)+1,1)+(DAY(B7)-1),IF(B8="weekly",B7+399,IF(B8="biweekly",B7+798,B7+ROUND((57*365.25)/24,0))))</f>
        <v/>
      </c>
      <c r="C74" s="21">
        <f>IF((ROUND(F73-ROUND($B$13-D74,2),2)&lt;=0),ROUND(D74+E74,2),$B$13)</f>
        <v/>
      </c>
      <c r="D74" s="21">
        <f>ROUND(F73*B5/100/B10,2)</f>
        <v/>
      </c>
      <c r="E74" s="21">
        <f>IF((ROUND(F73-ROUND($B$13-D74,2),2)&lt;=0),F73,ROUND($B$13-D74,2))</f>
        <v/>
      </c>
      <c r="F74" s="21">
        <f>IF((ROUND(F73-ROUND($B$13-D74,2),2)&lt;=0),0,ROUND(F73-E74,2))</f>
        <v/>
      </c>
    </row>
    <row r="75">
      <c r="A75" s="6" t="n">
        <v>59</v>
      </c>
      <c r="B75" s="19">
        <f>IF(B8="monthly",DATE(YEAR(B7)+INT((MONTH(B7)-1+58)/12),MOD(MONTH(B7)-1+58,12)+1,1)+(DAY(B7)-1),IF(B8="weekly",B7+406,IF(B8="biweekly",B7+812,B7+ROUND((58*365.25)/24,0))))</f>
        <v/>
      </c>
      <c r="C75" s="21">
        <f>IF((ROUND(F74-ROUND($B$13-D75,2),2)&lt;=0),ROUND(D75+E75,2),$B$13)</f>
        <v/>
      </c>
      <c r="D75" s="21">
        <f>ROUND(F74*B5/100/B10,2)</f>
        <v/>
      </c>
      <c r="E75" s="21">
        <f>IF((ROUND(F74-ROUND($B$13-D75,2),2)&lt;=0),F74,ROUND($B$13-D75,2))</f>
        <v/>
      </c>
      <c r="F75" s="21">
        <f>IF((ROUND(F74-ROUND($B$13-D75,2),2)&lt;=0),0,ROUND(F74-E75,2))</f>
        <v/>
      </c>
    </row>
    <row r="76">
      <c r="A76" s="6" t="n">
        <v>60</v>
      </c>
      <c r="B76" s="19">
        <f>IF(B8="monthly",DATE(YEAR(B7)+INT((MONTH(B7)-1+59)/12),MOD(MONTH(B7)-1+59,12)+1,1)+(DAY(B7)-1),IF(B8="weekly",B7+413,IF(B8="biweekly",B7+826,B7+ROUND((59*365.25)/24,0))))</f>
        <v/>
      </c>
      <c r="C76" s="21">
        <f>IF((ROUND(F75-ROUND($B$13-D76,2),2)&lt;=0),ROUND(D76+E76,2),$B$13)</f>
        <v/>
      </c>
      <c r="D76" s="21">
        <f>ROUND(F75*B5/100/B10,2)</f>
        <v/>
      </c>
      <c r="E76" s="21">
        <f>IF((ROUND(F75-ROUND($B$13-D76,2),2)&lt;=0),F75,ROUND($B$13-D76,2))</f>
        <v/>
      </c>
      <c r="F76" s="21">
        <f>IF((ROUND(F75-ROUND($B$13-D76,2),2)&lt;=0),0,ROUND(F75-E76,2))</f>
        <v/>
      </c>
    </row>
    <row r="77">
      <c r="A77" s="6" t="n">
        <v>61</v>
      </c>
      <c r="B77" s="19">
        <f>IF(B8="monthly",DATE(YEAR(B7)+INT((MONTH(B7)-1+60)/12),MOD(MONTH(B7)-1+60,12)+1,1)+(DAY(B7)-1),IF(B8="weekly",B7+420,IF(B8="biweekly",B7+840,B7+ROUND((60*365.25)/24,0))))</f>
        <v/>
      </c>
      <c r="C77" s="21">
        <f>IF((ROUND(F76-ROUND($B$13-D77,2),2)&lt;=0),ROUND(D77+E77,2),$B$13)</f>
        <v/>
      </c>
      <c r="D77" s="21">
        <f>ROUND(F76*B5/100/B10,2)</f>
        <v/>
      </c>
      <c r="E77" s="21">
        <f>IF((ROUND(F76-ROUND($B$13-D77,2),2)&lt;=0),F76,ROUND($B$13-D77,2))</f>
        <v/>
      </c>
      <c r="F77" s="21">
        <f>IF((ROUND(F76-ROUND($B$13-D77,2),2)&lt;=0),0,ROUND(F76-E77,2))</f>
        <v/>
      </c>
    </row>
    <row r="78">
      <c r="A78" s="6" t="n">
        <v>62</v>
      </c>
      <c r="B78" s="19">
        <f>IF(B8="monthly",DATE(YEAR(B7)+INT((MONTH(B7)-1+61)/12),MOD(MONTH(B7)-1+61,12)+1,1)+(DAY(B7)-1),IF(B8="weekly",B7+427,IF(B8="biweekly",B7+854,B7+ROUND((61*365.25)/24,0))))</f>
        <v/>
      </c>
      <c r="C78" s="21">
        <f>IF((ROUND(F77-ROUND($B$13-D78,2),2)&lt;=0),ROUND(D78+E78,2),$B$13)</f>
        <v/>
      </c>
      <c r="D78" s="21">
        <f>ROUND(F77*B5/100/B10,2)</f>
        <v/>
      </c>
      <c r="E78" s="21">
        <f>IF((ROUND(F77-ROUND($B$13-D78,2),2)&lt;=0),F77,ROUND($B$13-D78,2))</f>
        <v/>
      </c>
      <c r="F78" s="21">
        <f>IF((ROUND(F77-ROUND($B$13-D78,2),2)&lt;=0),0,ROUND(F77-E78,2))</f>
        <v/>
      </c>
    </row>
    <row r="79">
      <c r="A79" s="6" t="n">
        <v>63</v>
      </c>
      <c r="B79" s="19">
        <f>IF(B8="monthly",DATE(YEAR(B7)+INT((MONTH(B7)-1+62)/12),MOD(MONTH(B7)-1+62,12)+1,1)+(DAY(B7)-1),IF(B8="weekly",B7+434,IF(B8="biweekly",B7+868,B7+ROUND((62*365.25)/24,0))))</f>
        <v/>
      </c>
      <c r="C79" s="21">
        <f>IF((ROUND(F78-ROUND($B$13-D79,2),2)&lt;=0),ROUND(D79+E79,2),$B$13)</f>
        <v/>
      </c>
      <c r="D79" s="21">
        <f>ROUND(F78*B5/100/B10,2)</f>
        <v/>
      </c>
      <c r="E79" s="21">
        <f>IF((ROUND(F78-ROUND($B$13-D79,2),2)&lt;=0),F78,ROUND($B$13-D79,2))</f>
        <v/>
      </c>
      <c r="F79" s="21">
        <f>IF((ROUND(F78-ROUND($B$13-D79,2),2)&lt;=0),0,ROUND(F78-E79,2))</f>
        <v/>
      </c>
    </row>
    <row r="80">
      <c r="A80" s="6" t="n">
        <v>64</v>
      </c>
      <c r="B80" s="19">
        <f>IF(B8="monthly",DATE(YEAR(B7)+INT((MONTH(B7)-1+63)/12),MOD(MONTH(B7)-1+63,12)+1,1)+(DAY(B7)-1),IF(B8="weekly",B7+441,IF(B8="biweekly",B7+882,B7+ROUND((63*365.25)/24,0))))</f>
        <v/>
      </c>
      <c r="C80" s="21">
        <f>IF((ROUND(F79-ROUND($B$13-D80,2),2)&lt;=0),ROUND(D80+E80,2),$B$13)</f>
        <v/>
      </c>
      <c r="D80" s="21">
        <f>ROUND(F79*B5/100/B10,2)</f>
        <v/>
      </c>
      <c r="E80" s="21">
        <f>IF((ROUND(F79-ROUND($B$13-D80,2),2)&lt;=0),F79,ROUND($B$13-D80,2))</f>
        <v/>
      </c>
      <c r="F80" s="21">
        <f>IF((ROUND(F79-ROUND($B$13-D80,2),2)&lt;=0),0,ROUND(F79-E80,2))</f>
        <v/>
      </c>
    </row>
    <row r="81">
      <c r="A81" s="6" t="n">
        <v>65</v>
      </c>
      <c r="B81" s="19">
        <f>IF(B8="monthly",DATE(YEAR(B7)+INT((MONTH(B7)-1+64)/12),MOD(MONTH(B7)-1+64,12)+1,1)+(DAY(B7)-1),IF(B8="weekly",B7+448,IF(B8="biweekly",B7+896,B7+ROUND((64*365.25)/24,0))))</f>
        <v/>
      </c>
      <c r="C81" s="21">
        <f>IF((ROUND(F80-ROUND($B$13-D81,2),2)&lt;=0),ROUND(D81+E81,2),$B$13)</f>
        <v/>
      </c>
      <c r="D81" s="21">
        <f>ROUND(F80*B5/100/B10,2)</f>
        <v/>
      </c>
      <c r="E81" s="21">
        <f>IF((ROUND(F80-ROUND($B$13-D81,2),2)&lt;=0),F80,ROUND($B$13-D81,2))</f>
        <v/>
      </c>
      <c r="F81" s="21">
        <f>IF((ROUND(F80-ROUND($B$13-D81,2),2)&lt;=0),0,ROUND(F80-E81,2))</f>
        <v/>
      </c>
    </row>
    <row r="82">
      <c r="A82" s="6" t="n">
        <v>66</v>
      </c>
      <c r="B82" s="19">
        <f>IF(B8="monthly",DATE(YEAR(B7)+INT((MONTH(B7)-1+65)/12),MOD(MONTH(B7)-1+65,12)+1,1)+(DAY(B7)-1),IF(B8="weekly",B7+455,IF(B8="biweekly",B7+910,B7+ROUND((65*365.25)/24,0))))</f>
        <v/>
      </c>
      <c r="C82" s="21">
        <f>IF((ROUND(F81-ROUND($B$13-D82,2),2)&lt;=0),ROUND(D82+E82,2),$B$13)</f>
        <v/>
      </c>
      <c r="D82" s="21">
        <f>ROUND(F81*B5/100/B10,2)</f>
        <v/>
      </c>
      <c r="E82" s="21">
        <f>IF((ROUND(F81-ROUND($B$13-D82,2),2)&lt;=0),F81,ROUND($B$13-D82,2))</f>
        <v/>
      </c>
      <c r="F82" s="21">
        <f>IF((ROUND(F81-ROUND($B$13-D82,2),2)&lt;=0),0,ROUND(F81-E82,2))</f>
        <v/>
      </c>
    </row>
    <row r="83">
      <c r="A83" s="6" t="n">
        <v>67</v>
      </c>
      <c r="B83" s="19">
        <f>IF(B8="monthly",DATE(YEAR(B7)+INT((MONTH(B7)-1+66)/12),MOD(MONTH(B7)-1+66,12)+1,1)+(DAY(B7)-1),IF(B8="weekly",B7+462,IF(B8="biweekly",B7+924,B7+ROUND((66*365.25)/24,0))))</f>
        <v/>
      </c>
      <c r="C83" s="21">
        <f>IF((ROUND(F82-ROUND($B$13-D83,2),2)&lt;=0),ROUND(D83+E83,2),$B$13)</f>
        <v/>
      </c>
      <c r="D83" s="21">
        <f>ROUND(F82*B5/100/B10,2)</f>
        <v/>
      </c>
      <c r="E83" s="21">
        <f>IF((ROUND(F82-ROUND($B$13-D83,2),2)&lt;=0),F82,ROUND($B$13-D83,2))</f>
        <v/>
      </c>
      <c r="F83" s="21">
        <f>IF((ROUND(F82-ROUND($B$13-D83,2),2)&lt;=0),0,ROUND(F82-E83,2))</f>
        <v/>
      </c>
    </row>
    <row r="84">
      <c r="A84" s="6" t="n">
        <v>68</v>
      </c>
      <c r="B84" s="19">
        <f>IF(B8="monthly",DATE(YEAR(B7)+INT((MONTH(B7)-1+67)/12),MOD(MONTH(B7)-1+67,12)+1,1)+(DAY(B7)-1),IF(B8="weekly",B7+469,IF(B8="biweekly",B7+938,B7+ROUND((67*365.25)/24,0))))</f>
        <v/>
      </c>
      <c r="C84" s="21">
        <f>IF((ROUND(F83-ROUND($B$13-D84,2),2)&lt;=0),ROUND(D84+E84,2),$B$13)</f>
        <v/>
      </c>
      <c r="D84" s="21">
        <f>ROUND(F83*B5/100/B10,2)</f>
        <v/>
      </c>
      <c r="E84" s="21">
        <f>IF((ROUND(F83-ROUND($B$13-D84,2),2)&lt;=0),F83,ROUND($B$13-D84,2))</f>
        <v/>
      </c>
      <c r="F84" s="21">
        <f>IF((ROUND(F83-ROUND($B$13-D84,2),2)&lt;=0),0,ROUND(F83-E84,2))</f>
        <v/>
      </c>
    </row>
    <row r="85">
      <c r="A85" s="6" t="n">
        <v>69</v>
      </c>
      <c r="B85" s="19">
        <f>IF(B8="monthly",DATE(YEAR(B7)+INT((MONTH(B7)-1+68)/12),MOD(MONTH(B7)-1+68,12)+1,1)+(DAY(B7)-1),IF(B8="weekly",B7+476,IF(B8="biweekly",B7+952,B7+ROUND((68*365.25)/24,0))))</f>
        <v/>
      </c>
      <c r="C85" s="21">
        <f>IF((ROUND(F84-ROUND($B$13-D85,2),2)&lt;=0),ROUND(D85+E85,2),$B$13)</f>
        <v/>
      </c>
      <c r="D85" s="21">
        <f>ROUND(F84*B5/100/B10,2)</f>
        <v/>
      </c>
      <c r="E85" s="21">
        <f>IF((ROUND(F84-ROUND($B$13-D85,2),2)&lt;=0),F84,ROUND($B$13-D85,2))</f>
        <v/>
      </c>
      <c r="F85" s="21">
        <f>IF((ROUND(F84-ROUND($B$13-D85,2),2)&lt;=0),0,ROUND(F84-E85,2))</f>
        <v/>
      </c>
    </row>
    <row r="86">
      <c r="A86" s="6" t="n">
        <v>70</v>
      </c>
      <c r="B86" s="19">
        <f>IF(B8="monthly",DATE(YEAR(B7)+INT((MONTH(B7)-1+69)/12),MOD(MONTH(B7)-1+69,12)+1,1)+(DAY(B7)-1),IF(B8="weekly",B7+483,IF(B8="biweekly",B7+966,B7+ROUND((69*365.25)/24,0))))</f>
        <v/>
      </c>
      <c r="C86" s="21">
        <f>IF((ROUND(F85-ROUND($B$13-D86,2),2)&lt;=0),ROUND(D86+E86,2),$B$13)</f>
        <v/>
      </c>
      <c r="D86" s="21">
        <f>ROUND(F85*B5/100/B10,2)</f>
        <v/>
      </c>
      <c r="E86" s="21">
        <f>IF((ROUND(F85-ROUND($B$13-D86,2),2)&lt;=0),F85,ROUND($B$13-D86,2))</f>
        <v/>
      </c>
      <c r="F86" s="21">
        <f>IF((ROUND(F85-ROUND($B$13-D86,2),2)&lt;=0),0,ROUND(F85-E86,2))</f>
        <v/>
      </c>
    </row>
    <row r="87">
      <c r="A87" s="6" t="n">
        <v>71</v>
      </c>
      <c r="B87" s="19">
        <f>IF(B8="monthly",DATE(YEAR(B7)+INT((MONTH(B7)-1+70)/12),MOD(MONTH(B7)-1+70,12)+1,1)+(DAY(B7)-1),IF(B8="weekly",B7+490,IF(B8="biweekly",B7+980,B7+ROUND((70*365.25)/24,0))))</f>
        <v/>
      </c>
      <c r="C87" s="21">
        <f>IF((ROUND(F86-ROUND($B$13-D87,2),2)&lt;=0),ROUND(D87+E87,2),$B$13)</f>
        <v/>
      </c>
      <c r="D87" s="21">
        <f>ROUND(F86*B5/100/B10,2)</f>
        <v/>
      </c>
      <c r="E87" s="21">
        <f>IF((ROUND(F86-ROUND($B$13-D87,2),2)&lt;=0),F86,ROUND($B$13-D87,2))</f>
        <v/>
      </c>
      <c r="F87" s="21">
        <f>IF((ROUND(F86-ROUND($B$13-D87,2),2)&lt;=0),0,ROUND(F86-E87,2))</f>
        <v/>
      </c>
    </row>
    <row r="88">
      <c r="A88" s="6" t="n">
        <v>72</v>
      </c>
      <c r="B88" s="19">
        <f>IF(B8="monthly",DATE(YEAR(B7)+INT((MONTH(B7)-1+71)/12),MOD(MONTH(B7)-1+71,12)+1,1)+(DAY(B7)-1),IF(B8="weekly",B7+497,IF(B8="biweekly",B7+994,B7+ROUND((71*365.25)/24,0))))</f>
        <v/>
      </c>
      <c r="C88" s="21">
        <f>IF((ROUND(F87-ROUND($B$13-D88,2),2)&lt;=0),ROUND(D88+E88,2),$B$13)</f>
        <v/>
      </c>
      <c r="D88" s="21">
        <f>ROUND(F87*B5/100/B10,2)</f>
        <v/>
      </c>
      <c r="E88" s="21">
        <f>IF((ROUND(F87-ROUND($B$13-D88,2),2)&lt;=0),F87,ROUND($B$13-D88,2))</f>
        <v/>
      </c>
      <c r="F88" s="21">
        <f>IF((ROUND(F87-ROUND($B$13-D88,2),2)&lt;=0),0,ROUND(F87-E88,2))</f>
        <v/>
      </c>
    </row>
    <row r="89">
      <c r="A89" s="6" t="n">
        <v>73</v>
      </c>
      <c r="B89" s="19">
        <f>IF(B8="monthly",DATE(YEAR(B7)+INT((MONTH(B7)-1+72)/12),MOD(MONTH(B7)-1+72,12)+1,1)+(DAY(B7)-1),IF(B8="weekly",B7+504,IF(B8="biweekly",B7+1008,B7+ROUND((72*365.25)/24,0))))</f>
        <v/>
      </c>
      <c r="C89" s="21">
        <f>IF((ROUND(F88-ROUND($B$13-D89,2),2)&lt;=0),ROUND(D89+E89,2),$B$13)</f>
        <v/>
      </c>
      <c r="D89" s="21">
        <f>ROUND(F88*B5/100/B10,2)</f>
        <v/>
      </c>
      <c r="E89" s="21">
        <f>IF((ROUND(F88-ROUND($B$13-D89,2),2)&lt;=0),F88,ROUND($B$13-D89,2))</f>
        <v/>
      </c>
      <c r="F89" s="21">
        <f>IF((ROUND(F88-ROUND($B$13-D89,2),2)&lt;=0),0,ROUND(F88-E89,2))</f>
        <v/>
      </c>
    </row>
    <row r="90">
      <c r="A90" s="6" t="n">
        <v>74</v>
      </c>
      <c r="B90" s="19">
        <f>IF(B8="monthly",DATE(YEAR(B7)+INT((MONTH(B7)-1+73)/12),MOD(MONTH(B7)-1+73,12)+1,1)+(DAY(B7)-1),IF(B8="weekly",B7+511,IF(B8="biweekly",B7+1022,B7+ROUND((73*365.25)/24,0))))</f>
        <v/>
      </c>
      <c r="C90" s="21">
        <f>IF((ROUND(F89-ROUND($B$13-D90,2),2)&lt;=0),ROUND(D90+E90,2),$B$13)</f>
        <v/>
      </c>
      <c r="D90" s="21">
        <f>ROUND(F89*B5/100/B10,2)</f>
        <v/>
      </c>
      <c r="E90" s="21">
        <f>IF((ROUND(F89-ROUND($B$13-D90,2),2)&lt;=0),F89,ROUND($B$13-D90,2))</f>
        <v/>
      </c>
      <c r="F90" s="21">
        <f>IF((ROUND(F89-ROUND($B$13-D90,2),2)&lt;=0),0,ROUND(F89-E90,2))</f>
        <v/>
      </c>
    </row>
    <row r="91">
      <c r="A91" s="6" t="n">
        <v>75</v>
      </c>
      <c r="B91" s="19">
        <f>IF(B8="monthly",DATE(YEAR(B7)+INT((MONTH(B7)-1+74)/12),MOD(MONTH(B7)-1+74,12)+1,1)+(DAY(B7)-1),IF(B8="weekly",B7+518,IF(B8="biweekly",B7+1036,B7+ROUND((74*365.25)/24,0))))</f>
        <v/>
      </c>
      <c r="C91" s="21">
        <f>IF((ROUND(F90-ROUND($B$13-D91,2),2)&lt;=0),ROUND(D91+E91,2),$B$13)</f>
        <v/>
      </c>
      <c r="D91" s="21">
        <f>ROUND(F90*B5/100/B10,2)</f>
        <v/>
      </c>
      <c r="E91" s="21">
        <f>IF((ROUND(F90-ROUND($B$13-D91,2),2)&lt;=0),F90,ROUND($B$13-D91,2))</f>
        <v/>
      </c>
      <c r="F91" s="21">
        <f>IF((ROUND(F90-ROUND($B$13-D91,2),2)&lt;=0),0,ROUND(F90-E91,2))</f>
        <v/>
      </c>
    </row>
    <row r="92">
      <c r="A92" s="6" t="n">
        <v>76</v>
      </c>
      <c r="B92" s="19">
        <f>IF(B8="monthly",DATE(YEAR(B7)+INT((MONTH(B7)-1+75)/12),MOD(MONTH(B7)-1+75,12)+1,1)+(DAY(B7)-1),IF(B8="weekly",B7+525,IF(B8="biweekly",B7+1050,B7+ROUND((75*365.25)/24,0))))</f>
        <v/>
      </c>
      <c r="C92" s="21">
        <f>IF((ROUND(F91-ROUND($B$13-D92,2),2)&lt;=0),ROUND(D92+E92,2),$B$13)</f>
        <v/>
      </c>
      <c r="D92" s="21">
        <f>ROUND(F91*B5/100/B10,2)</f>
        <v/>
      </c>
      <c r="E92" s="21">
        <f>IF((ROUND(F91-ROUND($B$13-D92,2),2)&lt;=0),F91,ROUND($B$13-D92,2))</f>
        <v/>
      </c>
      <c r="F92" s="21">
        <f>IF((ROUND(F91-ROUND($B$13-D92,2),2)&lt;=0),0,ROUND(F91-E92,2))</f>
        <v/>
      </c>
    </row>
    <row r="93">
      <c r="A93" s="6" t="n">
        <v>77</v>
      </c>
      <c r="B93" s="19">
        <f>IF(B8="monthly",DATE(YEAR(B7)+INT((MONTH(B7)-1+76)/12),MOD(MONTH(B7)-1+76,12)+1,1)+(DAY(B7)-1),IF(B8="weekly",B7+532,IF(B8="biweekly",B7+1064,B7+ROUND((76*365.25)/24,0))))</f>
        <v/>
      </c>
      <c r="C93" s="21">
        <f>IF((ROUND(F92-ROUND($B$13-D93,2),2)&lt;=0),ROUND(D93+E93,2),$B$13)</f>
        <v/>
      </c>
      <c r="D93" s="21">
        <f>ROUND(F92*B5/100/B10,2)</f>
        <v/>
      </c>
      <c r="E93" s="21">
        <f>IF((ROUND(F92-ROUND($B$13-D93,2),2)&lt;=0),F92,ROUND($B$13-D93,2))</f>
        <v/>
      </c>
      <c r="F93" s="21">
        <f>IF((ROUND(F92-ROUND($B$13-D93,2),2)&lt;=0),0,ROUND(F92-E93,2))</f>
        <v/>
      </c>
    </row>
    <row r="94">
      <c r="A94" s="6" t="n">
        <v>78</v>
      </c>
      <c r="B94" s="19">
        <f>IF(B8="monthly",DATE(YEAR(B7)+INT((MONTH(B7)-1+77)/12),MOD(MONTH(B7)-1+77,12)+1,1)+(DAY(B7)-1),IF(B8="weekly",B7+539,IF(B8="biweekly",B7+1078,B7+ROUND((77*365.25)/24,0))))</f>
        <v/>
      </c>
      <c r="C94" s="21">
        <f>IF((ROUND(F93-ROUND($B$13-D94,2),2)&lt;=0),ROUND(D94+E94,2),$B$13)</f>
        <v/>
      </c>
      <c r="D94" s="21">
        <f>ROUND(F93*B5/100/B10,2)</f>
        <v/>
      </c>
      <c r="E94" s="21">
        <f>IF((ROUND(F93-ROUND($B$13-D94,2),2)&lt;=0),F93,ROUND($B$13-D94,2))</f>
        <v/>
      </c>
      <c r="F94" s="21">
        <f>IF((ROUND(F93-ROUND($B$13-D94,2),2)&lt;=0),0,ROUND(F93-E94,2))</f>
        <v/>
      </c>
    </row>
    <row r="95">
      <c r="A95" s="6" t="n">
        <v>79</v>
      </c>
      <c r="B95" s="19">
        <f>IF(B8="monthly",DATE(YEAR(B7)+INT((MONTH(B7)-1+78)/12),MOD(MONTH(B7)-1+78,12)+1,1)+(DAY(B7)-1),IF(B8="weekly",B7+546,IF(B8="biweekly",B7+1092,B7+ROUND((78*365.25)/24,0))))</f>
        <v/>
      </c>
      <c r="C95" s="21">
        <f>IF((ROUND(F94-ROUND($B$13-D95,2),2)&lt;=0),ROUND(D95+E95,2),$B$13)</f>
        <v/>
      </c>
      <c r="D95" s="21">
        <f>ROUND(F94*B5/100/B10,2)</f>
        <v/>
      </c>
      <c r="E95" s="21">
        <f>IF((ROUND(F94-ROUND($B$13-D95,2),2)&lt;=0),F94,ROUND($B$13-D95,2))</f>
        <v/>
      </c>
      <c r="F95" s="21">
        <f>IF((ROUND(F94-ROUND($B$13-D95,2),2)&lt;=0),0,ROUND(F94-E95,2))</f>
        <v/>
      </c>
    </row>
    <row r="96">
      <c r="A96" s="6" t="n">
        <v>80</v>
      </c>
      <c r="B96" s="19">
        <f>IF(B8="monthly",DATE(YEAR(B7)+INT((MONTH(B7)-1+79)/12),MOD(MONTH(B7)-1+79,12)+1,1)+(DAY(B7)-1),IF(B8="weekly",B7+553,IF(B8="biweekly",B7+1106,B7+ROUND((79*365.25)/24,0))))</f>
        <v/>
      </c>
      <c r="C96" s="21">
        <f>IF((ROUND(F95-ROUND($B$13-D96,2),2)&lt;=0),ROUND(D96+E96,2),$B$13)</f>
        <v/>
      </c>
      <c r="D96" s="21">
        <f>ROUND(F95*B5/100/B10,2)</f>
        <v/>
      </c>
      <c r="E96" s="21">
        <f>IF((ROUND(F95-ROUND($B$13-D96,2),2)&lt;=0),F95,ROUND($B$13-D96,2))</f>
        <v/>
      </c>
      <c r="F96" s="21">
        <f>IF((ROUND(F95-ROUND($B$13-D96,2),2)&lt;=0),0,ROUND(F95-E96,2))</f>
        <v/>
      </c>
    </row>
    <row r="97">
      <c r="A97" s="6" t="n">
        <v>81</v>
      </c>
      <c r="B97" s="19">
        <f>IF(B8="monthly",DATE(YEAR(B7)+INT((MONTH(B7)-1+80)/12),MOD(MONTH(B7)-1+80,12)+1,1)+(DAY(B7)-1),IF(B8="weekly",B7+560,IF(B8="biweekly",B7+1120,B7+ROUND((80*365.25)/24,0))))</f>
        <v/>
      </c>
      <c r="C97" s="21">
        <f>IF((ROUND(F96-ROUND($B$13-D97,2),2)&lt;=0),ROUND(D97+E97,2),$B$13)</f>
        <v/>
      </c>
      <c r="D97" s="21">
        <f>ROUND(F96*B5/100/B10,2)</f>
        <v/>
      </c>
      <c r="E97" s="21">
        <f>IF((ROUND(F96-ROUND($B$13-D97,2),2)&lt;=0),F96,ROUND($B$13-D97,2))</f>
        <v/>
      </c>
      <c r="F97" s="21">
        <f>IF((ROUND(F96-ROUND($B$13-D97,2),2)&lt;=0),0,ROUND(F96-E97,2))</f>
        <v/>
      </c>
    </row>
    <row r="98">
      <c r="A98" s="6" t="n">
        <v>82</v>
      </c>
      <c r="B98" s="19">
        <f>IF(B8="monthly",DATE(YEAR(B7)+INT((MONTH(B7)-1+81)/12),MOD(MONTH(B7)-1+81,12)+1,1)+(DAY(B7)-1),IF(B8="weekly",B7+567,IF(B8="biweekly",B7+1134,B7+ROUND((81*365.25)/24,0))))</f>
        <v/>
      </c>
      <c r="C98" s="21">
        <f>IF((ROUND(F97-ROUND($B$13-D98,2),2)&lt;=0),ROUND(D98+E98,2),$B$13)</f>
        <v/>
      </c>
      <c r="D98" s="21">
        <f>ROUND(F97*B5/100/B10,2)</f>
        <v/>
      </c>
      <c r="E98" s="21">
        <f>IF((ROUND(F97-ROUND($B$13-D98,2),2)&lt;=0),F97,ROUND($B$13-D98,2))</f>
        <v/>
      </c>
      <c r="F98" s="21">
        <f>IF((ROUND(F97-ROUND($B$13-D98,2),2)&lt;=0),0,ROUND(F97-E98,2))</f>
        <v/>
      </c>
    </row>
    <row r="99">
      <c r="A99" s="6" t="n">
        <v>83</v>
      </c>
      <c r="B99" s="19">
        <f>IF(B8="monthly",DATE(YEAR(B7)+INT((MONTH(B7)-1+82)/12),MOD(MONTH(B7)-1+82,12)+1,1)+(DAY(B7)-1),IF(B8="weekly",B7+574,IF(B8="biweekly",B7+1148,B7+ROUND((82*365.25)/24,0))))</f>
        <v/>
      </c>
      <c r="C99" s="21">
        <f>IF((ROUND(F98-ROUND($B$13-D99,2),2)&lt;=0),ROUND(D99+E99,2),$B$13)</f>
        <v/>
      </c>
      <c r="D99" s="21">
        <f>ROUND(F98*B5/100/B10,2)</f>
        <v/>
      </c>
      <c r="E99" s="21">
        <f>IF((ROUND(F98-ROUND($B$13-D99,2),2)&lt;=0),F98,ROUND($B$13-D99,2))</f>
        <v/>
      </c>
      <c r="F99" s="21">
        <f>IF((ROUND(F98-ROUND($B$13-D99,2),2)&lt;=0),0,ROUND(F98-E99,2))</f>
        <v/>
      </c>
    </row>
    <row r="100">
      <c r="A100" s="6" t="n">
        <v>84</v>
      </c>
      <c r="B100" s="19">
        <f>IF(B8="monthly",DATE(YEAR(B7)+INT((MONTH(B7)-1+83)/12),MOD(MONTH(B7)-1+83,12)+1,1)+(DAY(B7)-1),IF(B8="weekly",B7+581,IF(B8="biweekly",B7+1162,B7+ROUND((83*365.25)/24,0))))</f>
        <v/>
      </c>
      <c r="C100" s="21">
        <f>IF((ROUND(F99-ROUND($B$13-D100,2),2)&lt;=0),ROUND(D100+E100,2),$B$13)</f>
        <v/>
      </c>
      <c r="D100" s="21">
        <f>ROUND(F99*B5/100/B10,2)</f>
        <v/>
      </c>
      <c r="E100" s="21">
        <f>IF((ROUND(F99-ROUND($B$13-D100,2),2)&lt;=0),F99,ROUND($B$13-D100,2))</f>
        <v/>
      </c>
      <c r="F100" s="21">
        <f>IF((ROUND(F99-ROUND($B$13-D100,2),2)&lt;=0),0,ROUND(F99-E100,2))</f>
        <v/>
      </c>
    </row>
    <row r="101">
      <c r="A101" s="6" t="n">
        <v>85</v>
      </c>
      <c r="B101" s="19">
        <f>IF(B8="monthly",DATE(YEAR(B7)+INT((MONTH(B7)-1+84)/12),MOD(MONTH(B7)-1+84,12)+1,1)+(DAY(B7)-1),IF(B8="weekly",B7+588,IF(B8="biweekly",B7+1176,B7+ROUND((84*365.25)/24,0))))</f>
        <v/>
      </c>
      <c r="C101" s="21">
        <f>IF((ROUND(F100-ROUND($B$13-D101,2),2)&lt;=0),ROUND(D101+E101,2),$B$13)</f>
        <v/>
      </c>
      <c r="D101" s="21">
        <f>ROUND(F100*B5/100/B10,2)</f>
        <v/>
      </c>
      <c r="E101" s="21">
        <f>IF((ROUND(F100-ROUND($B$13-D101,2),2)&lt;=0),F100,ROUND($B$13-D101,2))</f>
        <v/>
      </c>
      <c r="F101" s="21">
        <f>IF((ROUND(F100-ROUND($B$13-D101,2),2)&lt;=0),0,ROUND(F100-E101,2))</f>
        <v/>
      </c>
    </row>
    <row r="102">
      <c r="A102" s="6" t="n">
        <v>86</v>
      </c>
      <c r="B102" s="19">
        <f>IF(B8="monthly",DATE(YEAR(B7)+INT((MONTH(B7)-1+85)/12),MOD(MONTH(B7)-1+85,12)+1,1)+(DAY(B7)-1),IF(B8="weekly",B7+595,IF(B8="biweekly",B7+1190,B7+ROUND((85*365.25)/24,0))))</f>
        <v/>
      </c>
      <c r="C102" s="21">
        <f>IF((ROUND(F101-ROUND($B$13-D102,2),2)&lt;=0),ROUND(D102+E102,2),$B$13)</f>
        <v/>
      </c>
      <c r="D102" s="21">
        <f>ROUND(F101*B5/100/B10,2)</f>
        <v/>
      </c>
      <c r="E102" s="21">
        <f>IF((ROUND(F101-ROUND($B$13-D102,2),2)&lt;=0),F101,ROUND($B$13-D102,2))</f>
        <v/>
      </c>
      <c r="F102" s="21">
        <f>IF((ROUND(F101-ROUND($B$13-D102,2),2)&lt;=0),0,ROUND(F101-E102,2))</f>
        <v/>
      </c>
    </row>
    <row r="103">
      <c r="A103" s="6" t="n">
        <v>87</v>
      </c>
      <c r="B103" s="19">
        <f>IF(B8="monthly",DATE(YEAR(B7)+INT((MONTH(B7)-1+86)/12),MOD(MONTH(B7)-1+86,12)+1,1)+(DAY(B7)-1),IF(B8="weekly",B7+602,IF(B8="biweekly",B7+1204,B7+ROUND((86*365.25)/24,0))))</f>
        <v/>
      </c>
      <c r="C103" s="21">
        <f>IF((ROUND(F102-ROUND($B$13-D103,2),2)&lt;=0),ROUND(D103+E103,2),$B$13)</f>
        <v/>
      </c>
      <c r="D103" s="21">
        <f>ROUND(F102*B5/100/B10,2)</f>
        <v/>
      </c>
      <c r="E103" s="21">
        <f>IF((ROUND(F102-ROUND($B$13-D103,2),2)&lt;=0),F102,ROUND($B$13-D103,2))</f>
        <v/>
      </c>
      <c r="F103" s="21">
        <f>IF((ROUND(F102-ROUND($B$13-D103,2),2)&lt;=0),0,ROUND(F102-E103,2))</f>
        <v/>
      </c>
    </row>
    <row r="104">
      <c r="A104" s="6" t="n">
        <v>88</v>
      </c>
      <c r="B104" s="19">
        <f>IF(B8="monthly",DATE(YEAR(B7)+INT((MONTH(B7)-1+87)/12),MOD(MONTH(B7)-1+87,12)+1,1)+(DAY(B7)-1),IF(B8="weekly",B7+609,IF(B8="biweekly",B7+1218,B7+ROUND((87*365.25)/24,0))))</f>
        <v/>
      </c>
      <c r="C104" s="21">
        <f>IF((ROUND(F103-ROUND($B$13-D104,2),2)&lt;=0),ROUND(D104+E104,2),$B$13)</f>
        <v/>
      </c>
      <c r="D104" s="21">
        <f>ROUND(F103*B5/100/B10,2)</f>
        <v/>
      </c>
      <c r="E104" s="21">
        <f>IF((ROUND(F103-ROUND($B$13-D104,2),2)&lt;=0),F103,ROUND($B$13-D104,2))</f>
        <v/>
      </c>
      <c r="F104" s="21">
        <f>IF((ROUND(F103-ROUND($B$13-D104,2),2)&lt;=0),0,ROUND(F103-E104,2))</f>
        <v/>
      </c>
    </row>
    <row r="105">
      <c r="A105" s="6" t="n">
        <v>89</v>
      </c>
      <c r="B105" s="19">
        <f>IF(B8="monthly",DATE(YEAR(B7)+INT((MONTH(B7)-1+88)/12),MOD(MONTH(B7)-1+88,12)+1,1)+(DAY(B7)-1),IF(B8="weekly",B7+616,IF(B8="biweekly",B7+1232,B7+ROUND((88*365.25)/24,0))))</f>
        <v/>
      </c>
      <c r="C105" s="21">
        <f>IF((ROUND(F104-ROUND($B$13-D105,2),2)&lt;=0),ROUND(D105+E105,2),$B$13)</f>
        <v/>
      </c>
      <c r="D105" s="21">
        <f>ROUND(F104*B5/100/B10,2)</f>
        <v/>
      </c>
      <c r="E105" s="21">
        <f>IF((ROUND(F104-ROUND($B$13-D105,2),2)&lt;=0),F104,ROUND($B$13-D105,2))</f>
        <v/>
      </c>
      <c r="F105" s="21">
        <f>IF((ROUND(F104-ROUND($B$13-D105,2),2)&lt;=0),0,ROUND(F104-E105,2))</f>
        <v/>
      </c>
    </row>
    <row r="106">
      <c r="A106" s="6" t="n">
        <v>90</v>
      </c>
      <c r="B106" s="19">
        <f>IF(B8="monthly",DATE(YEAR(B7)+INT((MONTH(B7)-1+89)/12),MOD(MONTH(B7)-1+89,12)+1,1)+(DAY(B7)-1),IF(B8="weekly",B7+623,IF(B8="biweekly",B7+1246,B7+ROUND((89*365.25)/24,0))))</f>
        <v/>
      </c>
      <c r="C106" s="21">
        <f>IF((ROUND(F105-ROUND($B$13-D106,2),2)&lt;=0),ROUND(D106+E106,2),$B$13)</f>
        <v/>
      </c>
      <c r="D106" s="21">
        <f>ROUND(F105*B5/100/B10,2)</f>
        <v/>
      </c>
      <c r="E106" s="21">
        <f>IF((ROUND(F105-ROUND($B$13-D106,2),2)&lt;=0),F105,ROUND($B$13-D106,2))</f>
        <v/>
      </c>
      <c r="F106" s="21">
        <f>IF((ROUND(F105-ROUND($B$13-D106,2),2)&lt;=0),0,ROUND(F105-E106,2))</f>
        <v/>
      </c>
    </row>
    <row r="107">
      <c r="A107" s="6" t="n">
        <v>91</v>
      </c>
      <c r="B107" s="19">
        <f>IF(B8="monthly",DATE(YEAR(B7)+INT((MONTH(B7)-1+90)/12),MOD(MONTH(B7)-1+90,12)+1,1)+(DAY(B7)-1),IF(B8="weekly",B7+630,IF(B8="biweekly",B7+1260,B7+ROUND((90*365.25)/24,0))))</f>
        <v/>
      </c>
      <c r="C107" s="21">
        <f>IF((ROUND(F106-ROUND($B$13-D107,2),2)&lt;=0),ROUND(D107+E107,2),$B$13)</f>
        <v/>
      </c>
      <c r="D107" s="21">
        <f>ROUND(F106*B5/100/B10,2)</f>
        <v/>
      </c>
      <c r="E107" s="21">
        <f>IF((ROUND(F106-ROUND($B$13-D107,2),2)&lt;=0),F106,ROUND($B$13-D107,2))</f>
        <v/>
      </c>
      <c r="F107" s="21">
        <f>IF((ROUND(F106-ROUND($B$13-D107,2),2)&lt;=0),0,ROUND(F106-E107,2))</f>
        <v/>
      </c>
    </row>
    <row r="108">
      <c r="A108" s="6" t="n">
        <v>92</v>
      </c>
      <c r="B108" s="19">
        <f>IF(B8="monthly",DATE(YEAR(B7)+INT((MONTH(B7)-1+91)/12),MOD(MONTH(B7)-1+91,12)+1,1)+(DAY(B7)-1),IF(B8="weekly",B7+637,IF(B8="biweekly",B7+1274,B7+ROUND((91*365.25)/24,0))))</f>
        <v/>
      </c>
      <c r="C108" s="21">
        <f>IF((ROUND(F107-ROUND($B$13-D108,2),2)&lt;=0),ROUND(D108+E108,2),$B$13)</f>
        <v/>
      </c>
      <c r="D108" s="21">
        <f>ROUND(F107*B5/100/B10,2)</f>
        <v/>
      </c>
      <c r="E108" s="21">
        <f>IF((ROUND(F107-ROUND($B$13-D108,2),2)&lt;=0),F107,ROUND($B$13-D108,2))</f>
        <v/>
      </c>
      <c r="F108" s="21">
        <f>IF((ROUND(F107-ROUND($B$13-D108,2),2)&lt;=0),0,ROUND(F107-E108,2))</f>
        <v/>
      </c>
    </row>
    <row r="109">
      <c r="A109" s="6" t="n">
        <v>93</v>
      </c>
      <c r="B109" s="19">
        <f>IF(B8="monthly",DATE(YEAR(B7)+INT((MONTH(B7)-1+92)/12),MOD(MONTH(B7)-1+92,12)+1,1)+(DAY(B7)-1),IF(B8="weekly",B7+644,IF(B8="biweekly",B7+1288,B7+ROUND((92*365.25)/24,0))))</f>
        <v/>
      </c>
      <c r="C109" s="21">
        <f>IF((ROUND(F108-ROUND($B$13-D109,2),2)&lt;=0),ROUND(D109+E109,2),$B$13)</f>
        <v/>
      </c>
      <c r="D109" s="21">
        <f>ROUND(F108*B5/100/B10,2)</f>
        <v/>
      </c>
      <c r="E109" s="21">
        <f>IF((ROUND(F108-ROUND($B$13-D109,2),2)&lt;=0),F108,ROUND($B$13-D109,2))</f>
        <v/>
      </c>
      <c r="F109" s="21">
        <f>IF((ROUND(F108-ROUND($B$13-D109,2),2)&lt;=0),0,ROUND(F108-E109,2))</f>
        <v/>
      </c>
    </row>
    <row r="110">
      <c r="A110" s="6" t="n">
        <v>94</v>
      </c>
      <c r="B110" s="19">
        <f>IF(B8="monthly",DATE(YEAR(B7)+INT((MONTH(B7)-1+93)/12),MOD(MONTH(B7)-1+93,12)+1,1)+(DAY(B7)-1),IF(B8="weekly",B7+651,IF(B8="biweekly",B7+1302,B7+ROUND((93*365.25)/24,0))))</f>
        <v/>
      </c>
      <c r="C110" s="21">
        <f>IF((ROUND(F109-ROUND($B$13-D110,2),2)&lt;=0),ROUND(D110+E110,2),$B$13)</f>
        <v/>
      </c>
      <c r="D110" s="21">
        <f>ROUND(F109*B5/100/B10,2)</f>
        <v/>
      </c>
      <c r="E110" s="21">
        <f>IF((ROUND(F109-ROUND($B$13-D110,2),2)&lt;=0),F109,ROUND($B$13-D110,2))</f>
        <v/>
      </c>
      <c r="F110" s="21">
        <f>IF((ROUND(F109-ROUND($B$13-D110,2),2)&lt;=0),0,ROUND(F109-E110,2))</f>
        <v/>
      </c>
    </row>
    <row r="111">
      <c r="A111" s="6" t="n">
        <v>95</v>
      </c>
      <c r="B111" s="19">
        <f>IF(B8="monthly",DATE(YEAR(B7)+INT((MONTH(B7)-1+94)/12),MOD(MONTH(B7)-1+94,12)+1,1)+(DAY(B7)-1),IF(B8="weekly",B7+658,IF(B8="biweekly",B7+1316,B7+ROUND((94*365.25)/24,0))))</f>
        <v/>
      </c>
      <c r="C111" s="21">
        <f>IF((ROUND(F110-ROUND($B$13-D111,2),2)&lt;=0),ROUND(D111+E111,2),$B$13)</f>
        <v/>
      </c>
      <c r="D111" s="21">
        <f>ROUND(F110*B5/100/B10,2)</f>
        <v/>
      </c>
      <c r="E111" s="21">
        <f>IF((ROUND(F110-ROUND($B$13-D111,2),2)&lt;=0),F110,ROUND($B$13-D111,2))</f>
        <v/>
      </c>
      <c r="F111" s="21">
        <f>IF((ROUND(F110-ROUND($B$13-D111,2),2)&lt;=0),0,ROUND(F110-E111,2))</f>
        <v/>
      </c>
    </row>
    <row r="112">
      <c r="A112" s="6" t="n">
        <v>96</v>
      </c>
      <c r="B112" s="19">
        <f>IF(B8="monthly",DATE(YEAR(B7)+INT((MONTH(B7)-1+95)/12),MOD(MONTH(B7)-1+95,12)+1,1)+(DAY(B7)-1),IF(B8="weekly",B7+665,IF(B8="biweekly",B7+1330,B7+ROUND((95*365.25)/24,0))))</f>
        <v/>
      </c>
      <c r="C112" s="21">
        <f>IF((ROUND(F111-ROUND($B$13-D112,2),2)&lt;=0),ROUND(D112+E112,2),$B$13)</f>
        <v/>
      </c>
      <c r="D112" s="21">
        <f>ROUND(F111*B5/100/B10,2)</f>
        <v/>
      </c>
      <c r="E112" s="21">
        <f>IF((ROUND(F111-ROUND($B$13-D112,2),2)&lt;=0),F111,ROUND($B$13-D112,2))</f>
        <v/>
      </c>
      <c r="F112" s="21">
        <f>IF((ROUND(F111-ROUND($B$13-D112,2),2)&lt;=0),0,ROUND(F111-E112,2))</f>
        <v/>
      </c>
    </row>
    <row r="113">
      <c r="A113" s="6" t="n">
        <v>97</v>
      </c>
      <c r="B113" s="19">
        <f>IF(B8="monthly",DATE(YEAR(B7)+INT((MONTH(B7)-1+96)/12),MOD(MONTH(B7)-1+96,12)+1,1)+(DAY(B7)-1),IF(B8="weekly",B7+672,IF(B8="biweekly",B7+1344,B7+ROUND((96*365.25)/24,0))))</f>
        <v/>
      </c>
      <c r="C113" s="21">
        <f>IF((ROUND(F112-ROUND($B$13-D113,2),2)&lt;=0),ROUND(D113+E113,2),$B$13)</f>
        <v/>
      </c>
      <c r="D113" s="21">
        <f>ROUND(F112*B5/100/B10,2)</f>
        <v/>
      </c>
      <c r="E113" s="21">
        <f>IF((ROUND(F112-ROUND($B$13-D113,2),2)&lt;=0),F112,ROUND($B$13-D113,2))</f>
        <v/>
      </c>
      <c r="F113" s="21">
        <f>IF((ROUND(F112-ROUND($B$13-D113,2),2)&lt;=0),0,ROUND(F112-E113,2))</f>
        <v/>
      </c>
    </row>
    <row r="114">
      <c r="A114" s="6" t="n">
        <v>98</v>
      </c>
      <c r="B114" s="19">
        <f>IF(B8="monthly",DATE(YEAR(B7)+INT((MONTH(B7)-1+97)/12),MOD(MONTH(B7)-1+97,12)+1,1)+(DAY(B7)-1),IF(B8="weekly",B7+679,IF(B8="biweekly",B7+1358,B7+ROUND((97*365.25)/24,0))))</f>
        <v/>
      </c>
      <c r="C114" s="21">
        <f>IF((ROUND(F113-ROUND($B$13-D114,2),2)&lt;=0),ROUND(D114+E114,2),$B$13)</f>
        <v/>
      </c>
      <c r="D114" s="21">
        <f>ROUND(F113*B5/100/B10,2)</f>
        <v/>
      </c>
      <c r="E114" s="21">
        <f>IF((ROUND(F113-ROUND($B$13-D114,2),2)&lt;=0),F113,ROUND($B$13-D114,2))</f>
        <v/>
      </c>
      <c r="F114" s="21">
        <f>IF((ROUND(F113-ROUND($B$13-D114,2),2)&lt;=0),0,ROUND(F113-E114,2))</f>
        <v/>
      </c>
    </row>
    <row r="115">
      <c r="A115" s="6" t="n">
        <v>99</v>
      </c>
      <c r="B115" s="19">
        <f>IF(B8="monthly",DATE(YEAR(B7)+INT((MONTH(B7)-1+98)/12),MOD(MONTH(B7)-1+98,12)+1,1)+(DAY(B7)-1),IF(B8="weekly",B7+686,IF(B8="biweekly",B7+1372,B7+ROUND((98*365.25)/24,0))))</f>
        <v/>
      </c>
      <c r="C115" s="21">
        <f>IF((ROUND(F114-ROUND($B$13-D115,2),2)&lt;=0),ROUND(D115+E115,2),$B$13)</f>
        <v/>
      </c>
      <c r="D115" s="21">
        <f>ROUND(F114*B5/100/B10,2)</f>
        <v/>
      </c>
      <c r="E115" s="21">
        <f>IF((ROUND(F114-ROUND($B$13-D115,2),2)&lt;=0),F114,ROUND($B$13-D115,2))</f>
        <v/>
      </c>
      <c r="F115" s="21">
        <f>IF((ROUND(F114-ROUND($B$13-D115,2),2)&lt;=0),0,ROUND(F114-E115,2))</f>
        <v/>
      </c>
    </row>
    <row r="116">
      <c r="A116" s="6" t="n">
        <v>100</v>
      </c>
      <c r="B116" s="19">
        <f>IF(B8="monthly",DATE(YEAR(B7)+INT((MONTH(B7)-1+99)/12),MOD(MONTH(B7)-1+99,12)+1,1)+(DAY(B7)-1),IF(B8="weekly",B7+693,IF(B8="biweekly",B7+1386,B7+ROUND((99*365.25)/24,0))))</f>
        <v/>
      </c>
      <c r="C116" s="21">
        <f>IF((ROUND(F115-ROUND($B$13-D116,2),2)&lt;=0),ROUND(D116+E116,2),$B$13)</f>
        <v/>
      </c>
      <c r="D116" s="21">
        <f>ROUND(F115*B5/100/B10,2)</f>
        <v/>
      </c>
      <c r="E116" s="21">
        <f>IF((ROUND(F115-ROUND($B$13-D116,2),2)&lt;=0),F115,ROUND($B$13-D116,2))</f>
        <v/>
      </c>
      <c r="F116" s="21">
        <f>IF((ROUND(F115-ROUND($B$13-D116,2),2)&lt;=0),0,ROUND(F115-E116,2))</f>
        <v/>
      </c>
    </row>
    <row r="117">
      <c r="A117" s="6" t="n">
        <v>101</v>
      </c>
      <c r="B117" s="19">
        <f>IF(B8="monthly",DATE(YEAR(B7)+INT((MONTH(B7)-1+100)/12),MOD(MONTH(B7)-1+100,12)+1,1)+(DAY(B7)-1),IF(B8="weekly",B7+700,IF(B8="biweekly",B7+1400,B7+ROUND((100*365.25)/24,0))))</f>
        <v/>
      </c>
      <c r="C117" s="21">
        <f>IF((ROUND(F116-ROUND($B$13-D117,2),2)&lt;=0),ROUND(D117+E117,2),$B$13)</f>
        <v/>
      </c>
      <c r="D117" s="21">
        <f>ROUND(F116*B5/100/B10,2)</f>
        <v/>
      </c>
      <c r="E117" s="21">
        <f>IF((ROUND(F116-ROUND($B$13-D117,2),2)&lt;=0),F116,ROUND($B$13-D117,2))</f>
        <v/>
      </c>
      <c r="F117" s="21">
        <f>IF((ROUND(F116-ROUND($B$13-D117,2),2)&lt;=0),0,ROUND(F116-E117,2))</f>
        <v/>
      </c>
    </row>
    <row r="118">
      <c r="A118" s="6" t="n">
        <v>102</v>
      </c>
      <c r="B118" s="19">
        <f>IF(B8="monthly",DATE(YEAR(B7)+INT((MONTH(B7)-1+101)/12),MOD(MONTH(B7)-1+101,12)+1,1)+(DAY(B7)-1),IF(B8="weekly",B7+707,IF(B8="biweekly",B7+1414,B7+ROUND((101*365.25)/24,0))))</f>
        <v/>
      </c>
      <c r="C118" s="21">
        <f>IF((ROUND(F117-ROUND($B$13-D118,2),2)&lt;=0),ROUND(D118+E118,2),$B$13)</f>
        <v/>
      </c>
      <c r="D118" s="21">
        <f>ROUND(F117*B5/100/B10,2)</f>
        <v/>
      </c>
      <c r="E118" s="21">
        <f>IF((ROUND(F117-ROUND($B$13-D118,2),2)&lt;=0),F117,ROUND($B$13-D118,2))</f>
        <v/>
      </c>
      <c r="F118" s="21">
        <f>IF((ROUND(F117-ROUND($B$13-D118,2),2)&lt;=0),0,ROUND(F117-E118,2))</f>
        <v/>
      </c>
    </row>
    <row r="119">
      <c r="A119" s="6" t="n">
        <v>103</v>
      </c>
      <c r="B119" s="19">
        <f>IF(B8="monthly",DATE(YEAR(B7)+INT((MONTH(B7)-1+102)/12),MOD(MONTH(B7)-1+102,12)+1,1)+(DAY(B7)-1),IF(B8="weekly",B7+714,IF(B8="biweekly",B7+1428,B7+ROUND((102*365.25)/24,0))))</f>
        <v/>
      </c>
      <c r="C119" s="21">
        <f>IF((ROUND(F118-ROUND($B$13-D119,2),2)&lt;=0),ROUND(D119+E119,2),$B$13)</f>
        <v/>
      </c>
      <c r="D119" s="21">
        <f>ROUND(F118*B5/100/B10,2)</f>
        <v/>
      </c>
      <c r="E119" s="21">
        <f>IF((ROUND(F118-ROUND($B$13-D119,2),2)&lt;=0),F118,ROUND($B$13-D119,2))</f>
        <v/>
      </c>
      <c r="F119" s="21">
        <f>IF((ROUND(F118-ROUND($B$13-D119,2),2)&lt;=0),0,ROUND(F118-E119,2))</f>
        <v/>
      </c>
    </row>
    <row r="120">
      <c r="A120" s="6" t="n">
        <v>104</v>
      </c>
      <c r="B120" s="19">
        <f>IF(B8="monthly",DATE(YEAR(B7)+INT((MONTH(B7)-1+103)/12),MOD(MONTH(B7)-1+103,12)+1,1)+(DAY(B7)-1),IF(B8="weekly",B7+721,IF(B8="biweekly",B7+1442,B7+ROUND((103*365.25)/24,0))))</f>
        <v/>
      </c>
      <c r="C120" s="21">
        <f>IF((ROUND(F119-ROUND($B$13-D120,2),2)&lt;=0),ROUND(D120+E120,2),$B$13)</f>
        <v/>
      </c>
      <c r="D120" s="21">
        <f>ROUND(F119*B5/100/B10,2)</f>
        <v/>
      </c>
      <c r="E120" s="21">
        <f>IF((ROUND(F119-ROUND($B$13-D120,2),2)&lt;=0),F119,ROUND($B$13-D120,2))</f>
        <v/>
      </c>
      <c r="F120" s="21">
        <f>IF((ROUND(F119-ROUND($B$13-D120,2),2)&lt;=0),0,ROUND(F119-E120,2))</f>
        <v/>
      </c>
    </row>
    <row r="121">
      <c r="A121" s="6" t="n">
        <v>105</v>
      </c>
      <c r="B121" s="19">
        <f>IF(B8="monthly",DATE(YEAR(B7)+INT((MONTH(B7)-1+104)/12),MOD(MONTH(B7)-1+104,12)+1,1)+(DAY(B7)-1),IF(B8="weekly",B7+728,IF(B8="biweekly",B7+1456,B7+ROUND((104*365.25)/24,0))))</f>
        <v/>
      </c>
      <c r="C121" s="21">
        <f>IF((ROUND(F120-ROUND($B$13-D121,2),2)&lt;=0),ROUND(D121+E121,2),$B$13)</f>
        <v/>
      </c>
      <c r="D121" s="21">
        <f>ROUND(F120*B5/100/B10,2)</f>
        <v/>
      </c>
      <c r="E121" s="21">
        <f>IF((ROUND(F120-ROUND($B$13-D121,2),2)&lt;=0),F120,ROUND($B$13-D121,2))</f>
        <v/>
      </c>
      <c r="F121" s="21">
        <f>IF((ROUND(F120-ROUND($B$13-D121,2),2)&lt;=0),0,ROUND(F120-E121,2))</f>
        <v/>
      </c>
    </row>
    <row r="122">
      <c r="A122" s="6" t="n">
        <v>106</v>
      </c>
      <c r="B122" s="19">
        <f>IF(B8="monthly",DATE(YEAR(B7)+INT((MONTH(B7)-1+105)/12),MOD(MONTH(B7)-1+105,12)+1,1)+(DAY(B7)-1),IF(B8="weekly",B7+735,IF(B8="biweekly",B7+1470,B7+ROUND((105*365.25)/24,0))))</f>
        <v/>
      </c>
      <c r="C122" s="21">
        <f>IF((ROUND(F121-ROUND($B$13-D122,2),2)&lt;=0),ROUND(D122+E122,2),$B$13)</f>
        <v/>
      </c>
      <c r="D122" s="21">
        <f>ROUND(F121*B5/100/B10,2)</f>
        <v/>
      </c>
      <c r="E122" s="21">
        <f>IF((ROUND(F121-ROUND($B$13-D122,2),2)&lt;=0),F121,ROUND($B$13-D122,2))</f>
        <v/>
      </c>
      <c r="F122" s="21">
        <f>IF((ROUND(F121-ROUND($B$13-D122,2),2)&lt;=0),0,ROUND(F121-E122,2))</f>
        <v/>
      </c>
    </row>
    <row r="123">
      <c r="A123" s="6" t="n">
        <v>107</v>
      </c>
      <c r="B123" s="19">
        <f>IF(B8="monthly",DATE(YEAR(B7)+INT((MONTH(B7)-1+106)/12),MOD(MONTH(B7)-1+106,12)+1,1)+(DAY(B7)-1),IF(B8="weekly",B7+742,IF(B8="biweekly",B7+1484,B7+ROUND((106*365.25)/24,0))))</f>
        <v/>
      </c>
      <c r="C123" s="21">
        <f>IF((ROUND(F122-ROUND($B$13-D123,2),2)&lt;=0),ROUND(D123+E123,2),$B$13)</f>
        <v/>
      </c>
      <c r="D123" s="21">
        <f>ROUND(F122*B5/100/B10,2)</f>
        <v/>
      </c>
      <c r="E123" s="21">
        <f>IF((ROUND(F122-ROUND($B$13-D123,2),2)&lt;=0),F122,ROUND($B$13-D123,2))</f>
        <v/>
      </c>
      <c r="F123" s="21">
        <f>IF((ROUND(F122-ROUND($B$13-D123,2),2)&lt;=0),0,ROUND(F122-E123,2))</f>
        <v/>
      </c>
    </row>
    <row r="124">
      <c r="A124" s="6" t="n">
        <v>108</v>
      </c>
      <c r="B124" s="19">
        <f>IF(B8="monthly",DATE(YEAR(B7)+INT((MONTH(B7)-1+107)/12),MOD(MONTH(B7)-1+107,12)+1,1)+(DAY(B7)-1),IF(B8="weekly",B7+749,IF(B8="biweekly",B7+1498,B7+ROUND((107*365.25)/24,0))))</f>
        <v/>
      </c>
      <c r="C124" s="21">
        <f>IF((ROUND(F123-ROUND($B$13-D124,2),2)&lt;=0),ROUND(D124+E124,2),$B$13)</f>
        <v/>
      </c>
      <c r="D124" s="21">
        <f>ROUND(F123*B5/100/B10,2)</f>
        <v/>
      </c>
      <c r="E124" s="21">
        <f>IF((ROUND(F123-ROUND($B$13-D124,2),2)&lt;=0),F123,ROUND($B$13-D124,2))</f>
        <v/>
      </c>
      <c r="F124" s="21">
        <f>IF((ROUND(F123-ROUND($B$13-D124,2),2)&lt;=0),0,ROUND(F123-E124,2))</f>
        <v/>
      </c>
    </row>
    <row r="125">
      <c r="A125" s="6" t="n">
        <v>109</v>
      </c>
      <c r="B125" s="19">
        <f>IF(B8="monthly",DATE(YEAR(B7)+INT((MONTH(B7)-1+108)/12),MOD(MONTH(B7)-1+108,12)+1,1)+(DAY(B7)-1),IF(B8="weekly",B7+756,IF(B8="biweekly",B7+1512,B7+ROUND((108*365.25)/24,0))))</f>
        <v/>
      </c>
      <c r="C125" s="21">
        <f>IF((ROUND(F124-ROUND($B$13-D125,2),2)&lt;=0),ROUND(D125+E125,2),$B$13)</f>
        <v/>
      </c>
      <c r="D125" s="21">
        <f>ROUND(F124*B5/100/B10,2)</f>
        <v/>
      </c>
      <c r="E125" s="21">
        <f>IF((ROUND(F124-ROUND($B$13-D125,2),2)&lt;=0),F124,ROUND($B$13-D125,2))</f>
        <v/>
      </c>
      <c r="F125" s="21">
        <f>IF((ROUND(F124-ROUND($B$13-D125,2),2)&lt;=0),0,ROUND(F124-E125,2))</f>
        <v/>
      </c>
    </row>
    <row r="126">
      <c r="A126" s="6" t="n">
        <v>110</v>
      </c>
      <c r="B126" s="19">
        <f>IF(B8="monthly",DATE(YEAR(B7)+INT((MONTH(B7)-1+109)/12),MOD(MONTH(B7)-1+109,12)+1,1)+(DAY(B7)-1),IF(B8="weekly",B7+763,IF(B8="biweekly",B7+1526,B7+ROUND((109*365.25)/24,0))))</f>
        <v/>
      </c>
      <c r="C126" s="21">
        <f>IF((ROUND(F125-ROUND($B$13-D126,2),2)&lt;=0),ROUND(D126+E126,2),$B$13)</f>
        <v/>
      </c>
      <c r="D126" s="21">
        <f>ROUND(F125*B5/100/B10,2)</f>
        <v/>
      </c>
      <c r="E126" s="21">
        <f>IF((ROUND(F125-ROUND($B$13-D126,2),2)&lt;=0),F125,ROUND($B$13-D126,2))</f>
        <v/>
      </c>
      <c r="F126" s="21">
        <f>IF((ROUND(F125-ROUND($B$13-D126,2),2)&lt;=0),0,ROUND(F125-E126,2))</f>
        <v/>
      </c>
    </row>
    <row r="127">
      <c r="A127" s="6" t="n">
        <v>111</v>
      </c>
      <c r="B127" s="19">
        <f>IF(B8="monthly",DATE(YEAR(B7)+INT((MONTH(B7)-1+110)/12),MOD(MONTH(B7)-1+110,12)+1,1)+(DAY(B7)-1),IF(B8="weekly",B7+770,IF(B8="biweekly",B7+1540,B7+ROUND((110*365.25)/24,0))))</f>
        <v/>
      </c>
      <c r="C127" s="21">
        <f>IF((ROUND(F126-ROUND($B$13-D127,2),2)&lt;=0),ROUND(D127+E127,2),$B$13)</f>
        <v/>
      </c>
      <c r="D127" s="21">
        <f>ROUND(F126*B5/100/B10,2)</f>
        <v/>
      </c>
      <c r="E127" s="21">
        <f>IF((ROUND(F126-ROUND($B$13-D127,2),2)&lt;=0),F126,ROUND($B$13-D127,2))</f>
        <v/>
      </c>
      <c r="F127" s="21">
        <f>IF((ROUND(F126-ROUND($B$13-D127,2),2)&lt;=0),0,ROUND(F126-E127,2))</f>
        <v/>
      </c>
    </row>
    <row r="128">
      <c r="A128" s="6" t="n">
        <v>112</v>
      </c>
      <c r="B128" s="19">
        <f>IF(B8="monthly",DATE(YEAR(B7)+INT((MONTH(B7)-1+111)/12),MOD(MONTH(B7)-1+111,12)+1,1)+(DAY(B7)-1),IF(B8="weekly",B7+777,IF(B8="biweekly",B7+1554,B7+ROUND((111*365.25)/24,0))))</f>
        <v/>
      </c>
      <c r="C128" s="21">
        <f>IF((ROUND(F127-ROUND($B$13-D128,2),2)&lt;=0),ROUND(D128+E128,2),$B$13)</f>
        <v/>
      </c>
      <c r="D128" s="21">
        <f>ROUND(F127*B5/100/B10,2)</f>
        <v/>
      </c>
      <c r="E128" s="21">
        <f>IF((ROUND(F127-ROUND($B$13-D128,2),2)&lt;=0),F127,ROUND($B$13-D128,2))</f>
        <v/>
      </c>
      <c r="F128" s="21">
        <f>IF((ROUND(F127-ROUND($B$13-D128,2),2)&lt;=0),0,ROUND(F127-E128,2))</f>
        <v/>
      </c>
    </row>
    <row r="129">
      <c r="A129" s="6" t="n">
        <v>113</v>
      </c>
      <c r="B129" s="19">
        <f>IF(B8="monthly",DATE(YEAR(B7)+INT((MONTH(B7)-1+112)/12),MOD(MONTH(B7)-1+112,12)+1,1)+(DAY(B7)-1),IF(B8="weekly",B7+784,IF(B8="biweekly",B7+1568,B7+ROUND((112*365.25)/24,0))))</f>
        <v/>
      </c>
      <c r="C129" s="21">
        <f>IF((ROUND(F128-ROUND($B$13-D129,2),2)&lt;=0),ROUND(D129+E129,2),$B$13)</f>
        <v/>
      </c>
      <c r="D129" s="21">
        <f>ROUND(F128*B5/100/B10,2)</f>
        <v/>
      </c>
      <c r="E129" s="21">
        <f>IF((ROUND(F128-ROUND($B$13-D129,2),2)&lt;=0),F128,ROUND($B$13-D129,2))</f>
        <v/>
      </c>
      <c r="F129" s="21">
        <f>IF((ROUND(F128-ROUND($B$13-D129,2),2)&lt;=0),0,ROUND(F128-E129,2))</f>
        <v/>
      </c>
    </row>
    <row r="130">
      <c r="A130" s="6" t="n">
        <v>114</v>
      </c>
      <c r="B130" s="19">
        <f>IF(B8="monthly",DATE(YEAR(B7)+INT((MONTH(B7)-1+113)/12),MOD(MONTH(B7)-1+113,12)+1,1)+(DAY(B7)-1),IF(B8="weekly",B7+791,IF(B8="biweekly",B7+1582,B7+ROUND((113*365.25)/24,0))))</f>
        <v/>
      </c>
      <c r="C130" s="21">
        <f>IF((ROUND(F129-ROUND($B$13-D130,2),2)&lt;=0),ROUND(D130+E130,2),$B$13)</f>
        <v/>
      </c>
      <c r="D130" s="21">
        <f>ROUND(F129*B5/100/B10,2)</f>
        <v/>
      </c>
      <c r="E130" s="21">
        <f>IF((ROUND(F129-ROUND($B$13-D130,2),2)&lt;=0),F129,ROUND($B$13-D130,2))</f>
        <v/>
      </c>
      <c r="F130" s="21">
        <f>IF((ROUND(F129-ROUND($B$13-D130,2),2)&lt;=0),0,ROUND(F129-E130,2))</f>
        <v/>
      </c>
    </row>
    <row r="131">
      <c r="A131" s="6" t="n">
        <v>115</v>
      </c>
      <c r="B131" s="19">
        <f>IF(B8="monthly",DATE(YEAR(B7)+INT((MONTH(B7)-1+114)/12),MOD(MONTH(B7)-1+114,12)+1,1)+(DAY(B7)-1),IF(B8="weekly",B7+798,IF(B8="biweekly",B7+1596,B7+ROUND((114*365.25)/24,0))))</f>
        <v/>
      </c>
      <c r="C131" s="21">
        <f>IF((ROUND(F130-ROUND($B$13-D131,2),2)&lt;=0),ROUND(D131+E131,2),$B$13)</f>
        <v/>
      </c>
      <c r="D131" s="21">
        <f>ROUND(F130*B5/100/B10,2)</f>
        <v/>
      </c>
      <c r="E131" s="21">
        <f>IF((ROUND(F130-ROUND($B$13-D131,2),2)&lt;=0),F130,ROUND($B$13-D131,2))</f>
        <v/>
      </c>
      <c r="F131" s="21">
        <f>IF((ROUND(F130-ROUND($B$13-D131,2),2)&lt;=0),0,ROUND(F130-E131,2))</f>
        <v/>
      </c>
    </row>
    <row r="132">
      <c r="A132" s="6" t="n">
        <v>116</v>
      </c>
      <c r="B132" s="19">
        <f>IF(B8="monthly",DATE(YEAR(B7)+INT((MONTH(B7)-1+115)/12),MOD(MONTH(B7)-1+115,12)+1,1)+(DAY(B7)-1),IF(B8="weekly",B7+805,IF(B8="biweekly",B7+1610,B7+ROUND((115*365.25)/24,0))))</f>
        <v/>
      </c>
      <c r="C132" s="21">
        <f>IF((ROUND(F131-ROUND($B$13-D132,2),2)&lt;=0),ROUND(D132+E132,2),$B$13)</f>
        <v/>
      </c>
      <c r="D132" s="21">
        <f>ROUND(F131*B5/100/B10,2)</f>
        <v/>
      </c>
      <c r="E132" s="21">
        <f>IF((ROUND(F131-ROUND($B$13-D132,2),2)&lt;=0),F131,ROUND($B$13-D132,2))</f>
        <v/>
      </c>
      <c r="F132" s="21">
        <f>IF((ROUND(F131-ROUND($B$13-D132,2),2)&lt;=0),0,ROUND(F131-E132,2))</f>
        <v/>
      </c>
    </row>
    <row r="133">
      <c r="A133" s="6" t="n">
        <v>117</v>
      </c>
      <c r="B133" s="19">
        <f>IF(B8="monthly",DATE(YEAR(B7)+INT((MONTH(B7)-1+116)/12),MOD(MONTH(B7)-1+116,12)+1,1)+(DAY(B7)-1),IF(B8="weekly",B7+812,IF(B8="biweekly",B7+1624,B7+ROUND((116*365.25)/24,0))))</f>
        <v/>
      </c>
      <c r="C133" s="21">
        <f>IF((ROUND(F132-ROUND($B$13-D133,2),2)&lt;=0),ROUND(D133+E133,2),$B$13)</f>
        <v/>
      </c>
      <c r="D133" s="21">
        <f>ROUND(F132*B5/100/B10,2)</f>
        <v/>
      </c>
      <c r="E133" s="21">
        <f>IF((ROUND(F132-ROUND($B$13-D133,2),2)&lt;=0),F132,ROUND($B$13-D133,2))</f>
        <v/>
      </c>
      <c r="F133" s="21">
        <f>IF((ROUND(F132-ROUND($B$13-D133,2),2)&lt;=0),0,ROUND(F132-E133,2))</f>
        <v/>
      </c>
    </row>
    <row r="134">
      <c r="A134" s="6" t="n">
        <v>118</v>
      </c>
      <c r="B134" s="19">
        <f>IF(B8="monthly",DATE(YEAR(B7)+INT((MONTH(B7)-1+117)/12),MOD(MONTH(B7)-1+117,12)+1,1)+(DAY(B7)-1),IF(B8="weekly",B7+819,IF(B8="biweekly",B7+1638,B7+ROUND((117*365.25)/24,0))))</f>
        <v/>
      </c>
      <c r="C134" s="21">
        <f>IF((ROUND(F133-ROUND($B$13-D134,2),2)&lt;=0),ROUND(D134+E134,2),$B$13)</f>
        <v/>
      </c>
      <c r="D134" s="21">
        <f>ROUND(F133*B5/100/B10,2)</f>
        <v/>
      </c>
      <c r="E134" s="21">
        <f>IF((ROUND(F133-ROUND($B$13-D134,2),2)&lt;=0),F133,ROUND($B$13-D134,2))</f>
        <v/>
      </c>
      <c r="F134" s="21">
        <f>IF((ROUND(F133-ROUND($B$13-D134,2),2)&lt;=0),0,ROUND(F133-E134,2))</f>
        <v/>
      </c>
    </row>
    <row r="135">
      <c r="A135" s="6" t="n">
        <v>119</v>
      </c>
      <c r="B135" s="19">
        <f>IF(B8="monthly",DATE(YEAR(B7)+INT((MONTH(B7)-1+118)/12),MOD(MONTH(B7)-1+118,12)+1,1)+(DAY(B7)-1),IF(B8="weekly",B7+826,IF(B8="biweekly",B7+1652,B7+ROUND((118*365.25)/24,0))))</f>
        <v/>
      </c>
      <c r="C135" s="21">
        <f>IF((ROUND(F134-ROUND($B$13-D135,2),2)&lt;=0),ROUND(D135+E135,2),$B$13)</f>
        <v/>
      </c>
      <c r="D135" s="21">
        <f>ROUND(F134*B5/100/B10,2)</f>
        <v/>
      </c>
      <c r="E135" s="21">
        <f>IF((ROUND(F134-ROUND($B$13-D135,2),2)&lt;=0),F134,ROUND($B$13-D135,2))</f>
        <v/>
      </c>
      <c r="F135" s="21">
        <f>IF((ROUND(F134-ROUND($B$13-D135,2),2)&lt;=0),0,ROUND(F134-E135,2))</f>
        <v/>
      </c>
    </row>
    <row r="136">
      <c r="A136" s="6" t="n">
        <v>120</v>
      </c>
      <c r="B136" s="19">
        <f>IF(B8="monthly",DATE(YEAR(B7)+INT((MONTH(B7)-1+119)/12),MOD(MONTH(B7)-1+119,12)+1,1)+(DAY(B7)-1),IF(B8="weekly",B7+833,IF(B8="biweekly",B7+1666,B7+ROUND((119*365.25)/24,0))))</f>
        <v/>
      </c>
      <c r="C136" s="21">
        <f>IF((ROUND(F135-ROUND($B$13-D136,2),2)&lt;=0),ROUND(D136+E136,2),$B$13)</f>
        <v/>
      </c>
      <c r="D136" s="21">
        <f>ROUND(F135*B5/100/B10,2)</f>
        <v/>
      </c>
      <c r="E136" s="21">
        <f>IF((ROUND(F135-ROUND($B$13-D136,2),2)&lt;=0),F135,ROUND($B$13-D136,2))</f>
        <v/>
      </c>
      <c r="F136" s="21">
        <f>IF((ROUND(F135-ROUND($B$13-D136,2),2)&lt;=0),0,ROUND(F135-E136,2))</f>
        <v/>
      </c>
    </row>
    <row r="137">
      <c r="A137" s="6" t="n">
        <v>121</v>
      </c>
      <c r="B137" s="19">
        <f>IF(B8="monthly",DATE(YEAR(B7)+INT((MONTH(B7)-1+120)/12),MOD(MONTH(B7)-1+120,12)+1,1)+(DAY(B7)-1),IF(B8="weekly",B7+840,IF(B8="biweekly",B7+1680,B7+ROUND((120*365.25)/24,0))))</f>
        <v/>
      </c>
      <c r="C137" s="21">
        <f>IF((ROUND(F136-ROUND($B$13-D137,2),2)&lt;=0),ROUND(D137+E137,2),$B$13)</f>
        <v/>
      </c>
      <c r="D137" s="21">
        <f>ROUND(F136*B5/100/B10,2)</f>
        <v/>
      </c>
      <c r="E137" s="21">
        <f>IF((ROUND(F136-ROUND($B$13-D137,2),2)&lt;=0),F136,ROUND($B$13-D137,2))</f>
        <v/>
      </c>
      <c r="F137" s="21">
        <f>IF((ROUND(F136-ROUND($B$13-D137,2),2)&lt;=0),0,ROUND(F136-E137,2))</f>
        <v/>
      </c>
    </row>
    <row r="138">
      <c r="A138" s="6" t="n">
        <v>122</v>
      </c>
      <c r="B138" s="19">
        <f>IF(B8="monthly",DATE(YEAR(B7)+INT((MONTH(B7)-1+121)/12),MOD(MONTH(B7)-1+121,12)+1,1)+(DAY(B7)-1),IF(B8="weekly",B7+847,IF(B8="biweekly",B7+1694,B7+ROUND((121*365.25)/24,0))))</f>
        <v/>
      </c>
      <c r="C138" s="21">
        <f>IF((ROUND(F137-ROUND($B$13-D138,2),2)&lt;=0),ROUND(D138+E138,2),$B$13)</f>
        <v/>
      </c>
      <c r="D138" s="21">
        <f>ROUND(F137*B5/100/B10,2)</f>
        <v/>
      </c>
      <c r="E138" s="21">
        <f>IF((ROUND(F137-ROUND($B$13-D138,2),2)&lt;=0),F137,ROUND($B$13-D138,2))</f>
        <v/>
      </c>
      <c r="F138" s="21">
        <f>IF((ROUND(F137-ROUND($B$13-D138,2),2)&lt;=0),0,ROUND(F137-E138,2))</f>
        <v/>
      </c>
    </row>
    <row r="139">
      <c r="A139" s="6" t="n">
        <v>123</v>
      </c>
      <c r="B139" s="19">
        <f>IF(B8="monthly",DATE(YEAR(B7)+INT((MONTH(B7)-1+122)/12),MOD(MONTH(B7)-1+122,12)+1,1)+(DAY(B7)-1),IF(B8="weekly",B7+854,IF(B8="biweekly",B7+1708,B7+ROUND((122*365.25)/24,0))))</f>
        <v/>
      </c>
      <c r="C139" s="21">
        <f>IF((ROUND(F138-ROUND($B$13-D139,2),2)&lt;=0),ROUND(D139+E139,2),$B$13)</f>
        <v/>
      </c>
      <c r="D139" s="21">
        <f>ROUND(F138*B5/100/B10,2)</f>
        <v/>
      </c>
      <c r="E139" s="21">
        <f>IF((ROUND(F138-ROUND($B$13-D139,2),2)&lt;=0),F138,ROUND($B$13-D139,2))</f>
        <v/>
      </c>
      <c r="F139" s="21">
        <f>IF((ROUND(F138-ROUND($B$13-D139,2),2)&lt;=0),0,ROUND(F138-E139,2))</f>
        <v/>
      </c>
    </row>
    <row r="140">
      <c r="A140" s="6" t="n">
        <v>124</v>
      </c>
      <c r="B140" s="19">
        <f>IF(B8="monthly",DATE(YEAR(B7)+INT((MONTH(B7)-1+123)/12),MOD(MONTH(B7)-1+123,12)+1,1)+(DAY(B7)-1),IF(B8="weekly",B7+861,IF(B8="biweekly",B7+1722,B7+ROUND((123*365.25)/24,0))))</f>
        <v/>
      </c>
      <c r="C140" s="21">
        <f>IF((ROUND(F139-ROUND($B$13-D140,2),2)&lt;=0),ROUND(D140+E140,2),$B$13)</f>
        <v/>
      </c>
      <c r="D140" s="21">
        <f>ROUND(F139*B5/100/B10,2)</f>
        <v/>
      </c>
      <c r="E140" s="21">
        <f>IF((ROUND(F139-ROUND($B$13-D140,2),2)&lt;=0),F139,ROUND($B$13-D140,2))</f>
        <v/>
      </c>
      <c r="F140" s="21">
        <f>IF((ROUND(F139-ROUND($B$13-D140,2),2)&lt;=0),0,ROUND(F139-E140,2))</f>
        <v/>
      </c>
    </row>
    <row r="141">
      <c r="A141" s="6" t="n">
        <v>125</v>
      </c>
      <c r="B141" s="19">
        <f>IF(B8="monthly",DATE(YEAR(B7)+INT((MONTH(B7)-1+124)/12),MOD(MONTH(B7)-1+124,12)+1,1)+(DAY(B7)-1),IF(B8="weekly",B7+868,IF(B8="biweekly",B7+1736,B7+ROUND((124*365.25)/24,0))))</f>
        <v/>
      </c>
      <c r="C141" s="21">
        <f>IF((ROUND(F140-ROUND($B$13-D141,2),2)&lt;=0),ROUND(D141+E141,2),$B$13)</f>
        <v/>
      </c>
      <c r="D141" s="21">
        <f>ROUND(F140*B5/100/B10,2)</f>
        <v/>
      </c>
      <c r="E141" s="21">
        <f>IF((ROUND(F140-ROUND($B$13-D141,2),2)&lt;=0),F140,ROUND($B$13-D141,2))</f>
        <v/>
      </c>
      <c r="F141" s="21">
        <f>IF((ROUND(F140-ROUND($B$13-D141,2),2)&lt;=0),0,ROUND(F140-E141,2))</f>
        <v/>
      </c>
    </row>
    <row r="142">
      <c r="A142" s="6" t="n">
        <v>126</v>
      </c>
      <c r="B142" s="19">
        <f>IF(B8="monthly",DATE(YEAR(B7)+INT((MONTH(B7)-1+125)/12),MOD(MONTH(B7)-1+125,12)+1,1)+(DAY(B7)-1),IF(B8="weekly",B7+875,IF(B8="biweekly",B7+1750,B7+ROUND((125*365.25)/24,0))))</f>
        <v/>
      </c>
      <c r="C142" s="21">
        <f>IF((ROUND(F141-ROUND($B$13-D142,2),2)&lt;=0),ROUND(D142+E142,2),$B$13)</f>
        <v/>
      </c>
      <c r="D142" s="21">
        <f>ROUND(F141*B5/100/B10,2)</f>
        <v/>
      </c>
      <c r="E142" s="21">
        <f>IF((ROUND(F141-ROUND($B$13-D142,2),2)&lt;=0),F141,ROUND($B$13-D142,2))</f>
        <v/>
      </c>
      <c r="F142" s="21">
        <f>IF((ROUND(F141-ROUND($B$13-D142,2),2)&lt;=0),0,ROUND(F141-E142,2))</f>
        <v/>
      </c>
    </row>
    <row r="143">
      <c r="A143" s="6" t="n">
        <v>127</v>
      </c>
      <c r="B143" s="19">
        <f>IF(B8="monthly",DATE(YEAR(B7)+INT((MONTH(B7)-1+126)/12),MOD(MONTH(B7)-1+126,12)+1,1)+(DAY(B7)-1),IF(B8="weekly",B7+882,IF(B8="biweekly",B7+1764,B7+ROUND((126*365.25)/24,0))))</f>
        <v/>
      </c>
      <c r="C143" s="21">
        <f>IF((ROUND(F142-ROUND($B$13-D143,2),2)&lt;=0),ROUND(D143+E143,2),$B$13)</f>
        <v/>
      </c>
      <c r="D143" s="21">
        <f>ROUND(F142*B5/100/B10,2)</f>
        <v/>
      </c>
      <c r="E143" s="21">
        <f>IF((ROUND(F142-ROUND($B$13-D143,2),2)&lt;=0),F142,ROUND($B$13-D143,2))</f>
        <v/>
      </c>
      <c r="F143" s="21">
        <f>IF((ROUND(F142-ROUND($B$13-D143,2),2)&lt;=0),0,ROUND(F142-E143,2))</f>
        <v/>
      </c>
    </row>
    <row r="144">
      <c r="A144" s="6" t="n">
        <v>128</v>
      </c>
      <c r="B144" s="19">
        <f>IF(B8="monthly",DATE(YEAR(B7)+INT((MONTH(B7)-1+127)/12),MOD(MONTH(B7)-1+127,12)+1,1)+(DAY(B7)-1),IF(B8="weekly",B7+889,IF(B8="biweekly",B7+1778,B7+ROUND((127*365.25)/24,0))))</f>
        <v/>
      </c>
      <c r="C144" s="21">
        <f>IF((ROUND(F143-ROUND($B$13-D144,2),2)&lt;=0),ROUND(D144+E144,2),$B$13)</f>
        <v/>
      </c>
      <c r="D144" s="21">
        <f>ROUND(F143*B5/100/B10,2)</f>
        <v/>
      </c>
      <c r="E144" s="21">
        <f>IF((ROUND(F143-ROUND($B$13-D144,2),2)&lt;=0),F143,ROUND($B$13-D144,2))</f>
        <v/>
      </c>
      <c r="F144" s="21">
        <f>IF((ROUND(F143-ROUND($B$13-D144,2),2)&lt;=0),0,ROUND(F143-E144,2))</f>
        <v/>
      </c>
    </row>
    <row r="145">
      <c r="A145" s="6" t="n">
        <v>129</v>
      </c>
      <c r="B145" s="19">
        <f>IF(B8="monthly",DATE(YEAR(B7)+INT((MONTH(B7)-1+128)/12),MOD(MONTH(B7)-1+128,12)+1,1)+(DAY(B7)-1),IF(B8="weekly",B7+896,IF(B8="biweekly",B7+1792,B7+ROUND((128*365.25)/24,0))))</f>
        <v/>
      </c>
      <c r="C145" s="21">
        <f>IF((ROUND(F144-ROUND($B$13-D145,2),2)&lt;=0),ROUND(D145+E145,2),$B$13)</f>
        <v/>
      </c>
      <c r="D145" s="21">
        <f>ROUND(F144*B5/100/B10,2)</f>
        <v/>
      </c>
      <c r="E145" s="21">
        <f>IF((ROUND(F144-ROUND($B$13-D145,2),2)&lt;=0),F144,ROUND($B$13-D145,2))</f>
        <v/>
      </c>
      <c r="F145" s="21">
        <f>IF((ROUND(F144-ROUND($B$13-D145,2),2)&lt;=0),0,ROUND(F144-E145,2))</f>
        <v/>
      </c>
    </row>
    <row r="146">
      <c r="A146" s="6" t="n">
        <v>130</v>
      </c>
      <c r="B146" s="19">
        <f>IF(B8="monthly",DATE(YEAR(B7)+INT((MONTH(B7)-1+129)/12),MOD(MONTH(B7)-1+129,12)+1,1)+(DAY(B7)-1),IF(B8="weekly",B7+903,IF(B8="biweekly",B7+1806,B7+ROUND((129*365.25)/24,0))))</f>
        <v/>
      </c>
      <c r="C146" s="21">
        <f>IF((ROUND(F145-ROUND($B$13-D146,2),2)&lt;=0),ROUND(D146+E146,2),$B$13)</f>
        <v/>
      </c>
      <c r="D146" s="21">
        <f>ROUND(F145*B5/100/B10,2)</f>
        <v/>
      </c>
      <c r="E146" s="21">
        <f>IF((ROUND(F145-ROUND($B$13-D146,2),2)&lt;=0),F145,ROUND($B$13-D146,2))</f>
        <v/>
      </c>
      <c r="F146" s="21">
        <f>IF((ROUND(F145-ROUND($B$13-D146,2),2)&lt;=0),0,ROUND(F145-E146,2))</f>
        <v/>
      </c>
    </row>
    <row r="147">
      <c r="A147" s="6" t="n">
        <v>131</v>
      </c>
      <c r="B147" s="19">
        <f>IF(B8="monthly",DATE(YEAR(B7)+INT((MONTH(B7)-1+130)/12),MOD(MONTH(B7)-1+130,12)+1,1)+(DAY(B7)-1),IF(B8="weekly",B7+910,IF(B8="biweekly",B7+1820,B7+ROUND((130*365.25)/24,0))))</f>
        <v/>
      </c>
      <c r="C147" s="21">
        <f>IF((ROUND(F146-ROUND($B$13-D147,2),2)&lt;=0),ROUND(D147+E147,2),$B$13)</f>
        <v/>
      </c>
      <c r="D147" s="21">
        <f>ROUND(F146*B5/100/B10,2)</f>
        <v/>
      </c>
      <c r="E147" s="21">
        <f>IF((ROUND(F146-ROUND($B$13-D147,2),2)&lt;=0),F146,ROUND($B$13-D147,2))</f>
        <v/>
      </c>
      <c r="F147" s="21">
        <f>IF((ROUND(F146-ROUND($B$13-D147,2),2)&lt;=0),0,ROUND(F146-E147,2))</f>
        <v/>
      </c>
    </row>
    <row r="148">
      <c r="A148" s="6" t="n">
        <v>132</v>
      </c>
      <c r="B148" s="19">
        <f>IF(B8="monthly",DATE(YEAR(B7)+INT((MONTH(B7)-1+131)/12),MOD(MONTH(B7)-1+131,12)+1,1)+(DAY(B7)-1),IF(B8="weekly",B7+917,IF(B8="biweekly",B7+1834,B7+ROUND((131*365.25)/24,0))))</f>
        <v/>
      </c>
      <c r="C148" s="21">
        <f>IF((ROUND(F147-ROUND($B$13-D148,2),2)&lt;=0),ROUND(D148+E148,2),$B$13)</f>
        <v/>
      </c>
      <c r="D148" s="21">
        <f>ROUND(F147*B5/100/B10,2)</f>
        <v/>
      </c>
      <c r="E148" s="21">
        <f>IF((ROUND(F147-ROUND($B$13-D148,2),2)&lt;=0),F147,ROUND($B$13-D148,2))</f>
        <v/>
      </c>
      <c r="F148" s="21">
        <f>IF((ROUND(F147-ROUND($B$13-D148,2),2)&lt;=0),0,ROUND(F147-E148,2))</f>
        <v/>
      </c>
    </row>
    <row r="149">
      <c r="A149" s="6" t="n">
        <v>133</v>
      </c>
      <c r="B149" s="19">
        <f>IF(B8="monthly",DATE(YEAR(B7)+INT((MONTH(B7)-1+132)/12),MOD(MONTH(B7)-1+132,12)+1,1)+(DAY(B7)-1),IF(B8="weekly",B7+924,IF(B8="biweekly",B7+1848,B7+ROUND((132*365.25)/24,0))))</f>
        <v/>
      </c>
      <c r="C149" s="21">
        <f>IF((ROUND(F148-ROUND($B$13-D149,2),2)&lt;=0),ROUND(D149+E149,2),$B$13)</f>
        <v/>
      </c>
      <c r="D149" s="21">
        <f>ROUND(F148*B5/100/B10,2)</f>
        <v/>
      </c>
      <c r="E149" s="21">
        <f>IF((ROUND(F148-ROUND($B$13-D149,2),2)&lt;=0),F148,ROUND($B$13-D149,2))</f>
        <v/>
      </c>
      <c r="F149" s="21">
        <f>IF((ROUND(F148-ROUND($B$13-D149,2),2)&lt;=0),0,ROUND(F148-E149,2))</f>
        <v/>
      </c>
    </row>
    <row r="150">
      <c r="A150" s="6" t="n">
        <v>134</v>
      </c>
      <c r="B150" s="19">
        <f>IF(B8="monthly",DATE(YEAR(B7)+INT((MONTH(B7)-1+133)/12),MOD(MONTH(B7)-1+133,12)+1,1)+(DAY(B7)-1),IF(B8="weekly",B7+931,IF(B8="biweekly",B7+1862,B7+ROUND((133*365.25)/24,0))))</f>
        <v/>
      </c>
      <c r="C150" s="21">
        <f>IF((ROUND(F149-ROUND($B$13-D150,2),2)&lt;=0),ROUND(D150+E150,2),$B$13)</f>
        <v/>
      </c>
      <c r="D150" s="21">
        <f>ROUND(F149*B5/100/B10,2)</f>
        <v/>
      </c>
      <c r="E150" s="21">
        <f>IF((ROUND(F149-ROUND($B$13-D150,2),2)&lt;=0),F149,ROUND($B$13-D150,2))</f>
        <v/>
      </c>
      <c r="F150" s="21">
        <f>IF((ROUND(F149-ROUND($B$13-D150,2),2)&lt;=0),0,ROUND(F149-E150,2))</f>
        <v/>
      </c>
    </row>
    <row r="151">
      <c r="A151" s="6" t="n">
        <v>135</v>
      </c>
      <c r="B151" s="19">
        <f>IF(B8="monthly",DATE(YEAR(B7)+INT((MONTH(B7)-1+134)/12),MOD(MONTH(B7)-1+134,12)+1,1)+(DAY(B7)-1),IF(B8="weekly",B7+938,IF(B8="biweekly",B7+1876,B7+ROUND((134*365.25)/24,0))))</f>
        <v/>
      </c>
      <c r="C151" s="21">
        <f>IF((ROUND(F150-ROUND($B$13-D151,2),2)&lt;=0),ROUND(D151+E151,2),$B$13)</f>
        <v/>
      </c>
      <c r="D151" s="21">
        <f>ROUND(F150*B5/100/B10,2)</f>
        <v/>
      </c>
      <c r="E151" s="21">
        <f>IF((ROUND(F150-ROUND($B$13-D151,2),2)&lt;=0),F150,ROUND($B$13-D151,2))</f>
        <v/>
      </c>
      <c r="F151" s="21">
        <f>IF((ROUND(F150-ROUND($B$13-D151,2),2)&lt;=0),0,ROUND(F150-E151,2))</f>
        <v/>
      </c>
    </row>
    <row r="152">
      <c r="A152" s="6" t="n">
        <v>136</v>
      </c>
      <c r="B152" s="19">
        <f>IF(B8="monthly",DATE(YEAR(B7)+INT((MONTH(B7)-1+135)/12),MOD(MONTH(B7)-1+135,12)+1,1)+(DAY(B7)-1),IF(B8="weekly",B7+945,IF(B8="biweekly",B7+1890,B7+ROUND((135*365.25)/24,0))))</f>
        <v/>
      </c>
      <c r="C152" s="21">
        <f>IF((ROUND(F151-ROUND($B$13-D152,2),2)&lt;=0),ROUND(D152+E152,2),$B$13)</f>
        <v/>
      </c>
      <c r="D152" s="21">
        <f>ROUND(F151*B5/100/B10,2)</f>
        <v/>
      </c>
      <c r="E152" s="21">
        <f>IF((ROUND(F151-ROUND($B$13-D152,2),2)&lt;=0),F151,ROUND($B$13-D152,2))</f>
        <v/>
      </c>
      <c r="F152" s="21">
        <f>IF((ROUND(F151-ROUND($B$13-D152,2),2)&lt;=0),0,ROUND(F151-E152,2))</f>
        <v/>
      </c>
    </row>
    <row r="153">
      <c r="A153" s="6" t="n">
        <v>137</v>
      </c>
      <c r="B153" s="19">
        <f>IF(B8="monthly",DATE(YEAR(B7)+INT((MONTH(B7)-1+136)/12),MOD(MONTH(B7)-1+136,12)+1,1)+(DAY(B7)-1),IF(B8="weekly",B7+952,IF(B8="biweekly",B7+1904,B7+ROUND((136*365.25)/24,0))))</f>
        <v/>
      </c>
      <c r="C153" s="21">
        <f>IF((ROUND(F152-ROUND($B$13-D153,2),2)&lt;=0),ROUND(D153+E153,2),$B$13)</f>
        <v/>
      </c>
      <c r="D153" s="21">
        <f>ROUND(F152*B5/100/B10,2)</f>
        <v/>
      </c>
      <c r="E153" s="21">
        <f>IF((ROUND(F152-ROUND($B$13-D153,2),2)&lt;=0),F152,ROUND($B$13-D153,2))</f>
        <v/>
      </c>
      <c r="F153" s="21">
        <f>IF((ROUND(F152-ROUND($B$13-D153,2),2)&lt;=0),0,ROUND(F152-E153,2))</f>
        <v/>
      </c>
    </row>
    <row r="154">
      <c r="A154" s="6" t="n">
        <v>138</v>
      </c>
      <c r="B154" s="19">
        <f>IF(B8="monthly",DATE(YEAR(B7)+INT((MONTH(B7)-1+137)/12),MOD(MONTH(B7)-1+137,12)+1,1)+(DAY(B7)-1),IF(B8="weekly",B7+959,IF(B8="biweekly",B7+1918,B7+ROUND((137*365.25)/24,0))))</f>
        <v/>
      </c>
      <c r="C154" s="21">
        <f>IF((ROUND(F153-ROUND($B$13-D154,2),2)&lt;=0),ROUND(D154+E154,2),$B$13)</f>
        <v/>
      </c>
      <c r="D154" s="21">
        <f>ROUND(F153*B5/100/B10,2)</f>
        <v/>
      </c>
      <c r="E154" s="21">
        <f>IF((ROUND(F153-ROUND($B$13-D154,2),2)&lt;=0),F153,ROUND($B$13-D154,2))</f>
        <v/>
      </c>
      <c r="F154" s="21">
        <f>IF((ROUND(F153-ROUND($B$13-D154,2),2)&lt;=0),0,ROUND(F153-E154,2))</f>
        <v/>
      </c>
    </row>
    <row r="155">
      <c r="A155" s="6" t="n">
        <v>139</v>
      </c>
      <c r="B155" s="19">
        <f>IF(B8="monthly",DATE(YEAR(B7)+INT((MONTH(B7)-1+138)/12),MOD(MONTH(B7)-1+138,12)+1,1)+(DAY(B7)-1),IF(B8="weekly",B7+966,IF(B8="biweekly",B7+1932,B7+ROUND((138*365.25)/24,0))))</f>
        <v/>
      </c>
      <c r="C155" s="21">
        <f>IF((ROUND(F154-ROUND($B$13-D155,2),2)&lt;=0),ROUND(D155+E155,2),$B$13)</f>
        <v/>
      </c>
      <c r="D155" s="21">
        <f>ROUND(F154*B5/100/B10,2)</f>
        <v/>
      </c>
      <c r="E155" s="21">
        <f>IF((ROUND(F154-ROUND($B$13-D155,2),2)&lt;=0),F154,ROUND($B$13-D155,2))</f>
        <v/>
      </c>
      <c r="F155" s="21">
        <f>IF((ROUND(F154-ROUND($B$13-D155,2),2)&lt;=0),0,ROUND(F154-E155,2))</f>
        <v/>
      </c>
    </row>
    <row r="156">
      <c r="A156" s="6" t="n">
        <v>140</v>
      </c>
      <c r="B156" s="19">
        <f>IF(B8="monthly",DATE(YEAR(B7)+INT((MONTH(B7)-1+139)/12),MOD(MONTH(B7)-1+139,12)+1,1)+(DAY(B7)-1),IF(B8="weekly",B7+973,IF(B8="biweekly",B7+1946,B7+ROUND((139*365.25)/24,0))))</f>
        <v/>
      </c>
      <c r="C156" s="21">
        <f>IF((ROUND(F155-ROUND($B$13-D156,2),2)&lt;=0),ROUND(D156+E156,2),$B$13)</f>
        <v/>
      </c>
      <c r="D156" s="21">
        <f>ROUND(F155*B5/100/B10,2)</f>
        <v/>
      </c>
      <c r="E156" s="21">
        <f>IF((ROUND(F155-ROUND($B$13-D156,2),2)&lt;=0),F155,ROUND($B$13-D156,2))</f>
        <v/>
      </c>
      <c r="F156" s="21">
        <f>IF((ROUND(F155-ROUND($B$13-D156,2),2)&lt;=0),0,ROUND(F155-E156,2))</f>
        <v/>
      </c>
    </row>
    <row r="157">
      <c r="A157" s="6" t="n">
        <v>141</v>
      </c>
      <c r="B157" s="19">
        <f>IF(B8="monthly",DATE(YEAR(B7)+INT((MONTH(B7)-1+140)/12),MOD(MONTH(B7)-1+140,12)+1,1)+(DAY(B7)-1),IF(B8="weekly",B7+980,IF(B8="biweekly",B7+1960,B7+ROUND((140*365.25)/24,0))))</f>
        <v/>
      </c>
      <c r="C157" s="21">
        <f>IF((ROUND(F156-ROUND($B$13-D157,2),2)&lt;=0),ROUND(D157+E157,2),$B$13)</f>
        <v/>
      </c>
      <c r="D157" s="21">
        <f>ROUND(F156*B5/100/B10,2)</f>
        <v/>
      </c>
      <c r="E157" s="21">
        <f>IF((ROUND(F156-ROUND($B$13-D157,2),2)&lt;=0),F156,ROUND($B$13-D157,2))</f>
        <v/>
      </c>
      <c r="F157" s="21">
        <f>IF((ROUND(F156-ROUND($B$13-D157,2),2)&lt;=0),0,ROUND(F156-E157,2))</f>
        <v/>
      </c>
    </row>
    <row r="158">
      <c r="A158" s="6" t="n">
        <v>142</v>
      </c>
      <c r="B158" s="19">
        <f>IF(B8="monthly",DATE(YEAR(B7)+INT((MONTH(B7)-1+141)/12),MOD(MONTH(B7)-1+141,12)+1,1)+(DAY(B7)-1),IF(B8="weekly",B7+987,IF(B8="biweekly",B7+1974,B7+ROUND((141*365.25)/24,0))))</f>
        <v/>
      </c>
      <c r="C158" s="21">
        <f>IF((ROUND(F157-ROUND($B$13-D158,2),2)&lt;=0),ROUND(D158+E158,2),$B$13)</f>
        <v/>
      </c>
      <c r="D158" s="21">
        <f>ROUND(F157*B5/100/B10,2)</f>
        <v/>
      </c>
      <c r="E158" s="21">
        <f>IF((ROUND(F157-ROUND($B$13-D158,2),2)&lt;=0),F157,ROUND($B$13-D158,2))</f>
        <v/>
      </c>
      <c r="F158" s="21">
        <f>IF((ROUND(F157-ROUND($B$13-D158,2),2)&lt;=0),0,ROUND(F157-E158,2))</f>
        <v/>
      </c>
    </row>
    <row r="159">
      <c r="A159" s="6" t="n">
        <v>143</v>
      </c>
      <c r="B159" s="19">
        <f>IF(B8="monthly",DATE(YEAR(B7)+INT((MONTH(B7)-1+142)/12),MOD(MONTH(B7)-1+142,12)+1,1)+(DAY(B7)-1),IF(B8="weekly",B7+994,IF(B8="biweekly",B7+1988,B7+ROUND((142*365.25)/24,0))))</f>
        <v/>
      </c>
      <c r="C159" s="21">
        <f>IF((ROUND(F158-ROUND($B$13-D159,2),2)&lt;=0),ROUND(D159+E159,2),$B$13)</f>
        <v/>
      </c>
      <c r="D159" s="21">
        <f>ROUND(F158*B5/100/B10,2)</f>
        <v/>
      </c>
      <c r="E159" s="21">
        <f>IF((ROUND(F158-ROUND($B$13-D159,2),2)&lt;=0),F158,ROUND($B$13-D159,2))</f>
        <v/>
      </c>
      <c r="F159" s="21">
        <f>IF((ROUND(F158-ROUND($B$13-D159,2),2)&lt;=0),0,ROUND(F158-E159,2))</f>
        <v/>
      </c>
    </row>
    <row r="160">
      <c r="A160" s="6" t="n">
        <v>144</v>
      </c>
      <c r="B160" s="19">
        <f>IF(B8="monthly",DATE(YEAR(B7)+INT((MONTH(B7)-1+143)/12),MOD(MONTH(B7)-1+143,12)+1,1)+(DAY(B7)-1),IF(B8="weekly",B7+1001,IF(B8="biweekly",B7+2002,B7+ROUND((143*365.25)/24,0))))</f>
        <v/>
      </c>
      <c r="C160" s="21">
        <f>IF((ROUND(F159-ROUND($B$13-D160,2),2)&lt;=0),ROUND(D160+E160,2),$B$13)</f>
        <v/>
      </c>
      <c r="D160" s="21">
        <f>ROUND(F159*B5/100/B10,2)</f>
        <v/>
      </c>
      <c r="E160" s="21">
        <f>IF((ROUND(F159-ROUND($B$13-D160,2),2)&lt;=0),F159,ROUND($B$13-D160,2))</f>
        <v/>
      </c>
      <c r="F160" s="21">
        <f>IF((ROUND(F159-ROUND($B$13-D160,2),2)&lt;=0),0,ROUND(F159-E160,2))</f>
        <v/>
      </c>
    </row>
    <row r="161">
      <c r="A161" s="6" t="n">
        <v>145</v>
      </c>
      <c r="B161" s="19">
        <f>IF(B8="monthly",DATE(YEAR(B7)+INT((MONTH(B7)-1+144)/12),MOD(MONTH(B7)-1+144,12)+1,1)+(DAY(B7)-1),IF(B8="weekly",B7+1008,IF(B8="biweekly",B7+2016,B7+ROUND((144*365.25)/24,0))))</f>
        <v/>
      </c>
      <c r="C161" s="21">
        <f>IF((ROUND(F160-ROUND($B$13-D161,2),2)&lt;=0),ROUND(D161+E161,2),$B$13)</f>
        <v/>
      </c>
      <c r="D161" s="21">
        <f>ROUND(F160*B5/100/B10,2)</f>
        <v/>
      </c>
      <c r="E161" s="21">
        <f>IF((ROUND(F160-ROUND($B$13-D161,2),2)&lt;=0),F160,ROUND($B$13-D161,2))</f>
        <v/>
      </c>
      <c r="F161" s="21">
        <f>IF((ROUND(F160-ROUND($B$13-D161,2),2)&lt;=0),0,ROUND(F160-E161,2))</f>
        <v/>
      </c>
    </row>
    <row r="162">
      <c r="A162" s="6" t="n">
        <v>146</v>
      </c>
      <c r="B162" s="19">
        <f>IF(B8="monthly",DATE(YEAR(B7)+INT((MONTH(B7)-1+145)/12),MOD(MONTH(B7)-1+145,12)+1,1)+(DAY(B7)-1),IF(B8="weekly",B7+1015,IF(B8="biweekly",B7+2030,B7+ROUND((145*365.25)/24,0))))</f>
        <v/>
      </c>
      <c r="C162" s="21">
        <f>IF((ROUND(F161-ROUND($B$13-D162,2),2)&lt;=0),ROUND(D162+E162,2),$B$13)</f>
        <v/>
      </c>
      <c r="D162" s="21">
        <f>ROUND(F161*B5/100/B10,2)</f>
        <v/>
      </c>
      <c r="E162" s="21">
        <f>IF((ROUND(F161-ROUND($B$13-D162,2),2)&lt;=0),F161,ROUND($B$13-D162,2))</f>
        <v/>
      </c>
      <c r="F162" s="21">
        <f>IF((ROUND(F161-ROUND($B$13-D162,2),2)&lt;=0),0,ROUND(F161-E162,2))</f>
        <v/>
      </c>
    </row>
    <row r="163">
      <c r="A163" s="6" t="n">
        <v>147</v>
      </c>
      <c r="B163" s="19">
        <f>IF(B8="monthly",DATE(YEAR(B7)+INT((MONTH(B7)-1+146)/12),MOD(MONTH(B7)-1+146,12)+1,1)+(DAY(B7)-1),IF(B8="weekly",B7+1022,IF(B8="biweekly",B7+2044,B7+ROUND((146*365.25)/24,0))))</f>
        <v/>
      </c>
      <c r="C163" s="21">
        <f>IF((ROUND(F162-ROUND($B$13-D163,2),2)&lt;=0),ROUND(D163+E163,2),$B$13)</f>
        <v/>
      </c>
      <c r="D163" s="21">
        <f>ROUND(F162*B5/100/B10,2)</f>
        <v/>
      </c>
      <c r="E163" s="21">
        <f>IF((ROUND(F162-ROUND($B$13-D163,2),2)&lt;=0),F162,ROUND($B$13-D163,2))</f>
        <v/>
      </c>
      <c r="F163" s="21">
        <f>IF((ROUND(F162-ROUND($B$13-D163,2),2)&lt;=0),0,ROUND(F162-E163,2))</f>
        <v/>
      </c>
    </row>
    <row r="164">
      <c r="A164" s="6" t="n">
        <v>148</v>
      </c>
      <c r="B164" s="19">
        <f>IF(B8="monthly",DATE(YEAR(B7)+INT((MONTH(B7)-1+147)/12),MOD(MONTH(B7)-1+147,12)+1,1)+(DAY(B7)-1),IF(B8="weekly",B7+1029,IF(B8="biweekly",B7+2058,B7+ROUND((147*365.25)/24,0))))</f>
        <v/>
      </c>
      <c r="C164" s="21">
        <f>IF((ROUND(F163-ROUND($B$13-D164,2),2)&lt;=0),ROUND(D164+E164,2),$B$13)</f>
        <v/>
      </c>
      <c r="D164" s="21">
        <f>ROUND(F163*B5/100/B10,2)</f>
        <v/>
      </c>
      <c r="E164" s="21">
        <f>IF((ROUND(F163-ROUND($B$13-D164,2),2)&lt;=0),F163,ROUND($B$13-D164,2))</f>
        <v/>
      </c>
      <c r="F164" s="21">
        <f>IF((ROUND(F163-ROUND($B$13-D164,2),2)&lt;=0),0,ROUND(F163-E164,2))</f>
        <v/>
      </c>
    </row>
    <row r="165">
      <c r="A165" s="6" t="n">
        <v>149</v>
      </c>
      <c r="B165" s="19">
        <f>IF(B8="monthly",DATE(YEAR(B7)+INT((MONTH(B7)-1+148)/12),MOD(MONTH(B7)-1+148,12)+1,1)+(DAY(B7)-1),IF(B8="weekly",B7+1036,IF(B8="biweekly",B7+2072,B7+ROUND((148*365.25)/24,0))))</f>
        <v/>
      </c>
      <c r="C165" s="21">
        <f>IF((ROUND(F164-ROUND($B$13-D165,2),2)&lt;=0),ROUND(D165+E165,2),$B$13)</f>
        <v/>
      </c>
      <c r="D165" s="21">
        <f>ROUND(F164*B5/100/B10,2)</f>
        <v/>
      </c>
      <c r="E165" s="21">
        <f>IF((ROUND(F164-ROUND($B$13-D165,2),2)&lt;=0),F164,ROUND($B$13-D165,2))</f>
        <v/>
      </c>
      <c r="F165" s="21">
        <f>IF((ROUND(F164-ROUND($B$13-D165,2),2)&lt;=0),0,ROUND(F164-E165,2))</f>
        <v/>
      </c>
    </row>
    <row r="166">
      <c r="A166" s="6" t="n">
        <v>150</v>
      </c>
      <c r="B166" s="19">
        <f>IF(B8="monthly",DATE(YEAR(B7)+INT((MONTH(B7)-1+149)/12),MOD(MONTH(B7)-1+149,12)+1,1)+(DAY(B7)-1),IF(B8="weekly",B7+1043,IF(B8="biweekly",B7+2086,B7+ROUND((149*365.25)/24,0))))</f>
        <v/>
      </c>
      <c r="C166" s="21">
        <f>IF((ROUND(F165-ROUND($B$13-D166,2),2)&lt;=0),ROUND(D166+E166,2),$B$13)</f>
        <v/>
      </c>
      <c r="D166" s="21">
        <f>ROUND(F165*B5/100/B10,2)</f>
        <v/>
      </c>
      <c r="E166" s="21">
        <f>IF((ROUND(F165-ROUND($B$13-D166,2),2)&lt;=0),F165,ROUND($B$13-D166,2))</f>
        <v/>
      </c>
      <c r="F166" s="21">
        <f>IF((ROUND(F165-ROUND($B$13-D166,2),2)&lt;=0),0,ROUND(F165-E166,2))</f>
        <v/>
      </c>
    </row>
    <row r="167">
      <c r="A167" s="6" t="n">
        <v>151</v>
      </c>
      <c r="B167" s="19">
        <f>IF(B8="monthly",DATE(YEAR(B7)+INT((MONTH(B7)-1+150)/12),MOD(MONTH(B7)-1+150,12)+1,1)+(DAY(B7)-1),IF(B8="weekly",B7+1050,IF(B8="biweekly",B7+2100,B7+ROUND((150*365.25)/24,0))))</f>
        <v/>
      </c>
      <c r="C167" s="21">
        <f>IF((ROUND(F166-ROUND($B$13-D167,2),2)&lt;=0),ROUND(D167+E167,2),$B$13)</f>
        <v/>
      </c>
      <c r="D167" s="21">
        <f>ROUND(F166*B5/100/B10,2)</f>
        <v/>
      </c>
      <c r="E167" s="21">
        <f>IF((ROUND(F166-ROUND($B$13-D167,2),2)&lt;=0),F166,ROUND($B$13-D167,2))</f>
        <v/>
      </c>
      <c r="F167" s="21">
        <f>IF((ROUND(F166-ROUND($B$13-D167,2),2)&lt;=0),0,ROUND(F166-E167,2))</f>
        <v/>
      </c>
    </row>
    <row r="168">
      <c r="A168" s="6" t="n">
        <v>152</v>
      </c>
      <c r="B168" s="19">
        <f>IF(B8="monthly",DATE(YEAR(B7)+INT((MONTH(B7)-1+151)/12),MOD(MONTH(B7)-1+151,12)+1,1)+(DAY(B7)-1),IF(B8="weekly",B7+1057,IF(B8="biweekly",B7+2114,B7+ROUND((151*365.25)/24,0))))</f>
        <v/>
      </c>
      <c r="C168" s="21">
        <f>IF((ROUND(F167-ROUND($B$13-D168,2),2)&lt;=0),ROUND(D168+E168,2),$B$13)</f>
        <v/>
      </c>
      <c r="D168" s="21">
        <f>ROUND(F167*B5/100/B10,2)</f>
        <v/>
      </c>
      <c r="E168" s="21">
        <f>IF((ROUND(F167-ROUND($B$13-D168,2),2)&lt;=0),F167,ROUND($B$13-D168,2))</f>
        <v/>
      </c>
      <c r="F168" s="21">
        <f>IF((ROUND(F167-ROUND($B$13-D168,2),2)&lt;=0),0,ROUND(F167-E168,2))</f>
        <v/>
      </c>
    </row>
    <row r="169">
      <c r="A169" s="6" t="n">
        <v>153</v>
      </c>
      <c r="B169" s="19">
        <f>IF(B8="monthly",DATE(YEAR(B7)+INT((MONTH(B7)-1+152)/12),MOD(MONTH(B7)-1+152,12)+1,1)+(DAY(B7)-1),IF(B8="weekly",B7+1064,IF(B8="biweekly",B7+2128,B7+ROUND((152*365.25)/24,0))))</f>
        <v/>
      </c>
      <c r="C169" s="21">
        <f>IF((ROUND(F168-ROUND($B$13-D169,2),2)&lt;=0),ROUND(D169+E169,2),$B$13)</f>
        <v/>
      </c>
      <c r="D169" s="21">
        <f>ROUND(F168*B5/100/B10,2)</f>
        <v/>
      </c>
      <c r="E169" s="21">
        <f>IF((ROUND(F168-ROUND($B$13-D169,2),2)&lt;=0),F168,ROUND($B$13-D169,2))</f>
        <v/>
      </c>
      <c r="F169" s="21">
        <f>IF((ROUND(F168-ROUND($B$13-D169,2),2)&lt;=0),0,ROUND(F168-E169,2))</f>
        <v/>
      </c>
    </row>
    <row r="170">
      <c r="A170" s="6" t="n">
        <v>154</v>
      </c>
      <c r="B170" s="19">
        <f>IF(B8="monthly",DATE(YEAR(B7)+INT((MONTH(B7)-1+153)/12),MOD(MONTH(B7)-1+153,12)+1,1)+(DAY(B7)-1),IF(B8="weekly",B7+1071,IF(B8="biweekly",B7+2142,B7+ROUND((153*365.25)/24,0))))</f>
        <v/>
      </c>
      <c r="C170" s="21">
        <f>IF((ROUND(F169-ROUND($B$13-D170,2),2)&lt;=0),ROUND(D170+E170,2),$B$13)</f>
        <v/>
      </c>
      <c r="D170" s="21">
        <f>ROUND(F169*B5/100/B10,2)</f>
        <v/>
      </c>
      <c r="E170" s="21">
        <f>IF((ROUND(F169-ROUND($B$13-D170,2),2)&lt;=0),F169,ROUND($B$13-D170,2))</f>
        <v/>
      </c>
      <c r="F170" s="21">
        <f>IF((ROUND(F169-ROUND($B$13-D170,2),2)&lt;=0),0,ROUND(F169-E170,2))</f>
        <v/>
      </c>
    </row>
    <row r="171">
      <c r="A171" s="6" t="n">
        <v>155</v>
      </c>
      <c r="B171" s="19">
        <f>IF(B8="monthly",DATE(YEAR(B7)+INT((MONTH(B7)-1+154)/12),MOD(MONTH(B7)-1+154,12)+1,1)+(DAY(B7)-1),IF(B8="weekly",B7+1078,IF(B8="biweekly",B7+2156,B7+ROUND((154*365.25)/24,0))))</f>
        <v/>
      </c>
      <c r="C171" s="21">
        <f>IF((ROUND(F170-ROUND($B$13-D171,2),2)&lt;=0),ROUND(D171+E171,2),$B$13)</f>
        <v/>
      </c>
      <c r="D171" s="21">
        <f>ROUND(F170*B5/100/B10,2)</f>
        <v/>
      </c>
      <c r="E171" s="21">
        <f>IF((ROUND(F170-ROUND($B$13-D171,2),2)&lt;=0),F170,ROUND($B$13-D171,2))</f>
        <v/>
      </c>
      <c r="F171" s="21">
        <f>IF((ROUND(F170-ROUND($B$13-D171,2),2)&lt;=0),0,ROUND(F170-E171,2))</f>
        <v/>
      </c>
    </row>
    <row r="172">
      <c r="A172" s="6" t="n">
        <v>156</v>
      </c>
      <c r="B172" s="19">
        <f>IF(B8="monthly",DATE(YEAR(B7)+INT((MONTH(B7)-1+155)/12),MOD(MONTH(B7)-1+155,12)+1,1)+(DAY(B7)-1),IF(B8="weekly",B7+1085,IF(B8="biweekly",B7+2170,B7+ROUND((155*365.25)/24,0))))</f>
        <v/>
      </c>
      <c r="C172" s="21">
        <f>IF((ROUND(F171-ROUND($B$13-D172,2),2)&lt;=0),ROUND(D172+E172,2),$B$13)</f>
        <v/>
      </c>
      <c r="D172" s="21">
        <f>ROUND(F171*B5/100/B10,2)</f>
        <v/>
      </c>
      <c r="E172" s="21">
        <f>IF((ROUND(F171-ROUND($B$13-D172,2),2)&lt;=0),F171,ROUND($B$13-D172,2))</f>
        <v/>
      </c>
      <c r="F172" s="21">
        <f>IF((ROUND(F171-ROUND($B$13-D172,2),2)&lt;=0),0,ROUND(F171-E172,2))</f>
        <v/>
      </c>
    </row>
    <row r="173">
      <c r="A173" s="6" t="n">
        <v>157</v>
      </c>
      <c r="B173" s="19">
        <f>IF(B8="monthly",DATE(YEAR(B7)+INT((MONTH(B7)-1+156)/12),MOD(MONTH(B7)-1+156,12)+1,1)+(DAY(B7)-1),IF(B8="weekly",B7+1092,IF(B8="biweekly",B7+2184,B7+ROUND((156*365.25)/24,0))))</f>
        <v/>
      </c>
      <c r="C173" s="21">
        <f>IF((ROUND(F172-ROUND($B$13-D173,2),2)&lt;=0),ROUND(D173+E173,2),$B$13)</f>
        <v/>
      </c>
      <c r="D173" s="21">
        <f>ROUND(F172*B5/100/B10,2)</f>
        <v/>
      </c>
      <c r="E173" s="21">
        <f>IF((ROUND(F172-ROUND($B$13-D173,2),2)&lt;=0),F172,ROUND($B$13-D173,2))</f>
        <v/>
      </c>
      <c r="F173" s="21">
        <f>IF((ROUND(F172-ROUND($B$13-D173,2),2)&lt;=0),0,ROUND(F172-E173,2))</f>
        <v/>
      </c>
    </row>
    <row r="174">
      <c r="A174" s="6" t="n">
        <v>158</v>
      </c>
      <c r="B174" s="19">
        <f>IF(B8="monthly",DATE(YEAR(B7)+INT((MONTH(B7)-1+157)/12),MOD(MONTH(B7)-1+157,12)+1,1)+(DAY(B7)-1),IF(B8="weekly",B7+1099,IF(B8="biweekly",B7+2198,B7+ROUND((157*365.25)/24,0))))</f>
        <v/>
      </c>
      <c r="C174" s="21">
        <f>IF((ROUND(F173-ROUND($B$13-D174,2),2)&lt;=0),ROUND(D174+E174,2),$B$13)</f>
        <v/>
      </c>
      <c r="D174" s="21">
        <f>ROUND(F173*B5/100/B10,2)</f>
        <v/>
      </c>
      <c r="E174" s="21">
        <f>IF((ROUND(F173-ROUND($B$13-D174,2),2)&lt;=0),F173,ROUND($B$13-D174,2))</f>
        <v/>
      </c>
      <c r="F174" s="21">
        <f>IF((ROUND(F173-ROUND($B$13-D174,2),2)&lt;=0),0,ROUND(F173-E174,2))</f>
        <v/>
      </c>
    </row>
    <row r="175">
      <c r="A175" s="6" t="n">
        <v>159</v>
      </c>
      <c r="B175" s="19">
        <f>IF(B8="monthly",DATE(YEAR(B7)+INT((MONTH(B7)-1+158)/12),MOD(MONTH(B7)-1+158,12)+1,1)+(DAY(B7)-1),IF(B8="weekly",B7+1106,IF(B8="biweekly",B7+2212,B7+ROUND((158*365.25)/24,0))))</f>
        <v/>
      </c>
      <c r="C175" s="21">
        <f>IF((ROUND(F174-ROUND($B$13-D175,2),2)&lt;=0),ROUND(D175+E175,2),$B$13)</f>
        <v/>
      </c>
      <c r="D175" s="21">
        <f>ROUND(F174*B5/100/B10,2)</f>
        <v/>
      </c>
      <c r="E175" s="21">
        <f>IF((ROUND(F174-ROUND($B$13-D175,2),2)&lt;=0),F174,ROUND($B$13-D175,2))</f>
        <v/>
      </c>
      <c r="F175" s="21">
        <f>IF((ROUND(F174-ROUND($B$13-D175,2),2)&lt;=0),0,ROUND(F174-E175,2))</f>
        <v/>
      </c>
    </row>
    <row r="176">
      <c r="A176" s="6" t="n">
        <v>160</v>
      </c>
      <c r="B176" s="19">
        <f>IF(B8="monthly",DATE(YEAR(B7)+INT((MONTH(B7)-1+159)/12),MOD(MONTH(B7)-1+159,12)+1,1)+(DAY(B7)-1),IF(B8="weekly",B7+1113,IF(B8="biweekly",B7+2226,B7+ROUND((159*365.25)/24,0))))</f>
        <v/>
      </c>
      <c r="C176" s="21">
        <f>IF((ROUND(F175-ROUND($B$13-D176,2),2)&lt;=0),ROUND(D176+E176,2),$B$13)</f>
        <v/>
      </c>
      <c r="D176" s="21">
        <f>ROUND(F175*B5/100/B10,2)</f>
        <v/>
      </c>
      <c r="E176" s="21">
        <f>IF((ROUND(F175-ROUND($B$13-D176,2),2)&lt;=0),F175,ROUND($B$13-D176,2))</f>
        <v/>
      </c>
      <c r="F176" s="21">
        <f>IF((ROUND(F175-ROUND($B$13-D176,2),2)&lt;=0),0,ROUND(F175-E176,2))</f>
        <v/>
      </c>
    </row>
    <row r="177">
      <c r="A177" s="6" t="n">
        <v>161</v>
      </c>
      <c r="B177" s="19">
        <f>IF(B8="monthly",DATE(YEAR(B7)+INT((MONTH(B7)-1+160)/12),MOD(MONTH(B7)-1+160,12)+1,1)+(DAY(B7)-1),IF(B8="weekly",B7+1120,IF(B8="biweekly",B7+2240,B7+ROUND((160*365.25)/24,0))))</f>
        <v/>
      </c>
      <c r="C177" s="21">
        <f>IF((ROUND(F176-ROUND($B$13-D177,2),2)&lt;=0),ROUND(D177+E177,2),$B$13)</f>
        <v/>
      </c>
      <c r="D177" s="21">
        <f>ROUND(F176*B5/100/B10,2)</f>
        <v/>
      </c>
      <c r="E177" s="21">
        <f>IF((ROUND(F176-ROUND($B$13-D177,2),2)&lt;=0),F176,ROUND($B$13-D177,2))</f>
        <v/>
      </c>
      <c r="F177" s="21">
        <f>IF((ROUND(F176-ROUND($B$13-D177,2),2)&lt;=0),0,ROUND(F176-E177,2))</f>
        <v/>
      </c>
    </row>
    <row r="178">
      <c r="A178" s="6" t="n">
        <v>162</v>
      </c>
      <c r="B178" s="19">
        <f>IF(B8="monthly",DATE(YEAR(B7)+INT((MONTH(B7)-1+161)/12),MOD(MONTH(B7)-1+161,12)+1,1)+(DAY(B7)-1),IF(B8="weekly",B7+1127,IF(B8="biweekly",B7+2254,B7+ROUND((161*365.25)/24,0))))</f>
        <v/>
      </c>
      <c r="C178" s="21">
        <f>IF((ROUND(F177-ROUND($B$13-D178,2),2)&lt;=0),ROUND(D178+E178,2),$B$13)</f>
        <v/>
      </c>
      <c r="D178" s="21">
        <f>ROUND(F177*B5/100/B10,2)</f>
        <v/>
      </c>
      <c r="E178" s="21">
        <f>IF((ROUND(F177-ROUND($B$13-D178,2),2)&lt;=0),F177,ROUND($B$13-D178,2))</f>
        <v/>
      </c>
      <c r="F178" s="21">
        <f>IF((ROUND(F177-ROUND($B$13-D178,2),2)&lt;=0),0,ROUND(F177-E178,2))</f>
        <v/>
      </c>
    </row>
    <row r="179">
      <c r="A179" s="6" t="n">
        <v>163</v>
      </c>
      <c r="B179" s="19">
        <f>IF(B8="monthly",DATE(YEAR(B7)+INT((MONTH(B7)-1+162)/12),MOD(MONTH(B7)-1+162,12)+1,1)+(DAY(B7)-1),IF(B8="weekly",B7+1134,IF(B8="biweekly",B7+2268,B7+ROUND((162*365.25)/24,0))))</f>
        <v/>
      </c>
      <c r="C179" s="21">
        <f>IF((ROUND(F178-ROUND($B$13-D179,2),2)&lt;=0),ROUND(D179+E179,2),$B$13)</f>
        <v/>
      </c>
      <c r="D179" s="21">
        <f>ROUND(F178*B5/100/B10,2)</f>
        <v/>
      </c>
      <c r="E179" s="21">
        <f>IF((ROUND(F178-ROUND($B$13-D179,2),2)&lt;=0),F178,ROUND($B$13-D179,2))</f>
        <v/>
      </c>
      <c r="F179" s="21">
        <f>IF((ROUND(F178-ROUND($B$13-D179,2),2)&lt;=0),0,ROUND(F178-E179,2))</f>
        <v/>
      </c>
    </row>
    <row r="180">
      <c r="A180" s="6" t="n">
        <v>164</v>
      </c>
      <c r="B180" s="19">
        <f>IF(B8="monthly",DATE(YEAR(B7)+INT((MONTH(B7)-1+163)/12),MOD(MONTH(B7)-1+163,12)+1,1)+(DAY(B7)-1),IF(B8="weekly",B7+1141,IF(B8="biweekly",B7+2282,B7+ROUND((163*365.25)/24,0))))</f>
        <v/>
      </c>
      <c r="C180" s="21">
        <f>IF((ROUND(F179-ROUND($B$13-D180,2),2)&lt;=0),ROUND(D180+E180,2),$B$13)</f>
        <v/>
      </c>
      <c r="D180" s="21">
        <f>ROUND(F179*B5/100/B10,2)</f>
        <v/>
      </c>
      <c r="E180" s="21">
        <f>IF((ROUND(F179-ROUND($B$13-D180,2),2)&lt;=0),F179,ROUND($B$13-D180,2))</f>
        <v/>
      </c>
      <c r="F180" s="21">
        <f>IF((ROUND(F179-ROUND($B$13-D180,2),2)&lt;=0),0,ROUND(F179-E180,2))</f>
        <v/>
      </c>
    </row>
    <row r="181">
      <c r="A181" s="6" t="n">
        <v>165</v>
      </c>
      <c r="B181" s="19">
        <f>IF(B8="monthly",DATE(YEAR(B7)+INT((MONTH(B7)-1+164)/12),MOD(MONTH(B7)-1+164,12)+1,1)+(DAY(B7)-1),IF(B8="weekly",B7+1148,IF(B8="biweekly",B7+2296,B7+ROUND((164*365.25)/24,0))))</f>
        <v/>
      </c>
      <c r="C181" s="21">
        <f>IF((ROUND(F180-ROUND($B$13-D181,2),2)&lt;=0),ROUND(D181+E181,2),$B$13)</f>
        <v/>
      </c>
      <c r="D181" s="21">
        <f>ROUND(F180*B5/100/B10,2)</f>
        <v/>
      </c>
      <c r="E181" s="21">
        <f>IF((ROUND(F180-ROUND($B$13-D181,2),2)&lt;=0),F180,ROUND($B$13-D181,2))</f>
        <v/>
      </c>
      <c r="F181" s="21">
        <f>IF((ROUND(F180-ROUND($B$13-D181,2),2)&lt;=0),0,ROUND(F180-E181,2))</f>
        <v/>
      </c>
    </row>
    <row r="182">
      <c r="A182" s="6" t="n">
        <v>166</v>
      </c>
      <c r="B182" s="19">
        <f>IF(B8="monthly",DATE(YEAR(B7)+INT((MONTH(B7)-1+165)/12),MOD(MONTH(B7)-1+165,12)+1,1)+(DAY(B7)-1),IF(B8="weekly",B7+1155,IF(B8="biweekly",B7+2310,B7+ROUND((165*365.25)/24,0))))</f>
        <v/>
      </c>
      <c r="C182" s="21">
        <f>IF((ROUND(F181-ROUND($B$13-D182,2),2)&lt;=0),ROUND(D182+E182,2),$B$13)</f>
        <v/>
      </c>
      <c r="D182" s="21">
        <f>ROUND(F181*B5/100/B10,2)</f>
        <v/>
      </c>
      <c r="E182" s="21">
        <f>IF((ROUND(F181-ROUND($B$13-D182,2),2)&lt;=0),F181,ROUND($B$13-D182,2))</f>
        <v/>
      </c>
      <c r="F182" s="21">
        <f>IF((ROUND(F181-ROUND($B$13-D182,2),2)&lt;=0),0,ROUND(F181-E182,2))</f>
        <v/>
      </c>
    </row>
    <row r="183">
      <c r="A183" s="6" t="n">
        <v>167</v>
      </c>
      <c r="B183" s="19">
        <f>IF(B8="monthly",DATE(YEAR(B7)+INT((MONTH(B7)-1+166)/12),MOD(MONTH(B7)-1+166,12)+1,1)+(DAY(B7)-1),IF(B8="weekly",B7+1162,IF(B8="biweekly",B7+2324,B7+ROUND((166*365.25)/24,0))))</f>
        <v/>
      </c>
      <c r="C183" s="21">
        <f>IF((ROUND(F182-ROUND($B$13-D183,2),2)&lt;=0),ROUND(D183+E183,2),$B$13)</f>
        <v/>
      </c>
      <c r="D183" s="21">
        <f>ROUND(F182*B5/100/B10,2)</f>
        <v/>
      </c>
      <c r="E183" s="21">
        <f>IF((ROUND(F182-ROUND($B$13-D183,2),2)&lt;=0),F182,ROUND($B$13-D183,2))</f>
        <v/>
      </c>
      <c r="F183" s="21">
        <f>IF((ROUND(F182-ROUND($B$13-D183,2),2)&lt;=0),0,ROUND(F182-E183,2))</f>
        <v/>
      </c>
    </row>
    <row r="184">
      <c r="A184" s="6" t="n">
        <v>168</v>
      </c>
      <c r="B184" s="19">
        <f>IF(B8="monthly",DATE(YEAR(B7)+INT((MONTH(B7)-1+167)/12),MOD(MONTH(B7)-1+167,12)+1,1)+(DAY(B7)-1),IF(B8="weekly",B7+1169,IF(B8="biweekly",B7+2338,B7+ROUND((167*365.25)/24,0))))</f>
        <v/>
      </c>
      <c r="C184" s="21">
        <f>IF((ROUND(F183-ROUND($B$13-D184,2),2)&lt;=0),ROUND(D184+E184,2),$B$13)</f>
        <v/>
      </c>
      <c r="D184" s="21">
        <f>ROUND(F183*B5/100/B10,2)</f>
        <v/>
      </c>
      <c r="E184" s="21">
        <f>IF((ROUND(F183-ROUND($B$13-D184,2),2)&lt;=0),F183,ROUND($B$13-D184,2))</f>
        <v/>
      </c>
      <c r="F184" s="21">
        <f>IF((ROUND(F183-ROUND($B$13-D184,2),2)&lt;=0),0,ROUND(F183-E184,2))</f>
        <v/>
      </c>
    </row>
    <row r="185">
      <c r="A185" s="6" t="n">
        <v>169</v>
      </c>
      <c r="B185" s="19">
        <f>IF(B8="monthly",DATE(YEAR(B7)+INT((MONTH(B7)-1+168)/12),MOD(MONTH(B7)-1+168,12)+1,1)+(DAY(B7)-1),IF(B8="weekly",B7+1176,IF(B8="biweekly",B7+2352,B7+ROUND((168*365.25)/24,0))))</f>
        <v/>
      </c>
      <c r="C185" s="21">
        <f>IF((ROUND(F184-ROUND($B$13-D185,2),2)&lt;=0),ROUND(D185+E185,2),$B$13)</f>
        <v/>
      </c>
      <c r="D185" s="21">
        <f>ROUND(F184*B5/100/B10,2)</f>
        <v/>
      </c>
      <c r="E185" s="21">
        <f>IF((ROUND(F184-ROUND($B$13-D185,2),2)&lt;=0),F184,ROUND($B$13-D185,2))</f>
        <v/>
      </c>
      <c r="F185" s="21">
        <f>IF((ROUND(F184-ROUND($B$13-D185,2),2)&lt;=0),0,ROUND(F184-E185,2))</f>
        <v/>
      </c>
    </row>
    <row r="186">
      <c r="A186" s="6" t="n">
        <v>170</v>
      </c>
      <c r="B186" s="19">
        <f>IF(B8="monthly",DATE(YEAR(B7)+INT((MONTH(B7)-1+169)/12),MOD(MONTH(B7)-1+169,12)+1,1)+(DAY(B7)-1),IF(B8="weekly",B7+1183,IF(B8="biweekly",B7+2366,B7+ROUND((169*365.25)/24,0))))</f>
        <v/>
      </c>
      <c r="C186" s="21">
        <f>IF((ROUND(F185-ROUND($B$13-D186,2),2)&lt;=0),ROUND(D186+E186,2),$B$13)</f>
        <v/>
      </c>
      <c r="D186" s="21">
        <f>ROUND(F185*B5/100/B10,2)</f>
        <v/>
      </c>
      <c r="E186" s="21">
        <f>IF((ROUND(F185-ROUND($B$13-D186,2),2)&lt;=0),F185,ROUND($B$13-D186,2))</f>
        <v/>
      </c>
      <c r="F186" s="21">
        <f>IF((ROUND(F185-ROUND($B$13-D186,2),2)&lt;=0),0,ROUND(F185-E186,2))</f>
        <v/>
      </c>
    </row>
    <row r="187">
      <c r="A187" s="6" t="n">
        <v>171</v>
      </c>
      <c r="B187" s="19">
        <f>IF(B8="monthly",DATE(YEAR(B7)+INT((MONTH(B7)-1+170)/12),MOD(MONTH(B7)-1+170,12)+1,1)+(DAY(B7)-1),IF(B8="weekly",B7+1190,IF(B8="biweekly",B7+2380,B7+ROUND((170*365.25)/24,0))))</f>
        <v/>
      </c>
      <c r="C187" s="21">
        <f>IF((ROUND(F186-ROUND($B$13-D187,2),2)&lt;=0),ROUND(D187+E187,2),$B$13)</f>
        <v/>
      </c>
      <c r="D187" s="21">
        <f>ROUND(F186*B5/100/B10,2)</f>
        <v/>
      </c>
      <c r="E187" s="21">
        <f>IF((ROUND(F186-ROUND($B$13-D187,2),2)&lt;=0),F186,ROUND($B$13-D187,2))</f>
        <v/>
      </c>
      <c r="F187" s="21">
        <f>IF((ROUND(F186-ROUND($B$13-D187,2),2)&lt;=0),0,ROUND(F186-E187,2))</f>
        <v/>
      </c>
    </row>
    <row r="188">
      <c r="A188" s="6" t="n">
        <v>172</v>
      </c>
      <c r="B188" s="19">
        <f>IF(B8="monthly",DATE(YEAR(B7)+INT((MONTH(B7)-1+171)/12),MOD(MONTH(B7)-1+171,12)+1,1)+(DAY(B7)-1),IF(B8="weekly",B7+1197,IF(B8="biweekly",B7+2394,B7+ROUND((171*365.25)/24,0))))</f>
        <v/>
      </c>
      <c r="C188" s="21">
        <f>IF((ROUND(F187-ROUND($B$13-D188,2),2)&lt;=0),ROUND(D188+E188,2),$B$13)</f>
        <v/>
      </c>
      <c r="D188" s="21">
        <f>ROUND(F187*B5/100/B10,2)</f>
        <v/>
      </c>
      <c r="E188" s="21">
        <f>IF((ROUND(F187-ROUND($B$13-D188,2),2)&lt;=0),F187,ROUND($B$13-D188,2))</f>
        <v/>
      </c>
      <c r="F188" s="21">
        <f>IF((ROUND(F187-ROUND($B$13-D188,2),2)&lt;=0),0,ROUND(F187-E188,2))</f>
        <v/>
      </c>
    </row>
    <row r="189">
      <c r="A189" s="6" t="n">
        <v>173</v>
      </c>
      <c r="B189" s="19">
        <f>IF(B8="monthly",DATE(YEAR(B7)+INT((MONTH(B7)-1+172)/12),MOD(MONTH(B7)-1+172,12)+1,1)+(DAY(B7)-1),IF(B8="weekly",B7+1204,IF(B8="biweekly",B7+2408,B7+ROUND((172*365.25)/24,0))))</f>
        <v/>
      </c>
      <c r="C189" s="21">
        <f>IF((ROUND(F188-ROUND($B$13-D189,2),2)&lt;=0),ROUND(D189+E189,2),$B$13)</f>
        <v/>
      </c>
      <c r="D189" s="21">
        <f>ROUND(F188*B5/100/B10,2)</f>
        <v/>
      </c>
      <c r="E189" s="21">
        <f>IF((ROUND(F188-ROUND($B$13-D189,2),2)&lt;=0),F188,ROUND($B$13-D189,2))</f>
        <v/>
      </c>
      <c r="F189" s="21">
        <f>IF((ROUND(F188-ROUND($B$13-D189,2),2)&lt;=0),0,ROUND(F188-E189,2))</f>
        <v/>
      </c>
    </row>
    <row r="190">
      <c r="A190" s="6" t="n">
        <v>174</v>
      </c>
      <c r="B190" s="19">
        <f>IF(B8="monthly",DATE(YEAR(B7)+INT((MONTH(B7)-1+173)/12),MOD(MONTH(B7)-1+173,12)+1,1)+(DAY(B7)-1),IF(B8="weekly",B7+1211,IF(B8="biweekly",B7+2422,B7+ROUND((173*365.25)/24,0))))</f>
        <v/>
      </c>
      <c r="C190" s="21">
        <f>IF((ROUND(F189-ROUND($B$13-D190,2),2)&lt;=0),ROUND(D190+E190,2),$B$13)</f>
        <v/>
      </c>
      <c r="D190" s="21">
        <f>ROUND(F189*B5/100/B10,2)</f>
        <v/>
      </c>
      <c r="E190" s="21">
        <f>IF((ROUND(F189-ROUND($B$13-D190,2),2)&lt;=0),F189,ROUND($B$13-D190,2))</f>
        <v/>
      </c>
      <c r="F190" s="21">
        <f>IF((ROUND(F189-ROUND($B$13-D190,2),2)&lt;=0),0,ROUND(F189-E190,2))</f>
        <v/>
      </c>
    </row>
    <row r="191">
      <c r="A191" s="6" t="n">
        <v>175</v>
      </c>
      <c r="B191" s="19">
        <f>IF(B8="monthly",DATE(YEAR(B7)+INT((MONTH(B7)-1+174)/12),MOD(MONTH(B7)-1+174,12)+1,1)+(DAY(B7)-1),IF(B8="weekly",B7+1218,IF(B8="biweekly",B7+2436,B7+ROUND((174*365.25)/24,0))))</f>
        <v/>
      </c>
      <c r="C191" s="21">
        <f>IF((ROUND(F190-ROUND($B$13-D191,2),2)&lt;=0),ROUND(D191+E191,2),$B$13)</f>
        <v/>
      </c>
      <c r="D191" s="21">
        <f>ROUND(F190*B5/100/B10,2)</f>
        <v/>
      </c>
      <c r="E191" s="21">
        <f>IF((ROUND(F190-ROUND($B$13-D191,2),2)&lt;=0),F190,ROUND($B$13-D191,2))</f>
        <v/>
      </c>
      <c r="F191" s="21">
        <f>IF((ROUND(F190-ROUND($B$13-D191,2),2)&lt;=0),0,ROUND(F190-E191,2))</f>
        <v/>
      </c>
    </row>
    <row r="192">
      <c r="A192" s="6" t="n">
        <v>176</v>
      </c>
      <c r="B192" s="19">
        <f>IF(B8="monthly",DATE(YEAR(B7)+INT((MONTH(B7)-1+175)/12),MOD(MONTH(B7)-1+175,12)+1,1)+(DAY(B7)-1),IF(B8="weekly",B7+1225,IF(B8="biweekly",B7+2450,B7+ROUND((175*365.25)/24,0))))</f>
        <v/>
      </c>
      <c r="C192" s="21">
        <f>IF((ROUND(F191-ROUND($B$13-D192,2),2)&lt;=0),ROUND(D192+E192,2),$B$13)</f>
        <v/>
      </c>
      <c r="D192" s="21">
        <f>ROUND(F191*B5/100/B10,2)</f>
        <v/>
      </c>
      <c r="E192" s="21">
        <f>IF((ROUND(F191-ROUND($B$13-D192,2),2)&lt;=0),F191,ROUND($B$13-D192,2))</f>
        <v/>
      </c>
      <c r="F192" s="21">
        <f>IF((ROUND(F191-ROUND($B$13-D192,2),2)&lt;=0),0,ROUND(F191-E192,2))</f>
        <v/>
      </c>
    </row>
    <row r="193">
      <c r="A193" s="6" t="n">
        <v>177</v>
      </c>
      <c r="B193" s="19">
        <f>IF(B8="monthly",DATE(YEAR(B7)+INT((MONTH(B7)-1+176)/12),MOD(MONTH(B7)-1+176,12)+1,1)+(DAY(B7)-1),IF(B8="weekly",B7+1232,IF(B8="biweekly",B7+2464,B7+ROUND((176*365.25)/24,0))))</f>
        <v/>
      </c>
      <c r="C193" s="21">
        <f>IF((ROUND(F192-ROUND($B$13-D193,2),2)&lt;=0),ROUND(D193+E193,2),$B$13)</f>
        <v/>
      </c>
      <c r="D193" s="21">
        <f>ROUND(F192*B5/100/B10,2)</f>
        <v/>
      </c>
      <c r="E193" s="21">
        <f>IF((ROUND(F192-ROUND($B$13-D193,2),2)&lt;=0),F192,ROUND($B$13-D193,2))</f>
        <v/>
      </c>
      <c r="F193" s="21">
        <f>IF((ROUND(F192-ROUND($B$13-D193,2),2)&lt;=0),0,ROUND(F192-E193,2))</f>
        <v/>
      </c>
    </row>
    <row r="194">
      <c r="A194" s="6" t="n">
        <v>178</v>
      </c>
      <c r="B194" s="19">
        <f>IF(B8="monthly",DATE(YEAR(B7)+INT((MONTH(B7)-1+177)/12),MOD(MONTH(B7)-1+177,12)+1,1)+(DAY(B7)-1),IF(B8="weekly",B7+1239,IF(B8="biweekly",B7+2478,B7+ROUND((177*365.25)/24,0))))</f>
        <v/>
      </c>
      <c r="C194" s="21">
        <f>IF((ROUND(F193-ROUND($B$13-D194,2),2)&lt;=0),ROUND(D194+E194,2),$B$13)</f>
        <v/>
      </c>
      <c r="D194" s="21">
        <f>ROUND(F193*B5/100/B10,2)</f>
        <v/>
      </c>
      <c r="E194" s="21">
        <f>IF((ROUND(F193-ROUND($B$13-D194,2),2)&lt;=0),F193,ROUND($B$13-D194,2))</f>
        <v/>
      </c>
      <c r="F194" s="21">
        <f>IF((ROUND(F193-ROUND($B$13-D194,2),2)&lt;=0),0,ROUND(F193-E194,2))</f>
        <v/>
      </c>
    </row>
    <row r="195">
      <c r="A195" s="6" t="n">
        <v>179</v>
      </c>
      <c r="B195" s="19">
        <f>IF(B8="monthly",DATE(YEAR(B7)+INT((MONTH(B7)-1+178)/12),MOD(MONTH(B7)-1+178,12)+1,1)+(DAY(B7)-1),IF(B8="weekly",B7+1246,IF(B8="biweekly",B7+2492,B7+ROUND((178*365.25)/24,0))))</f>
        <v/>
      </c>
      <c r="C195" s="21">
        <f>IF((ROUND(F194-ROUND($B$13-D195,2),2)&lt;=0),ROUND(D195+E195,2),$B$13)</f>
        <v/>
      </c>
      <c r="D195" s="21">
        <f>ROUND(F194*B5/100/B10,2)</f>
        <v/>
      </c>
      <c r="E195" s="21">
        <f>IF((ROUND(F194-ROUND($B$13-D195,2),2)&lt;=0),F194,ROUND($B$13-D195,2))</f>
        <v/>
      </c>
      <c r="F195" s="21">
        <f>IF((ROUND(F194-ROUND($B$13-D195,2),2)&lt;=0),0,ROUND(F194-E195,2))</f>
        <v/>
      </c>
    </row>
    <row r="196">
      <c r="A196" s="6" t="n">
        <v>180</v>
      </c>
      <c r="B196" s="19">
        <f>IF(B8="monthly",DATE(YEAR(B7)+INT((MONTH(B7)-1+179)/12),MOD(MONTH(B7)-1+179,12)+1,1)+(DAY(B7)-1),IF(B8="weekly",B7+1253,IF(B8="biweekly",B7+2506,B7+ROUND((179*365.25)/24,0))))</f>
        <v/>
      </c>
      <c r="C196" s="21">
        <f>IF((ROUND(F195-ROUND($B$13-D196,2),2)&lt;=0),ROUND(D196+E196,2),$B$13)</f>
        <v/>
      </c>
      <c r="D196" s="21">
        <f>ROUND(F195*B5/100/B10,2)</f>
        <v/>
      </c>
      <c r="E196" s="21">
        <f>IF((ROUND(F195-ROUND($B$13-D196,2),2)&lt;=0),F195,ROUND($B$13-D196,2))</f>
        <v/>
      </c>
      <c r="F196" s="21">
        <f>IF((ROUND(F195-ROUND($B$13-D196,2),2)&lt;=0),0,ROUND(F195-E196,2))</f>
        <v/>
      </c>
    </row>
    <row r="197">
      <c r="A197" s="6" t="n">
        <v>181</v>
      </c>
      <c r="B197" s="19">
        <f>IF(B8="monthly",DATE(YEAR(B7)+INT((MONTH(B7)-1+180)/12),MOD(MONTH(B7)-1+180,12)+1,1)+(DAY(B7)-1),IF(B8="weekly",B7+1260,IF(B8="biweekly",B7+2520,B7+ROUND((180*365.25)/24,0))))</f>
        <v/>
      </c>
      <c r="C197" s="21">
        <f>IF((ROUND(F196-ROUND($B$13-D197,2),2)&lt;=0),ROUND(D197+E197,2),$B$13)</f>
        <v/>
      </c>
      <c r="D197" s="21">
        <f>ROUND(F196*B5/100/B10,2)</f>
        <v/>
      </c>
      <c r="E197" s="21">
        <f>IF((ROUND(F196-ROUND($B$13-D197,2),2)&lt;=0),F196,ROUND($B$13-D197,2))</f>
        <v/>
      </c>
      <c r="F197" s="21">
        <f>IF((ROUND(F196-ROUND($B$13-D197,2),2)&lt;=0),0,ROUND(F196-E197,2))</f>
        <v/>
      </c>
    </row>
    <row r="198">
      <c r="A198" s="6" t="n">
        <v>182</v>
      </c>
      <c r="B198" s="19">
        <f>IF(B8="monthly",DATE(YEAR(B7)+INT((MONTH(B7)-1+181)/12),MOD(MONTH(B7)-1+181,12)+1,1)+(DAY(B7)-1),IF(B8="weekly",B7+1267,IF(B8="biweekly",B7+2534,B7+ROUND((181*365.25)/24,0))))</f>
        <v/>
      </c>
      <c r="C198" s="21">
        <f>IF((ROUND(F197-ROUND($B$13-D198,2),2)&lt;=0),ROUND(D198+E198,2),$B$13)</f>
        <v/>
      </c>
      <c r="D198" s="21">
        <f>ROUND(F197*B5/100/B10,2)</f>
        <v/>
      </c>
      <c r="E198" s="21">
        <f>IF((ROUND(F197-ROUND($B$13-D198,2),2)&lt;=0),F197,ROUND($B$13-D198,2))</f>
        <v/>
      </c>
      <c r="F198" s="21">
        <f>IF((ROUND(F197-ROUND($B$13-D198,2),2)&lt;=0),0,ROUND(F197-E198,2))</f>
        <v/>
      </c>
    </row>
    <row r="199">
      <c r="A199" s="6" t="n">
        <v>183</v>
      </c>
      <c r="B199" s="19">
        <f>IF(B8="monthly",DATE(YEAR(B7)+INT((MONTH(B7)-1+182)/12),MOD(MONTH(B7)-1+182,12)+1,1)+(DAY(B7)-1),IF(B8="weekly",B7+1274,IF(B8="biweekly",B7+2548,B7+ROUND((182*365.25)/24,0))))</f>
        <v/>
      </c>
      <c r="C199" s="21">
        <f>IF((ROUND(F198-ROUND($B$13-D199,2),2)&lt;=0),ROUND(D199+E199,2),$B$13)</f>
        <v/>
      </c>
      <c r="D199" s="21">
        <f>ROUND(F198*B5/100/B10,2)</f>
        <v/>
      </c>
      <c r="E199" s="21">
        <f>IF((ROUND(F198-ROUND($B$13-D199,2),2)&lt;=0),F198,ROUND($B$13-D199,2))</f>
        <v/>
      </c>
      <c r="F199" s="21">
        <f>IF((ROUND(F198-ROUND($B$13-D199,2),2)&lt;=0),0,ROUND(F198-E199,2))</f>
        <v/>
      </c>
    </row>
    <row r="200">
      <c r="A200" s="6" t="n">
        <v>184</v>
      </c>
      <c r="B200" s="19">
        <f>IF(B8="monthly",DATE(YEAR(B7)+INT((MONTH(B7)-1+183)/12),MOD(MONTH(B7)-1+183,12)+1,1)+(DAY(B7)-1),IF(B8="weekly",B7+1281,IF(B8="biweekly",B7+2562,B7+ROUND((183*365.25)/24,0))))</f>
        <v/>
      </c>
      <c r="C200" s="21">
        <f>IF((ROUND(F199-ROUND($B$13-D200,2),2)&lt;=0),ROUND(D200+E200,2),$B$13)</f>
        <v/>
      </c>
      <c r="D200" s="21">
        <f>ROUND(F199*B5/100/B10,2)</f>
        <v/>
      </c>
      <c r="E200" s="21">
        <f>IF((ROUND(F199-ROUND($B$13-D200,2),2)&lt;=0),F199,ROUND($B$13-D200,2))</f>
        <v/>
      </c>
      <c r="F200" s="21">
        <f>IF((ROUND(F199-ROUND($B$13-D200,2),2)&lt;=0),0,ROUND(F199-E200,2))</f>
        <v/>
      </c>
    </row>
    <row r="201">
      <c r="A201" s="6" t="n">
        <v>185</v>
      </c>
      <c r="B201" s="19">
        <f>IF(B8="monthly",DATE(YEAR(B7)+INT((MONTH(B7)-1+184)/12),MOD(MONTH(B7)-1+184,12)+1,1)+(DAY(B7)-1),IF(B8="weekly",B7+1288,IF(B8="biweekly",B7+2576,B7+ROUND((184*365.25)/24,0))))</f>
        <v/>
      </c>
      <c r="C201" s="21">
        <f>IF((ROUND(F200-ROUND($B$13-D201,2),2)&lt;=0),ROUND(D201+E201,2),$B$13)</f>
        <v/>
      </c>
      <c r="D201" s="21">
        <f>ROUND(F200*B5/100/B10,2)</f>
        <v/>
      </c>
      <c r="E201" s="21">
        <f>IF((ROUND(F200-ROUND($B$13-D201,2),2)&lt;=0),F200,ROUND($B$13-D201,2))</f>
        <v/>
      </c>
      <c r="F201" s="21">
        <f>IF((ROUND(F200-ROUND($B$13-D201,2),2)&lt;=0),0,ROUND(F200-E201,2))</f>
        <v/>
      </c>
    </row>
    <row r="202">
      <c r="A202" s="6" t="n">
        <v>186</v>
      </c>
      <c r="B202" s="19">
        <f>IF(B8="monthly",DATE(YEAR(B7)+INT((MONTH(B7)-1+185)/12),MOD(MONTH(B7)-1+185,12)+1,1)+(DAY(B7)-1),IF(B8="weekly",B7+1295,IF(B8="biweekly",B7+2590,B7+ROUND((185*365.25)/24,0))))</f>
        <v/>
      </c>
      <c r="C202" s="21">
        <f>IF((ROUND(F201-ROUND($B$13-D202,2),2)&lt;=0),ROUND(D202+E202,2),$B$13)</f>
        <v/>
      </c>
      <c r="D202" s="21">
        <f>ROUND(F201*B5/100/B10,2)</f>
        <v/>
      </c>
      <c r="E202" s="21">
        <f>IF((ROUND(F201-ROUND($B$13-D202,2),2)&lt;=0),F201,ROUND($B$13-D202,2))</f>
        <v/>
      </c>
      <c r="F202" s="21">
        <f>IF((ROUND(F201-ROUND($B$13-D202,2),2)&lt;=0),0,ROUND(F201-E202,2))</f>
        <v/>
      </c>
    </row>
    <row r="203">
      <c r="A203" s="6" t="n">
        <v>187</v>
      </c>
      <c r="B203" s="19">
        <f>IF(B8="monthly",DATE(YEAR(B7)+INT((MONTH(B7)-1+186)/12),MOD(MONTH(B7)-1+186,12)+1,1)+(DAY(B7)-1),IF(B8="weekly",B7+1302,IF(B8="biweekly",B7+2604,B7+ROUND((186*365.25)/24,0))))</f>
        <v/>
      </c>
      <c r="C203" s="21">
        <f>IF((ROUND(F202-ROUND($B$13-D203,2),2)&lt;=0),ROUND(D203+E203,2),$B$13)</f>
        <v/>
      </c>
      <c r="D203" s="21">
        <f>ROUND(F202*B5/100/B10,2)</f>
        <v/>
      </c>
      <c r="E203" s="21">
        <f>IF((ROUND(F202-ROUND($B$13-D203,2),2)&lt;=0),F202,ROUND($B$13-D203,2))</f>
        <v/>
      </c>
      <c r="F203" s="21">
        <f>IF((ROUND(F202-ROUND($B$13-D203,2),2)&lt;=0),0,ROUND(F202-E203,2))</f>
        <v/>
      </c>
    </row>
    <row r="204">
      <c r="A204" s="6" t="n">
        <v>188</v>
      </c>
      <c r="B204" s="19">
        <f>IF(B8="monthly",DATE(YEAR(B7)+INT((MONTH(B7)-1+187)/12),MOD(MONTH(B7)-1+187,12)+1,1)+(DAY(B7)-1),IF(B8="weekly",B7+1309,IF(B8="biweekly",B7+2618,B7+ROUND((187*365.25)/24,0))))</f>
        <v/>
      </c>
      <c r="C204" s="21">
        <f>IF((ROUND(F203-ROUND($B$13-D204,2),2)&lt;=0),ROUND(D204+E204,2),$B$13)</f>
        <v/>
      </c>
      <c r="D204" s="21">
        <f>ROUND(F203*B5/100/B10,2)</f>
        <v/>
      </c>
      <c r="E204" s="21">
        <f>IF((ROUND(F203-ROUND($B$13-D204,2),2)&lt;=0),F203,ROUND($B$13-D204,2))</f>
        <v/>
      </c>
      <c r="F204" s="21">
        <f>IF((ROUND(F203-ROUND($B$13-D204,2),2)&lt;=0),0,ROUND(F203-E204,2))</f>
        <v/>
      </c>
    </row>
    <row r="205">
      <c r="A205" s="6" t="n">
        <v>189</v>
      </c>
      <c r="B205" s="19">
        <f>IF(B8="monthly",DATE(YEAR(B7)+INT((MONTH(B7)-1+188)/12),MOD(MONTH(B7)-1+188,12)+1,1)+(DAY(B7)-1),IF(B8="weekly",B7+1316,IF(B8="biweekly",B7+2632,B7+ROUND((188*365.25)/24,0))))</f>
        <v/>
      </c>
      <c r="C205" s="21">
        <f>IF((ROUND(F204-ROUND($B$13-D205,2),2)&lt;=0),ROUND(D205+E205,2),$B$13)</f>
        <v/>
      </c>
      <c r="D205" s="21">
        <f>ROUND(F204*B5/100/B10,2)</f>
        <v/>
      </c>
      <c r="E205" s="21">
        <f>IF((ROUND(F204-ROUND($B$13-D205,2),2)&lt;=0),F204,ROUND($B$13-D205,2))</f>
        <v/>
      </c>
      <c r="F205" s="21">
        <f>IF((ROUND(F204-ROUND($B$13-D205,2),2)&lt;=0),0,ROUND(F204-E205,2))</f>
        <v/>
      </c>
    </row>
    <row r="206">
      <c r="A206" s="6" t="n">
        <v>190</v>
      </c>
      <c r="B206" s="19">
        <f>IF(B8="monthly",DATE(YEAR(B7)+INT((MONTH(B7)-1+189)/12),MOD(MONTH(B7)-1+189,12)+1,1)+(DAY(B7)-1),IF(B8="weekly",B7+1323,IF(B8="biweekly",B7+2646,B7+ROUND((189*365.25)/24,0))))</f>
        <v/>
      </c>
      <c r="C206" s="21">
        <f>IF((ROUND(F205-ROUND($B$13-D206,2),2)&lt;=0),ROUND(D206+E206,2),$B$13)</f>
        <v/>
      </c>
      <c r="D206" s="21">
        <f>ROUND(F205*B5/100/B10,2)</f>
        <v/>
      </c>
      <c r="E206" s="21">
        <f>IF((ROUND(F205-ROUND($B$13-D206,2),2)&lt;=0),F205,ROUND($B$13-D206,2))</f>
        <v/>
      </c>
      <c r="F206" s="21">
        <f>IF((ROUND(F205-ROUND($B$13-D206,2),2)&lt;=0),0,ROUND(F205-E206,2))</f>
        <v/>
      </c>
    </row>
    <row r="207">
      <c r="A207" s="6" t="n">
        <v>191</v>
      </c>
      <c r="B207" s="19">
        <f>IF(B8="monthly",DATE(YEAR(B7)+INT((MONTH(B7)-1+190)/12),MOD(MONTH(B7)-1+190,12)+1,1)+(DAY(B7)-1),IF(B8="weekly",B7+1330,IF(B8="biweekly",B7+2660,B7+ROUND((190*365.25)/24,0))))</f>
        <v/>
      </c>
      <c r="C207" s="21">
        <f>IF((ROUND(F206-ROUND($B$13-D207,2),2)&lt;=0),ROUND(D207+E207,2),$B$13)</f>
        <v/>
      </c>
      <c r="D207" s="21">
        <f>ROUND(F206*B5/100/B10,2)</f>
        <v/>
      </c>
      <c r="E207" s="21">
        <f>IF((ROUND(F206-ROUND($B$13-D207,2),2)&lt;=0),F206,ROUND($B$13-D207,2))</f>
        <v/>
      </c>
      <c r="F207" s="21">
        <f>IF((ROUND(F206-ROUND($B$13-D207,2),2)&lt;=0),0,ROUND(F206-E207,2))</f>
        <v/>
      </c>
    </row>
    <row r="208">
      <c r="A208" s="6" t="n">
        <v>192</v>
      </c>
      <c r="B208" s="19">
        <f>IF(B8="monthly",DATE(YEAR(B7)+INT((MONTH(B7)-1+191)/12),MOD(MONTH(B7)-1+191,12)+1,1)+(DAY(B7)-1),IF(B8="weekly",B7+1337,IF(B8="biweekly",B7+2674,B7+ROUND((191*365.25)/24,0))))</f>
        <v/>
      </c>
      <c r="C208" s="21">
        <f>IF((ROUND(F207-ROUND($B$13-D208,2),2)&lt;=0),ROUND(D208+E208,2),$B$13)</f>
        <v/>
      </c>
      <c r="D208" s="21">
        <f>ROUND(F207*B5/100/B10,2)</f>
        <v/>
      </c>
      <c r="E208" s="21">
        <f>IF((ROUND(F207-ROUND($B$13-D208,2),2)&lt;=0),F207,ROUND($B$13-D208,2))</f>
        <v/>
      </c>
      <c r="F208" s="21">
        <f>IF((ROUND(F207-ROUND($B$13-D208,2),2)&lt;=0),0,ROUND(F207-E208,2))</f>
        <v/>
      </c>
    </row>
    <row r="209">
      <c r="A209" s="6" t="n">
        <v>193</v>
      </c>
      <c r="B209" s="19">
        <f>IF(B8="monthly",DATE(YEAR(B7)+INT((MONTH(B7)-1+192)/12),MOD(MONTH(B7)-1+192,12)+1,1)+(DAY(B7)-1),IF(B8="weekly",B7+1344,IF(B8="biweekly",B7+2688,B7+ROUND((192*365.25)/24,0))))</f>
        <v/>
      </c>
      <c r="C209" s="21">
        <f>IF((ROUND(F208-ROUND($B$13-D209,2),2)&lt;=0),ROUND(D209+E209,2),$B$13)</f>
        <v/>
      </c>
      <c r="D209" s="21">
        <f>ROUND(F208*B5/100/B10,2)</f>
        <v/>
      </c>
      <c r="E209" s="21">
        <f>IF((ROUND(F208-ROUND($B$13-D209,2),2)&lt;=0),F208,ROUND($B$13-D209,2))</f>
        <v/>
      </c>
      <c r="F209" s="21">
        <f>IF((ROUND(F208-ROUND($B$13-D209,2),2)&lt;=0),0,ROUND(F208-E209,2))</f>
        <v/>
      </c>
    </row>
    <row r="210">
      <c r="A210" s="6" t="n">
        <v>194</v>
      </c>
      <c r="B210" s="19">
        <f>IF(B8="monthly",DATE(YEAR(B7)+INT((MONTH(B7)-1+193)/12),MOD(MONTH(B7)-1+193,12)+1,1)+(DAY(B7)-1),IF(B8="weekly",B7+1351,IF(B8="biweekly",B7+2702,B7+ROUND((193*365.25)/24,0))))</f>
        <v/>
      </c>
      <c r="C210" s="21">
        <f>IF((ROUND(F209-ROUND($B$13-D210,2),2)&lt;=0),ROUND(D210+E210,2),$B$13)</f>
        <v/>
      </c>
      <c r="D210" s="21">
        <f>ROUND(F209*B5/100/B10,2)</f>
        <v/>
      </c>
      <c r="E210" s="21">
        <f>IF((ROUND(F209-ROUND($B$13-D210,2),2)&lt;=0),F209,ROUND($B$13-D210,2))</f>
        <v/>
      </c>
      <c r="F210" s="21">
        <f>IF((ROUND(F209-ROUND($B$13-D210,2),2)&lt;=0),0,ROUND(F209-E210,2))</f>
        <v/>
      </c>
    </row>
    <row r="211">
      <c r="A211" s="6" t="n">
        <v>195</v>
      </c>
      <c r="B211" s="19">
        <f>IF(B8="monthly",DATE(YEAR(B7)+INT((MONTH(B7)-1+194)/12),MOD(MONTH(B7)-1+194,12)+1,1)+(DAY(B7)-1),IF(B8="weekly",B7+1358,IF(B8="biweekly",B7+2716,B7+ROUND((194*365.25)/24,0))))</f>
        <v/>
      </c>
      <c r="C211" s="21">
        <f>IF((ROUND(F210-ROUND($B$13-D211,2),2)&lt;=0),ROUND(D211+E211,2),$B$13)</f>
        <v/>
      </c>
      <c r="D211" s="21">
        <f>ROUND(F210*B5/100/B10,2)</f>
        <v/>
      </c>
      <c r="E211" s="21">
        <f>IF((ROUND(F210-ROUND($B$13-D211,2),2)&lt;=0),F210,ROUND($B$13-D211,2))</f>
        <v/>
      </c>
      <c r="F211" s="21">
        <f>IF((ROUND(F210-ROUND($B$13-D211,2),2)&lt;=0),0,ROUND(F210-E211,2))</f>
        <v/>
      </c>
    </row>
    <row r="212">
      <c r="A212" s="6" t="n">
        <v>196</v>
      </c>
      <c r="B212" s="19">
        <f>IF(B8="monthly",DATE(YEAR(B7)+INT((MONTH(B7)-1+195)/12),MOD(MONTH(B7)-1+195,12)+1,1)+(DAY(B7)-1),IF(B8="weekly",B7+1365,IF(B8="biweekly",B7+2730,B7+ROUND((195*365.25)/24,0))))</f>
        <v/>
      </c>
      <c r="C212" s="21">
        <f>IF((ROUND(F211-ROUND($B$13-D212,2),2)&lt;=0),ROUND(D212+E212,2),$B$13)</f>
        <v/>
      </c>
      <c r="D212" s="21">
        <f>ROUND(F211*B5/100/B10,2)</f>
        <v/>
      </c>
      <c r="E212" s="21">
        <f>IF((ROUND(F211-ROUND($B$13-D212,2),2)&lt;=0),F211,ROUND($B$13-D212,2))</f>
        <v/>
      </c>
      <c r="F212" s="21">
        <f>IF((ROUND(F211-ROUND($B$13-D212,2),2)&lt;=0),0,ROUND(F211-E212,2))</f>
        <v/>
      </c>
    </row>
    <row r="213">
      <c r="A213" s="6" t="n">
        <v>197</v>
      </c>
      <c r="B213" s="19">
        <f>IF(B8="monthly",DATE(YEAR(B7)+INT((MONTH(B7)-1+196)/12),MOD(MONTH(B7)-1+196,12)+1,1)+(DAY(B7)-1),IF(B8="weekly",B7+1372,IF(B8="biweekly",B7+2744,B7+ROUND((196*365.25)/24,0))))</f>
        <v/>
      </c>
      <c r="C213" s="21">
        <f>IF((ROUND(F212-ROUND($B$13-D213,2),2)&lt;=0),ROUND(D213+E213,2),$B$13)</f>
        <v/>
      </c>
      <c r="D213" s="21">
        <f>ROUND(F212*B5/100/B10,2)</f>
        <v/>
      </c>
      <c r="E213" s="21">
        <f>IF((ROUND(F212-ROUND($B$13-D213,2),2)&lt;=0),F212,ROUND($B$13-D213,2))</f>
        <v/>
      </c>
      <c r="F213" s="21">
        <f>IF((ROUND(F212-ROUND($B$13-D213,2),2)&lt;=0),0,ROUND(F212-E213,2))</f>
        <v/>
      </c>
    </row>
    <row r="214">
      <c r="A214" s="6" t="n">
        <v>198</v>
      </c>
      <c r="B214" s="19">
        <f>IF(B8="monthly",DATE(YEAR(B7)+INT((MONTH(B7)-1+197)/12),MOD(MONTH(B7)-1+197,12)+1,1)+(DAY(B7)-1),IF(B8="weekly",B7+1379,IF(B8="biweekly",B7+2758,B7+ROUND((197*365.25)/24,0))))</f>
        <v/>
      </c>
      <c r="C214" s="21">
        <f>IF((ROUND(F213-ROUND($B$13-D214,2),2)&lt;=0),ROUND(D214+E214,2),$B$13)</f>
        <v/>
      </c>
      <c r="D214" s="21">
        <f>ROUND(F213*B5/100/B10,2)</f>
        <v/>
      </c>
      <c r="E214" s="21">
        <f>IF((ROUND(F213-ROUND($B$13-D214,2),2)&lt;=0),F213,ROUND($B$13-D214,2))</f>
        <v/>
      </c>
      <c r="F214" s="21">
        <f>IF((ROUND(F213-ROUND($B$13-D214,2),2)&lt;=0),0,ROUND(F213-E214,2))</f>
        <v/>
      </c>
    </row>
    <row r="215">
      <c r="A215" s="6" t="n">
        <v>199</v>
      </c>
      <c r="B215" s="19">
        <f>IF(B8="monthly",DATE(YEAR(B7)+INT((MONTH(B7)-1+198)/12),MOD(MONTH(B7)-1+198,12)+1,1)+(DAY(B7)-1),IF(B8="weekly",B7+1386,IF(B8="biweekly",B7+2772,B7+ROUND((198*365.25)/24,0))))</f>
        <v/>
      </c>
      <c r="C215" s="21">
        <f>IF((ROUND(F214-ROUND($B$13-D215,2),2)&lt;=0),ROUND(D215+E215,2),$B$13)</f>
        <v/>
      </c>
      <c r="D215" s="21">
        <f>ROUND(F214*B5/100/B10,2)</f>
        <v/>
      </c>
      <c r="E215" s="21">
        <f>IF((ROUND(F214-ROUND($B$13-D215,2),2)&lt;=0),F214,ROUND($B$13-D215,2))</f>
        <v/>
      </c>
      <c r="F215" s="21">
        <f>IF((ROUND(F214-ROUND($B$13-D215,2),2)&lt;=0),0,ROUND(F214-E215,2))</f>
        <v/>
      </c>
    </row>
    <row r="216">
      <c r="A216" s="6" t="n">
        <v>200</v>
      </c>
      <c r="B216" s="19">
        <f>IF(B8="monthly",DATE(YEAR(B7)+INT((MONTH(B7)-1+199)/12),MOD(MONTH(B7)-1+199,12)+1,1)+(DAY(B7)-1),IF(B8="weekly",B7+1393,IF(B8="biweekly",B7+2786,B7+ROUND((199*365.25)/24,0))))</f>
        <v/>
      </c>
      <c r="C216" s="21">
        <f>IF((ROUND(F215-ROUND($B$13-D216,2),2)&lt;=0),ROUND(D216+E216,2),$B$13)</f>
        <v/>
      </c>
      <c r="D216" s="21">
        <f>ROUND(F215*B5/100/B10,2)</f>
        <v/>
      </c>
      <c r="E216" s="21">
        <f>IF((ROUND(F215-ROUND($B$13-D216,2),2)&lt;=0),F215,ROUND($B$13-D216,2))</f>
        <v/>
      </c>
      <c r="F216" s="21">
        <f>IF((ROUND(F215-ROUND($B$13-D216,2),2)&lt;=0),0,ROUND(F215-E216,2))</f>
        <v/>
      </c>
    </row>
    <row r="217">
      <c r="A217" s="6" t="n">
        <v>201</v>
      </c>
      <c r="B217" s="19">
        <f>IF(B8="monthly",DATE(YEAR(B7)+INT((MONTH(B7)-1+200)/12),MOD(MONTH(B7)-1+200,12)+1,1)+(DAY(B7)-1),IF(B8="weekly",B7+1400,IF(B8="biweekly",B7+2800,B7+ROUND((200*365.25)/24,0))))</f>
        <v/>
      </c>
      <c r="C217" s="21">
        <f>IF((ROUND(F216-ROUND($B$13-D217,2),2)&lt;=0),ROUND(D217+E217,2),$B$13)</f>
        <v/>
      </c>
      <c r="D217" s="21">
        <f>ROUND(F216*B5/100/B10,2)</f>
        <v/>
      </c>
      <c r="E217" s="21">
        <f>IF((ROUND(F216-ROUND($B$13-D217,2),2)&lt;=0),F216,ROUND($B$13-D217,2))</f>
        <v/>
      </c>
      <c r="F217" s="21">
        <f>IF((ROUND(F216-ROUND($B$13-D217,2),2)&lt;=0),0,ROUND(F216-E217,2))</f>
        <v/>
      </c>
    </row>
    <row r="218">
      <c r="A218" s="6" t="n">
        <v>202</v>
      </c>
      <c r="B218" s="19">
        <f>IF(B8="monthly",DATE(YEAR(B7)+INT((MONTH(B7)-1+201)/12),MOD(MONTH(B7)-1+201,12)+1,1)+(DAY(B7)-1),IF(B8="weekly",B7+1407,IF(B8="biweekly",B7+2814,B7+ROUND((201*365.25)/24,0))))</f>
        <v/>
      </c>
      <c r="C218" s="21">
        <f>IF((ROUND(F217-ROUND($B$13-D218,2),2)&lt;=0),ROUND(D218+E218,2),$B$13)</f>
        <v/>
      </c>
      <c r="D218" s="21">
        <f>ROUND(F217*B5/100/B10,2)</f>
        <v/>
      </c>
      <c r="E218" s="21">
        <f>IF((ROUND(F217-ROUND($B$13-D218,2),2)&lt;=0),F217,ROUND($B$13-D218,2))</f>
        <v/>
      </c>
      <c r="F218" s="21">
        <f>IF((ROUND(F217-ROUND($B$13-D218,2),2)&lt;=0),0,ROUND(F217-E218,2))</f>
        <v/>
      </c>
    </row>
    <row r="219">
      <c r="A219" s="6" t="n">
        <v>203</v>
      </c>
      <c r="B219" s="19">
        <f>IF(B8="monthly",DATE(YEAR(B7)+INT((MONTH(B7)-1+202)/12),MOD(MONTH(B7)-1+202,12)+1,1)+(DAY(B7)-1),IF(B8="weekly",B7+1414,IF(B8="biweekly",B7+2828,B7+ROUND((202*365.25)/24,0))))</f>
        <v/>
      </c>
      <c r="C219" s="21">
        <f>IF((ROUND(F218-ROUND($B$13-D219,2),2)&lt;=0),ROUND(D219+E219,2),$B$13)</f>
        <v/>
      </c>
      <c r="D219" s="21">
        <f>ROUND(F218*B5/100/B10,2)</f>
        <v/>
      </c>
      <c r="E219" s="21">
        <f>IF((ROUND(F218-ROUND($B$13-D219,2),2)&lt;=0),F218,ROUND($B$13-D219,2))</f>
        <v/>
      </c>
      <c r="F219" s="21">
        <f>IF((ROUND(F218-ROUND($B$13-D219,2),2)&lt;=0),0,ROUND(F218-E219,2))</f>
        <v/>
      </c>
    </row>
    <row r="220">
      <c r="A220" s="6" t="n">
        <v>204</v>
      </c>
      <c r="B220" s="19">
        <f>IF(B8="monthly",DATE(YEAR(B7)+INT((MONTH(B7)-1+203)/12),MOD(MONTH(B7)-1+203,12)+1,1)+(DAY(B7)-1),IF(B8="weekly",B7+1421,IF(B8="biweekly",B7+2842,B7+ROUND((203*365.25)/24,0))))</f>
        <v/>
      </c>
      <c r="C220" s="21">
        <f>IF((ROUND(F219-ROUND($B$13-D220,2),2)&lt;=0),ROUND(D220+E220,2),$B$13)</f>
        <v/>
      </c>
      <c r="D220" s="21">
        <f>ROUND(F219*B5/100/B10,2)</f>
        <v/>
      </c>
      <c r="E220" s="21">
        <f>IF((ROUND(F219-ROUND($B$13-D220,2),2)&lt;=0),F219,ROUND($B$13-D220,2))</f>
        <v/>
      </c>
      <c r="F220" s="21">
        <f>IF((ROUND(F219-ROUND($B$13-D220,2),2)&lt;=0),0,ROUND(F219-E220,2))</f>
        <v/>
      </c>
    </row>
    <row r="221">
      <c r="A221" s="6" t="n">
        <v>205</v>
      </c>
      <c r="B221" s="19">
        <f>IF(B8="monthly",DATE(YEAR(B7)+INT((MONTH(B7)-1+204)/12),MOD(MONTH(B7)-1+204,12)+1,1)+(DAY(B7)-1),IF(B8="weekly",B7+1428,IF(B8="biweekly",B7+2856,B7+ROUND((204*365.25)/24,0))))</f>
        <v/>
      </c>
      <c r="C221" s="21">
        <f>IF((ROUND(F220-ROUND($B$13-D221,2),2)&lt;=0),ROUND(D221+E221,2),$B$13)</f>
        <v/>
      </c>
      <c r="D221" s="21">
        <f>ROUND(F220*B5/100/B10,2)</f>
        <v/>
      </c>
      <c r="E221" s="21">
        <f>IF((ROUND(F220-ROUND($B$13-D221,2),2)&lt;=0),F220,ROUND($B$13-D221,2))</f>
        <v/>
      </c>
      <c r="F221" s="21">
        <f>IF((ROUND(F220-ROUND($B$13-D221,2),2)&lt;=0),0,ROUND(F220-E221,2))</f>
        <v/>
      </c>
    </row>
    <row r="222">
      <c r="A222" s="6" t="n">
        <v>206</v>
      </c>
      <c r="B222" s="19">
        <f>IF(B8="monthly",DATE(YEAR(B7)+INT((MONTH(B7)-1+205)/12),MOD(MONTH(B7)-1+205,12)+1,1)+(DAY(B7)-1),IF(B8="weekly",B7+1435,IF(B8="biweekly",B7+2870,B7+ROUND((205*365.25)/24,0))))</f>
        <v/>
      </c>
      <c r="C222" s="21">
        <f>IF((ROUND(F221-ROUND($B$13-D222,2),2)&lt;=0),ROUND(D222+E222,2),$B$13)</f>
        <v/>
      </c>
      <c r="D222" s="21">
        <f>ROUND(F221*B5/100/B10,2)</f>
        <v/>
      </c>
      <c r="E222" s="21">
        <f>IF((ROUND(F221-ROUND($B$13-D222,2),2)&lt;=0),F221,ROUND($B$13-D222,2))</f>
        <v/>
      </c>
      <c r="F222" s="21">
        <f>IF((ROUND(F221-ROUND($B$13-D222,2),2)&lt;=0),0,ROUND(F221-E222,2))</f>
        <v/>
      </c>
    </row>
    <row r="223">
      <c r="A223" s="6" t="n">
        <v>207</v>
      </c>
      <c r="B223" s="19">
        <f>IF(B8="monthly",DATE(YEAR(B7)+INT((MONTH(B7)-1+206)/12),MOD(MONTH(B7)-1+206,12)+1,1)+(DAY(B7)-1),IF(B8="weekly",B7+1442,IF(B8="biweekly",B7+2884,B7+ROUND((206*365.25)/24,0))))</f>
        <v/>
      </c>
      <c r="C223" s="21">
        <f>IF((ROUND(F222-ROUND($B$13-D223,2),2)&lt;=0),ROUND(D223+E223,2),$B$13)</f>
        <v/>
      </c>
      <c r="D223" s="21">
        <f>ROUND(F222*B5/100/B10,2)</f>
        <v/>
      </c>
      <c r="E223" s="21">
        <f>IF((ROUND(F222-ROUND($B$13-D223,2),2)&lt;=0),F222,ROUND($B$13-D223,2))</f>
        <v/>
      </c>
      <c r="F223" s="21">
        <f>IF((ROUND(F222-ROUND($B$13-D223,2),2)&lt;=0),0,ROUND(F222-E223,2))</f>
        <v/>
      </c>
    </row>
    <row r="224">
      <c r="A224" s="6" t="n">
        <v>208</v>
      </c>
      <c r="B224" s="19">
        <f>IF(B8="monthly",DATE(YEAR(B7)+INT((MONTH(B7)-1+207)/12),MOD(MONTH(B7)-1+207,12)+1,1)+(DAY(B7)-1),IF(B8="weekly",B7+1449,IF(B8="biweekly",B7+2898,B7+ROUND((207*365.25)/24,0))))</f>
        <v/>
      </c>
      <c r="C224" s="21">
        <f>IF((ROUND(F223-ROUND($B$13-D224,2),2)&lt;=0),ROUND(D224+E224,2),$B$13)</f>
        <v/>
      </c>
      <c r="D224" s="21">
        <f>ROUND(F223*B5/100/B10,2)</f>
        <v/>
      </c>
      <c r="E224" s="21">
        <f>IF((ROUND(F223-ROUND($B$13-D224,2),2)&lt;=0),F223,ROUND($B$13-D224,2))</f>
        <v/>
      </c>
      <c r="F224" s="21">
        <f>IF((ROUND(F223-ROUND($B$13-D224,2),2)&lt;=0),0,ROUND(F223-E224,2))</f>
        <v/>
      </c>
    </row>
    <row r="225">
      <c r="A225" s="6" t="n">
        <v>209</v>
      </c>
      <c r="B225" s="19">
        <f>IF(B8="monthly",DATE(YEAR(B7)+INT((MONTH(B7)-1+208)/12),MOD(MONTH(B7)-1+208,12)+1,1)+(DAY(B7)-1),IF(B8="weekly",B7+1456,IF(B8="biweekly",B7+2912,B7+ROUND((208*365.25)/24,0))))</f>
        <v/>
      </c>
      <c r="C225" s="21">
        <f>IF((ROUND(F224-ROUND($B$13-D225,2),2)&lt;=0),ROUND(D225+E225,2),$B$13)</f>
        <v/>
      </c>
      <c r="D225" s="21">
        <f>ROUND(F224*B5/100/B10,2)</f>
        <v/>
      </c>
      <c r="E225" s="21">
        <f>IF((ROUND(F224-ROUND($B$13-D225,2),2)&lt;=0),F224,ROUND($B$13-D225,2))</f>
        <v/>
      </c>
      <c r="F225" s="21">
        <f>IF((ROUND(F224-ROUND($B$13-D225,2),2)&lt;=0),0,ROUND(F224-E225,2))</f>
        <v/>
      </c>
    </row>
    <row r="226">
      <c r="A226" s="6" t="n">
        <v>210</v>
      </c>
      <c r="B226" s="19">
        <f>IF(B8="monthly",DATE(YEAR(B7)+INT((MONTH(B7)-1+209)/12),MOD(MONTH(B7)-1+209,12)+1,1)+(DAY(B7)-1),IF(B8="weekly",B7+1463,IF(B8="biweekly",B7+2926,B7+ROUND((209*365.25)/24,0))))</f>
        <v/>
      </c>
      <c r="C226" s="21">
        <f>IF((ROUND(F225-ROUND($B$13-D226,2),2)&lt;=0),ROUND(D226+E226,2),$B$13)</f>
        <v/>
      </c>
      <c r="D226" s="21">
        <f>ROUND(F225*B5/100/B10,2)</f>
        <v/>
      </c>
      <c r="E226" s="21">
        <f>IF((ROUND(F225-ROUND($B$13-D226,2),2)&lt;=0),F225,ROUND($B$13-D226,2))</f>
        <v/>
      </c>
      <c r="F226" s="21">
        <f>IF((ROUND(F225-ROUND($B$13-D226,2),2)&lt;=0),0,ROUND(F225-E226,2))</f>
        <v/>
      </c>
    </row>
    <row r="227">
      <c r="A227" s="6" t="n">
        <v>211</v>
      </c>
      <c r="B227" s="19">
        <f>IF(B8="monthly",DATE(YEAR(B7)+INT((MONTH(B7)-1+210)/12),MOD(MONTH(B7)-1+210,12)+1,1)+(DAY(B7)-1),IF(B8="weekly",B7+1470,IF(B8="biweekly",B7+2940,B7+ROUND((210*365.25)/24,0))))</f>
        <v/>
      </c>
      <c r="C227" s="21">
        <f>IF((ROUND(F226-ROUND($B$13-D227,2),2)&lt;=0),ROUND(D227+E227,2),$B$13)</f>
        <v/>
      </c>
      <c r="D227" s="21">
        <f>ROUND(F226*B5/100/B10,2)</f>
        <v/>
      </c>
      <c r="E227" s="21">
        <f>IF((ROUND(F226-ROUND($B$13-D227,2),2)&lt;=0),F226,ROUND($B$13-D227,2))</f>
        <v/>
      </c>
      <c r="F227" s="21">
        <f>IF((ROUND(F226-ROUND($B$13-D227,2),2)&lt;=0),0,ROUND(F226-E227,2))</f>
        <v/>
      </c>
    </row>
    <row r="228">
      <c r="A228" s="6" t="n">
        <v>212</v>
      </c>
      <c r="B228" s="19">
        <f>IF(B8="monthly",DATE(YEAR(B7)+INT((MONTH(B7)-1+211)/12),MOD(MONTH(B7)-1+211,12)+1,1)+(DAY(B7)-1),IF(B8="weekly",B7+1477,IF(B8="biweekly",B7+2954,B7+ROUND((211*365.25)/24,0))))</f>
        <v/>
      </c>
      <c r="C228" s="21">
        <f>IF((ROUND(F227-ROUND($B$13-D228,2),2)&lt;=0),ROUND(D228+E228,2),$B$13)</f>
        <v/>
      </c>
      <c r="D228" s="21">
        <f>ROUND(F227*B5/100/B10,2)</f>
        <v/>
      </c>
      <c r="E228" s="21">
        <f>IF((ROUND(F227-ROUND($B$13-D228,2),2)&lt;=0),F227,ROUND($B$13-D228,2))</f>
        <v/>
      </c>
      <c r="F228" s="21">
        <f>IF((ROUND(F227-ROUND($B$13-D228,2),2)&lt;=0),0,ROUND(F227-E228,2))</f>
        <v/>
      </c>
    </row>
    <row r="229">
      <c r="A229" s="6" t="n">
        <v>213</v>
      </c>
      <c r="B229" s="19">
        <f>IF(B8="monthly",DATE(YEAR(B7)+INT((MONTH(B7)-1+212)/12),MOD(MONTH(B7)-1+212,12)+1,1)+(DAY(B7)-1),IF(B8="weekly",B7+1484,IF(B8="biweekly",B7+2968,B7+ROUND((212*365.25)/24,0))))</f>
        <v/>
      </c>
      <c r="C229" s="21">
        <f>IF((ROUND(F228-ROUND($B$13-D229,2),2)&lt;=0),ROUND(D229+E229,2),$B$13)</f>
        <v/>
      </c>
      <c r="D229" s="21">
        <f>ROUND(F228*B5/100/B10,2)</f>
        <v/>
      </c>
      <c r="E229" s="21">
        <f>IF((ROUND(F228-ROUND($B$13-D229,2),2)&lt;=0),F228,ROUND($B$13-D229,2))</f>
        <v/>
      </c>
      <c r="F229" s="21">
        <f>IF((ROUND(F228-ROUND($B$13-D229,2),2)&lt;=0),0,ROUND(F228-E229,2))</f>
        <v/>
      </c>
    </row>
    <row r="230">
      <c r="A230" s="6" t="n">
        <v>214</v>
      </c>
      <c r="B230" s="19">
        <f>IF(B8="monthly",DATE(YEAR(B7)+INT((MONTH(B7)-1+213)/12),MOD(MONTH(B7)-1+213,12)+1,1)+(DAY(B7)-1),IF(B8="weekly",B7+1491,IF(B8="biweekly",B7+2982,B7+ROUND((213*365.25)/24,0))))</f>
        <v/>
      </c>
      <c r="C230" s="21">
        <f>IF((ROUND(F229-ROUND($B$13-D230,2),2)&lt;=0),ROUND(D230+E230,2),$B$13)</f>
        <v/>
      </c>
      <c r="D230" s="21">
        <f>ROUND(F229*B5/100/B10,2)</f>
        <v/>
      </c>
      <c r="E230" s="21">
        <f>IF((ROUND(F229-ROUND($B$13-D230,2),2)&lt;=0),F229,ROUND($B$13-D230,2))</f>
        <v/>
      </c>
      <c r="F230" s="21">
        <f>IF((ROUND(F229-ROUND($B$13-D230,2),2)&lt;=0),0,ROUND(F229-E230,2))</f>
        <v/>
      </c>
    </row>
    <row r="231">
      <c r="A231" s="6" t="n">
        <v>215</v>
      </c>
      <c r="B231" s="19">
        <f>IF(B8="monthly",DATE(YEAR(B7)+INT((MONTH(B7)-1+214)/12),MOD(MONTH(B7)-1+214,12)+1,1)+(DAY(B7)-1),IF(B8="weekly",B7+1498,IF(B8="biweekly",B7+2996,B7+ROUND((214*365.25)/24,0))))</f>
        <v/>
      </c>
      <c r="C231" s="21">
        <f>IF((ROUND(F230-ROUND($B$13-D231,2),2)&lt;=0),ROUND(D231+E231,2),$B$13)</f>
        <v/>
      </c>
      <c r="D231" s="21">
        <f>ROUND(F230*B5/100/B10,2)</f>
        <v/>
      </c>
      <c r="E231" s="21">
        <f>IF((ROUND(F230-ROUND($B$13-D231,2),2)&lt;=0),F230,ROUND($B$13-D231,2))</f>
        <v/>
      </c>
      <c r="F231" s="21">
        <f>IF((ROUND(F230-ROUND($B$13-D231,2),2)&lt;=0),0,ROUND(F230-E231,2))</f>
        <v/>
      </c>
    </row>
    <row r="232">
      <c r="A232" s="6" t="n">
        <v>216</v>
      </c>
      <c r="B232" s="19">
        <f>IF(B8="monthly",DATE(YEAR(B7)+INT((MONTH(B7)-1+215)/12),MOD(MONTH(B7)-1+215,12)+1,1)+(DAY(B7)-1),IF(B8="weekly",B7+1505,IF(B8="biweekly",B7+3010,B7+ROUND((215*365.25)/24,0))))</f>
        <v/>
      </c>
      <c r="C232" s="21">
        <f>IF((ROUND(F231-ROUND($B$13-D232,2),2)&lt;=0),ROUND(D232+E232,2),$B$13)</f>
        <v/>
      </c>
      <c r="D232" s="21">
        <f>ROUND(F231*B5/100/B10,2)</f>
        <v/>
      </c>
      <c r="E232" s="21">
        <f>IF((ROUND(F231-ROUND($B$13-D232,2),2)&lt;=0),F231,ROUND($B$13-D232,2))</f>
        <v/>
      </c>
      <c r="F232" s="21">
        <f>IF((ROUND(F231-ROUND($B$13-D232,2),2)&lt;=0),0,ROUND(F231-E232,2))</f>
        <v/>
      </c>
    </row>
    <row r="233">
      <c r="A233" s="6" t="n">
        <v>217</v>
      </c>
      <c r="B233" s="19">
        <f>IF(B8="monthly",DATE(YEAR(B7)+INT((MONTH(B7)-1+216)/12),MOD(MONTH(B7)-1+216,12)+1,1)+(DAY(B7)-1),IF(B8="weekly",B7+1512,IF(B8="biweekly",B7+3024,B7+ROUND((216*365.25)/24,0))))</f>
        <v/>
      </c>
      <c r="C233" s="21">
        <f>IF((ROUND(F232-ROUND($B$13-D233,2),2)&lt;=0),ROUND(D233+E233,2),$B$13)</f>
        <v/>
      </c>
      <c r="D233" s="21">
        <f>ROUND(F232*B5/100/B10,2)</f>
        <v/>
      </c>
      <c r="E233" s="21">
        <f>IF((ROUND(F232-ROUND($B$13-D233,2),2)&lt;=0),F232,ROUND($B$13-D233,2))</f>
        <v/>
      </c>
      <c r="F233" s="21">
        <f>IF((ROUND(F232-ROUND($B$13-D233,2),2)&lt;=0),0,ROUND(F232-E233,2))</f>
        <v/>
      </c>
    </row>
    <row r="234">
      <c r="A234" s="6" t="n">
        <v>218</v>
      </c>
      <c r="B234" s="19">
        <f>IF(B8="monthly",DATE(YEAR(B7)+INT((MONTH(B7)-1+217)/12),MOD(MONTH(B7)-1+217,12)+1,1)+(DAY(B7)-1),IF(B8="weekly",B7+1519,IF(B8="biweekly",B7+3038,B7+ROUND((217*365.25)/24,0))))</f>
        <v/>
      </c>
      <c r="C234" s="21">
        <f>IF((ROUND(F233-ROUND($B$13-D234,2),2)&lt;=0),ROUND(D234+E234,2),$B$13)</f>
        <v/>
      </c>
      <c r="D234" s="21">
        <f>ROUND(F233*B5/100/B10,2)</f>
        <v/>
      </c>
      <c r="E234" s="21">
        <f>IF((ROUND(F233-ROUND($B$13-D234,2),2)&lt;=0),F233,ROUND($B$13-D234,2))</f>
        <v/>
      </c>
      <c r="F234" s="21">
        <f>IF((ROUND(F233-ROUND($B$13-D234,2),2)&lt;=0),0,ROUND(F233-E234,2))</f>
        <v/>
      </c>
    </row>
    <row r="235">
      <c r="A235" s="6" t="n">
        <v>219</v>
      </c>
      <c r="B235" s="19">
        <f>IF(B8="monthly",DATE(YEAR(B7)+INT((MONTH(B7)-1+218)/12),MOD(MONTH(B7)-1+218,12)+1,1)+(DAY(B7)-1),IF(B8="weekly",B7+1526,IF(B8="biweekly",B7+3052,B7+ROUND((218*365.25)/24,0))))</f>
        <v/>
      </c>
      <c r="C235" s="21">
        <f>IF((ROUND(F234-ROUND($B$13-D235,2),2)&lt;=0),ROUND(D235+E235,2),$B$13)</f>
        <v/>
      </c>
      <c r="D235" s="21">
        <f>ROUND(F234*B5/100/B10,2)</f>
        <v/>
      </c>
      <c r="E235" s="21">
        <f>IF((ROUND(F234-ROUND($B$13-D235,2),2)&lt;=0),F234,ROUND($B$13-D235,2))</f>
        <v/>
      </c>
      <c r="F235" s="21">
        <f>IF((ROUND(F234-ROUND($B$13-D235,2),2)&lt;=0),0,ROUND(F234-E235,2))</f>
        <v/>
      </c>
    </row>
    <row r="236">
      <c r="A236" s="6" t="n">
        <v>220</v>
      </c>
      <c r="B236" s="19">
        <f>IF(B8="monthly",DATE(YEAR(B7)+INT((MONTH(B7)-1+219)/12),MOD(MONTH(B7)-1+219,12)+1,1)+(DAY(B7)-1),IF(B8="weekly",B7+1533,IF(B8="biweekly",B7+3066,B7+ROUND((219*365.25)/24,0))))</f>
        <v/>
      </c>
      <c r="C236" s="21">
        <f>IF((ROUND(F235-ROUND($B$13-D236,2),2)&lt;=0),ROUND(D236+E236,2),$B$13)</f>
        <v/>
      </c>
      <c r="D236" s="21">
        <f>ROUND(F235*B5/100/B10,2)</f>
        <v/>
      </c>
      <c r="E236" s="21">
        <f>IF((ROUND(F235-ROUND($B$13-D236,2),2)&lt;=0),F235,ROUND($B$13-D236,2))</f>
        <v/>
      </c>
      <c r="F236" s="21">
        <f>IF((ROUND(F235-ROUND($B$13-D236,2),2)&lt;=0),0,ROUND(F235-E236,2))</f>
        <v/>
      </c>
    </row>
    <row r="237">
      <c r="A237" s="6" t="n">
        <v>221</v>
      </c>
      <c r="B237" s="19">
        <f>IF(B8="monthly",DATE(YEAR(B7)+INT((MONTH(B7)-1+220)/12),MOD(MONTH(B7)-1+220,12)+1,1)+(DAY(B7)-1),IF(B8="weekly",B7+1540,IF(B8="biweekly",B7+3080,B7+ROUND((220*365.25)/24,0))))</f>
        <v/>
      </c>
      <c r="C237" s="21">
        <f>IF((ROUND(F236-ROUND($B$13-D237,2),2)&lt;=0),ROUND(D237+E237,2),$B$13)</f>
        <v/>
      </c>
      <c r="D237" s="21">
        <f>ROUND(F236*B5/100/B10,2)</f>
        <v/>
      </c>
      <c r="E237" s="21">
        <f>IF((ROUND(F236-ROUND($B$13-D237,2),2)&lt;=0),F236,ROUND($B$13-D237,2))</f>
        <v/>
      </c>
      <c r="F237" s="21">
        <f>IF((ROUND(F236-ROUND($B$13-D237,2),2)&lt;=0),0,ROUND(F236-E237,2))</f>
        <v/>
      </c>
    </row>
    <row r="238">
      <c r="A238" s="6" t="n">
        <v>222</v>
      </c>
      <c r="B238" s="19">
        <f>IF(B8="monthly",DATE(YEAR(B7)+INT((MONTH(B7)-1+221)/12),MOD(MONTH(B7)-1+221,12)+1,1)+(DAY(B7)-1),IF(B8="weekly",B7+1547,IF(B8="biweekly",B7+3094,B7+ROUND((221*365.25)/24,0))))</f>
        <v/>
      </c>
      <c r="C238" s="21">
        <f>IF((ROUND(F237-ROUND($B$13-D238,2),2)&lt;=0),ROUND(D238+E238,2),$B$13)</f>
        <v/>
      </c>
      <c r="D238" s="21">
        <f>ROUND(F237*B5/100/B10,2)</f>
        <v/>
      </c>
      <c r="E238" s="21">
        <f>IF((ROUND(F237-ROUND($B$13-D238,2),2)&lt;=0),F237,ROUND($B$13-D238,2))</f>
        <v/>
      </c>
      <c r="F238" s="21">
        <f>IF((ROUND(F237-ROUND($B$13-D238,2),2)&lt;=0),0,ROUND(F237-E238,2))</f>
        <v/>
      </c>
    </row>
    <row r="239">
      <c r="A239" s="6" t="n">
        <v>223</v>
      </c>
      <c r="B239" s="19">
        <f>IF(B8="monthly",DATE(YEAR(B7)+INT((MONTH(B7)-1+222)/12),MOD(MONTH(B7)-1+222,12)+1,1)+(DAY(B7)-1),IF(B8="weekly",B7+1554,IF(B8="biweekly",B7+3108,B7+ROUND((222*365.25)/24,0))))</f>
        <v/>
      </c>
      <c r="C239" s="21">
        <f>IF((ROUND(F238-ROUND($B$13-D239,2),2)&lt;=0),ROUND(D239+E239,2),$B$13)</f>
        <v/>
      </c>
      <c r="D239" s="21">
        <f>ROUND(F238*B5/100/B10,2)</f>
        <v/>
      </c>
      <c r="E239" s="21">
        <f>IF((ROUND(F238-ROUND($B$13-D239,2),2)&lt;=0),F238,ROUND($B$13-D239,2))</f>
        <v/>
      </c>
      <c r="F239" s="21">
        <f>IF((ROUND(F238-ROUND($B$13-D239,2),2)&lt;=0),0,ROUND(F238-E239,2))</f>
        <v/>
      </c>
    </row>
    <row r="240">
      <c r="A240" s="6" t="n">
        <v>224</v>
      </c>
      <c r="B240" s="19">
        <f>IF(B8="monthly",DATE(YEAR(B7)+INT((MONTH(B7)-1+223)/12),MOD(MONTH(B7)-1+223,12)+1,1)+(DAY(B7)-1),IF(B8="weekly",B7+1561,IF(B8="biweekly",B7+3122,B7+ROUND((223*365.25)/24,0))))</f>
        <v/>
      </c>
      <c r="C240" s="21">
        <f>IF((ROUND(F239-ROUND($B$13-D240,2),2)&lt;=0),ROUND(D240+E240,2),$B$13)</f>
        <v/>
      </c>
      <c r="D240" s="21">
        <f>ROUND(F239*B5/100/B10,2)</f>
        <v/>
      </c>
      <c r="E240" s="21">
        <f>IF((ROUND(F239-ROUND($B$13-D240,2),2)&lt;=0),F239,ROUND($B$13-D240,2))</f>
        <v/>
      </c>
      <c r="F240" s="21">
        <f>IF((ROUND(F239-ROUND($B$13-D240,2),2)&lt;=0),0,ROUND(F239-E240,2))</f>
        <v/>
      </c>
    </row>
    <row r="241">
      <c r="A241" s="6" t="n">
        <v>225</v>
      </c>
      <c r="B241" s="19">
        <f>IF(B8="monthly",DATE(YEAR(B7)+INT((MONTH(B7)-1+224)/12),MOD(MONTH(B7)-1+224,12)+1,1)+(DAY(B7)-1),IF(B8="weekly",B7+1568,IF(B8="biweekly",B7+3136,B7+ROUND((224*365.25)/24,0))))</f>
        <v/>
      </c>
      <c r="C241" s="21">
        <f>IF((ROUND(F240-ROUND($B$13-D241,2),2)&lt;=0),ROUND(D241+E241,2),$B$13)</f>
        <v/>
      </c>
      <c r="D241" s="21">
        <f>ROUND(F240*B5/100/B10,2)</f>
        <v/>
      </c>
      <c r="E241" s="21">
        <f>IF((ROUND(F240-ROUND($B$13-D241,2),2)&lt;=0),F240,ROUND($B$13-D241,2))</f>
        <v/>
      </c>
      <c r="F241" s="21">
        <f>IF((ROUND(F240-ROUND($B$13-D241,2),2)&lt;=0),0,ROUND(F240-E241,2))</f>
        <v/>
      </c>
    </row>
    <row r="242">
      <c r="A242" s="6" t="n">
        <v>226</v>
      </c>
      <c r="B242" s="19">
        <f>IF(B8="monthly",DATE(YEAR(B7)+INT((MONTH(B7)-1+225)/12),MOD(MONTH(B7)-1+225,12)+1,1)+(DAY(B7)-1),IF(B8="weekly",B7+1575,IF(B8="biweekly",B7+3150,B7+ROUND((225*365.25)/24,0))))</f>
        <v/>
      </c>
      <c r="C242" s="21">
        <f>IF((ROUND(F241-ROUND($B$13-D242,2),2)&lt;=0),ROUND(D242+E242,2),$B$13)</f>
        <v/>
      </c>
      <c r="D242" s="21">
        <f>ROUND(F241*B5/100/B10,2)</f>
        <v/>
      </c>
      <c r="E242" s="21">
        <f>IF((ROUND(F241-ROUND($B$13-D242,2),2)&lt;=0),F241,ROUND($B$13-D242,2))</f>
        <v/>
      </c>
      <c r="F242" s="21">
        <f>IF((ROUND(F241-ROUND($B$13-D242,2),2)&lt;=0),0,ROUND(F241-E242,2))</f>
        <v/>
      </c>
    </row>
    <row r="243">
      <c r="A243" s="6" t="n">
        <v>227</v>
      </c>
      <c r="B243" s="19">
        <f>IF(B8="monthly",DATE(YEAR(B7)+INT((MONTH(B7)-1+226)/12),MOD(MONTH(B7)-1+226,12)+1,1)+(DAY(B7)-1),IF(B8="weekly",B7+1582,IF(B8="biweekly",B7+3164,B7+ROUND((226*365.25)/24,0))))</f>
        <v/>
      </c>
      <c r="C243" s="21">
        <f>IF((ROUND(F242-ROUND($B$13-D243,2),2)&lt;=0),ROUND(D243+E243,2),$B$13)</f>
        <v/>
      </c>
      <c r="D243" s="21">
        <f>ROUND(F242*B5/100/B10,2)</f>
        <v/>
      </c>
      <c r="E243" s="21">
        <f>IF((ROUND(F242-ROUND($B$13-D243,2),2)&lt;=0),F242,ROUND($B$13-D243,2))</f>
        <v/>
      </c>
      <c r="F243" s="21">
        <f>IF((ROUND(F242-ROUND($B$13-D243,2),2)&lt;=0),0,ROUND(F242-E243,2))</f>
        <v/>
      </c>
    </row>
    <row r="244">
      <c r="A244" s="6" t="n">
        <v>228</v>
      </c>
      <c r="B244" s="19">
        <f>IF(B8="monthly",DATE(YEAR(B7)+INT((MONTH(B7)-1+227)/12),MOD(MONTH(B7)-1+227,12)+1,1)+(DAY(B7)-1),IF(B8="weekly",B7+1589,IF(B8="biweekly",B7+3178,B7+ROUND((227*365.25)/24,0))))</f>
        <v/>
      </c>
      <c r="C244" s="21">
        <f>IF((ROUND(F243-ROUND($B$13-D244,2),2)&lt;=0),ROUND(D244+E244,2),$B$13)</f>
        <v/>
      </c>
      <c r="D244" s="21">
        <f>ROUND(F243*B5/100/B10,2)</f>
        <v/>
      </c>
      <c r="E244" s="21">
        <f>IF((ROUND(F243-ROUND($B$13-D244,2),2)&lt;=0),F243,ROUND($B$13-D244,2))</f>
        <v/>
      </c>
      <c r="F244" s="21">
        <f>IF((ROUND(F243-ROUND($B$13-D244,2),2)&lt;=0),0,ROUND(F243-E244,2))</f>
        <v/>
      </c>
    </row>
    <row r="245">
      <c r="A245" s="6" t="n">
        <v>229</v>
      </c>
      <c r="B245" s="19">
        <f>IF(B8="monthly",DATE(YEAR(B7)+INT((MONTH(B7)-1+228)/12),MOD(MONTH(B7)-1+228,12)+1,1)+(DAY(B7)-1),IF(B8="weekly",B7+1596,IF(B8="biweekly",B7+3192,B7+ROUND((228*365.25)/24,0))))</f>
        <v/>
      </c>
      <c r="C245" s="21">
        <f>IF((ROUND(F244-ROUND($B$13-D245,2),2)&lt;=0),ROUND(D245+E245,2),$B$13)</f>
        <v/>
      </c>
      <c r="D245" s="21">
        <f>ROUND(F244*B5/100/B10,2)</f>
        <v/>
      </c>
      <c r="E245" s="21">
        <f>IF((ROUND(F244-ROUND($B$13-D245,2),2)&lt;=0),F244,ROUND($B$13-D245,2))</f>
        <v/>
      </c>
      <c r="F245" s="21">
        <f>IF((ROUND(F244-ROUND($B$13-D245,2),2)&lt;=0),0,ROUND(F244-E245,2))</f>
        <v/>
      </c>
    </row>
    <row r="246">
      <c r="A246" s="6" t="n">
        <v>230</v>
      </c>
      <c r="B246" s="19">
        <f>IF(B8="monthly",DATE(YEAR(B7)+INT((MONTH(B7)-1+229)/12),MOD(MONTH(B7)-1+229,12)+1,1)+(DAY(B7)-1),IF(B8="weekly",B7+1603,IF(B8="biweekly",B7+3206,B7+ROUND((229*365.25)/24,0))))</f>
        <v/>
      </c>
      <c r="C246" s="21">
        <f>IF((ROUND(F245-ROUND($B$13-D246,2),2)&lt;=0),ROUND(D246+E246,2),$B$13)</f>
        <v/>
      </c>
      <c r="D246" s="21">
        <f>ROUND(F245*B5/100/B10,2)</f>
        <v/>
      </c>
      <c r="E246" s="21">
        <f>IF((ROUND(F245-ROUND($B$13-D246,2),2)&lt;=0),F245,ROUND($B$13-D246,2))</f>
        <v/>
      </c>
      <c r="F246" s="21">
        <f>IF((ROUND(F245-ROUND($B$13-D246,2),2)&lt;=0),0,ROUND(F245-E246,2))</f>
        <v/>
      </c>
    </row>
    <row r="247">
      <c r="A247" s="6" t="n">
        <v>231</v>
      </c>
      <c r="B247" s="19">
        <f>IF(B8="monthly",DATE(YEAR(B7)+INT((MONTH(B7)-1+230)/12),MOD(MONTH(B7)-1+230,12)+1,1)+(DAY(B7)-1),IF(B8="weekly",B7+1610,IF(B8="biweekly",B7+3220,B7+ROUND((230*365.25)/24,0))))</f>
        <v/>
      </c>
      <c r="C247" s="21">
        <f>IF((ROUND(F246-ROUND($B$13-D247,2),2)&lt;=0),ROUND(D247+E247,2),$B$13)</f>
        <v/>
      </c>
      <c r="D247" s="21">
        <f>ROUND(F246*B5/100/B10,2)</f>
        <v/>
      </c>
      <c r="E247" s="21">
        <f>IF((ROUND(F246-ROUND($B$13-D247,2),2)&lt;=0),F246,ROUND($B$13-D247,2))</f>
        <v/>
      </c>
      <c r="F247" s="21">
        <f>IF((ROUND(F246-ROUND($B$13-D247,2),2)&lt;=0),0,ROUND(F246-E247,2))</f>
        <v/>
      </c>
    </row>
    <row r="248">
      <c r="A248" s="6" t="n">
        <v>232</v>
      </c>
      <c r="B248" s="19">
        <f>IF(B8="monthly",DATE(YEAR(B7)+INT((MONTH(B7)-1+231)/12),MOD(MONTH(B7)-1+231,12)+1,1)+(DAY(B7)-1),IF(B8="weekly",B7+1617,IF(B8="biweekly",B7+3234,B7+ROUND((231*365.25)/24,0))))</f>
        <v/>
      </c>
      <c r="C248" s="21">
        <f>IF((ROUND(F247-ROUND($B$13-D248,2),2)&lt;=0),ROUND(D248+E248,2),$B$13)</f>
        <v/>
      </c>
      <c r="D248" s="21">
        <f>ROUND(F247*B5/100/B10,2)</f>
        <v/>
      </c>
      <c r="E248" s="21">
        <f>IF((ROUND(F247-ROUND($B$13-D248,2),2)&lt;=0),F247,ROUND($B$13-D248,2))</f>
        <v/>
      </c>
      <c r="F248" s="21">
        <f>IF((ROUND(F247-ROUND($B$13-D248,2),2)&lt;=0),0,ROUND(F247-E248,2))</f>
        <v/>
      </c>
    </row>
    <row r="249">
      <c r="A249" s="6" t="n">
        <v>233</v>
      </c>
      <c r="B249" s="19">
        <f>IF(B8="monthly",DATE(YEAR(B7)+INT((MONTH(B7)-1+232)/12),MOD(MONTH(B7)-1+232,12)+1,1)+(DAY(B7)-1),IF(B8="weekly",B7+1624,IF(B8="biweekly",B7+3248,B7+ROUND((232*365.25)/24,0))))</f>
        <v/>
      </c>
      <c r="C249" s="21">
        <f>IF((ROUND(F248-ROUND($B$13-D249,2),2)&lt;=0),ROUND(D249+E249,2),$B$13)</f>
        <v/>
      </c>
      <c r="D249" s="21">
        <f>ROUND(F248*B5/100/B10,2)</f>
        <v/>
      </c>
      <c r="E249" s="21">
        <f>IF((ROUND(F248-ROUND($B$13-D249,2),2)&lt;=0),F248,ROUND($B$13-D249,2))</f>
        <v/>
      </c>
      <c r="F249" s="21">
        <f>IF((ROUND(F248-ROUND($B$13-D249,2),2)&lt;=0),0,ROUND(F248-E249,2))</f>
        <v/>
      </c>
    </row>
    <row r="250">
      <c r="A250" s="6" t="n">
        <v>234</v>
      </c>
      <c r="B250" s="19">
        <f>IF(B8="monthly",DATE(YEAR(B7)+INT((MONTH(B7)-1+233)/12),MOD(MONTH(B7)-1+233,12)+1,1)+(DAY(B7)-1),IF(B8="weekly",B7+1631,IF(B8="biweekly",B7+3262,B7+ROUND((233*365.25)/24,0))))</f>
        <v/>
      </c>
      <c r="C250" s="21">
        <f>IF((ROUND(F249-ROUND($B$13-D250,2),2)&lt;=0),ROUND(D250+E250,2),$B$13)</f>
        <v/>
      </c>
      <c r="D250" s="21">
        <f>ROUND(F249*B5/100/B10,2)</f>
        <v/>
      </c>
      <c r="E250" s="21">
        <f>IF((ROUND(F249-ROUND($B$13-D250,2),2)&lt;=0),F249,ROUND($B$13-D250,2))</f>
        <v/>
      </c>
      <c r="F250" s="21">
        <f>IF((ROUND(F249-ROUND($B$13-D250,2),2)&lt;=0),0,ROUND(F249-E250,2))</f>
        <v/>
      </c>
    </row>
    <row r="251">
      <c r="A251" s="6" t="n">
        <v>235</v>
      </c>
      <c r="B251" s="19">
        <f>IF(B8="monthly",DATE(YEAR(B7)+INT((MONTH(B7)-1+234)/12),MOD(MONTH(B7)-1+234,12)+1,1)+(DAY(B7)-1),IF(B8="weekly",B7+1638,IF(B8="biweekly",B7+3276,B7+ROUND((234*365.25)/24,0))))</f>
        <v/>
      </c>
      <c r="C251" s="21">
        <f>IF((ROUND(F250-ROUND($B$13-D251,2),2)&lt;=0),ROUND(D251+E251,2),$B$13)</f>
        <v/>
      </c>
      <c r="D251" s="21">
        <f>ROUND(F250*B5/100/B10,2)</f>
        <v/>
      </c>
      <c r="E251" s="21">
        <f>IF((ROUND(F250-ROUND($B$13-D251,2),2)&lt;=0),F250,ROUND($B$13-D251,2))</f>
        <v/>
      </c>
      <c r="F251" s="21">
        <f>IF((ROUND(F250-ROUND($B$13-D251,2),2)&lt;=0),0,ROUND(F250-E251,2))</f>
        <v/>
      </c>
    </row>
    <row r="252">
      <c r="A252" s="6" t="n">
        <v>236</v>
      </c>
      <c r="B252" s="19">
        <f>IF(B8="monthly",DATE(YEAR(B7)+INT((MONTH(B7)-1+235)/12),MOD(MONTH(B7)-1+235,12)+1,1)+(DAY(B7)-1),IF(B8="weekly",B7+1645,IF(B8="biweekly",B7+3290,B7+ROUND((235*365.25)/24,0))))</f>
        <v/>
      </c>
      <c r="C252" s="21">
        <f>IF((ROUND(F251-ROUND($B$13-D252,2),2)&lt;=0),ROUND(D252+E252,2),$B$13)</f>
        <v/>
      </c>
      <c r="D252" s="21">
        <f>ROUND(F251*B5/100/B10,2)</f>
        <v/>
      </c>
      <c r="E252" s="21">
        <f>IF((ROUND(F251-ROUND($B$13-D252,2),2)&lt;=0),F251,ROUND($B$13-D252,2))</f>
        <v/>
      </c>
      <c r="F252" s="21">
        <f>IF((ROUND(F251-ROUND($B$13-D252,2),2)&lt;=0),0,ROUND(F251-E252,2))</f>
        <v/>
      </c>
    </row>
    <row r="253">
      <c r="A253" s="6" t="n">
        <v>237</v>
      </c>
      <c r="B253" s="19">
        <f>IF(B8="monthly",DATE(YEAR(B7)+INT((MONTH(B7)-1+236)/12),MOD(MONTH(B7)-1+236,12)+1,1)+(DAY(B7)-1),IF(B8="weekly",B7+1652,IF(B8="biweekly",B7+3304,B7+ROUND((236*365.25)/24,0))))</f>
        <v/>
      </c>
      <c r="C253" s="21">
        <f>IF((ROUND(F252-ROUND($B$13-D253,2),2)&lt;=0),ROUND(D253+E253,2),$B$13)</f>
        <v/>
      </c>
      <c r="D253" s="21">
        <f>ROUND(F252*B5/100/B10,2)</f>
        <v/>
      </c>
      <c r="E253" s="21">
        <f>IF((ROUND(F252-ROUND($B$13-D253,2),2)&lt;=0),F252,ROUND($B$13-D253,2))</f>
        <v/>
      </c>
      <c r="F253" s="21">
        <f>IF((ROUND(F252-ROUND($B$13-D253,2),2)&lt;=0),0,ROUND(F252-E253,2))</f>
        <v/>
      </c>
    </row>
    <row r="254">
      <c r="A254" s="6" t="n">
        <v>238</v>
      </c>
      <c r="B254" s="19">
        <f>IF(B8="monthly",DATE(YEAR(B7)+INT((MONTH(B7)-1+237)/12),MOD(MONTH(B7)-1+237,12)+1,1)+(DAY(B7)-1),IF(B8="weekly",B7+1659,IF(B8="biweekly",B7+3318,B7+ROUND((237*365.25)/24,0))))</f>
        <v/>
      </c>
      <c r="C254" s="21">
        <f>IF((ROUND(F253-ROUND($B$13-D254,2),2)&lt;=0),ROUND(D254+E254,2),$B$13)</f>
        <v/>
      </c>
      <c r="D254" s="21">
        <f>ROUND(F253*B5/100/B10,2)</f>
        <v/>
      </c>
      <c r="E254" s="21">
        <f>IF((ROUND(F253-ROUND($B$13-D254,2),2)&lt;=0),F253,ROUND($B$13-D254,2))</f>
        <v/>
      </c>
      <c r="F254" s="21">
        <f>IF((ROUND(F253-ROUND($B$13-D254,2),2)&lt;=0),0,ROUND(F253-E254,2))</f>
        <v/>
      </c>
    </row>
    <row r="255">
      <c r="A255" s="6" t="n">
        <v>239</v>
      </c>
      <c r="B255" s="19">
        <f>IF(B8="monthly",DATE(YEAR(B7)+INT((MONTH(B7)-1+238)/12),MOD(MONTH(B7)-1+238,12)+1,1)+(DAY(B7)-1),IF(B8="weekly",B7+1666,IF(B8="biweekly",B7+3332,B7+ROUND((238*365.25)/24,0))))</f>
        <v/>
      </c>
      <c r="C255" s="21">
        <f>IF((ROUND(F254-ROUND($B$13-D255,2),2)&lt;=0),ROUND(D255+E255,2),$B$13)</f>
        <v/>
      </c>
      <c r="D255" s="21">
        <f>ROUND(F254*B5/100/B10,2)</f>
        <v/>
      </c>
      <c r="E255" s="21">
        <f>IF((ROUND(F254-ROUND($B$13-D255,2),2)&lt;=0),F254,ROUND($B$13-D255,2))</f>
        <v/>
      </c>
      <c r="F255" s="21">
        <f>IF((ROUND(F254-ROUND($B$13-D255,2),2)&lt;=0),0,ROUND(F254-E255,2))</f>
        <v/>
      </c>
    </row>
    <row r="256">
      <c r="A256" s="6" t="n">
        <v>240</v>
      </c>
      <c r="B256" s="19">
        <f>IF(B8="monthly",DATE(YEAR(B7)+INT((MONTH(B7)-1+239)/12),MOD(MONTH(B7)-1+239,12)+1,1)+(DAY(B7)-1),IF(B8="weekly",B7+1673,IF(B8="biweekly",B7+3346,B7+ROUND((239*365.25)/24,0))))</f>
        <v/>
      </c>
      <c r="C256" s="21">
        <f>IF((ROUND(F255-ROUND($B$13-D256,2),2)&lt;=0),ROUND(D256+E256,2),$B$13)</f>
        <v/>
      </c>
      <c r="D256" s="21">
        <f>ROUND(F255*B5/100/B10,2)</f>
        <v/>
      </c>
      <c r="E256" s="21">
        <f>IF((ROUND(F255-ROUND($B$13-D256,2),2)&lt;=0),F255,ROUND($B$13-D256,2))</f>
        <v/>
      </c>
      <c r="F256" s="21">
        <f>IF((ROUND(F255-ROUND($B$13-D256,2),2)&lt;=0),0,ROUND(F255-E256,2))</f>
        <v/>
      </c>
    </row>
    <row r="257">
      <c r="A257" s="6" t="n">
        <v>241</v>
      </c>
      <c r="B257" s="19">
        <f>IF(B8="monthly",DATE(YEAR(B7)+INT((MONTH(B7)-1+240)/12),MOD(MONTH(B7)-1+240,12)+1,1)+(DAY(B7)-1),IF(B8="weekly",B7+1680,IF(B8="biweekly",B7+3360,B7+ROUND((240*365.25)/24,0))))</f>
        <v/>
      </c>
      <c r="C257" s="21">
        <f>IF((ROUND(F256-ROUND($B$13-D257,2),2)&lt;=0),ROUND(D257+E257,2),$B$13)</f>
        <v/>
      </c>
      <c r="D257" s="21">
        <f>ROUND(F256*B5/100/B10,2)</f>
        <v/>
      </c>
      <c r="E257" s="21">
        <f>IF((ROUND(F256-ROUND($B$13-D257,2),2)&lt;=0),F256,ROUND($B$13-D257,2))</f>
        <v/>
      </c>
      <c r="F257" s="21">
        <f>IF((ROUND(F256-ROUND($B$13-D257,2),2)&lt;=0),0,ROUND(F256-E257,2))</f>
        <v/>
      </c>
    </row>
    <row r="258">
      <c r="A258" s="6" t="n">
        <v>242</v>
      </c>
      <c r="B258" s="19">
        <f>IF(B8="monthly",DATE(YEAR(B7)+INT((MONTH(B7)-1+241)/12),MOD(MONTH(B7)-1+241,12)+1,1)+(DAY(B7)-1),IF(B8="weekly",B7+1687,IF(B8="biweekly",B7+3374,B7+ROUND((241*365.25)/24,0))))</f>
        <v/>
      </c>
      <c r="C258" s="21">
        <f>IF((ROUND(F257-ROUND($B$13-D258,2),2)&lt;=0),ROUND(D258+E258,2),$B$13)</f>
        <v/>
      </c>
      <c r="D258" s="21">
        <f>ROUND(F257*B5/100/B10,2)</f>
        <v/>
      </c>
      <c r="E258" s="21">
        <f>IF((ROUND(F257-ROUND($B$13-D258,2),2)&lt;=0),F257,ROUND($B$13-D258,2))</f>
        <v/>
      </c>
      <c r="F258" s="21">
        <f>IF((ROUND(F257-ROUND($B$13-D258,2),2)&lt;=0),0,ROUND(F257-E258,2))</f>
        <v/>
      </c>
    </row>
    <row r="259">
      <c r="A259" s="6" t="n">
        <v>243</v>
      </c>
      <c r="B259" s="19">
        <f>IF(B8="monthly",DATE(YEAR(B7)+INT((MONTH(B7)-1+242)/12),MOD(MONTH(B7)-1+242,12)+1,1)+(DAY(B7)-1),IF(B8="weekly",B7+1694,IF(B8="biweekly",B7+3388,B7+ROUND((242*365.25)/24,0))))</f>
        <v/>
      </c>
      <c r="C259" s="21">
        <f>IF((ROUND(F258-ROUND($B$13-D259,2),2)&lt;=0),ROUND(D259+E259,2),$B$13)</f>
        <v/>
      </c>
      <c r="D259" s="21">
        <f>ROUND(F258*B5/100/B10,2)</f>
        <v/>
      </c>
      <c r="E259" s="21">
        <f>IF((ROUND(F258-ROUND($B$13-D259,2),2)&lt;=0),F258,ROUND($B$13-D259,2))</f>
        <v/>
      </c>
      <c r="F259" s="21">
        <f>IF((ROUND(F258-ROUND($B$13-D259,2),2)&lt;=0),0,ROUND(F258-E259,2))</f>
        <v/>
      </c>
    </row>
    <row r="260">
      <c r="A260" s="6" t="n">
        <v>244</v>
      </c>
      <c r="B260" s="19">
        <f>IF(B8="monthly",DATE(YEAR(B7)+INT((MONTH(B7)-1+243)/12),MOD(MONTH(B7)-1+243,12)+1,1)+(DAY(B7)-1),IF(B8="weekly",B7+1701,IF(B8="biweekly",B7+3402,B7+ROUND((243*365.25)/24,0))))</f>
        <v/>
      </c>
      <c r="C260" s="21">
        <f>IF((ROUND(F259-ROUND($B$13-D260,2),2)&lt;=0),ROUND(D260+E260,2),$B$13)</f>
        <v/>
      </c>
      <c r="D260" s="21">
        <f>ROUND(F259*B5/100/B10,2)</f>
        <v/>
      </c>
      <c r="E260" s="21">
        <f>IF((ROUND(F259-ROUND($B$13-D260,2),2)&lt;=0),F259,ROUND($B$13-D260,2))</f>
        <v/>
      </c>
      <c r="F260" s="21">
        <f>IF((ROUND(F259-ROUND($B$13-D260,2),2)&lt;=0),0,ROUND(F259-E260,2))</f>
        <v/>
      </c>
    </row>
    <row r="261">
      <c r="A261" s="6" t="n">
        <v>245</v>
      </c>
      <c r="B261" s="19">
        <f>IF(B8="monthly",DATE(YEAR(B7)+INT((MONTH(B7)-1+244)/12),MOD(MONTH(B7)-1+244,12)+1,1)+(DAY(B7)-1),IF(B8="weekly",B7+1708,IF(B8="biweekly",B7+3416,B7+ROUND((244*365.25)/24,0))))</f>
        <v/>
      </c>
      <c r="C261" s="21">
        <f>IF((ROUND(F260-ROUND($B$13-D261,2),2)&lt;=0),ROUND(D261+E261,2),$B$13)</f>
        <v/>
      </c>
      <c r="D261" s="21">
        <f>ROUND(F260*B5/100/B10,2)</f>
        <v/>
      </c>
      <c r="E261" s="21">
        <f>IF((ROUND(F260-ROUND($B$13-D261,2),2)&lt;=0),F260,ROUND($B$13-D261,2))</f>
        <v/>
      </c>
      <c r="F261" s="21">
        <f>IF((ROUND(F260-ROUND($B$13-D261,2),2)&lt;=0),0,ROUND(F260-E261,2))</f>
        <v/>
      </c>
    </row>
    <row r="262">
      <c r="A262" s="6" t="n">
        <v>246</v>
      </c>
      <c r="B262" s="19">
        <f>IF(B8="monthly",DATE(YEAR(B7)+INT((MONTH(B7)-1+245)/12),MOD(MONTH(B7)-1+245,12)+1,1)+(DAY(B7)-1),IF(B8="weekly",B7+1715,IF(B8="biweekly",B7+3430,B7+ROUND((245*365.25)/24,0))))</f>
        <v/>
      </c>
      <c r="C262" s="21">
        <f>IF((ROUND(F261-ROUND($B$13-D262,2),2)&lt;=0),ROUND(D262+E262,2),$B$13)</f>
        <v/>
      </c>
      <c r="D262" s="21">
        <f>ROUND(F261*B5/100/B10,2)</f>
        <v/>
      </c>
      <c r="E262" s="21">
        <f>IF((ROUND(F261-ROUND($B$13-D262,2),2)&lt;=0),F261,ROUND($B$13-D262,2))</f>
        <v/>
      </c>
      <c r="F262" s="21">
        <f>IF((ROUND(F261-ROUND($B$13-D262,2),2)&lt;=0),0,ROUND(F261-E262,2))</f>
        <v/>
      </c>
    </row>
    <row r="263">
      <c r="A263" s="6" t="n">
        <v>247</v>
      </c>
      <c r="B263" s="19">
        <f>IF(B8="monthly",DATE(YEAR(B7)+INT((MONTH(B7)-1+246)/12),MOD(MONTH(B7)-1+246,12)+1,1)+(DAY(B7)-1),IF(B8="weekly",B7+1722,IF(B8="biweekly",B7+3444,B7+ROUND((246*365.25)/24,0))))</f>
        <v/>
      </c>
      <c r="C263" s="21">
        <f>IF((ROUND(F262-ROUND($B$13-D263,2),2)&lt;=0),ROUND(D263+E263,2),$B$13)</f>
        <v/>
      </c>
      <c r="D263" s="21">
        <f>ROUND(F262*B5/100/B10,2)</f>
        <v/>
      </c>
      <c r="E263" s="21">
        <f>IF((ROUND(F262-ROUND($B$13-D263,2),2)&lt;=0),F262,ROUND($B$13-D263,2))</f>
        <v/>
      </c>
      <c r="F263" s="21">
        <f>IF((ROUND(F262-ROUND($B$13-D263,2),2)&lt;=0),0,ROUND(F262-E263,2))</f>
        <v/>
      </c>
    </row>
    <row r="264">
      <c r="A264" s="6" t="n">
        <v>248</v>
      </c>
      <c r="B264" s="19">
        <f>IF(B8="monthly",DATE(YEAR(B7)+INT((MONTH(B7)-1+247)/12),MOD(MONTH(B7)-1+247,12)+1,1)+(DAY(B7)-1),IF(B8="weekly",B7+1729,IF(B8="biweekly",B7+3458,B7+ROUND((247*365.25)/24,0))))</f>
        <v/>
      </c>
      <c r="C264" s="21">
        <f>IF((ROUND(F263-ROUND($B$13-D264,2),2)&lt;=0),ROUND(D264+E264,2),$B$13)</f>
        <v/>
      </c>
      <c r="D264" s="21">
        <f>ROUND(F263*B5/100/B10,2)</f>
        <v/>
      </c>
      <c r="E264" s="21">
        <f>IF((ROUND(F263-ROUND($B$13-D264,2),2)&lt;=0),F263,ROUND($B$13-D264,2))</f>
        <v/>
      </c>
      <c r="F264" s="21">
        <f>IF((ROUND(F263-ROUND($B$13-D264,2),2)&lt;=0),0,ROUND(F263-E264,2))</f>
        <v/>
      </c>
    </row>
    <row r="265">
      <c r="A265" s="6" t="n">
        <v>249</v>
      </c>
      <c r="B265" s="19">
        <f>IF(B8="monthly",DATE(YEAR(B7)+INT((MONTH(B7)-1+248)/12),MOD(MONTH(B7)-1+248,12)+1,1)+(DAY(B7)-1),IF(B8="weekly",B7+1736,IF(B8="biweekly",B7+3472,B7+ROUND((248*365.25)/24,0))))</f>
        <v/>
      </c>
      <c r="C265" s="21">
        <f>IF((ROUND(F264-ROUND($B$13-D265,2),2)&lt;=0),ROUND(D265+E265,2),$B$13)</f>
        <v/>
      </c>
      <c r="D265" s="21">
        <f>ROUND(F264*B5/100/B10,2)</f>
        <v/>
      </c>
      <c r="E265" s="21">
        <f>IF((ROUND(F264-ROUND($B$13-D265,2),2)&lt;=0),F264,ROUND($B$13-D265,2))</f>
        <v/>
      </c>
      <c r="F265" s="21">
        <f>IF((ROUND(F264-ROUND($B$13-D265,2),2)&lt;=0),0,ROUND(F264-E265,2))</f>
        <v/>
      </c>
    </row>
    <row r="266">
      <c r="A266" s="6" t="n">
        <v>250</v>
      </c>
      <c r="B266" s="19">
        <f>IF(B8="monthly",DATE(YEAR(B7)+INT((MONTH(B7)-1+249)/12),MOD(MONTH(B7)-1+249,12)+1,1)+(DAY(B7)-1),IF(B8="weekly",B7+1743,IF(B8="biweekly",B7+3486,B7+ROUND((249*365.25)/24,0))))</f>
        <v/>
      </c>
      <c r="C266" s="21">
        <f>IF((ROUND(F265-ROUND($B$13-D266,2),2)&lt;=0),ROUND(D266+E266,2),$B$13)</f>
        <v/>
      </c>
      <c r="D266" s="21">
        <f>ROUND(F265*B5/100/B10,2)</f>
        <v/>
      </c>
      <c r="E266" s="21">
        <f>IF((ROUND(F265-ROUND($B$13-D266,2),2)&lt;=0),F265,ROUND($B$13-D266,2))</f>
        <v/>
      </c>
      <c r="F266" s="21">
        <f>IF((ROUND(F265-ROUND($B$13-D266,2),2)&lt;=0),0,ROUND(F265-E266,2))</f>
        <v/>
      </c>
    </row>
    <row r="267">
      <c r="A267" s="6" t="n">
        <v>251</v>
      </c>
      <c r="B267" s="19">
        <f>IF(B8="monthly",DATE(YEAR(B7)+INT((MONTH(B7)-1+250)/12),MOD(MONTH(B7)-1+250,12)+1,1)+(DAY(B7)-1),IF(B8="weekly",B7+1750,IF(B8="biweekly",B7+3500,B7+ROUND((250*365.25)/24,0))))</f>
        <v/>
      </c>
      <c r="C267" s="21">
        <f>IF((ROUND(F266-ROUND($B$13-D267,2),2)&lt;=0),ROUND(D267+E267,2),$B$13)</f>
        <v/>
      </c>
      <c r="D267" s="21">
        <f>ROUND(F266*B5/100/B10,2)</f>
        <v/>
      </c>
      <c r="E267" s="21">
        <f>IF((ROUND(F266-ROUND($B$13-D267,2),2)&lt;=0),F266,ROUND($B$13-D267,2))</f>
        <v/>
      </c>
      <c r="F267" s="21">
        <f>IF((ROUND(F266-ROUND($B$13-D267,2),2)&lt;=0),0,ROUND(F266-E267,2))</f>
        <v/>
      </c>
    </row>
    <row r="268">
      <c r="A268" s="6" t="n">
        <v>252</v>
      </c>
      <c r="B268" s="19">
        <f>IF(B8="monthly",DATE(YEAR(B7)+INT((MONTH(B7)-1+251)/12),MOD(MONTH(B7)-1+251,12)+1,1)+(DAY(B7)-1),IF(B8="weekly",B7+1757,IF(B8="biweekly",B7+3514,B7+ROUND((251*365.25)/24,0))))</f>
        <v/>
      </c>
      <c r="C268" s="21">
        <f>IF((ROUND(F267-ROUND($B$13-D268,2),2)&lt;=0),ROUND(D268+E268,2),$B$13)</f>
        <v/>
      </c>
      <c r="D268" s="21">
        <f>ROUND(F267*B5/100/B10,2)</f>
        <v/>
      </c>
      <c r="E268" s="21">
        <f>IF((ROUND(F267-ROUND($B$13-D268,2),2)&lt;=0),F267,ROUND($B$13-D268,2))</f>
        <v/>
      </c>
      <c r="F268" s="21">
        <f>IF((ROUND(F267-ROUND($B$13-D268,2),2)&lt;=0),0,ROUND(F267-E268,2))</f>
        <v/>
      </c>
    </row>
    <row r="269">
      <c r="A269" s="6" t="n">
        <v>253</v>
      </c>
      <c r="B269" s="19">
        <f>IF(B8="monthly",DATE(YEAR(B7)+INT((MONTH(B7)-1+252)/12),MOD(MONTH(B7)-1+252,12)+1,1)+(DAY(B7)-1),IF(B8="weekly",B7+1764,IF(B8="biweekly",B7+3528,B7+ROUND((252*365.25)/24,0))))</f>
        <v/>
      </c>
      <c r="C269" s="21">
        <f>IF((ROUND(F268-ROUND($B$13-D269,2),2)&lt;=0),ROUND(D269+E269,2),$B$13)</f>
        <v/>
      </c>
      <c r="D269" s="21">
        <f>ROUND(F268*B5/100/B10,2)</f>
        <v/>
      </c>
      <c r="E269" s="21">
        <f>IF((ROUND(F268-ROUND($B$13-D269,2),2)&lt;=0),F268,ROUND($B$13-D269,2))</f>
        <v/>
      </c>
      <c r="F269" s="21">
        <f>IF((ROUND(F268-ROUND($B$13-D269,2),2)&lt;=0),0,ROUND(F268-E269,2))</f>
        <v/>
      </c>
    </row>
    <row r="270">
      <c r="A270" s="6" t="n">
        <v>254</v>
      </c>
      <c r="B270" s="19">
        <f>IF(B8="monthly",DATE(YEAR(B7)+INT((MONTH(B7)-1+253)/12),MOD(MONTH(B7)-1+253,12)+1,1)+(DAY(B7)-1),IF(B8="weekly",B7+1771,IF(B8="biweekly",B7+3542,B7+ROUND((253*365.25)/24,0))))</f>
        <v/>
      </c>
      <c r="C270" s="21">
        <f>IF((ROUND(F269-ROUND($B$13-D270,2),2)&lt;=0),ROUND(D270+E270,2),$B$13)</f>
        <v/>
      </c>
      <c r="D270" s="21">
        <f>ROUND(F269*B5/100/B10,2)</f>
        <v/>
      </c>
      <c r="E270" s="21">
        <f>IF((ROUND(F269-ROUND($B$13-D270,2),2)&lt;=0),F269,ROUND($B$13-D270,2))</f>
        <v/>
      </c>
      <c r="F270" s="21">
        <f>IF((ROUND(F269-ROUND($B$13-D270,2),2)&lt;=0),0,ROUND(F269-E270,2))</f>
        <v/>
      </c>
    </row>
    <row r="271">
      <c r="A271" s="6" t="n">
        <v>255</v>
      </c>
      <c r="B271" s="19">
        <f>IF(B8="monthly",DATE(YEAR(B7)+INT((MONTH(B7)-1+254)/12),MOD(MONTH(B7)-1+254,12)+1,1)+(DAY(B7)-1),IF(B8="weekly",B7+1778,IF(B8="biweekly",B7+3556,B7+ROUND((254*365.25)/24,0))))</f>
        <v/>
      </c>
      <c r="C271" s="21">
        <f>IF((ROUND(F270-ROUND($B$13-D271,2),2)&lt;=0),ROUND(D271+E271,2),$B$13)</f>
        <v/>
      </c>
      <c r="D271" s="21">
        <f>ROUND(F270*B5/100/B10,2)</f>
        <v/>
      </c>
      <c r="E271" s="21">
        <f>IF((ROUND(F270-ROUND($B$13-D271,2),2)&lt;=0),F270,ROUND($B$13-D271,2))</f>
        <v/>
      </c>
      <c r="F271" s="21">
        <f>IF((ROUND(F270-ROUND($B$13-D271,2),2)&lt;=0),0,ROUND(F270-E271,2))</f>
        <v/>
      </c>
    </row>
    <row r="272">
      <c r="A272" s="6" t="n">
        <v>256</v>
      </c>
      <c r="B272" s="19">
        <f>IF(B8="monthly",DATE(YEAR(B7)+INT((MONTH(B7)-1+255)/12),MOD(MONTH(B7)-1+255,12)+1,1)+(DAY(B7)-1),IF(B8="weekly",B7+1785,IF(B8="biweekly",B7+3570,B7+ROUND((255*365.25)/24,0))))</f>
        <v/>
      </c>
      <c r="C272" s="21">
        <f>IF((ROUND(F271-ROUND($B$13-D272,2),2)&lt;=0),ROUND(D272+E272,2),$B$13)</f>
        <v/>
      </c>
      <c r="D272" s="21">
        <f>ROUND(F271*B5/100/B10,2)</f>
        <v/>
      </c>
      <c r="E272" s="21">
        <f>IF((ROUND(F271-ROUND($B$13-D272,2),2)&lt;=0),F271,ROUND($B$13-D272,2))</f>
        <v/>
      </c>
      <c r="F272" s="21">
        <f>IF((ROUND(F271-ROUND($B$13-D272,2),2)&lt;=0),0,ROUND(F271-E272,2))</f>
        <v/>
      </c>
    </row>
    <row r="273">
      <c r="A273" s="6" t="n">
        <v>257</v>
      </c>
      <c r="B273" s="19">
        <f>IF(B8="monthly",DATE(YEAR(B7)+INT((MONTH(B7)-1+256)/12),MOD(MONTH(B7)-1+256,12)+1,1)+(DAY(B7)-1),IF(B8="weekly",B7+1792,IF(B8="biweekly",B7+3584,B7+ROUND((256*365.25)/24,0))))</f>
        <v/>
      </c>
      <c r="C273" s="21">
        <f>IF((ROUND(F272-ROUND($B$13-D273,2),2)&lt;=0),ROUND(D273+E273,2),$B$13)</f>
        <v/>
      </c>
      <c r="D273" s="21">
        <f>ROUND(F272*B5/100/B10,2)</f>
        <v/>
      </c>
      <c r="E273" s="21">
        <f>IF((ROUND(F272-ROUND($B$13-D273,2),2)&lt;=0),F272,ROUND($B$13-D273,2))</f>
        <v/>
      </c>
      <c r="F273" s="21">
        <f>IF((ROUND(F272-ROUND($B$13-D273,2),2)&lt;=0),0,ROUND(F272-E273,2))</f>
        <v/>
      </c>
    </row>
    <row r="274">
      <c r="A274" s="6" t="n">
        <v>258</v>
      </c>
      <c r="B274" s="19">
        <f>IF(B8="monthly",DATE(YEAR(B7)+INT((MONTH(B7)-1+257)/12),MOD(MONTH(B7)-1+257,12)+1,1)+(DAY(B7)-1),IF(B8="weekly",B7+1799,IF(B8="biweekly",B7+3598,B7+ROUND((257*365.25)/24,0))))</f>
        <v/>
      </c>
      <c r="C274" s="21">
        <f>IF((ROUND(F273-ROUND($B$13-D274,2),2)&lt;=0),ROUND(D274+E274,2),$B$13)</f>
        <v/>
      </c>
      <c r="D274" s="21">
        <f>ROUND(F273*B5/100/B10,2)</f>
        <v/>
      </c>
      <c r="E274" s="21">
        <f>IF((ROUND(F273-ROUND($B$13-D274,2),2)&lt;=0),F273,ROUND($B$13-D274,2))</f>
        <v/>
      </c>
      <c r="F274" s="21">
        <f>IF((ROUND(F273-ROUND($B$13-D274,2),2)&lt;=0),0,ROUND(F273-E274,2))</f>
        <v/>
      </c>
    </row>
    <row r="275">
      <c r="A275" s="6" t="n">
        <v>259</v>
      </c>
      <c r="B275" s="19">
        <f>IF(B8="monthly",DATE(YEAR(B7)+INT((MONTH(B7)-1+258)/12),MOD(MONTH(B7)-1+258,12)+1,1)+(DAY(B7)-1),IF(B8="weekly",B7+1806,IF(B8="biweekly",B7+3612,B7+ROUND((258*365.25)/24,0))))</f>
        <v/>
      </c>
      <c r="C275" s="21">
        <f>IF((ROUND(F274-ROUND($B$13-D275,2),2)&lt;=0),ROUND(D275+E275,2),$B$13)</f>
        <v/>
      </c>
      <c r="D275" s="21">
        <f>ROUND(F274*B5/100/B10,2)</f>
        <v/>
      </c>
      <c r="E275" s="21">
        <f>IF((ROUND(F274-ROUND($B$13-D275,2),2)&lt;=0),F274,ROUND($B$13-D275,2))</f>
        <v/>
      </c>
      <c r="F275" s="21">
        <f>IF((ROUND(F274-ROUND($B$13-D275,2),2)&lt;=0),0,ROUND(F274-E275,2))</f>
        <v/>
      </c>
    </row>
    <row r="276">
      <c r="A276" s="6" t="n">
        <v>260</v>
      </c>
      <c r="B276" s="19">
        <f>IF(B8="monthly",DATE(YEAR(B7)+INT((MONTH(B7)-1+259)/12),MOD(MONTH(B7)-1+259,12)+1,1)+(DAY(B7)-1),IF(B8="weekly",B7+1813,IF(B8="biweekly",B7+3626,B7+ROUND((259*365.25)/24,0))))</f>
        <v/>
      </c>
      <c r="C276" s="21">
        <f>IF((ROUND(F275-ROUND($B$13-D276,2),2)&lt;=0),ROUND(D276+E276,2),$B$13)</f>
        <v/>
      </c>
      <c r="D276" s="21">
        <f>ROUND(F275*B5/100/B10,2)</f>
        <v/>
      </c>
      <c r="E276" s="21">
        <f>IF((ROUND(F275-ROUND($B$13-D276,2),2)&lt;=0),F275,ROUND($B$13-D276,2))</f>
        <v/>
      </c>
      <c r="F276" s="21">
        <f>IF((ROUND(F275-ROUND($B$13-D276,2),2)&lt;=0),0,ROUND(F275-E276,2))</f>
        <v/>
      </c>
    </row>
    <row r="277">
      <c r="A277" s="6" t="n">
        <v>261</v>
      </c>
      <c r="B277" s="19">
        <f>IF(B8="monthly",DATE(YEAR(B7)+INT((MONTH(B7)-1+260)/12),MOD(MONTH(B7)-1+260,12)+1,1)+(DAY(B7)-1),IF(B8="weekly",B7+1820,IF(B8="biweekly",B7+3640,B7+ROUND((260*365.25)/24,0))))</f>
        <v/>
      </c>
      <c r="C277" s="21">
        <f>IF((ROUND(F276-ROUND($B$13-D277,2),2)&lt;=0),ROUND(D277+E277,2),$B$13)</f>
        <v/>
      </c>
      <c r="D277" s="21">
        <f>ROUND(F276*B5/100/B10,2)</f>
        <v/>
      </c>
      <c r="E277" s="21">
        <f>IF((ROUND(F276-ROUND($B$13-D277,2),2)&lt;=0),F276,ROUND($B$13-D277,2))</f>
        <v/>
      </c>
      <c r="F277" s="21">
        <f>IF((ROUND(F276-ROUND($B$13-D277,2),2)&lt;=0),0,ROUND(F276-E277,2))</f>
        <v/>
      </c>
    </row>
    <row r="278">
      <c r="A278" s="6" t="n">
        <v>262</v>
      </c>
      <c r="B278" s="19">
        <f>IF(B8="monthly",DATE(YEAR(B7)+INT((MONTH(B7)-1+261)/12),MOD(MONTH(B7)-1+261,12)+1,1)+(DAY(B7)-1),IF(B8="weekly",B7+1827,IF(B8="biweekly",B7+3654,B7+ROUND((261*365.25)/24,0))))</f>
        <v/>
      </c>
      <c r="C278" s="21">
        <f>IF((ROUND(F277-ROUND($B$13-D278,2),2)&lt;=0),ROUND(D278+E278,2),$B$13)</f>
        <v/>
      </c>
      <c r="D278" s="21">
        <f>ROUND(F277*B5/100/B10,2)</f>
        <v/>
      </c>
      <c r="E278" s="21">
        <f>IF((ROUND(F277-ROUND($B$13-D278,2),2)&lt;=0),F277,ROUND($B$13-D278,2))</f>
        <v/>
      </c>
      <c r="F278" s="21">
        <f>IF((ROUND(F277-ROUND($B$13-D278,2),2)&lt;=0),0,ROUND(F277-E278,2))</f>
        <v/>
      </c>
    </row>
    <row r="279">
      <c r="A279" s="6" t="n">
        <v>263</v>
      </c>
      <c r="B279" s="19">
        <f>IF(B8="monthly",DATE(YEAR(B7)+INT((MONTH(B7)-1+262)/12),MOD(MONTH(B7)-1+262,12)+1,1)+(DAY(B7)-1),IF(B8="weekly",B7+1834,IF(B8="biweekly",B7+3668,B7+ROUND((262*365.25)/24,0))))</f>
        <v/>
      </c>
      <c r="C279" s="21">
        <f>IF((ROUND(F278-ROUND($B$13-D279,2),2)&lt;=0),ROUND(D279+E279,2),$B$13)</f>
        <v/>
      </c>
      <c r="D279" s="21">
        <f>ROUND(F278*B5/100/B10,2)</f>
        <v/>
      </c>
      <c r="E279" s="21">
        <f>IF((ROUND(F278-ROUND($B$13-D279,2),2)&lt;=0),F278,ROUND($B$13-D279,2))</f>
        <v/>
      </c>
      <c r="F279" s="21">
        <f>IF((ROUND(F278-ROUND($B$13-D279,2),2)&lt;=0),0,ROUND(F278-E279,2))</f>
        <v/>
      </c>
    </row>
    <row r="280">
      <c r="A280" s="6" t="n">
        <v>264</v>
      </c>
      <c r="B280" s="19">
        <f>IF(B8="monthly",DATE(YEAR(B7)+INT((MONTH(B7)-1+263)/12),MOD(MONTH(B7)-1+263,12)+1,1)+(DAY(B7)-1),IF(B8="weekly",B7+1841,IF(B8="biweekly",B7+3682,B7+ROUND((263*365.25)/24,0))))</f>
        <v/>
      </c>
      <c r="C280" s="21">
        <f>IF((ROUND(F279-ROUND($B$13-D280,2),2)&lt;=0),ROUND(D280+E280,2),$B$13)</f>
        <v/>
      </c>
      <c r="D280" s="21">
        <f>ROUND(F279*B5/100/B10,2)</f>
        <v/>
      </c>
      <c r="E280" s="21">
        <f>IF((ROUND(F279-ROUND($B$13-D280,2),2)&lt;=0),F279,ROUND($B$13-D280,2))</f>
        <v/>
      </c>
      <c r="F280" s="21">
        <f>IF((ROUND(F279-ROUND($B$13-D280,2),2)&lt;=0),0,ROUND(F279-E280,2))</f>
        <v/>
      </c>
    </row>
    <row r="281">
      <c r="A281" s="6" t="n">
        <v>265</v>
      </c>
      <c r="B281" s="19">
        <f>IF(B8="monthly",DATE(YEAR(B7)+INT((MONTH(B7)-1+264)/12),MOD(MONTH(B7)-1+264,12)+1,1)+(DAY(B7)-1),IF(B8="weekly",B7+1848,IF(B8="biweekly",B7+3696,B7+ROUND((264*365.25)/24,0))))</f>
        <v/>
      </c>
      <c r="C281" s="21">
        <f>IF((ROUND(F280-ROUND($B$13-D281,2),2)&lt;=0),ROUND(D281+E281,2),$B$13)</f>
        <v/>
      </c>
      <c r="D281" s="21">
        <f>ROUND(F280*B5/100/B10,2)</f>
        <v/>
      </c>
      <c r="E281" s="21">
        <f>IF((ROUND(F280-ROUND($B$13-D281,2),2)&lt;=0),F280,ROUND($B$13-D281,2))</f>
        <v/>
      </c>
      <c r="F281" s="21">
        <f>IF((ROUND(F280-ROUND($B$13-D281,2),2)&lt;=0),0,ROUND(F280-E281,2))</f>
        <v/>
      </c>
    </row>
    <row r="282">
      <c r="A282" s="6" t="n">
        <v>266</v>
      </c>
      <c r="B282" s="19">
        <f>IF(B8="monthly",DATE(YEAR(B7)+INT((MONTH(B7)-1+265)/12),MOD(MONTH(B7)-1+265,12)+1,1)+(DAY(B7)-1),IF(B8="weekly",B7+1855,IF(B8="biweekly",B7+3710,B7+ROUND((265*365.25)/24,0))))</f>
        <v/>
      </c>
      <c r="C282" s="21">
        <f>IF((ROUND(F281-ROUND($B$13-D282,2),2)&lt;=0),ROUND(D282+E282,2),$B$13)</f>
        <v/>
      </c>
      <c r="D282" s="21">
        <f>ROUND(F281*B5/100/B10,2)</f>
        <v/>
      </c>
      <c r="E282" s="21">
        <f>IF((ROUND(F281-ROUND($B$13-D282,2),2)&lt;=0),F281,ROUND($B$13-D282,2))</f>
        <v/>
      </c>
      <c r="F282" s="21">
        <f>IF((ROUND(F281-ROUND($B$13-D282,2),2)&lt;=0),0,ROUND(F281-E282,2))</f>
        <v/>
      </c>
    </row>
    <row r="283">
      <c r="A283" s="6" t="n">
        <v>267</v>
      </c>
      <c r="B283" s="19">
        <f>IF(B8="monthly",DATE(YEAR(B7)+INT((MONTH(B7)-1+266)/12),MOD(MONTH(B7)-1+266,12)+1,1)+(DAY(B7)-1),IF(B8="weekly",B7+1862,IF(B8="biweekly",B7+3724,B7+ROUND((266*365.25)/24,0))))</f>
        <v/>
      </c>
      <c r="C283" s="21">
        <f>IF((ROUND(F282-ROUND($B$13-D283,2),2)&lt;=0),ROUND(D283+E283,2),$B$13)</f>
        <v/>
      </c>
      <c r="D283" s="21">
        <f>ROUND(F282*B5/100/B10,2)</f>
        <v/>
      </c>
      <c r="E283" s="21">
        <f>IF((ROUND(F282-ROUND($B$13-D283,2),2)&lt;=0),F282,ROUND($B$13-D283,2))</f>
        <v/>
      </c>
      <c r="F283" s="21">
        <f>IF((ROUND(F282-ROUND($B$13-D283,2),2)&lt;=0),0,ROUND(F282-E283,2))</f>
        <v/>
      </c>
    </row>
    <row r="284">
      <c r="A284" s="6" t="n">
        <v>268</v>
      </c>
      <c r="B284" s="19">
        <f>IF(B8="monthly",DATE(YEAR(B7)+INT((MONTH(B7)-1+267)/12),MOD(MONTH(B7)-1+267,12)+1,1)+(DAY(B7)-1),IF(B8="weekly",B7+1869,IF(B8="biweekly",B7+3738,B7+ROUND((267*365.25)/24,0))))</f>
        <v/>
      </c>
      <c r="C284" s="21">
        <f>IF((ROUND(F283-ROUND($B$13-D284,2),2)&lt;=0),ROUND(D284+E284,2),$B$13)</f>
        <v/>
      </c>
      <c r="D284" s="21">
        <f>ROUND(F283*B5/100/B10,2)</f>
        <v/>
      </c>
      <c r="E284" s="21">
        <f>IF((ROUND(F283-ROUND($B$13-D284,2),2)&lt;=0),F283,ROUND($B$13-D284,2))</f>
        <v/>
      </c>
      <c r="F284" s="21">
        <f>IF((ROUND(F283-ROUND($B$13-D284,2),2)&lt;=0),0,ROUND(F283-E284,2))</f>
        <v/>
      </c>
    </row>
    <row r="285">
      <c r="A285" s="6" t="n">
        <v>269</v>
      </c>
      <c r="B285" s="19">
        <f>IF(B8="monthly",DATE(YEAR(B7)+INT((MONTH(B7)-1+268)/12),MOD(MONTH(B7)-1+268,12)+1,1)+(DAY(B7)-1),IF(B8="weekly",B7+1876,IF(B8="biweekly",B7+3752,B7+ROUND((268*365.25)/24,0))))</f>
        <v/>
      </c>
      <c r="C285" s="21">
        <f>IF((ROUND(F284-ROUND($B$13-D285,2),2)&lt;=0),ROUND(D285+E285,2),$B$13)</f>
        <v/>
      </c>
      <c r="D285" s="21">
        <f>ROUND(F284*B5/100/B10,2)</f>
        <v/>
      </c>
      <c r="E285" s="21">
        <f>IF((ROUND(F284-ROUND($B$13-D285,2),2)&lt;=0),F284,ROUND($B$13-D285,2))</f>
        <v/>
      </c>
      <c r="F285" s="21">
        <f>IF((ROUND(F284-ROUND($B$13-D285,2),2)&lt;=0),0,ROUND(F284-E285,2))</f>
        <v/>
      </c>
    </row>
    <row r="286">
      <c r="A286" s="6" t="n">
        <v>270</v>
      </c>
      <c r="B286" s="19">
        <f>IF(B8="monthly",DATE(YEAR(B7)+INT((MONTH(B7)-1+269)/12),MOD(MONTH(B7)-1+269,12)+1,1)+(DAY(B7)-1),IF(B8="weekly",B7+1883,IF(B8="biweekly",B7+3766,B7+ROUND((269*365.25)/24,0))))</f>
        <v/>
      </c>
      <c r="C286" s="21">
        <f>IF((ROUND(F285-ROUND($B$13-D286,2),2)&lt;=0),ROUND(D286+E286,2),$B$13)</f>
        <v/>
      </c>
      <c r="D286" s="21">
        <f>ROUND(F285*B5/100/B10,2)</f>
        <v/>
      </c>
      <c r="E286" s="21">
        <f>IF((ROUND(F285-ROUND($B$13-D286,2),2)&lt;=0),F285,ROUND($B$13-D286,2))</f>
        <v/>
      </c>
      <c r="F286" s="21">
        <f>IF((ROUND(F285-ROUND($B$13-D286,2),2)&lt;=0),0,ROUND(F285-E286,2))</f>
        <v/>
      </c>
    </row>
    <row r="287">
      <c r="A287" s="6" t="n">
        <v>271</v>
      </c>
      <c r="B287" s="19">
        <f>IF(B8="monthly",DATE(YEAR(B7)+INT((MONTH(B7)-1+270)/12),MOD(MONTH(B7)-1+270,12)+1,1)+(DAY(B7)-1),IF(B8="weekly",B7+1890,IF(B8="biweekly",B7+3780,B7+ROUND((270*365.25)/24,0))))</f>
        <v/>
      </c>
      <c r="C287" s="21">
        <f>IF((ROUND(F286-ROUND($B$13-D287,2),2)&lt;=0),ROUND(D287+E287,2),$B$13)</f>
        <v/>
      </c>
      <c r="D287" s="21">
        <f>ROUND(F286*B5/100/B10,2)</f>
        <v/>
      </c>
      <c r="E287" s="21">
        <f>IF((ROUND(F286-ROUND($B$13-D287,2),2)&lt;=0),F286,ROUND($B$13-D287,2))</f>
        <v/>
      </c>
      <c r="F287" s="21">
        <f>IF((ROUND(F286-ROUND($B$13-D287,2),2)&lt;=0),0,ROUND(F286-E287,2))</f>
        <v/>
      </c>
    </row>
    <row r="288">
      <c r="A288" s="6" t="n">
        <v>272</v>
      </c>
      <c r="B288" s="19">
        <f>IF(B8="monthly",DATE(YEAR(B7)+INT((MONTH(B7)-1+271)/12),MOD(MONTH(B7)-1+271,12)+1,1)+(DAY(B7)-1),IF(B8="weekly",B7+1897,IF(B8="biweekly",B7+3794,B7+ROUND((271*365.25)/24,0))))</f>
        <v/>
      </c>
      <c r="C288" s="21">
        <f>IF((ROUND(F287-ROUND($B$13-D288,2),2)&lt;=0),ROUND(D288+E288,2),$B$13)</f>
        <v/>
      </c>
      <c r="D288" s="21">
        <f>ROUND(F287*B5/100/B10,2)</f>
        <v/>
      </c>
      <c r="E288" s="21">
        <f>IF((ROUND(F287-ROUND($B$13-D288,2),2)&lt;=0),F287,ROUND($B$13-D288,2))</f>
        <v/>
      </c>
      <c r="F288" s="21">
        <f>IF((ROUND(F287-ROUND($B$13-D288,2),2)&lt;=0),0,ROUND(F287-E288,2))</f>
        <v/>
      </c>
    </row>
    <row r="289">
      <c r="A289" s="6" t="n">
        <v>273</v>
      </c>
      <c r="B289" s="19">
        <f>IF(B8="monthly",DATE(YEAR(B7)+INT((MONTH(B7)-1+272)/12),MOD(MONTH(B7)-1+272,12)+1,1)+(DAY(B7)-1),IF(B8="weekly",B7+1904,IF(B8="biweekly",B7+3808,B7+ROUND((272*365.25)/24,0))))</f>
        <v/>
      </c>
      <c r="C289" s="21">
        <f>IF((ROUND(F288-ROUND($B$13-D289,2),2)&lt;=0),ROUND(D289+E289,2),$B$13)</f>
        <v/>
      </c>
      <c r="D289" s="21">
        <f>ROUND(F288*B5/100/B10,2)</f>
        <v/>
      </c>
      <c r="E289" s="21">
        <f>IF((ROUND(F288-ROUND($B$13-D289,2),2)&lt;=0),F288,ROUND($B$13-D289,2))</f>
        <v/>
      </c>
      <c r="F289" s="21">
        <f>IF((ROUND(F288-ROUND($B$13-D289,2),2)&lt;=0),0,ROUND(F288-E289,2))</f>
        <v/>
      </c>
    </row>
    <row r="290">
      <c r="A290" s="6" t="n">
        <v>274</v>
      </c>
      <c r="B290" s="19">
        <f>IF(B8="monthly",DATE(YEAR(B7)+INT((MONTH(B7)-1+273)/12),MOD(MONTH(B7)-1+273,12)+1,1)+(DAY(B7)-1),IF(B8="weekly",B7+1911,IF(B8="biweekly",B7+3822,B7+ROUND((273*365.25)/24,0))))</f>
        <v/>
      </c>
      <c r="C290" s="21">
        <f>IF((ROUND(F289-ROUND($B$13-D290,2),2)&lt;=0),ROUND(D290+E290,2),$B$13)</f>
        <v/>
      </c>
      <c r="D290" s="21">
        <f>ROUND(F289*B5/100/B10,2)</f>
        <v/>
      </c>
      <c r="E290" s="21">
        <f>IF((ROUND(F289-ROUND($B$13-D290,2),2)&lt;=0),F289,ROUND($B$13-D290,2))</f>
        <v/>
      </c>
      <c r="F290" s="21">
        <f>IF((ROUND(F289-ROUND($B$13-D290,2),2)&lt;=0),0,ROUND(F289-E290,2))</f>
        <v/>
      </c>
    </row>
    <row r="291">
      <c r="A291" s="6" t="n">
        <v>275</v>
      </c>
      <c r="B291" s="19">
        <f>IF(B8="monthly",DATE(YEAR(B7)+INT((MONTH(B7)-1+274)/12),MOD(MONTH(B7)-1+274,12)+1,1)+(DAY(B7)-1),IF(B8="weekly",B7+1918,IF(B8="biweekly",B7+3836,B7+ROUND((274*365.25)/24,0))))</f>
        <v/>
      </c>
      <c r="C291" s="21">
        <f>IF((ROUND(F290-ROUND($B$13-D291,2),2)&lt;=0),ROUND(D291+E291,2),$B$13)</f>
        <v/>
      </c>
      <c r="D291" s="21">
        <f>ROUND(F290*B5/100/B10,2)</f>
        <v/>
      </c>
      <c r="E291" s="21">
        <f>IF((ROUND(F290-ROUND($B$13-D291,2),2)&lt;=0),F290,ROUND($B$13-D291,2))</f>
        <v/>
      </c>
      <c r="F291" s="21">
        <f>IF((ROUND(F290-ROUND($B$13-D291,2),2)&lt;=0),0,ROUND(F290-E291,2))</f>
        <v/>
      </c>
    </row>
    <row r="292">
      <c r="A292" s="6" t="n">
        <v>276</v>
      </c>
      <c r="B292" s="19">
        <f>IF(B8="monthly",DATE(YEAR(B7)+INT((MONTH(B7)-1+275)/12),MOD(MONTH(B7)-1+275,12)+1,1)+(DAY(B7)-1),IF(B8="weekly",B7+1925,IF(B8="biweekly",B7+3850,B7+ROUND((275*365.25)/24,0))))</f>
        <v/>
      </c>
      <c r="C292" s="21">
        <f>IF((ROUND(F291-ROUND($B$13-D292,2),2)&lt;=0),ROUND(D292+E292,2),$B$13)</f>
        <v/>
      </c>
      <c r="D292" s="21">
        <f>ROUND(F291*B5/100/B10,2)</f>
        <v/>
      </c>
      <c r="E292" s="21">
        <f>IF((ROUND(F291-ROUND($B$13-D292,2),2)&lt;=0),F291,ROUND($B$13-D292,2))</f>
        <v/>
      </c>
      <c r="F292" s="21">
        <f>IF((ROUND(F291-ROUND($B$13-D292,2),2)&lt;=0),0,ROUND(F291-E292,2))</f>
        <v/>
      </c>
    </row>
    <row r="293">
      <c r="A293" s="6" t="n">
        <v>277</v>
      </c>
      <c r="B293" s="19">
        <f>IF(B8="monthly",DATE(YEAR(B7)+INT((MONTH(B7)-1+276)/12),MOD(MONTH(B7)-1+276,12)+1,1)+(DAY(B7)-1),IF(B8="weekly",B7+1932,IF(B8="biweekly",B7+3864,B7+ROUND((276*365.25)/24,0))))</f>
        <v/>
      </c>
      <c r="C293" s="21">
        <f>IF((ROUND(F292-ROUND($B$13-D293,2),2)&lt;=0),ROUND(D293+E293,2),$B$13)</f>
        <v/>
      </c>
      <c r="D293" s="21">
        <f>ROUND(F292*B5/100/B10,2)</f>
        <v/>
      </c>
      <c r="E293" s="21">
        <f>IF((ROUND(F292-ROUND($B$13-D293,2),2)&lt;=0),F292,ROUND($B$13-D293,2))</f>
        <v/>
      </c>
      <c r="F293" s="21">
        <f>IF((ROUND(F292-ROUND($B$13-D293,2),2)&lt;=0),0,ROUND(F292-E293,2))</f>
        <v/>
      </c>
    </row>
    <row r="294">
      <c r="A294" s="6" t="n">
        <v>278</v>
      </c>
      <c r="B294" s="19">
        <f>IF(B8="monthly",DATE(YEAR(B7)+INT((MONTH(B7)-1+277)/12),MOD(MONTH(B7)-1+277,12)+1,1)+(DAY(B7)-1),IF(B8="weekly",B7+1939,IF(B8="biweekly",B7+3878,B7+ROUND((277*365.25)/24,0))))</f>
        <v/>
      </c>
      <c r="C294" s="21">
        <f>IF((ROUND(F293-ROUND($B$13-D294,2),2)&lt;=0),ROUND(D294+E294,2),$B$13)</f>
        <v/>
      </c>
      <c r="D294" s="21">
        <f>ROUND(F293*B5/100/B10,2)</f>
        <v/>
      </c>
      <c r="E294" s="21">
        <f>IF((ROUND(F293-ROUND($B$13-D294,2),2)&lt;=0),F293,ROUND($B$13-D294,2))</f>
        <v/>
      </c>
      <c r="F294" s="21">
        <f>IF((ROUND(F293-ROUND($B$13-D294,2),2)&lt;=0),0,ROUND(F293-E294,2))</f>
        <v/>
      </c>
    </row>
    <row r="295">
      <c r="A295" s="6" t="n">
        <v>279</v>
      </c>
      <c r="B295" s="19">
        <f>IF(B8="monthly",DATE(YEAR(B7)+INT((MONTH(B7)-1+278)/12),MOD(MONTH(B7)-1+278,12)+1,1)+(DAY(B7)-1),IF(B8="weekly",B7+1946,IF(B8="biweekly",B7+3892,B7+ROUND((278*365.25)/24,0))))</f>
        <v/>
      </c>
      <c r="C295" s="21">
        <f>IF((ROUND(F294-ROUND($B$13-D295,2),2)&lt;=0),ROUND(D295+E295,2),$B$13)</f>
        <v/>
      </c>
      <c r="D295" s="21">
        <f>ROUND(F294*B5/100/B10,2)</f>
        <v/>
      </c>
      <c r="E295" s="21">
        <f>IF((ROUND(F294-ROUND($B$13-D295,2),2)&lt;=0),F294,ROUND($B$13-D295,2))</f>
        <v/>
      </c>
      <c r="F295" s="21">
        <f>IF((ROUND(F294-ROUND($B$13-D295,2),2)&lt;=0),0,ROUND(F294-E295,2))</f>
        <v/>
      </c>
    </row>
    <row r="296">
      <c r="A296" s="6" t="n">
        <v>280</v>
      </c>
      <c r="B296" s="19">
        <f>IF(B8="monthly",DATE(YEAR(B7)+INT((MONTH(B7)-1+279)/12),MOD(MONTH(B7)-1+279,12)+1,1)+(DAY(B7)-1),IF(B8="weekly",B7+1953,IF(B8="biweekly",B7+3906,B7+ROUND((279*365.25)/24,0))))</f>
        <v/>
      </c>
      <c r="C296" s="21">
        <f>IF((ROUND(F295-ROUND($B$13-D296,2),2)&lt;=0),ROUND(D296+E296,2),$B$13)</f>
        <v/>
      </c>
      <c r="D296" s="21">
        <f>ROUND(F295*B5/100/B10,2)</f>
        <v/>
      </c>
      <c r="E296" s="21">
        <f>IF((ROUND(F295-ROUND($B$13-D296,2),2)&lt;=0),F295,ROUND($B$13-D296,2))</f>
        <v/>
      </c>
      <c r="F296" s="21">
        <f>IF((ROUND(F295-ROUND($B$13-D296,2),2)&lt;=0),0,ROUND(F295-E296,2))</f>
        <v/>
      </c>
    </row>
    <row r="297">
      <c r="A297" s="6" t="n">
        <v>281</v>
      </c>
      <c r="B297" s="19">
        <f>IF(B8="monthly",DATE(YEAR(B7)+INT((MONTH(B7)-1+280)/12),MOD(MONTH(B7)-1+280,12)+1,1)+(DAY(B7)-1),IF(B8="weekly",B7+1960,IF(B8="biweekly",B7+3920,B7+ROUND((280*365.25)/24,0))))</f>
        <v/>
      </c>
      <c r="C297" s="21">
        <f>IF((ROUND(F296-ROUND($B$13-D297,2),2)&lt;=0),ROUND(D297+E297,2),$B$13)</f>
        <v/>
      </c>
      <c r="D297" s="21">
        <f>ROUND(F296*B5/100/B10,2)</f>
        <v/>
      </c>
      <c r="E297" s="21">
        <f>IF((ROUND(F296-ROUND($B$13-D297,2),2)&lt;=0),F296,ROUND($B$13-D297,2))</f>
        <v/>
      </c>
      <c r="F297" s="21">
        <f>IF((ROUND(F296-ROUND($B$13-D297,2),2)&lt;=0),0,ROUND(F296-E297,2))</f>
        <v/>
      </c>
    </row>
    <row r="298">
      <c r="A298" s="6" t="n">
        <v>282</v>
      </c>
      <c r="B298" s="19">
        <f>IF(B8="monthly",DATE(YEAR(B7)+INT((MONTH(B7)-1+281)/12),MOD(MONTH(B7)-1+281,12)+1,1)+(DAY(B7)-1),IF(B8="weekly",B7+1967,IF(B8="biweekly",B7+3934,B7+ROUND((281*365.25)/24,0))))</f>
        <v/>
      </c>
      <c r="C298" s="21">
        <f>IF((ROUND(F297-ROUND($B$13-D298,2),2)&lt;=0),ROUND(D298+E298,2),$B$13)</f>
        <v/>
      </c>
      <c r="D298" s="21">
        <f>ROUND(F297*B5/100/B10,2)</f>
        <v/>
      </c>
      <c r="E298" s="21">
        <f>IF((ROUND(F297-ROUND($B$13-D298,2),2)&lt;=0),F297,ROUND($B$13-D298,2))</f>
        <v/>
      </c>
      <c r="F298" s="21">
        <f>IF((ROUND(F297-ROUND($B$13-D298,2),2)&lt;=0),0,ROUND(F297-E298,2))</f>
        <v/>
      </c>
    </row>
    <row r="299">
      <c r="A299" s="6" t="n">
        <v>283</v>
      </c>
      <c r="B299" s="19">
        <f>IF(B8="monthly",DATE(YEAR(B7)+INT((MONTH(B7)-1+282)/12),MOD(MONTH(B7)-1+282,12)+1,1)+(DAY(B7)-1),IF(B8="weekly",B7+1974,IF(B8="biweekly",B7+3948,B7+ROUND((282*365.25)/24,0))))</f>
        <v/>
      </c>
      <c r="C299" s="21">
        <f>IF((ROUND(F298-ROUND($B$13-D299,2),2)&lt;=0),ROUND(D299+E299,2),$B$13)</f>
        <v/>
      </c>
      <c r="D299" s="21">
        <f>ROUND(F298*B5/100/B10,2)</f>
        <v/>
      </c>
      <c r="E299" s="21">
        <f>IF((ROUND(F298-ROUND($B$13-D299,2),2)&lt;=0),F298,ROUND($B$13-D299,2))</f>
        <v/>
      </c>
      <c r="F299" s="21">
        <f>IF((ROUND(F298-ROUND($B$13-D299,2),2)&lt;=0),0,ROUND(F298-E299,2))</f>
        <v/>
      </c>
    </row>
    <row r="300">
      <c r="A300" s="6" t="n">
        <v>284</v>
      </c>
      <c r="B300" s="19">
        <f>IF(B8="monthly",DATE(YEAR(B7)+INT((MONTH(B7)-1+283)/12),MOD(MONTH(B7)-1+283,12)+1,1)+(DAY(B7)-1),IF(B8="weekly",B7+1981,IF(B8="biweekly",B7+3962,B7+ROUND((283*365.25)/24,0))))</f>
        <v/>
      </c>
      <c r="C300" s="21">
        <f>IF((ROUND(F299-ROUND($B$13-D300,2),2)&lt;=0),ROUND(D300+E300,2),$B$13)</f>
        <v/>
      </c>
      <c r="D300" s="21">
        <f>ROUND(F299*B5/100/B10,2)</f>
        <v/>
      </c>
      <c r="E300" s="21">
        <f>IF((ROUND(F299-ROUND($B$13-D300,2),2)&lt;=0),F299,ROUND($B$13-D300,2))</f>
        <v/>
      </c>
      <c r="F300" s="21">
        <f>IF((ROUND(F299-ROUND($B$13-D300,2),2)&lt;=0),0,ROUND(F299-E300,2))</f>
        <v/>
      </c>
    </row>
    <row r="301">
      <c r="A301" s="6" t="n">
        <v>285</v>
      </c>
      <c r="B301" s="19">
        <f>IF(B8="monthly",DATE(YEAR(B7)+INT((MONTH(B7)-1+284)/12),MOD(MONTH(B7)-1+284,12)+1,1)+(DAY(B7)-1),IF(B8="weekly",B7+1988,IF(B8="biweekly",B7+3976,B7+ROUND((284*365.25)/24,0))))</f>
        <v/>
      </c>
      <c r="C301" s="21">
        <f>IF((ROUND(F300-ROUND($B$13-D301,2),2)&lt;=0),ROUND(D301+E301,2),$B$13)</f>
        <v/>
      </c>
      <c r="D301" s="21">
        <f>ROUND(F300*B5/100/B10,2)</f>
        <v/>
      </c>
      <c r="E301" s="21">
        <f>IF((ROUND(F300-ROUND($B$13-D301,2),2)&lt;=0),F300,ROUND($B$13-D301,2))</f>
        <v/>
      </c>
      <c r="F301" s="21">
        <f>IF((ROUND(F300-ROUND($B$13-D301,2),2)&lt;=0),0,ROUND(F300-E301,2))</f>
        <v/>
      </c>
    </row>
    <row r="302">
      <c r="A302" s="6" t="n">
        <v>286</v>
      </c>
      <c r="B302" s="19">
        <f>IF(B8="monthly",DATE(YEAR(B7)+INT((MONTH(B7)-1+285)/12),MOD(MONTH(B7)-1+285,12)+1,1)+(DAY(B7)-1),IF(B8="weekly",B7+1995,IF(B8="biweekly",B7+3990,B7+ROUND((285*365.25)/24,0))))</f>
        <v/>
      </c>
      <c r="C302" s="21">
        <f>IF((ROUND(F301-ROUND($B$13-D302,2),2)&lt;=0),ROUND(D302+E302,2),$B$13)</f>
        <v/>
      </c>
      <c r="D302" s="21">
        <f>ROUND(F301*B5/100/B10,2)</f>
        <v/>
      </c>
      <c r="E302" s="21">
        <f>IF((ROUND(F301-ROUND($B$13-D302,2),2)&lt;=0),F301,ROUND($B$13-D302,2))</f>
        <v/>
      </c>
      <c r="F302" s="21">
        <f>IF((ROUND(F301-ROUND($B$13-D302,2),2)&lt;=0),0,ROUND(F301-E302,2))</f>
        <v/>
      </c>
    </row>
    <row r="303">
      <c r="A303" s="6" t="n">
        <v>287</v>
      </c>
      <c r="B303" s="19">
        <f>IF(B8="monthly",DATE(YEAR(B7)+INT((MONTH(B7)-1+286)/12),MOD(MONTH(B7)-1+286,12)+1,1)+(DAY(B7)-1),IF(B8="weekly",B7+2002,IF(B8="biweekly",B7+4004,B7+ROUND((286*365.25)/24,0))))</f>
        <v/>
      </c>
      <c r="C303" s="21">
        <f>IF((ROUND(F302-ROUND($B$13-D303,2),2)&lt;=0),ROUND(D303+E303,2),$B$13)</f>
        <v/>
      </c>
      <c r="D303" s="21">
        <f>ROUND(F302*B5/100/B10,2)</f>
        <v/>
      </c>
      <c r="E303" s="21">
        <f>IF((ROUND(F302-ROUND($B$13-D303,2),2)&lt;=0),F302,ROUND($B$13-D303,2))</f>
        <v/>
      </c>
      <c r="F303" s="21">
        <f>IF((ROUND(F302-ROUND($B$13-D303,2),2)&lt;=0),0,ROUND(F302-E303,2))</f>
        <v/>
      </c>
    </row>
    <row r="304">
      <c r="A304" s="6" t="n">
        <v>288</v>
      </c>
      <c r="B304" s="19">
        <f>IF(B8="monthly",DATE(YEAR(B7)+INT((MONTH(B7)-1+287)/12),MOD(MONTH(B7)-1+287,12)+1,1)+(DAY(B7)-1),IF(B8="weekly",B7+2009,IF(B8="biweekly",B7+4018,B7+ROUND((287*365.25)/24,0))))</f>
        <v/>
      </c>
      <c r="C304" s="21">
        <f>IF((ROUND(F303-ROUND($B$13-D304,2),2)&lt;=0),ROUND(D304+E304,2),$B$13)</f>
        <v/>
      </c>
      <c r="D304" s="21">
        <f>ROUND(F303*B5/100/B10,2)</f>
        <v/>
      </c>
      <c r="E304" s="21">
        <f>IF((ROUND(F303-ROUND($B$13-D304,2),2)&lt;=0),F303,ROUND($B$13-D304,2))</f>
        <v/>
      </c>
      <c r="F304" s="21">
        <f>IF((ROUND(F303-ROUND($B$13-D304,2),2)&lt;=0),0,ROUND(F303-E304,2))</f>
        <v/>
      </c>
    </row>
    <row r="305">
      <c r="A305" s="6" t="n">
        <v>289</v>
      </c>
      <c r="B305" s="19">
        <f>IF(B8="monthly",DATE(YEAR(B7)+INT((MONTH(B7)-1+288)/12),MOD(MONTH(B7)-1+288,12)+1,1)+(DAY(B7)-1),IF(B8="weekly",B7+2016,IF(B8="biweekly",B7+4032,B7+ROUND((288*365.25)/24,0))))</f>
        <v/>
      </c>
      <c r="C305" s="21">
        <f>IF((ROUND(F304-ROUND($B$13-D305,2),2)&lt;=0),ROUND(D305+E305,2),$B$13)</f>
        <v/>
      </c>
      <c r="D305" s="21">
        <f>ROUND(F304*B5/100/B10,2)</f>
        <v/>
      </c>
      <c r="E305" s="21">
        <f>IF((ROUND(F304-ROUND($B$13-D305,2),2)&lt;=0),F304,ROUND($B$13-D305,2))</f>
        <v/>
      </c>
      <c r="F305" s="21">
        <f>IF((ROUND(F304-ROUND($B$13-D305,2),2)&lt;=0),0,ROUND(F304-E305,2))</f>
        <v/>
      </c>
    </row>
    <row r="306">
      <c r="A306" s="6" t="n">
        <v>290</v>
      </c>
      <c r="B306" s="19">
        <f>IF(B8="monthly",DATE(YEAR(B7)+INT((MONTH(B7)-1+289)/12),MOD(MONTH(B7)-1+289,12)+1,1)+(DAY(B7)-1),IF(B8="weekly",B7+2023,IF(B8="biweekly",B7+4046,B7+ROUND((289*365.25)/24,0))))</f>
        <v/>
      </c>
      <c r="C306" s="21">
        <f>IF((ROUND(F305-ROUND($B$13-D306,2),2)&lt;=0),ROUND(D306+E306,2),$B$13)</f>
        <v/>
      </c>
      <c r="D306" s="21">
        <f>ROUND(F305*B5/100/B10,2)</f>
        <v/>
      </c>
      <c r="E306" s="21">
        <f>IF((ROUND(F305-ROUND($B$13-D306,2),2)&lt;=0),F305,ROUND($B$13-D306,2))</f>
        <v/>
      </c>
      <c r="F306" s="21">
        <f>IF((ROUND(F305-ROUND($B$13-D306,2),2)&lt;=0),0,ROUND(F305-E306,2))</f>
        <v/>
      </c>
    </row>
    <row r="307">
      <c r="A307" s="6" t="n">
        <v>291</v>
      </c>
      <c r="B307" s="19">
        <f>IF(B8="monthly",DATE(YEAR(B7)+INT((MONTH(B7)-1+290)/12),MOD(MONTH(B7)-1+290,12)+1,1)+(DAY(B7)-1),IF(B8="weekly",B7+2030,IF(B8="biweekly",B7+4060,B7+ROUND((290*365.25)/24,0))))</f>
        <v/>
      </c>
      <c r="C307" s="21">
        <f>IF((ROUND(F306-ROUND($B$13-D307,2),2)&lt;=0),ROUND(D307+E307,2),$B$13)</f>
        <v/>
      </c>
      <c r="D307" s="21">
        <f>ROUND(F306*B5/100/B10,2)</f>
        <v/>
      </c>
      <c r="E307" s="21">
        <f>IF((ROUND(F306-ROUND($B$13-D307,2),2)&lt;=0),F306,ROUND($B$13-D307,2))</f>
        <v/>
      </c>
      <c r="F307" s="21">
        <f>IF((ROUND(F306-ROUND($B$13-D307,2),2)&lt;=0),0,ROUND(F306-E307,2))</f>
        <v/>
      </c>
    </row>
    <row r="308">
      <c r="A308" s="6" t="n">
        <v>292</v>
      </c>
      <c r="B308" s="19">
        <f>IF(B8="monthly",DATE(YEAR(B7)+INT((MONTH(B7)-1+291)/12),MOD(MONTH(B7)-1+291,12)+1,1)+(DAY(B7)-1),IF(B8="weekly",B7+2037,IF(B8="biweekly",B7+4074,B7+ROUND((291*365.25)/24,0))))</f>
        <v/>
      </c>
      <c r="C308" s="21">
        <f>IF((ROUND(F307-ROUND($B$13-D308,2),2)&lt;=0),ROUND(D308+E308,2),$B$13)</f>
        <v/>
      </c>
      <c r="D308" s="21">
        <f>ROUND(F307*B5/100/B10,2)</f>
        <v/>
      </c>
      <c r="E308" s="21">
        <f>IF((ROUND(F307-ROUND($B$13-D308,2),2)&lt;=0),F307,ROUND($B$13-D308,2))</f>
        <v/>
      </c>
      <c r="F308" s="21">
        <f>IF((ROUND(F307-ROUND($B$13-D308,2),2)&lt;=0),0,ROUND(F307-E308,2))</f>
        <v/>
      </c>
    </row>
    <row r="309">
      <c r="A309" s="6" t="n">
        <v>293</v>
      </c>
      <c r="B309" s="19">
        <f>IF(B8="monthly",DATE(YEAR(B7)+INT((MONTH(B7)-1+292)/12),MOD(MONTH(B7)-1+292,12)+1,1)+(DAY(B7)-1),IF(B8="weekly",B7+2044,IF(B8="biweekly",B7+4088,B7+ROUND((292*365.25)/24,0))))</f>
        <v/>
      </c>
      <c r="C309" s="21">
        <f>IF((ROUND(F308-ROUND($B$13-D309,2),2)&lt;=0),ROUND(D309+E309,2),$B$13)</f>
        <v/>
      </c>
      <c r="D309" s="21">
        <f>ROUND(F308*B5/100/B10,2)</f>
        <v/>
      </c>
      <c r="E309" s="21">
        <f>IF((ROUND(F308-ROUND($B$13-D309,2),2)&lt;=0),F308,ROUND($B$13-D309,2))</f>
        <v/>
      </c>
      <c r="F309" s="21">
        <f>IF((ROUND(F308-ROUND($B$13-D309,2),2)&lt;=0),0,ROUND(F308-E309,2))</f>
        <v/>
      </c>
    </row>
    <row r="310">
      <c r="A310" s="6" t="n">
        <v>294</v>
      </c>
      <c r="B310" s="19">
        <f>IF(B8="monthly",DATE(YEAR(B7)+INT((MONTH(B7)-1+293)/12),MOD(MONTH(B7)-1+293,12)+1,1)+(DAY(B7)-1),IF(B8="weekly",B7+2051,IF(B8="biweekly",B7+4102,B7+ROUND((293*365.25)/24,0))))</f>
        <v/>
      </c>
      <c r="C310" s="21">
        <f>IF((ROUND(F309-ROUND($B$13-D310,2),2)&lt;=0),ROUND(D310+E310,2),$B$13)</f>
        <v/>
      </c>
      <c r="D310" s="21">
        <f>ROUND(F309*B5/100/B10,2)</f>
        <v/>
      </c>
      <c r="E310" s="21">
        <f>IF((ROUND(F309-ROUND($B$13-D310,2),2)&lt;=0),F309,ROUND($B$13-D310,2))</f>
        <v/>
      </c>
      <c r="F310" s="21">
        <f>IF((ROUND(F309-ROUND($B$13-D310,2),2)&lt;=0),0,ROUND(F309-E310,2))</f>
        <v/>
      </c>
    </row>
    <row r="311">
      <c r="A311" s="6" t="n">
        <v>295</v>
      </c>
      <c r="B311" s="19">
        <f>IF(B8="monthly",DATE(YEAR(B7)+INT((MONTH(B7)-1+294)/12),MOD(MONTH(B7)-1+294,12)+1,1)+(DAY(B7)-1),IF(B8="weekly",B7+2058,IF(B8="biweekly",B7+4116,B7+ROUND((294*365.25)/24,0))))</f>
        <v/>
      </c>
      <c r="C311" s="21">
        <f>IF((ROUND(F310-ROUND($B$13-D311,2),2)&lt;=0),ROUND(D311+E311,2),$B$13)</f>
        <v/>
      </c>
      <c r="D311" s="21">
        <f>ROUND(F310*B5/100/B10,2)</f>
        <v/>
      </c>
      <c r="E311" s="21">
        <f>IF((ROUND(F310-ROUND($B$13-D311,2),2)&lt;=0),F310,ROUND($B$13-D311,2))</f>
        <v/>
      </c>
      <c r="F311" s="21">
        <f>IF((ROUND(F310-ROUND($B$13-D311,2),2)&lt;=0),0,ROUND(F310-E311,2))</f>
        <v/>
      </c>
    </row>
    <row r="312">
      <c r="A312" s="6" t="n">
        <v>296</v>
      </c>
      <c r="B312" s="19">
        <f>IF(B8="monthly",DATE(YEAR(B7)+INT((MONTH(B7)-1+295)/12),MOD(MONTH(B7)-1+295,12)+1,1)+(DAY(B7)-1),IF(B8="weekly",B7+2065,IF(B8="biweekly",B7+4130,B7+ROUND((295*365.25)/24,0))))</f>
        <v/>
      </c>
      <c r="C312" s="21">
        <f>IF((ROUND(F311-ROUND($B$13-D312,2),2)&lt;=0),ROUND(D312+E312,2),$B$13)</f>
        <v/>
      </c>
      <c r="D312" s="21">
        <f>ROUND(F311*B5/100/B10,2)</f>
        <v/>
      </c>
      <c r="E312" s="21">
        <f>IF((ROUND(F311-ROUND($B$13-D312,2),2)&lt;=0),F311,ROUND($B$13-D312,2))</f>
        <v/>
      </c>
      <c r="F312" s="21">
        <f>IF((ROUND(F311-ROUND($B$13-D312,2),2)&lt;=0),0,ROUND(F311-E312,2))</f>
        <v/>
      </c>
    </row>
    <row r="313">
      <c r="A313" s="6" t="n">
        <v>297</v>
      </c>
      <c r="B313" s="19">
        <f>IF(B8="monthly",DATE(YEAR(B7)+INT((MONTH(B7)-1+296)/12),MOD(MONTH(B7)-1+296,12)+1,1)+(DAY(B7)-1),IF(B8="weekly",B7+2072,IF(B8="biweekly",B7+4144,B7+ROUND((296*365.25)/24,0))))</f>
        <v/>
      </c>
      <c r="C313" s="21">
        <f>IF((ROUND(F312-ROUND($B$13-D313,2),2)&lt;=0),ROUND(D313+E313,2),$B$13)</f>
        <v/>
      </c>
      <c r="D313" s="21">
        <f>ROUND(F312*B5/100/B10,2)</f>
        <v/>
      </c>
      <c r="E313" s="21">
        <f>IF((ROUND(F312-ROUND($B$13-D313,2),2)&lt;=0),F312,ROUND($B$13-D313,2))</f>
        <v/>
      </c>
      <c r="F313" s="21">
        <f>IF((ROUND(F312-ROUND($B$13-D313,2),2)&lt;=0),0,ROUND(F312-E313,2))</f>
        <v/>
      </c>
    </row>
    <row r="314">
      <c r="A314" s="6" t="n">
        <v>298</v>
      </c>
      <c r="B314" s="19">
        <f>IF(B8="monthly",DATE(YEAR(B7)+INT((MONTH(B7)-1+297)/12),MOD(MONTH(B7)-1+297,12)+1,1)+(DAY(B7)-1),IF(B8="weekly",B7+2079,IF(B8="biweekly",B7+4158,B7+ROUND((297*365.25)/24,0))))</f>
        <v/>
      </c>
      <c r="C314" s="21">
        <f>IF((ROUND(F313-ROUND($B$13-D314,2),2)&lt;=0),ROUND(D314+E314,2),$B$13)</f>
        <v/>
      </c>
      <c r="D314" s="21">
        <f>ROUND(F313*B5/100/B10,2)</f>
        <v/>
      </c>
      <c r="E314" s="21">
        <f>IF((ROUND(F313-ROUND($B$13-D314,2),2)&lt;=0),F313,ROUND($B$13-D314,2))</f>
        <v/>
      </c>
      <c r="F314" s="21">
        <f>IF((ROUND(F313-ROUND($B$13-D314,2),2)&lt;=0),0,ROUND(F313-E314,2))</f>
        <v/>
      </c>
    </row>
    <row r="315">
      <c r="A315" s="6" t="n">
        <v>299</v>
      </c>
      <c r="B315" s="19">
        <f>IF(B8="monthly",DATE(YEAR(B7)+INT((MONTH(B7)-1+298)/12),MOD(MONTH(B7)-1+298,12)+1,1)+(DAY(B7)-1),IF(B8="weekly",B7+2086,IF(B8="biweekly",B7+4172,B7+ROUND((298*365.25)/24,0))))</f>
        <v/>
      </c>
      <c r="C315" s="21">
        <f>IF((ROUND(F314-ROUND($B$13-D315,2),2)&lt;=0),ROUND(D315+E315,2),$B$13)</f>
        <v/>
      </c>
      <c r="D315" s="21">
        <f>ROUND(F314*B5/100/B10,2)</f>
        <v/>
      </c>
      <c r="E315" s="21">
        <f>IF((ROUND(F314-ROUND($B$13-D315,2),2)&lt;=0),F314,ROUND($B$13-D315,2))</f>
        <v/>
      </c>
      <c r="F315" s="21">
        <f>IF((ROUND(F314-ROUND($B$13-D315,2),2)&lt;=0),0,ROUND(F314-E315,2))</f>
        <v/>
      </c>
    </row>
    <row r="316">
      <c r="A316" s="6" t="n">
        <v>300</v>
      </c>
      <c r="B316" s="19">
        <f>IF(B8="monthly",DATE(YEAR(B7)+INT((MONTH(B7)-1+299)/12),MOD(MONTH(B7)-1+299,12)+1,1)+(DAY(B7)-1),IF(B8="weekly",B7+2093,IF(B8="biweekly",B7+4186,B7+ROUND((299*365.25)/24,0))))</f>
        <v/>
      </c>
      <c r="C316" s="21">
        <f>IF((ROUND(F315-ROUND($B$13-D316,2),2)&lt;=0),ROUND(D316+E316,2),$B$13)</f>
        <v/>
      </c>
      <c r="D316" s="21">
        <f>ROUND(F315*B5/100/B10,2)</f>
        <v/>
      </c>
      <c r="E316" s="21">
        <f>IF((ROUND(F315-ROUND($B$13-D316,2),2)&lt;=0),F315,ROUND($B$13-D316,2))</f>
        <v/>
      </c>
      <c r="F316" s="21">
        <f>IF((ROUND(F315-ROUND($B$13-D316,2),2)&lt;=0),0,ROUND(F315-E316,2))</f>
        <v/>
      </c>
    </row>
    <row r="317">
      <c r="A317" s="6" t="n">
        <v>301</v>
      </c>
      <c r="B317" s="19">
        <f>IF(B8="monthly",DATE(YEAR(B7)+INT((MONTH(B7)-1+300)/12),MOD(MONTH(B7)-1+300,12)+1,1)+(DAY(B7)-1),IF(B8="weekly",B7+2100,IF(B8="biweekly",B7+4200,B7+ROUND((300*365.25)/24,0))))</f>
        <v/>
      </c>
      <c r="C317" s="21">
        <f>IF((ROUND(F316-ROUND($B$13-D317,2),2)&lt;=0),ROUND(D317+E317,2),$B$13)</f>
        <v/>
      </c>
      <c r="D317" s="21">
        <f>ROUND(F316*B5/100/B10,2)</f>
        <v/>
      </c>
      <c r="E317" s="21">
        <f>IF((ROUND(F316-ROUND($B$13-D317,2),2)&lt;=0),F316,ROUND($B$13-D317,2))</f>
        <v/>
      </c>
      <c r="F317" s="21">
        <f>IF((ROUND(F316-ROUND($B$13-D317,2),2)&lt;=0),0,ROUND(F316-E317,2))</f>
        <v/>
      </c>
    </row>
    <row r="318">
      <c r="A318" s="6" t="n">
        <v>302</v>
      </c>
      <c r="B318" s="19">
        <f>IF(B8="monthly",DATE(YEAR(B7)+INT((MONTH(B7)-1+301)/12),MOD(MONTH(B7)-1+301,12)+1,1)+(DAY(B7)-1),IF(B8="weekly",B7+2107,IF(B8="biweekly",B7+4214,B7+ROUND((301*365.25)/24,0))))</f>
        <v/>
      </c>
      <c r="C318" s="21">
        <f>IF((ROUND(F317-ROUND($B$13-D318,2),2)&lt;=0),ROUND(D318+E318,2),$B$13)</f>
        <v/>
      </c>
      <c r="D318" s="21">
        <f>ROUND(F317*B5/100/B10,2)</f>
        <v/>
      </c>
      <c r="E318" s="21">
        <f>IF((ROUND(F317-ROUND($B$13-D318,2),2)&lt;=0),F317,ROUND($B$13-D318,2))</f>
        <v/>
      </c>
      <c r="F318" s="21">
        <f>IF((ROUND(F317-ROUND($B$13-D318,2),2)&lt;=0),0,ROUND(F317-E318,2))</f>
        <v/>
      </c>
    </row>
    <row r="319">
      <c r="A319" s="6" t="n">
        <v>303</v>
      </c>
      <c r="B319" s="19">
        <f>IF(B8="monthly",DATE(YEAR(B7)+INT((MONTH(B7)-1+302)/12),MOD(MONTH(B7)-1+302,12)+1,1)+(DAY(B7)-1),IF(B8="weekly",B7+2114,IF(B8="biweekly",B7+4228,B7+ROUND((302*365.25)/24,0))))</f>
        <v/>
      </c>
      <c r="C319" s="21">
        <f>IF((ROUND(F318-ROUND($B$13-D319,2),2)&lt;=0),ROUND(D319+E319,2),$B$13)</f>
        <v/>
      </c>
      <c r="D319" s="21">
        <f>ROUND(F318*B5/100/B10,2)</f>
        <v/>
      </c>
      <c r="E319" s="21">
        <f>IF((ROUND(F318-ROUND($B$13-D319,2),2)&lt;=0),F318,ROUND($B$13-D319,2))</f>
        <v/>
      </c>
      <c r="F319" s="21">
        <f>IF((ROUND(F318-ROUND($B$13-D319,2),2)&lt;=0),0,ROUND(F318-E319,2))</f>
        <v/>
      </c>
    </row>
    <row r="320">
      <c r="A320" s="6" t="n">
        <v>304</v>
      </c>
      <c r="B320" s="19">
        <f>IF(B8="monthly",DATE(YEAR(B7)+INT((MONTH(B7)-1+303)/12),MOD(MONTH(B7)-1+303,12)+1,1)+(DAY(B7)-1),IF(B8="weekly",B7+2121,IF(B8="biweekly",B7+4242,B7+ROUND((303*365.25)/24,0))))</f>
        <v/>
      </c>
      <c r="C320" s="21">
        <f>IF((ROUND(F319-ROUND($B$13-D320,2),2)&lt;=0),ROUND(D320+E320,2),$B$13)</f>
        <v/>
      </c>
      <c r="D320" s="21">
        <f>ROUND(F319*B5/100/B10,2)</f>
        <v/>
      </c>
      <c r="E320" s="21">
        <f>IF((ROUND(F319-ROUND($B$13-D320,2),2)&lt;=0),F319,ROUND($B$13-D320,2))</f>
        <v/>
      </c>
      <c r="F320" s="21">
        <f>IF((ROUND(F319-ROUND($B$13-D320,2),2)&lt;=0),0,ROUND(F319-E320,2))</f>
        <v/>
      </c>
    </row>
    <row r="321">
      <c r="A321" s="6" t="n">
        <v>305</v>
      </c>
      <c r="B321" s="19">
        <f>IF(B8="monthly",DATE(YEAR(B7)+INT((MONTH(B7)-1+304)/12),MOD(MONTH(B7)-1+304,12)+1,1)+(DAY(B7)-1),IF(B8="weekly",B7+2128,IF(B8="biweekly",B7+4256,B7+ROUND((304*365.25)/24,0))))</f>
        <v/>
      </c>
      <c r="C321" s="21">
        <f>IF((ROUND(F320-ROUND($B$13-D321,2),2)&lt;=0),ROUND(D321+E321,2),$B$13)</f>
        <v/>
      </c>
      <c r="D321" s="21">
        <f>ROUND(F320*B5/100/B10,2)</f>
        <v/>
      </c>
      <c r="E321" s="21">
        <f>IF((ROUND(F320-ROUND($B$13-D321,2),2)&lt;=0),F320,ROUND($B$13-D321,2))</f>
        <v/>
      </c>
      <c r="F321" s="21">
        <f>IF((ROUND(F320-ROUND($B$13-D321,2),2)&lt;=0),0,ROUND(F320-E321,2))</f>
        <v/>
      </c>
    </row>
    <row r="322">
      <c r="A322" s="6" t="n">
        <v>306</v>
      </c>
      <c r="B322" s="19">
        <f>IF(B8="monthly",DATE(YEAR(B7)+INT((MONTH(B7)-1+305)/12),MOD(MONTH(B7)-1+305,12)+1,1)+(DAY(B7)-1),IF(B8="weekly",B7+2135,IF(B8="biweekly",B7+4270,B7+ROUND((305*365.25)/24,0))))</f>
        <v/>
      </c>
      <c r="C322" s="21">
        <f>IF((ROUND(F321-ROUND($B$13-D322,2),2)&lt;=0),ROUND(D322+E322,2),$B$13)</f>
        <v/>
      </c>
      <c r="D322" s="21">
        <f>ROUND(F321*B5/100/B10,2)</f>
        <v/>
      </c>
      <c r="E322" s="21">
        <f>IF((ROUND(F321-ROUND($B$13-D322,2),2)&lt;=0),F321,ROUND($B$13-D322,2))</f>
        <v/>
      </c>
      <c r="F322" s="21">
        <f>IF((ROUND(F321-ROUND($B$13-D322,2),2)&lt;=0),0,ROUND(F321-E322,2))</f>
        <v/>
      </c>
    </row>
    <row r="323">
      <c r="A323" s="6" t="n">
        <v>307</v>
      </c>
      <c r="B323" s="19">
        <f>IF(B8="monthly",DATE(YEAR(B7)+INT((MONTH(B7)-1+306)/12),MOD(MONTH(B7)-1+306,12)+1,1)+(DAY(B7)-1),IF(B8="weekly",B7+2142,IF(B8="biweekly",B7+4284,B7+ROUND((306*365.25)/24,0))))</f>
        <v/>
      </c>
      <c r="C323" s="21">
        <f>IF((ROUND(F322-ROUND($B$13-D323,2),2)&lt;=0),ROUND(D323+E323,2),$B$13)</f>
        <v/>
      </c>
      <c r="D323" s="21">
        <f>ROUND(F322*B5/100/B10,2)</f>
        <v/>
      </c>
      <c r="E323" s="21">
        <f>IF((ROUND(F322-ROUND($B$13-D323,2),2)&lt;=0),F322,ROUND($B$13-D323,2))</f>
        <v/>
      </c>
      <c r="F323" s="21">
        <f>IF((ROUND(F322-ROUND($B$13-D323,2),2)&lt;=0),0,ROUND(F322-E323,2))</f>
        <v/>
      </c>
    </row>
    <row r="324">
      <c r="A324" s="6" t="n">
        <v>308</v>
      </c>
      <c r="B324" s="19">
        <f>IF(B8="monthly",DATE(YEAR(B7)+INT((MONTH(B7)-1+307)/12),MOD(MONTH(B7)-1+307,12)+1,1)+(DAY(B7)-1),IF(B8="weekly",B7+2149,IF(B8="biweekly",B7+4298,B7+ROUND((307*365.25)/24,0))))</f>
        <v/>
      </c>
      <c r="C324" s="21">
        <f>IF((ROUND(F323-ROUND($B$13-D324,2),2)&lt;=0),ROUND(D324+E324,2),$B$13)</f>
        <v/>
      </c>
      <c r="D324" s="21">
        <f>ROUND(F323*B5/100/B10,2)</f>
        <v/>
      </c>
      <c r="E324" s="21">
        <f>IF((ROUND(F323-ROUND($B$13-D324,2),2)&lt;=0),F323,ROUND($B$13-D324,2))</f>
        <v/>
      </c>
      <c r="F324" s="21">
        <f>IF((ROUND(F323-ROUND($B$13-D324,2),2)&lt;=0),0,ROUND(F323-E324,2))</f>
        <v/>
      </c>
    </row>
    <row r="325">
      <c r="A325" s="6" t="n">
        <v>309</v>
      </c>
      <c r="B325" s="19">
        <f>IF(B8="monthly",DATE(YEAR(B7)+INT((MONTH(B7)-1+308)/12),MOD(MONTH(B7)-1+308,12)+1,1)+(DAY(B7)-1),IF(B8="weekly",B7+2156,IF(B8="biweekly",B7+4312,B7+ROUND((308*365.25)/24,0))))</f>
        <v/>
      </c>
      <c r="C325" s="21">
        <f>IF((ROUND(F324-ROUND($B$13-D325,2),2)&lt;=0),ROUND(D325+E325,2),$B$13)</f>
        <v/>
      </c>
      <c r="D325" s="21">
        <f>ROUND(F324*B5/100/B10,2)</f>
        <v/>
      </c>
      <c r="E325" s="21">
        <f>IF((ROUND(F324-ROUND($B$13-D325,2),2)&lt;=0),F324,ROUND($B$13-D325,2))</f>
        <v/>
      </c>
      <c r="F325" s="21">
        <f>IF((ROUND(F324-ROUND($B$13-D325,2),2)&lt;=0),0,ROUND(F324-E325,2))</f>
        <v/>
      </c>
    </row>
    <row r="326">
      <c r="A326" s="6" t="n">
        <v>310</v>
      </c>
      <c r="B326" s="19">
        <f>IF(B8="monthly",DATE(YEAR(B7)+INT((MONTH(B7)-1+309)/12),MOD(MONTH(B7)-1+309,12)+1,1)+(DAY(B7)-1),IF(B8="weekly",B7+2163,IF(B8="biweekly",B7+4326,B7+ROUND((309*365.25)/24,0))))</f>
        <v/>
      </c>
      <c r="C326" s="21">
        <f>IF((ROUND(F325-ROUND($B$13-D326,2),2)&lt;=0),ROUND(D326+E326,2),$B$13)</f>
        <v/>
      </c>
      <c r="D326" s="21">
        <f>ROUND(F325*B5/100/B10,2)</f>
        <v/>
      </c>
      <c r="E326" s="21">
        <f>IF((ROUND(F325-ROUND($B$13-D326,2),2)&lt;=0),F325,ROUND($B$13-D326,2))</f>
        <v/>
      </c>
      <c r="F326" s="21">
        <f>IF((ROUND(F325-ROUND($B$13-D326,2),2)&lt;=0),0,ROUND(F325-E326,2))</f>
        <v/>
      </c>
    </row>
    <row r="327">
      <c r="A327" s="6" t="n">
        <v>311</v>
      </c>
      <c r="B327" s="19">
        <f>IF(B8="monthly",DATE(YEAR(B7)+INT((MONTH(B7)-1+310)/12),MOD(MONTH(B7)-1+310,12)+1,1)+(DAY(B7)-1),IF(B8="weekly",B7+2170,IF(B8="biweekly",B7+4340,B7+ROUND((310*365.25)/24,0))))</f>
        <v/>
      </c>
      <c r="C327" s="21">
        <f>IF((ROUND(F326-ROUND($B$13-D327,2),2)&lt;=0),ROUND(D327+E327,2),$B$13)</f>
        <v/>
      </c>
      <c r="D327" s="21">
        <f>ROUND(F326*B5/100/B10,2)</f>
        <v/>
      </c>
      <c r="E327" s="21">
        <f>IF((ROUND(F326-ROUND($B$13-D327,2),2)&lt;=0),F326,ROUND($B$13-D327,2))</f>
        <v/>
      </c>
      <c r="F327" s="21">
        <f>IF((ROUND(F326-ROUND($B$13-D327,2),2)&lt;=0),0,ROUND(F326-E327,2))</f>
        <v/>
      </c>
    </row>
    <row r="328">
      <c r="A328" s="6" t="n">
        <v>312</v>
      </c>
      <c r="B328" s="19">
        <f>IF(B8="monthly",DATE(YEAR(B7)+INT((MONTH(B7)-1+311)/12),MOD(MONTH(B7)-1+311,12)+1,1)+(DAY(B7)-1),IF(B8="weekly",B7+2177,IF(B8="biweekly",B7+4354,B7+ROUND((311*365.25)/24,0))))</f>
        <v/>
      </c>
      <c r="C328" s="21">
        <f>IF((ROUND(F327-ROUND($B$13-D328,2),2)&lt;=0),ROUND(D328+E328,2),$B$13)</f>
        <v/>
      </c>
      <c r="D328" s="21">
        <f>ROUND(F327*B5/100/B10,2)</f>
        <v/>
      </c>
      <c r="E328" s="21">
        <f>IF((ROUND(F327-ROUND($B$13-D328,2),2)&lt;=0),F327,ROUND($B$13-D328,2))</f>
        <v/>
      </c>
      <c r="F328" s="21">
        <f>IF((ROUND(F327-ROUND($B$13-D328,2),2)&lt;=0),0,ROUND(F327-E328,2))</f>
        <v/>
      </c>
    </row>
    <row r="329">
      <c r="A329" s="6" t="n">
        <v>313</v>
      </c>
      <c r="B329" s="19">
        <f>IF(B8="monthly",DATE(YEAR(B7)+INT((MONTH(B7)-1+312)/12),MOD(MONTH(B7)-1+312,12)+1,1)+(DAY(B7)-1),IF(B8="weekly",B7+2184,IF(B8="biweekly",B7+4368,B7+ROUND((312*365.25)/24,0))))</f>
        <v/>
      </c>
      <c r="C329" s="21">
        <f>IF((ROUND(F328-ROUND($B$13-D329,2),2)&lt;=0),ROUND(D329+E329,2),$B$13)</f>
        <v/>
      </c>
      <c r="D329" s="21">
        <f>ROUND(F328*B5/100/B10,2)</f>
        <v/>
      </c>
      <c r="E329" s="21">
        <f>IF((ROUND(F328-ROUND($B$13-D329,2),2)&lt;=0),F328,ROUND($B$13-D329,2))</f>
        <v/>
      </c>
      <c r="F329" s="21">
        <f>IF((ROUND(F328-ROUND($B$13-D329,2),2)&lt;=0),0,ROUND(F328-E329,2))</f>
        <v/>
      </c>
    </row>
    <row r="330">
      <c r="A330" s="6" t="n">
        <v>314</v>
      </c>
      <c r="B330" s="19">
        <f>IF(B8="monthly",DATE(YEAR(B7)+INT((MONTH(B7)-1+313)/12),MOD(MONTH(B7)-1+313,12)+1,1)+(DAY(B7)-1),IF(B8="weekly",B7+2191,IF(B8="biweekly",B7+4382,B7+ROUND((313*365.25)/24,0))))</f>
        <v/>
      </c>
      <c r="C330" s="21">
        <f>IF((ROUND(F329-ROUND($B$13-D330,2),2)&lt;=0),ROUND(D330+E330,2),$B$13)</f>
        <v/>
      </c>
      <c r="D330" s="21">
        <f>ROUND(F329*B5/100/B10,2)</f>
        <v/>
      </c>
      <c r="E330" s="21">
        <f>IF((ROUND(F329-ROUND($B$13-D330,2),2)&lt;=0),F329,ROUND($B$13-D330,2))</f>
        <v/>
      </c>
      <c r="F330" s="21">
        <f>IF((ROUND(F329-ROUND($B$13-D330,2),2)&lt;=0),0,ROUND(F329-E330,2))</f>
        <v/>
      </c>
    </row>
    <row r="331">
      <c r="A331" s="6" t="n">
        <v>315</v>
      </c>
      <c r="B331" s="19">
        <f>IF(B8="monthly",DATE(YEAR(B7)+INT((MONTH(B7)-1+314)/12),MOD(MONTH(B7)-1+314,12)+1,1)+(DAY(B7)-1),IF(B8="weekly",B7+2198,IF(B8="biweekly",B7+4396,B7+ROUND((314*365.25)/24,0))))</f>
        <v/>
      </c>
      <c r="C331" s="21">
        <f>IF((ROUND(F330-ROUND($B$13-D331,2),2)&lt;=0),ROUND(D331+E331,2),$B$13)</f>
        <v/>
      </c>
      <c r="D331" s="21">
        <f>ROUND(F330*B5/100/B10,2)</f>
        <v/>
      </c>
      <c r="E331" s="21">
        <f>IF((ROUND(F330-ROUND($B$13-D331,2),2)&lt;=0),F330,ROUND($B$13-D331,2))</f>
        <v/>
      </c>
      <c r="F331" s="21">
        <f>IF((ROUND(F330-ROUND($B$13-D331,2),2)&lt;=0),0,ROUND(F330-E331,2))</f>
        <v/>
      </c>
    </row>
    <row r="332">
      <c r="A332" s="6" t="n">
        <v>316</v>
      </c>
      <c r="B332" s="19">
        <f>IF(B8="monthly",DATE(YEAR(B7)+INT((MONTH(B7)-1+315)/12),MOD(MONTH(B7)-1+315,12)+1,1)+(DAY(B7)-1),IF(B8="weekly",B7+2205,IF(B8="biweekly",B7+4410,B7+ROUND((315*365.25)/24,0))))</f>
        <v/>
      </c>
      <c r="C332" s="21">
        <f>IF((ROUND(F331-ROUND($B$13-D332,2),2)&lt;=0),ROUND(D332+E332,2),$B$13)</f>
        <v/>
      </c>
      <c r="D332" s="21">
        <f>ROUND(F331*B5/100/B10,2)</f>
        <v/>
      </c>
      <c r="E332" s="21">
        <f>IF((ROUND(F331-ROUND($B$13-D332,2),2)&lt;=0),F331,ROUND($B$13-D332,2))</f>
        <v/>
      </c>
      <c r="F332" s="21">
        <f>IF((ROUND(F331-ROUND($B$13-D332,2),2)&lt;=0),0,ROUND(F331-E332,2))</f>
        <v/>
      </c>
    </row>
    <row r="333">
      <c r="A333" s="6" t="n">
        <v>317</v>
      </c>
      <c r="B333" s="19">
        <f>IF(B8="monthly",DATE(YEAR(B7)+INT((MONTH(B7)-1+316)/12),MOD(MONTH(B7)-1+316,12)+1,1)+(DAY(B7)-1),IF(B8="weekly",B7+2212,IF(B8="biweekly",B7+4424,B7+ROUND((316*365.25)/24,0))))</f>
        <v/>
      </c>
      <c r="C333" s="21">
        <f>IF((ROUND(F332-ROUND($B$13-D333,2),2)&lt;=0),ROUND(D333+E333,2),$B$13)</f>
        <v/>
      </c>
      <c r="D333" s="21">
        <f>ROUND(F332*B5/100/B10,2)</f>
        <v/>
      </c>
      <c r="E333" s="21">
        <f>IF((ROUND(F332-ROUND($B$13-D333,2),2)&lt;=0),F332,ROUND($B$13-D333,2))</f>
        <v/>
      </c>
      <c r="F333" s="21">
        <f>IF((ROUND(F332-ROUND($B$13-D333,2),2)&lt;=0),0,ROUND(F332-E333,2))</f>
        <v/>
      </c>
    </row>
    <row r="334">
      <c r="A334" s="6" t="n">
        <v>318</v>
      </c>
      <c r="B334" s="19">
        <f>IF(B8="monthly",DATE(YEAR(B7)+INT((MONTH(B7)-1+317)/12),MOD(MONTH(B7)-1+317,12)+1,1)+(DAY(B7)-1),IF(B8="weekly",B7+2219,IF(B8="biweekly",B7+4438,B7+ROUND((317*365.25)/24,0))))</f>
        <v/>
      </c>
      <c r="C334" s="21">
        <f>IF((ROUND(F333-ROUND($B$13-D334,2),2)&lt;=0),ROUND(D334+E334,2),$B$13)</f>
        <v/>
      </c>
      <c r="D334" s="21">
        <f>ROUND(F333*B5/100/B10,2)</f>
        <v/>
      </c>
      <c r="E334" s="21">
        <f>IF((ROUND(F333-ROUND($B$13-D334,2),2)&lt;=0),F333,ROUND($B$13-D334,2))</f>
        <v/>
      </c>
      <c r="F334" s="21">
        <f>IF((ROUND(F333-ROUND($B$13-D334,2),2)&lt;=0),0,ROUND(F333-E334,2))</f>
        <v/>
      </c>
    </row>
    <row r="335">
      <c r="A335" s="6" t="n">
        <v>319</v>
      </c>
      <c r="B335" s="19">
        <f>IF(B8="monthly",DATE(YEAR(B7)+INT((MONTH(B7)-1+318)/12),MOD(MONTH(B7)-1+318,12)+1,1)+(DAY(B7)-1),IF(B8="weekly",B7+2226,IF(B8="biweekly",B7+4452,B7+ROUND((318*365.25)/24,0))))</f>
        <v/>
      </c>
      <c r="C335" s="21">
        <f>IF((ROUND(F334-ROUND($B$13-D335,2),2)&lt;=0),ROUND(D335+E335,2),$B$13)</f>
        <v/>
      </c>
      <c r="D335" s="21">
        <f>ROUND(F334*B5/100/B10,2)</f>
        <v/>
      </c>
      <c r="E335" s="21">
        <f>IF((ROUND(F334-ROUND($B$13-D335,2),2)&lt;=0),F334,ROUND($B$13-D335,2))</f>
        <v/>
      </c>
      <c r="F335" s="21">
        <f>IF((ROUND(F334-ROUND($B$13-D335,2),2)&lt;=0),0,ROUND(F334-E335,2))</f>
        <v/>
      </c>
    </row>
    <row r="336">
      <c r="A336" s="6" t="n">
        <v>320</v>
      </c>
      <c r="B336" s="19">
        <f>IF(B8="monthly",DATE(YEAR(B7)+INT((MONTH(B7)-1+319)/12),MOD(MONTH(B7)-1+319,12)+1,1)+(DAY(B7)-1),IF(B8="weekly",B7+2233,IF(B8="biweekly",B7+4466,B7+ROUND((319*365.25)/24,0))))</f>
        <v/>
      </c>
      <c r="C336" s="21">
        <f>IF((ROUND(F335-ROUND($B$13-D336,2),2)&lt;=0),ROUND(D336+E336,2),$B$13)</f>
        <v/>
      </c>
      <c r="D336" s="21">
        <f>ROUND(F335*B5/100/B10,2)</f>
        <v/>
      </c>
      <c r="E336" s="21">
        <f>IF((ROUND(F335-ROUND($B$13-D336,2),2)&lt;=0),F335,ROUND($B$13-D336,2))</f>
        <v/>
      </c>
      <c r="F336" s="21">
        <f>IF((ROUND(F335-ROUND($B$13-D336,2),2)&lt;=0),0,ROUND(F335-E336,2))</f>
        <v/>
      </c>
    </row>
    <row r="337">
      <c r="A337" s="6" t="n">
        <v>321</v>
      </c>
      <c r="B337" s="19">
        <f>IF(B8="monthly",DATE(YEAR(B7)+INT((MONTH(B7)-1+320)/12),MOD(MONTH(B7)-1+320,12)+1,1)+(DAY(B7)-1),IF(B8="weekly",B7+2240,IF(B8="biweekly",B7+4480,B7+ROUND((320*365.25)/24,0))))</f>
        <v/>
      </c>
      <c r="C337" s="21">
        <f>IF((ROUND(F336-ROUND($B$13-D337,2),2)&lt;=0),ROUND(D337+E337,2),$B$13)</f>
        <v/>
      </c>
      <c r="D337" s="21">
        <f>ROUND(F336*B5/100/B10,2)</f>
        <v/>
      </c>
      <c r="E337" s="21">
        <f>IF((ROUND(F336-ROUND($B$13-D337,2),2)&lt;=0),F336,ROUND($B$13-D337,2))</f>
        <v/>
      </c>
      <c r="F337" s="21">
        <f>IF((ROUND(F336-ROUND($B$13-D337,2),2)&lt;=0),0,ROUND(F336-E337,2))</f>
        <v/>
      </c>
    </row>
    <row r="338">
      <c r="A338" s="6" t="n">
        <v>322</v>
      </c>
      <c r="B338" s="19">
        <f>IF(B8="monthly",DATE(YEAR(B7)+INT((MONTH(B7)-1+321)/12),MOD(MONTH(B7)-1+321,12)+1,1)+(DAY(B7)-1),IF(B8="weekly",B7+2247,IF(B8="biweekly",B7+4494,B7+ROUND((321*365.25)/24,0))))</f>
        <v/>
      </c>
      <c r="C338" s="21">
        <f>IF((ROUND(F337-ROUND($B$13-D338,2),2)&lt;=0),ROUND(D338+E338,2),$B$13)</f>
        <v/>
      </c>
      <c r="D338" s="21">
        <f>ROUND(F337*B5/100/B10,2)</f>
        <v/>
      </c>
      <c r="E338" s="21">
        <f>IF((ROUND(F337-ROUND($B$13-D338,2),2)&lt;=0),F337,ROUND($B$13-D338,2))</f>
        <v/>
      </c>
      <c r="F338" s="21">
        <f>IF((ROUND(F337-ROUND($B$13-D338,2),2)&lt;=0),0,ROUND(F337-E338,2))</f>
        <v/>
      </c>
    </row>
    <row r="339">
      <c r="A339" s="6" t="n">
        <v>323</v>
      </c>
      <c r="B339" s="19">
        <f>IF(B8="monthly",DATE(YEAR(B7)+INT((MONTH(B7)-1+322)/12),MOD(MONTH(B7)-1+322,12)+1,1)+(DAY(B7)-1),IF(B8="weekly",B7+2254,IF(B8="biweekly",B7+4508,B7+ROUND((322*365.25)/24,0))))</f>
        <v/>
      </c>
      <c r="C339" s="21">
        <f>IF((ROUND(F338-ROUND($B$13-D339,2),2)&lt;=0),ROUND(D339+E339,2),$B$13)</f>
        <v/>
      </c>
      <c r="D339" s="21">
        <f>ROUND(F338*B5/100/B10,2)</f>
        <v/>
      </c>
      <c r="E339" s="21">
        <f>IF((ROUND(F338-ROUND($B$13-D339,2),2)&lt;=0),F338,ROUND($B$13-D339,2))</f>
        <v/>
      </c>
      <c r="F339" s="21">
        <f>IF((ROUND(F338-ROUND($B$13-D339,2),2)&lt;=0),0,ROUND(F338-E339,2))</f>
        <v/>
      </c>
    </row>
    <row r="340">
      <c r="A340" s="6" t="n">
        <v>324</v>
      </c>
      <c r="B340" s="19">
        <f>IF(B8="monthly",DATE(YEAR(B7)+INT((MONTH(B7)-1+323)/12),MOD(MONTH(B7)-1+323,12)+1,1)+(DAY(B7)-1),IF(B8="weekly",B7+2261,IF(B8="biweekly",B7+4522,B7+ROUND((323*365.25)/24,0))))</f>
        <v/>
      </c>
      <c r="C340" s="21">
        <f>IF((ROUND(F339-ROUND($B$13-D340,2),2)&lt;=0),ROUND(D340+E340,2),$B$13)</f>
        <v/>
      </c>
      <c r="D340" s="21">
        <f>ROUND(F339*B5/100/B10,2)</f>
        <v/>
      </c>
      <c r="E340" s="21">
        <f>IF((ROUND(F339-ROUND($B$13-D340,2),2)&lt;=0),F339,ROUND($B$13-D340,2))</f>
        <v/>
      </c>
      <c r="F340" s="21">
        <f>IF((ROUND(F339-ROUND($B$13-D340,2),2)&lt;=0),0,ROUND(F339-E340,2))</f>
        <v/>
      </c>
    </row>
    <row r="341">
      <c r="A341" s="6" t="n">
        <v>325</v>
      </c>
      <c r="B341" s="19">
        <f>IF(B8="monthly",DATE(YEAR(B7)+INT((MONTH(B7)-1+324)/12),MOD(MONTH(B7)-1+324,12)+1,1)+(DAY(B7)-1),IF(B8="weekly",B7+2268,IF(B8="biweekly",B7+4536,B7+ROUND((324*365.25)/24,0))))</f>
        <v/>
      </c>
      <c r="C341" s="21">
        <f>IF((ROUND(F340-ROUND($B$13-D341,2),2)&lt;=0),ROUND(D341+E341,2),$B$13)</f>
        <v/>
      </c>
      <c r="D341" s="21">
        <f>ROUND(F340*B5/100/B10,2)</f>
        <v/>
      </c>
      <c r="E341" s="21">
        <f>IF((ROUND(F340-ROUND($B$13-D341,2),2)&lt;=0),F340,ROUND($B$13-D341,2))</f>
        <v/>
      </c>
      <c r="F341" s="21">
        <f>IF((ROUND(F340-ROUND($B$13-D341,2),2)&lt;=0),0,ROUND(F340-E341,2))</f>
        <v/>
      </c>
    </row>
    <row r="342">
      <c r="A342" s="6" t="n">
        <v>326</v>
      </c>
      <c r="B342" s="19">
        <f>IF(B8="monthly",DATE(YEAR(B7)+INT((MONTH(B7)-1+325)/12),MOD(MONTH(B7)-1+325,12)+1,1)+(DAY(B7)-1),IF(B8="weekly",B7+2275,IF(B8="biweekly",B7+4550,B7+ROUND((325*365.25)/24,0))))</f>
        <v/>
      </c>
      <c r="C342" s="21">
        <f>IF((ROUND(F341-ROUND($B$13-D342,2),2)&lt;=0),ROUND(D342+E342,2),$B$13)</f>
        <v/>
      </c>
      <c r="D342" s="21">
        <f>ROUND(F341*B5/100/B10,2)</f>
        <v/>
      </c>
      <c r="E342" s="21">
        <f>IF((ROUND(F341-ROUND($B$13-D342,2),2)&lt;=0),F341,ROUND($B$13-D342,2))</f>
        <v/>
      </c>
      <c r="F342" s="21">
        <f>IF((ROUND(F341-ROUND($B$13-D342,2),2)&lt;=0),0,ROUND(F341-E342,2))</f>
        <v/>
      </c>
    </row>
    <row r="343">
      <c r="A343" s="6" t="n">
        <v>327</v>
      </c>
      <c r="B343" s="19">
        <f>IF(B8="monthly",DATE(YEAR(B7)+INT((MONTH(B7)-1+326)/12),MOD(MONTH(B7)-1+326,12)+1,1)+(DAY(B7)-1),IF(B8="weekly",B7+2282,IF(B8="biweekly",B7+4564,B7+ROUND((326*365.25)/24,0))))</f>
        <v/>
      </c>
      <c r="C343" s="21">
        <f>IF((ROUND(F342-ROUND($B$13-D343,2),2)&lt;=0),ROUND(D343+E343,2),$B$13)</f>
        <v/>
      </c>
      <c r="D343" s="21">
        <f>ROUND(F342*B5/100/B10,2)</f>
        <v/>
      </c>
      <c r="E343" s="21">
        <f>IF((ROUND(F342-ROUND($B$13-D343,2),2)&lt;=0),F342,ROUND($B$13-D343,2))</f>
        <v/>
      </c>
      <c r="F343" s="21">
        <f>IF((ROUND(F342-ROUND($B$13-D343,2),2)&lt;=0),0,ROUND(F342-E343,2))</f>
        <v/>
      </c>
    </row>
    <row r="344">
      <c r="A344" s="6" t="n">
        <v>328</v>
      </c>
      <c r="B344" s="19">
        <f>IF(B8="monthly",DATE(YEAR(B7)+INT((MONTH(B7)-1+327)/12),MOD(MONTH(B7)-1+327,12)+1,1)+(DAY(B7)-1),IF(B8="weekly",B7+2289,IF(B8="biweekly",B7+4578,B7+ROUND((327*365.25)/24,0))))</f>
        <v/>
      </c>
      <c r="C344" s="21">
        <f>IF((ROUND(F343-ROUND($B$13-D344,2),2)&lt;=0),ROUND(D344+E344,2),$B$13)</f>
        <v/>
      </c>
      <c r="D344" s="21">
        <f>ROUND(F343*B5/100/B10,2)</f>
        <v/>
      </c>
      <c r="E344" s="21">
        <f>IF((ROUND(F343-ROUND($B$13-D344,2),2)&lt;=0),F343,ROUND($B$13-D344,2))</f>
        <v/>
      </c>
      <c r="F344" s="21">
        <f>IF((ROUND(F343-ROUND($B$13-D344,2),2)&lt;=0),0,ROUND(F343-E344,2))</f>
        <v/>
      </c>
    </row>
    <row r="345">
      <c r="A345" s="6" t="n">
        <v>329</v>
      </c>
      <c r="B345" s="19">
        <f>IF(B8="monthly",DATE(YEAR(B7)+INT((MONTH(B7)-1+328)/12),MOD(MONTH(B7)-1+328,12)+1,1)+(DAY(B7)-1),IF(B8="weekly",B7+2296,IF(B8="biweekly",B7+4592,B7+ROUND((328*365.25)/24,0))))</f>
        <v/>
      </c>
      <c r="C345" s="21">
        <f>IF((ROUND(F344-ROUND($B$13-D345,2),2)&lt;=0),ROUND(D345+E345,2),$B$13)</f>
        <v/>
      </c>
      <c r="D345" s="21">
        <f>ROUND(F344*B5/100/B10,2)</f>
        <v/>
      </c>
      <c r="E345" s="21">
        <f>IF((ROUND(F344-ROUND($B$13-D345,2),2)&lt;=0),F344,ROUND($B$13-D345,2))</f>
        <v/>
      </c>
      <c r="F345" s="21">
        <f>IF((ROUND(F344-ROUND($B$13-D345,2),2)&lt;=0),0,ROUND(F344-E345,2))</f>
        <v/>
      </c>
    </row>
    <row r="346">
      <c r="A346" s="6" t="n">
        <v>330</v>
      </c>
      <c r="B346" s="19">
        <f>IF(B8="monthly",DATE(YEAR(B7)+INT((MONTH(B7)-1+329)/12),MOD(MONTH(B7)-1+329,12)+1,1)+(DAY(B7)-1),IF(B8="weekly",B7+2303,IF(B8="biweekly",B7+4606,B7+ROUND((329*365.25)/24,0))))</f>
        <v/>
      </c>
      <c r="C346" s="21">
        <f>IF((ROUND(F345-ROUND($B$13-D346,2),2)&lt;=0),ROUND(D346+E346,2),$B$13)</f>
        <v/>
      </c>
      <c r="D346" s="21">
        <f>ROUND(F345*B5/100/B10,2)</f>
        <v/>
      </c>
      <c r="E346" s="21">
        <f>IF((ROUND(F345-ROUND($B$13-D346,2),2)&lt;=0),F345,ROUND($B$13-D346,2))</f>
        <v/>
      </c>
      <c r="F346" s="21">
        <f>IF((ROUND(F345-ROUND($B$13-D346,2),2)&lt;=0),0,ROUND(F345-E346,2))</f>
        <v/>
      </c>
    </row>
    <row r="347">
      <c r="A347" s="6" t="n">
        <v>331</v>
      </c>
      <c r="B347" s="19">
        <f>IF(B8="monthly",DATE(YEAR(B7)+INT((MONTH(B7)-1+330)/12),MOD(MONTH(B7)-1+330,12)+1,1)+(DAY(B7)-1),IF(B8="weekly",B7+2310,IF(B8="biweekly",B7+4620,B7+ROUND((330*365.25)/24,0))))</f>
        <v/>
      </c>
      <c r="C347" s="21">
        <f>IF((ROUND(F346-ROUND($B$13-D347,2),2)&lt;=0),ROUND(D347+E347,2),$B$13)</f>
        <v/>
      </c>
      <c r="D347" s="21">
        <f>ROUND(F346*B5/100/B10,2)</f>
        <v/>
      </c>
      <c r="E347" s="21">
        <f>IF((ROUND(F346-ROUND($B$13-D347,2),2)&lt;=0),F346,ROUND($B$13-D347,2))</f>
        <v/>
      </c>
      <c r="F347" s="21">
        <f>IF((ROUND(F346-ROUND($B$13-D347,2),2)&lt;=0),0,ROUND(F346-E347,2))</f>
        <v/>
      </c>
    </row>
    <row r="348">
      <c r="A348" s="6" t="n">
        <v>332</v>
      </c>
      <c r="B348" s="19">
        <f>IF(B8="monthly",DATE(YEAR(B7)+INT((MONTH(B7)-1+331)/12),MOD(MONTH(B7)-1+331,12)+1,1)+(DAY(B7)-1),IF(B8="weekly",B7+2317,IF(B8="biweekly",B7+4634,B7+ROUND((331*365.25)/24,0))))</f>
        <v/>
      </c>
      <c r="C348" s="21">
        <f>IF((ROUND(F347-ROUND($B$13-D348,2),2)&lt;=0),ROUND(D348+E348,2),$B$13)</f>
        <v/>
      </c>
      <c r="D348" s="21">
        <f>ROUND(F347*B5/100/B10,2)</f>
        <v/>
      </c>
      <c r="E348" s="21">
        <f>IF((ROUND(F347-ROUND($B$13-D348,2),2)&lt;=0),F347,ROUND($B$13-D348,2))</f>
        <v/>
      </c>
      <c r="F348" s="21">
        <f>IF((ROUND(F347-ROUND($B$13-D348,2),2)&lt;=0),0,ROUND(F347-E348,2))</f>
        <v/>
      </c>
    </row>
    <row r="349">
      <c r="A349" s="6" t="n">
        <v>333</v>
      </c>
      <c r="B349" s="19">
        <f>IF(B8="monthly",DATE(YEAR(B7)+INT((MONTH(B7)-1+332)/12),MOD(MONTH(B7)-1+332,12)+1,1)+(DAY(B7)-1),IF(B8="weekly",B7+2324,IF(B8="biweekly",B7+4648,B7+ROUND((332*365.25)/24,0))))</f>
        <v/>
      </c>
      <c r="C349" s="21">
        <f>IF((ROUND(F348-ROUND($B$13-D349,2),2)&lt;=0),ROUND(D349+E349,2),$B$13)</f>
        <v/>
      </c>
      <c r="D349" s="21">
        <f>ROUND(F348*B5/100/B10,2)</f>
        <v/>
      </c>
      <c r="E349" s="21">
        <f>IF((ROUND(F348-ROUND($B$13-D349,2),2)&lt;=0),F348,ROUND($B$13-D349,2))</f>
        <v/>
      </c>
      <c r="F349" s="21">
        <f>IF((ROUND(F348-ROUND($B$13-D349,2),2)&lt;=0),0,ROUND(F348-E349,2))</f>
        <v/>
      </c>
    </row>
    <row r="350">
      <c r="A350" s="6" t="n">
        <v>334</v>
      </c>
      <c r="B350" s="19">
        <f>IF(B8="monthly",DATE(YEAR(B7)+INT((MONTH(B7)-1+333)/12),MOD(MONTH(B7)-1+333,12)+1,1)+(DAY(B7)-1),IF(B8="weekly",B7+2331,IF(B8="biweekly",B7+4662,B7+ROUND((333*365.25)/24,0))))</f>
        <v/>
      </c>
      <c r="C350" s="21">
        <f>IF((ROUND(F349-ROUND($B$13-D350,2),2)&lt;=0),ROUND(D350+E350,2),$B$13)</f>
        <v/>
      </c>
      <c r="D350" s="21">
        <f>ROUND(F349*B5/100/B10,2)</f>
        <v/>
      </c>
      <c r="E350" s="21">
        <f>IF((ROUND(F349-ROUND($B$13-D350,2),2)&lt;=0),F349,ROUND($B$13-D350,2))</f>
        <v/>
      </c>
      <c r="F350" s="21">
        <f>IF((ROUND(F349-ROUND($B$13-D350,2),2)&lt;=0),0,ROUND(F349-E350,2))</f>
        <v/>
      </c>
    </row>
    <row r="351">
      <c r="A351" s="6" t="n">
        <v>335</v>
      </c>
      <c r="B351" s="19">
        <f>IF(B8="monthly",DATE(YEAR(B7)+INT((MONTH(B7)-1+334)/12),MOD(MONTH(B7)-1+334,12)+1,1)+(DAY(B7)-1),IF(B8="weekly",B7+2338,IF(B8="biweekly",B7+4676,B7+ROUND((334*365.25)/24,0))))</f>
        <v/>
      </c>
      <c r="C351" s="21">
        <f>IF((ROUND(F350-ROUND($B$13-D351,2),2)&lt;=0),ROUND(D351+E351,2),$B$13)</f>
        <v/>
      </c>
      <c r="D351" s="21">
        <f>ROUND(F350*B5/100/B10,2)</f>
        <v/>
      </c>
      <c r="E351" s="21">
        <f>IF((ROUND(F350-ROUND($B$13-D351,2),2)&lt;=0),F350,ROUND($B$13-D351,2))</f>
        <v/>
      </c>
      <c r="F351" s="21">
        <f>IF((ROUND(F350-ROUND($B$13-D351,2),2)&lt;=0),0,ROUND(F350-E351,2))</f>
        <v/>
      </c>
    </row>
    <row r="352">
      <c r="A352" s="6" t="n">
        <v>336</v>
      </c>
      <c r="B352" s="19">
        <f>IF(B8="monthly",DATE(YEAR(B7)+INT((MONTH(B7)-1+335)/12),MOD(MONTH(B7)-1+335,12)+1,1)+(DAY(B7)-1),IF(B8="weekly",B7+2345,IF(B8="biweekly",B7+4690,B7+ROUND((335*365.25)/24,0))))</f>
        <v/>
      </c>
      <c r="C352" s="21">
        <f>IF((ROUND(F351-ROUND($B$13-D352,2),2)&lt;=0),ROUND(D352+E352,2),$B$13)</f>
        <v/>
      </c>
      <c r="D352" s="21">
        <f>ROUND(F351*B5/100/B10,2)</f>
        <v/>
      </c>
      <c r="E352" s="21">
        <f>IF((ROUND(F351-ROUND($B$13-D352,2),2)&lt;=0),F351,ROUND($B$13-D352,2))</f>
        <v/>
      </c>
      <c r="F352" s="21">
        <f>IF((ROUND(F351-ROUND($B$13-D352,2),2)&lt;=0),0,ROUND(F351-E352,2))</f>
        <v/>
      </c>
    </row>
    <row r="353">
      <c r="A353" s="6" t="n">
        <v>337</v>
      </c>
      <c r="B353" s="19">
        <f>IF(B8="monthly",DATE(YEAR(B7)+INT((MONTH(B7)-1+336)/12),MOD(MONTH(B7)-1+336,12)+1,1)+(DAY(B7)-1),IF(B8="weekly",B7+2352,IF(B8="biweekly",B7+4704,B7+ROUND((336*365.25)/24,0))))</f>
        <v/>
      </c>
      <c r="C353" s="21">
        <f>IF((ROUND(F352-ROUND($B$13-D353,2),2)&lt;=0),ROUND(D353+E353,2),$B$13)</f>
        <v/>
      </c>
      <c r="D353" s="21">
        <f>ROUND(F352*B5/100/B10,2)</f>
        <v/>
      </c>
      <c r="E353" s="21">
        <f>IF((ROUND(F352-ROUND($B$13-D353,2),2)&lt;=0),F352,ROUND($B$13-D353,2))</f>
        <v/>
      </c>
      <c r="F353" s="21">
        <f>IF((ROUND(F352-ROUND($B$13-D353,2),2)&lt;=0),0,ROUND(F352-E353,2))</f>
        <v/>
      </c>
    </row>
    <row r="354">
      <c r="A354" s="6" t="n">
        <v>338</v>
      </c>
      <c r="B354" s="19">
        <f>IF(B8="monthly",DATE(YEAR(B7)+INT((MONTH(B7)-1+337)/12),MOD(MONTH(B7)-1+337,12)+1,1)+(DAY(B7)-1),IF(B8="weekly",B7+2359,IF(B8="biweekly",B7+4718,B7+ROUND((337*365.25)/24,0))))</f>
        <v/>
      </c>
      <c r="C354" s="21">
        <f>IF((ROUND(F353-ROUND($B$13-D354,2),2)&lt;=0),ROUND(D354+E354,2),$B$13)</f>
        <v/>
      </c>
      <c r="D354" s="21">
        <f>ROUND(F353*B5/100/B10,2)</f>
        <v/>
      </c>
      <c r="E354" s="21">
        <f>IF((ROUND(F353-ROUND($B$13-D354,2),2)&lt;=0),F353,ROUND($B$13-D354,2))</f>
        <v/>
      </c>
      <c r="F354" s="21">
        <f>IF((ROUND(F353-ROUND($B$13-D354,2),2)&lt;=0),0,ROUND(F353-E354,2))</f>
        <v/>
      </c>
    </row>
    <row r="355">
      <c r="A355" s="6" t="n">
        <v>339</v>
      </c>
      <c r="B355" s="19">
        <f>IF(B8="monthly",DATE(YEAR(B7)+INT((MONTH(B7)-1+338)/12),MOD(MONTH(B7)-1+338,12)+1,1)+(DAY(B7)-1),IF(B8="weekly",B7+2366,IF(B8="biweekly",B7+4732,B7+ROUND((338*365.25)/24,0))))</f>
        <v/>
      </c>
      <c r="C355" s="21">
        <f>IF((ROUND(F354-ROUND($B$13-D355,2),2)&lt;=0),ROUND(D355+E355,2),$B$13)</f>
        <v/>
      </c>
      <c r="D355" s="21">
        <f>ROUND(F354*B5/100/B10,2)</f>
        <v/>
      </c>
      <c r="E355" s="21">
        <f>IF((ROUND(F354-ROUND($B$13-D355,2),2)&lt;=0),F354,ROUND($B$13-D355,2))</f>
        <v/>
      </c>
      <c r="F355" s="21">
        <f>IF((ROUND(F354-ROUND($B$13-D355,2),2)&lt;=0),0,ROUND(F354-E355,2))</f>
        <v/>
      </c>
    </row>
    <row r="356">
      <c r="A356" s="6" t="n">
        <v>340</v>
      </c>
      <c r="B356" s="19">
        <f>IF(B8="monthly",DATE(YEAR(B7)+INT((MONTH(B7)-1+339)/12),MOD(MONTH(B7)-1+339,12)+1,1)+(DAY(B7)-1),IF(B8="weekly",B7+2373,IF(B8="biweekly",B7+4746,B7+ROUND((339*365.25)/24,0))))</f>
        <v/>
      </c>
      <c r="C356" s="21">
        <f>IF((ROUND(F355-ROUND($B$13-D356,2),2)&lt;=0),ROUND(D356+E356,2),$B$13)</f>
        <v/>
      </c>
      <c r="D356" s="21">
        <f>ROUND(F355*B5/100/B10,2)</f>
        <v/>
      </c>
      <c r="E356" s="21">
        <f>IF((ROUND(F355-ROUND($B$13-D356,2),2)&lt;=0),F355,ROUND($B$13-D356,2))</f>
        <v/>
      </c>
      <c r="F356" s="21">
        <f>IF((ROUND(F355-ROUND($B$13-D356,2),2)&lt;=0),0,ROUND(F355-E356,2))</f>
        <v/>
      </c>
    </row>
    <row r="357">
      <c r="A357" s="6" t="n">
        <v>341</v>
      </c>
      <c r="B357" s="19">
        <f>IF(B8="monthly",DATE(YEAR(B7)+INT((MONTH(B7)-1+340)/12),MOD(MONTH(B7)-1+340,12)+1,1)+(DAY(B7)-1),IF(B8="weekly",B7+2380,IF(B8="biweekly",B7+4760,B7+ROUND((340*365.25)/24,0))))</f>
        <v/>
      </c>
      <c r="C357" s="21">
        <f>IF((ROUND(F356-ROUND($B$13-D357,2),2)&lt;=0),ROUND(D357+E357,2),$B$13)</f>
        <v/>
      </c>
      <c r="D357" s="21">
        <f>ROUND(F356*B5/100/B10,2)</f>
        <v/>
      </c>
      <c r="E357" s="21">
        <f>IF((ROUND(F356-ROUND($B$13-D357,2),2)&lt;=0),F356,ROUND($B$13-D357,2))</f>
        <v/>
      </c>
      <c r="F357" s="21">
        <f>IF((ROUND(F356-ROUND($B$13-D357,2),2)&lt;=0),0,ROUND(F356-E357,2))</f>
        <v/>
      </c>
    </row>
    <row r="358">
      <c r="A358" s="6" t="n">
        <v>342</v>
      </c>
      <c r="B358" s="19">
        <f>IF(B8="monthly",DATE(YEAR(B7)+INT((MONTH(B7)-1+341)/12),MOD(MONTH(B7)-1+341,12)+1,1)+(DAY(B7)-1),IF(B8="weekly",B7+2387,IF(B8="biweekly",B7+4774,B7+ROUND((341*365.25)/24,0))))</f>
        <v/>
      </c>
      <c r="C358" s="21">
        <f>IF((ROUND(F357-ROUND($B$13-D358,2),2)&lt;=0),ROUND(D358+E358,2),$B$13)</f>
        <v/>
      </c>
      <c r="D358" s="21">
        <f>ROUND(F357*B5/100/B10,2)</f>
        <v/>
      </c>
      <c r="E358" s="21">
        <f>IF((ROUND(F357-ROUND($B$13-D358,2),2)&lt;=0),F357,ROUND($B$13-D358,2))</f>
        <v/>
      </c>
      <c r="F358" s="21">
        <f>IF((ROUND(F357-ROUND($B$13-D358,2),2)&lt;=0),0,ROUND(F357-E358,2))</f>
        <v/>
      </c>
    </row>
    <row r="359">
      <c r="A359" s="6" t="n">
        <v>343</v>
      </c>
      <c r="B359" s="19">
        <f>IF(B8="monthly",DATE(YEAR(B7)+INT((MONTH(B7)-1+342)/12),MOD(MONTH(B7)-1+342,12)+1,1)+(DAY(B7)-1),IF(B8="weekly",B7+2394,IF(B8="biweekly",B7+4788,B7+ROUND((342*365.25)/24,0))))</f>
        <v/>
      </c>
      <c r="C359" s="21">
        <f>IF((ROUND(F358-ROUND($B$13-D359,2),2)&lt;=0),ROUND(D359+E359,2),$B$13)</f>
        <v/>
      </c>
      <c r="D359" s="21">
        <f>ROUND(F358*B5/100/B10,2)</f>
        <v/>
      </c>
      <c r="E359" s="21">
        <f>IF((ROUND(F358-ROUND($B$13-D359,2),2)&lt;=0),F358,ROUND($B$13-D359,2))</f>
        <v/>
      </c>
      <c r="F359" s="21">
        <f>IF((ROUND(F358-ROUND($B$13-D359,2),2)&lt;=0),0,ROUND(F358-E359,2))</f>
        <v/>
      </c>
    </row>
    <row r="360">
      <c r="A360" s="6" t="n">
        <v>344</v>
      </c>
      <c r="B360" s="19">
        <f>IF(B8="monthly",DATE(YEAR(B7)+INT((MONTH(B7)-1+343)/12),MOD(MONTH(B7)-1+343,12)+1,1)+(DAY(B7)-1),IF(B8="weekly",B7+2401,IF(B8="biweekly",B7+4802,B7+ROUND((343*365.25)/24,0))))</f>
        <v/>
      </c>
      <c r="C360" s="21">
        <f>IF((ROUND(F359-ROUND($B$13-D360,2),2)&lt;=0),ROUND(D360+E360,2),$B$13)</f>
        <v/>
      </c>
      <c r="D360" s="21">
        <f>ROUND(F359*B5/100/B10,2)</f>
        <v/>
      </c>
      <c r="E360" s="21">
        <f>IF((ROUND(F359-ROUND($B$13-D360,2),2)&lt;=0),F359,ROUND($B$13-D360,2))</f>
        <v/>
      </c>
      <c r="F360" s="21">
        <f>IF((ROUND(F359-ROUND($B$13-D360,2),2)&lt;=0),0,ROUND(F359-E360,2))</f>
        <v/>
      </c>
    </row>
    <row r="361">
      <c r="A361" s="6" t="n">
        <v>345</v>
      </c>
      <c r="B361" s="19">
        <f>IF(B8="monthly",DATE(YEAR(B7)+INT((MONTH(B7)-1+344)/12),MOD(MONTH(B7)-1+344,12)+1,1)+(DAY(B7)-1),IF(B8="weekly",B7+2408,IF(B8="biweekly",B7+4816,B7+ROUND((344*365.25)/24,0))))</f>
        <v/>
      </c>
      <c r="C361" s="21">
        <f>IF((ROUND(F360-ROUND($B$13-D361,2),2)&lt;=0),ROUND(D361+E361,2),$B$13)</f>
        <v/>
      </c>
      <c r="D361" s="21">
        <f>ROUND(F360*B5/100/B10,2)</f>
        <v/>
      </c>
      <c r="E361" s="21">
        <f>IF((ROUND(F360-ROUND($B$13-D361,2),2)&lt;=0),F360,ROUND($B$13-D361,2))</f>
        <v/>
      </c>
      <c r="F361" s="21">
        <f>IF((ROUND(F360-ROUND($B$13-D361,2),2)&lt;=0),0,ROUND(F360-E361,2))</f>
        <v/>
      </c>
    </row>
    <row r="362">
      <c r="A362" s="6" t="n">
        <v>346</v>
      </c>
      <c r="B362" s="19">
        <f>IF(B8="monthly",DATE(YEAR(B7)+INT((MONTH(B7)-1+345)/12),MOD(MONTH(B7)-1+345,12)+1,1)+(DAY(B7)-1),IF(B8="weekly",B7+2415,IF(B8="biweekly",B7+4830,B7+ROUND((345*365.25)/24,0))))</f>
        <v/>
      </c>
      <c r="C362" s="21">
        <f>IF((ROUND(F361-ROUND($B$13-D362,2),2)&lt;=0),ROUND(D362+E362,2),$B$13)</f>
        <v/>
      </c>
      <c r="D362" s="21">
        <f>ROUND(F361*B5/100/B10,2)</f>
        <v/>
      </c>
      <c r="E362" s="21">
        <f>IF((ROUND(F361-ROUND($B$13-D362,2),2)&lt;=0),F361,ROUND($B$13-D362,2))</f>
        <v/>
      </c>
      <c r="F362" s="21">
        <f>IF((ROUND(F361-ROUND($B$13-D362,2),2)&lt;=0),0,ROUND(F361-E362,2))</f>
        <v/>
      </c>
    </row>
    <row r="363">
      <c r="A363" s="6" t="n">
        <v>347</v>
      </c>
      <c r="B363" s="19">
        <f>IF(B8="monthly",DATE(YEAR(B7)+INT((MONTH(B7)-1+346)/12),MOD(MONTH(B7)-1+346,12)+1,1)+(DAY(B7)-1),IF(B8="weekly",B7+2422,IF(B8="biweekly",B7+4844,B7+ROUND((346*365.25)/24,0))))</f>
        <v/>
      </c>
      <c r="C363" s="21">
        <f>IF((ROUND(F362-ROUND($B$13-D363,2),2)&lt;=0),ROUND(D363+E363,2),$B$13)</f>
        <v/>
      </c>
      <c r="D363" s="21">
        <f>ROUND(F362*B5/100/B10,2)</f>
        <v/>
      </c>
      <c r="E363" s="21">
        <f>IF((ROUND(F362-ROUND($B$13-D363,2),2)&lt;=0),F362,ROUND($B$13-D363,2))</f>
        <v/>
      </c>
      <c r="F363" s="21">
        <f>IF((ROUND(F362-ROUND($B$13-D363,2),2)&lt;=0),0,ROUND(F362-E363,2))</f>
        <v/>
      </c>
    </row>
    <row r="364">
      <c r="A364" s="6" t="n">
        <v>348</v>
      </c>
      <c r="B364" s="19">
        <f>IF(B8="monthly",DATE(YEAR(B7)+INT((MONTH(B7)-1+347)/12),MOD(MONTH(B7)-1+347,12)+1,1)+(DAY(B7)-1),IF(B8="weekly",B7+2429,IF(B8="biweekly",B7+4858,B7+ROUND((347*365.25)/24,0))))</f>
        <v/>
      </c>
      <c r="C364" s="21">
        <f>IF((ROUND(F363-ROUND($B$13-D364,2),2)&lt;=0),ROUND(D364+E364,2),$B$13)</f>
        <v/>
      </c>
      <c r="D364" s="21">
        <f>ROUND(F363*B5/100/B10,2)</f>
        <v/>
      </c>
      <c r="E364" s="21">
        <f>IF((ROUND(F363-ROUND($B$13-D364,2),2)&lt;=0),F363,ROUND($B$13-D364,2))</f>
        <v/>
      </c>
      <c r="F364" s="21">
        <f>IF((ROUND(F363-ROUND($B$13-D364,2),2)&lt;=0),0,ROUND(F363-E364,2))</f>
        <v/>
      </c>
    </row>
    <row r="365">
      <c r="A365" s="6" t="n">
        <v>349</v>
      </c>
      <c r="B365" s="19">
        <f>IF(B8="monthly",DATE(YEAR(B7)+INT((MONTH(B7)-1+348)/12),MOD(MONTH(B7)-1+348,12)+1,1)+(DAY(B7)-1),IF(B8="weekly",B7+2436,IF(B8="biweekly",B7+4872,B7+ROUND((348*365.25)/24,0))))</f>
        <v/>
      </c>
      <c r="C365" s="21">
        <f>IF((ROUND(F364-ROUND($B$13-D365,2),2)&lt;=0),ROUND(D365+E365,2),$B$13)</f>
        <v/>
      </c>
      <c r="D365" s="21">
        <f>ROUND(F364*B5/100/B10,2)</f>
        <v/>
      </c>
      <c r="E365" s="21">
        <f>IF((ROUND(F364-ROUND($B$13-D365,2),2)&lt;=0),F364,ROUND($B$13-D365,2))</f>
        <v/>
      </c>
      <c r="F365" s="21">
        <f>IF((ROUND(F364-ROUND($B$13-D365,2),2)&lt;=0),0,ROUND(F364-E365,2))</f>
        <v/>
      </c>
    </row>
    <row r="366">
      <c r="A366" s="6" t="n">
        <v>350</v>
      </c>
      <c r="B366" s="19">
        <f>IF(B8="monthly",DATE(YEAR(B7)+INT((MONTH(B7)-1+349)/12),MOD(MONTH(B7)-1+349,12)+1,1)+(DAY(B7)-1),IF(B8="weekly",B7+2443,IF(B8="biweekly",B7+4886,B7+ROUND((349*365.25)/24,0))))</f>
        <v/>
      </c>
      <c r="C366" s="21">
        <f>IF((ROUND(F365-ROUND($B$13-D366,2),2)&lt;=0),ROUND(D366+E366,2),$B$13)</f>
        <v/>
      </c>
      <c r="D366" s="21">
        <f>ROUND(F365*B5/100/B10,2)</f>
        <v/>
      </c>
      <c r="E366" s="21">
        <f>IF((ROUND(F365-ROUND($B$13-D366,2),2)&lt;=0),F365,ROUND($B$13-D366,2))</f>
        <v/>
      </c>
      <c r="F366" s="21">
        <f>IF((ROUND(F365-ROUND($B$13-D366,2),2)&lt;=0),0,ROUND(F365-E366,2))</f>
        <v/>
      </c>
    </row>
    <row r="367">
      <c r="A367" s="6" t="n">
        <v>351</v>
      </c>
      <c r="B367" s="19">
        <f>IF(B8="monthly",DATE(YEAR(B7)+INT((MONTH(B7)-1+350)/12),MOD(MONTH(B7)-1+350,12)+1,1)+(DAY(B7)-1),IF(B8="weekly",B7+2450,IF(B8="biweekly",B7+4900,B7+ROUND((350*365.25)/24,0))))</f>
        <v/>
      </c>
      <c r="C367" s="21">
        <f>IF((ROUND(F366-ROUND($B$13-D367,2),2)&lt;=0),ROUND(D367+E367,2),$B$13)</f>
        <v/>
      </c>
      <c r="D367" s="21">
        <f>ROUND(F366*B5/100/B10,2)</f>
        <v/>
      </c>
      <c r="E367" s="21">
        <f>IF((ROUND(F366-ROUND($B$13-D367,2),2)&lt;=0),F366,ROUND($B$13-D367,2))</f>
        <v/>
      </c>
      <c r="F367" s="21">
        <f>IF((ROUND(F366-ROUND($B$13-D367,2),2)&lt;=0),0,ROUND(F366-E367,2))</f>
        <v/>
      </c>
    </row>
    <row r="368">
      <c r="A368" s="6" t="n">
        <v>352</v>
      </c>
      <c r="B368" s="19">
        <f>IF(B8="monthly",DATE(YEAR(B7)+INT((MONTH(B7)-1+351)/12),MOD(MONTH(B7)-1+351,12)+1,1)+(DAY(B7)-1),IF(B8="weekly",B7+2457,IF(B8="biweekly",B7+4914,B7+ROUND((351*365.25)/24,0))))</f>
        <v/>
      </c>
      <c r="C368" s="21">
        <f>IF((ROUND(F367-ROUND($B$13-D368,2),2)&lt;=0),ROUND(D368+E368,2),$B$13)</f>
        <v/>
      </c>
      <c r="D368" s="21">
        <f>ROUND(F367*B5/100/B10,2)</f>
        <v/>
      </c>
      <c r="E368" s="21">
        <f>IF((ROUND(F367-ROUND($B$13-D368,2),2)&lt;=0),F367,ROUND($B$13-D368,2))</f>
        <v/>
      </c>
      <c r="F368" s="21">
        <f>IF((ROUND(F367-ROUND($B$13-D368,2),2)&lt;=0),0,ROUND(F367-E368,2))</f>
        <v/>
      </c>
    </row>
    <row r="369">
      <c r="A369" s="6" t="n">
        <v>353</v>
      </c>
      <c r="B369" s="19">
        <f>IF(B8="monthly",DATE(YEAR(B7)+INT((MONTH(B7)-1+352)/12),MOD(MONTH(B7)-1+352,12)+1,1)+(DAY(B7)-1),IF(B8="weekly",B7+2464,IF(B8="biweekly",B7+4928,B7+ROUND((352*365.25)/24,0))))</f>
        <v/>
      </c>
      <c r="C369" s="21">
        <f>IF((ROUND(F368-ROUND($B$13-D369,2),2)&lt;=0),ROUND(D369+E369,2),$B$13)</f>
        <v/>
      </c>
      <c r="D369" s="21">
        <f>ROUND(F368*B5/100/B10,2)</f>
        <v/>
      </c>
      <c r="E369" s="21">
        <f>IF((ROUND(F368-ROUND($B$13-D369,2),2)&lt;=0),F368,ROUND($B$13-D369,2))</f>
        <v/>
      </c>
      <c r="F369" s="21">
        <f>IF((ROUND(F368-ROUND($B$13-D369,2),2)&lt;=0),0,ROUND(F368-E369,2))</f>
        <v/>
      </c>
    </row>
    <row r="370">
      <c r="A370" s="6" t="n">
        <v>354</v>
      </c>
      <c r="B370" s="19">
        <f>IF(B8="monthly",DATE(YEAR(B7)+INT((MONTH(B7)-1+353)/12),MOD(MONTH(B7)-1+353,12)+1,1)+(DAY(B7)-1),IF(B8="weekly",B7+2471,IF(B8="biweekly",B7+4942,B7+ROUND((353*365.25)/24,0))))</f>
        <v/>
      </c>
      <c r="C370" s="21">
        <f>IF((ROUND(F369-ROUND($B$13-D370,2),2)&lt;=0),ROUND(D370+E370,2),$B$13)</f>
        <v/>
      </c>
      <c r="D370" s="21">
        <f>ROUND(F369*B5/100/B10,2)</f>
        <v/>
      </c>
      <c r="E370" s="21">
        <f>IF((ROUND(F369-ROUND($B$13-D370,2),2)&lt;=0),F369,ROUND($B$13-D370,2))</f>
        <v/>
      </c>
      <c r="F370" s="21">
        <f>IF((ROUND(F369-ROUND($B$13-D370,2),2)&lt;=0),0,ROUND(F369-E370,2))</f>
        <v/>
      </c>
    </row>
    <row r="371">
      <c r="A371" s="6" t="n">
        <v>355</v>
      </c>
      <c r="B371" s="19">
        <f>IF(B8="monthly",DATE(YEAR(B7)+INT((MONTH(B7)-1+354)/12),MOD(MONTH(B7)-1+354,12)+1,1)+(DAY(B7)-1),IF(B8="weekly",B7+2478,IF(B8="biweekly",B7+4956,B7+ROUND((354*365.25)/24,0))))</f>
        <v/>
      </c>
      <c r="C371" s="21">
        <f>IF((ROUND(F370-ROUND($B$13-D371,2),2)&lt;=0),ROUND(D371+E371,2),$B$13)</f>
        <v/>
      </c>
      <c r="D371" s="21">
        <f>ROUND(F370*B5/100/B10,2)</f>
        <v/>
      </c>
      <c r="E371" s="21">
        <f>IF((ROUND(F370-ROUND($B$13-D371,2),2)&lt;=0),F370,ROUND($B$13-D371,2))</f>
        <v/>
      </c>
      <c r="F371" s="21">
        <f>IF((ROUND(F370-ROUND($B$13-D371,2),2)&lt;=0),0,ROUND(F370-E371,2))</f>
        <v/>
      </c>
    </row>
    <row r="372">
      <c r="A372" s="6" t="n">
        <v>356</v>
      </c>
      <c r="B372" s="19">
        <f>IF(B8="monthly",DATE(YEAR(B7)+INT((MONTH(B7)-1+355)/12),MOD(MONTH(B7)-1+355,12)+1,1)+(DAY(B7)-1),IF(B8="weekly",B7+2485,IF(B8="biweekly",B7+4970,B7+ROUND((355*365.25)/24,0))))</f>
        <v/>
      </c>
      <c r="C372" s="21">
        <f>IF((ROUND(F371-ROUND($B$13-D372,2),2)&lt;=0),ROUND(D372+E372,2),$B$13)</f>
        <v/>
      </c>
      <c r="D372" s="21">
        <f>ROUND(F371*B5/100/B10,2)</f>
        <v/>
      </c>
      <c r="E372" s="21">
        <f>IF((ROUND(F371-ROUND($B$13-D372,2),2)&lt;=0),F371,ROUND($B$13-D372,2))</f>
        <v/>
      </c>
      <c r="F372" s="21">
        <f>IF((ROUND(F371-ROUND($B$13-D372,2),2)&lt;=0),0,ROUND(F371-E372,2))</f>
        <v/>
      </c>
    </row>
    <row r="373">
      <c r="A373" s="6" t="n">
        <v>357</v>
      </c>
      <c r="B373" s="19">
        <f>IF(B8="monthly",DATE(YEAR(B7)+INT((MONTH(B7)-1+356)/12),MOD(MONTH(B7)-1+356,12)+1,1)+(DAY(B7)-1),IF(B8="weekly",B7+2492,IF(B8="biweekly",B7+4984,B7+ROUND((356*365.25)/24,0))))</f>
        <v/>
      </c>
      <c r="C373" s="21">
        <f>IF((ROUND(F372-ROUND($B$13-D373,2),2)&lt;=0),ROUND(D373+E373,2),$B$13)</f>
        <v/>
      </c>
      <c r="D373" s="21">
        <f>ROUND(F372*B5/100/B10,2)</f>
        <v/>
      </c>
      <c r="E373" s="21">
        <f>IF((ROUND(F372-ROUND($B$13-D373,2),2)&lt;=0),F372,ROUND($B$13-D373,2))</f>
        <v/>
      </c>
      <c r="F373" s="21">
        <f>IF((ROUND(F372-ROUND($B$13-D373,2),2)&lt;=0),0,ROUND(F372-E373,2))</f>
        <v/>
      </c>
    </row>
    <row r="374">
      <c r="A374" s="6" t="n">
        <v>358</v>
      </c>
      <c r="B374" s="19">
        <f>IF(B8="monthly",DATE(YEAR(B7)+INT((MONTH(B7)-1+357)/12),MOD(MONTH(B7)-1+357,12)+1,1)+(DAY(B7)-1),IF(B8="weekly",B7+2499,IF(B8="biweekly",B7+4998,B7+ROUND((357*365.25)/24,0))))</f>
        <v/>
      </c>
      <c r="C374" s="21">
        <f>IF((ROUND(F373-ROUND($B$13-D374,2),2)&lt;=0),ROUND(D374+E374,2),$B$13)</f>
        <v/>
      </c>
      <c r="D374" s="21">
        <f>ROUND(F373*B5/100/B10,2)</f>
        <v/>
      </c>
      <c r="E374" s="21">
        <f>IF((ROUND(F373-ROUND($B$13-D374,2),2)&lt;=0),F373,ROUND($B$13-D374,2))</f>
        <v/>
      </c>
      <c r="F374" s="21">
        <f>IF((ROUND(F373-ROUND($B$13-D374,2),2)&lt;=0),0,ROUND(F373-E374,2))</f>
        <v/>
      </c>
    </row>
    <row r="375">
      <c r="A375" s="6" t="n">
        <v>359</v>
      </c>
      <c r="B375" s="19">
        <f>IF(B8="monthly",DATE(YEAR(B7)+INT((MONTH(B7)-1+358)/12),MOD(MONTH(B7)-1+358,12)+1,1)+(DAY(B7)-1),IF(B8="weekly",B7+2506,IF(B8="biweekly",B7+5012,B7+ROUND((358*365.25)/24,0))))</f>
        <v/>
      </c>
      <c r="C375" s="21">
        <f>IF((ROUND(F374-ROUND($B$13-D375,2),2)&lt;=0),ROUND(D375+E375,2),$B$13)</f>
        <v/>
      </c>
      <c r="D375" s="21">
        <f>ROUND(F374*B5/100/B10,2)</f>
        <v/>
      </c>
      <c r="E375" s="21">
        <f>IF((ROUND(F374-ROUND($B$13-D375,2),2)&lt;=0),F374,ROUND($B$13-D375,2))</f>
        <v/>
      </c>
      <c r="F375" s="21">
        <f>IF((ROUND(F374-ROUND($B$13-D375,2),2)&lt;=0),0,ROUND(F374-E375,2))</f>
        <v/>
      </c>
    </row>
    <row r="376">
      <c r="A376" s="6" t="n">
        <v>360</v>
      </c>
      <c r="B376" s="19">
        <f>IF(B8="monthly",DATE(YEAR(B7)+INT((MONTH(B7)-1+359)/12),MOD(MONTH(B7)-1+359,12)+1,1)+(DAY(B7)-1),IF(B8="weekly",B7+2513,IF(B8="biweekly",B7+5026,B7+ROUND((359*365.25)/24,0))))</f>
        <v/>
      </c>
      <c r="C376" s="21">
        <f>IF((ROUND(F375-ROUND($B$13-D376,2),2)&lt;=0),ROUND(D376+E376,2),$B$13)</f>
        <v/>
      </c>
      <c r="D376" s="21">
        <f>ROUND(F375*B5/100/B10,2)</f>
        <v/>
      </c>
      <c r="E376" s="21">
        <f>IF((ROUND(F375-ROUND($B$13-D376,2),2)&lt;=0),F375,ROUND($B$13-D376,2))</f>
        <v/>
      </c>
      <c r="F376" s="21">
        <f>IF((ROUND(F375-ROUND($B$13-D376,2),2)&lt;=0),0,ROUND(F375-E376,2))</f>
        <v/>
      </c>
    </row>
    <row r="377">
      <c r="A377" s="6" t="n">
        <v>361</v>
      </c>
      <c r="B377" s="19">
        <f>IF(B8="monthly",DATE(YEAR(B7)+INT((MONTH(B7)-1+360)/12),MOD(MONTH(B7)-1+360,12)+1,1)+(DAY(B7)-1),IF(B8="weekly",B7+2520,IF(B8="biweekly",B7+5040,B7+ROUND((360*365.25)/24,0))))</f>
        <v/>
      </c>
      <c r="C377" s="21">
        <f>IF((ROUND(F376-ROUND($B$13-D377,2),2)&lt;=0),ROUND(D377+E377,2),$B$13)</f>
        <v/>
      </c>
      <c r="D377" s="21">
        <f>ROUND(F376*B5/100/B10,2)</f>
        <v/>
      </c>
      <c r="E377" s="21">
        <f>IF((ROUND(F376-ROUND($B$13-D377,2),2)&lt;=0),F376,ROUND($B$13-D377,2))</f>
        <v/>
      </c>
      <c r="F377" s="21">
        <f>IF((ROUND(F376-ROUND($B$13-D377,2),2)&lt;=0),0,ROUND(F376-E377,2))</f>
        <v/>
      </c>
    </row>
    <row r="378">
      <c r="A378" s="6" t="n">
        <v>362</v>
      </c>
      <c r="B378" s="19">
        <f>IF(B8="monthly",DATE(YEAR(B7)+INT((MONTH(B7)-1+361)/12),MOD(MONTH(B7)-1+361,12)+1,1)+(DAY(B7)-1),IF(B8="weekly",B7+2527,IF(B8="biweekly",B7+5054,B7+ROUND((361*365.25)/24,0))))</f>
        <v/>
      </c>
      <c r="C378" s="21">
        <f>IF((ROUND(F377-ROUND($B$13-D378,2),2)&lt;=0),ROUND(D378+E378,2),$B$13)</f>
        <v/>
      </c>
      <c r="D378" s="21">
        <f>ROUND(F377*B5/100/B10,2)</f>
        <v/>
      </c>
      <c r="E378" s="21">
        <f>IF((ROUND(F377-ROUND($B$13-D378,2),2)&lt;=0),F377,ROUND($B$13-D378,2))</f>
        <v/>
      </c>
      <c r="F378" s="21">
        <f>IF((ROUND(F377-ROUND($B$13-D378,2),2)&lt;=0),0,ROUND(F377-E378,2))</f>
        <v/>
      </c>
    </row>
    <row r="379">
      <c r="A379" s="6" t="n">
        <v>363</v>
      </c>
      <c r="B379" s="19">
        <f>IF(B8="monthly",DATE(YEAR(B7)+INT((MONTH(B7)-1+362)/12),MOD(MONTH(B7)-1+362,12)+1,1)+(DAY(B7)-1),IF(B8="weekly",B7+2534,IF(B8="biweekly",B7+5068,B7+ROUND((362*365.25)/24,0))))</f>
        <v/>
      </c>
      <c r="C379" s="21">
        <f>IF((ROUND(F378-ROUND($B$13-D379,2),2)&lt;=0),ROUND(D379+E379,2),$B$13)</f>
        <v/>
      </c>
      <c r="D379" s="21">
        <f>ROUND(F378*B5/100/B10,2)</f>
        <v/>
      </c>
      <c r="E379" s="21">
        <f>IF((ROUND(F378-ROUND($B$13-D379,2),2)&lt;=0),F378,ROUND($B$13-D379,2))</f>
        <v/>
      </c>
      <c r="F379" s="21">
        <f>IF((ROUND(F378-ROUND($B$13-D379,2),2)&lt;=0),0,ROUND(F378-E379,2))</f>
        <v/>
      </c>
    </row>
    <row r="380">
      <c r="A380" s="6" t="n">
        <v>364</v>
      </c>
      <c r="B380" s="19">
        <f>IF(B8="monthly",DATE(YEAR(B7)+INT((MONTH(B7)-1+363)/12),MOD(MONTH(B7)-1+363,12)+1,1)+(DAY(B7)-1),IF(B8="weekly",B7+2541,IF(B8="biweekly",B7+5082,B7+ROUND((363*365.25)/24,0))))</f>
        <v/>
      </c>
      <c r="C380" s="21">
        <f>IF((ROUND(F379-ROUND($B$13-D380,2),2)&lt;=0),ROUND(D380+E380,2),$B$13)</f>
        <v/>
      </c>
      <c r="D380" s="21">
        <f>ROUND(F379*B5/100/B10,2)</f>
        <v/>
      </c>
      <c r="E380" s="21">
        <f>IF((ROUND(F379-ROUND($B$13-D380,2),2)&lt;=0),F379,ROUND($B$13-D380,2))</f>
        <v/>
      </c>
      <c r="F380" s="21">
        <f>IF((ROUND(F379-ROUND($B$13-D380,2),2)&lt;=0),0,ROUND(F379-E380,2))</f>
        <v/>
      </c>
    </row>
    <row r="381">
      <c r="A381" s="6" t="n">
        <v>365</v>
      </c>
      <c r="B381" s="19">
        <f>IF(B8="monthly",DATE(YEAR(B7)+INT((MONTH(B7)-1+364)/12),MOD(MONTH(B7)-1+364,12)+1,1)+(DAY(B7)-1),IF(B8="weekly",B7+2548,IF(B8="biweekly",B7+5096,B7+ROUND((364*365.25)/24,0))))</f>
        <v/>
      </c>
      <c r="C381" s="21">
        <f>IF((ROUND(F380-ROUND($B$13-D381,2),2)&lt;=0),ROUND(D381+E381,2),$B$13)</f>
        <v/>
      </c>
      <c r="D381" s="21">
        <f>ROUND(F380*B5/100/B10,2)</f>
        <v/>
      </c>
      <c r="E381" s="21">
        <f>IF((ROUND(F380-ROUND($B$13-D381,2),2)&lt;=0),F380,ROUND($B$13-D381,2))</f>
        <v/>
      </c>
      <c r="F381" s="21">
        <f>IF((ROUND(F380-ROUND($B$13-D381,2),2)&lt;=0),0,ROUND(F380-E381,2))</f>
        <v/>
      </c>
    </row>
    <row r="382">
      <c r="A382" s="6" t="n">
        <v>366</v>
      </c>
      <c r="B382" s="19">
        <f>IF(B8="monthly",DATE(YEAR(B7)+INT((MONTH(B7)-1+365)/12),MOD(MONTH(B7)-1+365,12)+1,1)+(DAY(B7)-1),IF(B8="weekly",B7+2555,IF(B8="biweekly",B7+5110,B7+ROUND((365*365.25)/24,0))))</f>
        <v/>
      </c>
      <c r="C382" s="21">
        <f>IF((ROUND(F381-ROUND($B$13-D382,2),2)&lt;=0),ROUND(D382+E382,2),$B$13)</f>
        <v/>
      </c>
      <c r="D382" s="21">
        <f>ROUND(F381*B5/100/B10,2)</f>
        <v/>
      </c>
      <c r="E382" s="21">
        <f>IF((ROUND(F381-ROUND($B$13-D382,2),2)&lt;=0),F381,ROUND($B$13-D382,2))</f>
        <v/>
      </c>
      <c r="F382" s="21">
        <f>IF((ROUND(F381-ROUND($B$13-D382,2),2)&lt;=0),0,ROUND(F381-E382,2))</f>
        <v/>
      </c>
    </row>
    <row r="383">
      <c r="A383" s="6" t="n">
        <v>367</v>
      </c>
      <c r="B383" s="19">
        <f>IF(B8="monthly",DATE(YEAR(B7)+INT((MONTH(B7)-1+366)/12),MOD(MONTH(B7)-1+366,12)+1,1)+(DAY(B7)-1),IF(B8="weekly",B7+2562,IF(B8="biweekly",B7+5124,B7+ROUND((366*365.25)/24,0))))</f>
        <v/>
      </c>
      <c r="C383" s="21">
        <f>IF((ROUND(F382-ROUND($B$13-D383,2),2)&lt;=0),ROUND(D383+E383,2),$B$13)</f>
        <v/>
      </c>
      <c r="D383" s="21">
        <f>ROUND(F382*B5/100/B10,2)</f>
        <v/>
      </c>
      <c r="E383" s="21">
        <f>IF((ROUND(F382-ROUND($B$13-D383,2),2)&lt;=0),F382,ROUND($B$13-D383,2))</f>
        <v/>
      </c>
      <c r="F383" s="21">
        <f>IF((ROUND(F382-ROUND($B$13-D383,2),2)&lt;=0),0,ROUND(F382-E383,2))</f>
        <v/>
      </c>
    </row>
    <row r="384">
      <c r="A384" s="6" t="n">
        <v>368</v>
      </c>
      <c r="B384" s="19">
        <f>IF(B8="monthly",DATE(YEAR(B7)+INT((MONTH(B7)-1+367)/12),MOD(MONTH(B7)-1+367,12)+1,1)+(DAY(B7)-1),IF(B8="weekly",B7+2569,IF(B8="biweekly",B7+5138,B7+ROUND((367*365.25)/24,0))))</f>
        <v/>
      </c>
      <c r="C384" s="21">
        <f>IF((ROUND(F383-ROUND($B$13-D384,2),2)&lt;=0),ROUND(D384+E384,2),$B$13)</f>
        <v/>
      </c>
      <c r="D384" s="21">
        <f>ROUND(F383*B5/100/B10,2)</f>
        <v/>
      </c>
      <c r="E384" s="21">
        <f>IF((ROUND(F383-ROUND($B$13-D384,2),2)&lt;=0),F383,ROUND($B$13-D384,2))</f>
        <v/>
      </c>
      <c r="F384" s="21">
        <f>IF((ROUND(F383-ROUND($B$13-D384,2),2)&lt;=0),0,ROUND(F383-E384,2))</f>
        <v/>
      </c>
    </row>
    <row r="385">
      <c r="A385" s="6" t="n">
        <v>369</v>
      </c>
      <c r="B385" s="19">
        <f>IF(B8="monthly",DATE(YEAR(B7)+INT((MONTH(B7)-1+368)/12),MOD(MONTH(B7)-1+368,12)+1,1)+(DAY(B7)-1),IF(B8="weekly",B7+2576,IF(B8="biweekly",B7+5152,B7+ROUND((368*365.25)/24,0))))</f>
        <v/>
      </c>
      <c r="C385" s="21">
        <f>IF((ROUND(F384-ROUND($B$13-D385,2),2)&lt;=0),ROUND(D385+E385,2),$B$13)</f>
        <v/>
      </c>
      <c r="D385" s="21">
        <f>ROUND(F384*B5/100/B10,2)</f>
        <v/>
      </c>
      <c r="E385" s="21">
        <f>IF((ROUND(F384-ROUND($B$13-D385,2),2)&lt;=0),F384,ROUND($B$13-D385,2))</f>
        <v/>
      </c>
      <c r="F385" s="21">
        <f>IF((ROUND(F384-ROUND($B$13-D385,2),2)&lt;=0),0,ROUND(F384-E385,2))</f>
        <v/>
      </c>
    </row>
    <row r="386">
      <c r="A386" s="6" t="n">
        <v>370</v>
      </c>
      <c r="B386" s="19">
        <f>IF(B8="monthly",DATE(YEAR(B7)+INT((MONTH(B7)-1+369)/12),MOD(MONTH(B7)-1+369,12)+1,1)+(DAY(B7)-1),IF(B8="weekly",B7+2583,IF(B8="biweekly",B7+5166,B7+ROUND((369*365.25)/24,0))))</f>
        <v/>
      </c>
      <c r="C386" s="21">
        <f>IF((ROUND(F385-ROUND($B$13-D386,2),2)&lt;=0),ROUND(D386+E386,2),$B$13)</f>
        <v/>
      </c>
      <c r="D386" s="21">
        <f>ROUND(F385*B5/100/B10,2)</f>
        <v/>
      </c>
      <c r="E386" s="21">
        <f>IF((ROUND(F385-ROUND($B$13-D386,2),2)&lt;=0),F385,ROUND($B$13-D386,2))</f>
        <v/>
      </c>
      <c r="F386" s="21">
        <f>IF((ROUND(F385-ROUND($B$13-D386,2),2)&lt;=0),0,ROUND(F385-E386,2))</f>
        <v/>
      </c>
    </row>
    <row r="387">
      <c r="A387" s="6" t="n">
        <v>371</v>
      </c>
      <c r="B387" s="19">
        <f>IF(B8="monthly",DATE(YEAR(B7)+INT((MONTH(B7)-1+370)/12),MOD(MONTH(B7)-1+370,12)+1,1)+(DAY(B7)-1),IF(B8="weekly",B7+2590,IF(B8="biweekly",B7+5180,B7+ROUND((370*365.25)/24,0))))</f>
        <v/>
      </c>
      <c r="C387" s="21">
        <f>IF((ROUND(F386-ROUND($B$13-D387,2),2)&lt;=0),ROUND(D387+E387,2),$B$13)</f>
        <v/>
      </c>
      <c r="D387" s="21">
        <f>ROUND(F386*B5/100/B10,2)</f>
        <v/>
      </c>
      <c r="E387" s="21">
        <f>IF((ROUND(F386-ROUND($B$13-D387,2),2)&lt;=0),F386,ROUND($B$13-D387,2))</f>
        <v/>
      </c>
      <c r="F387" s="21">
        <f>IF((ROUND(F386-ROUND($B$13-D387,2),2)&lt;=0),0,ROUND(F386-E387,2))</f>
        <v/>
      </c>
    </row>
    <row r="388">
      <c r="A388" s="6" t="n">
        <v>372</v>
      </c>
      <c r="B388" s="19">
        <f>IF(B8="monthly",DATE(YEAR(B7)+INT((MONTH(B7)-1+371)/12),MOD(MONTH(B7)-1+371,12)+1,1)+(DAY(B7)-1),IF(B8="weekly",B7+2597,IF(B8="biweekly",B7+5194,B7+ROUND((371*365.25)/24,0))))</f>
        <v/>
      </c>
      <c r="C388" s="21">
        <f>IF((ROUND(F387-ROUND($B$13-D388,2),2)&lt;=0),ROUND(D388+E388,2),$B$13)</f>
        <v/>
      </c>
      <c r="D388" s="21">
        <f>ROUND(F387*B5/100/B10,2)</f>
        <v/>
      </c>
      <c r="E388" s="21">
        <f>IF((ROUND(F387-ROUND($B$13-D388,2),2)&lt;=0),F387,ROUND($B$13-D388,2))</f>
        <v/>
      </c>
      <c r="F388" s="21">
        <f>IF((ROUND(F387-ROUND($B$13-D388,2),2)&lt;=0),0,ROUND(F387-E388,2))</f>
        <v/>
      </c>
    </row>
    <row r="389">
      <c r="A389" s="6" t="n">
        <v>373</v>
      </c>
      <c r="B389" s="19">
        <f>IF(B8="monthly",DATE(YEAR(B7)+INT((MONTH(B7)-1+372)/12),MOD(MONTH(B7)-1+372,12)+1,1)+(DAY(B7)-1),IF(B8="weekly",B7+2604,IF(B8="biweekly",B7+5208,B7+ROUND((372*365.25)/24,0))))</f>
        <v/>
      </c>
      <c r="C389" s="21">
        <f>IF((ROUND(F388-ROUND($B$13-D389,2),2)&lt;=0),ROUND(D389+E389,2),$B$13)</f>
        <v/>
      </c>
      <c r="D389" s="21">
        <f>ROUND(F388*B5/100/B10,2)</f>
        <v/>
      </c>
      <c r="E389" s="21">
        <f>IF((ROUND(F388-ROUND($B$13-D389,2),2)&lt;=0),F388,ROUND($B$13-D389,2))</f>
        <v/>
      </c>
      <c r="F389" s="21">
        <f>IF((ROUND(F388-ROUND($B$13-D389,2),2)&lt;=0),0,ROUND(F388-E389,2))</f>
        <v/>
      </c>
    </row>
    <row r="390">
      <c r="A390" s="6" t="n">
        <v>374</v>
      </c>
      <c r="B390" s="19">
        <f>IF(B8="monthly",DATE(YEAR(B7)+INT((MONTH(B7)-1+373)/12),MOD(MONTH(B7)-1+373,12)+1,1)+(DAY(B7)-1),IF(B8="weekly",B7+2611,IF(B8="biweekly",B7+5222,B7+ROUND((373*365.25)/24,0))))</f>
        <v/>
      </c>
      <c r="C390" s="21">
        <f>IF((ROUND(F389-ROUND($B$13-D390,2),2)&lt;=0),ROUND(D390+E390,2),$B$13)</f>
        <v/>
      </c>
      <c r="D390" s="21">
        <f>ROUND(F389*B5/100/B10,2)</f>
        <v/>
      </c>
      <c r="E390" s="21">
        <f>IF((ROUND(F389-ROUND($B$13-D390,2),2)&lt;=0),F389,ROUND($B$13-D390,2))</f>
        <v/>
      </c>
      <c r="F390" s="21">
        <f>IF((ROUND(F389-ROUND($B$13-D390,2),2)&lt;=0),0,ROUND(F389-E390,2))</f>
        <v/>
      </c>
    </row>
    <row r="391">
      <c r="A391" s="6" t="n">
        <v>375</v>
      </c>
      <c r="B391" s="19">
        <f>IF(B8="monthly",DATE(YEAR(B7)+INT((MONTH(B7)-1+374)/12),MOD(MONTH(B7)-1+374,12)+1,1)+(DAY(B7)-1),IF(B8="weekly",B7+2618,IF(B8="biweekly",B7+5236,B7+ROUND((374*365.25)/24,0))))</f>
        <v/>
      </c>
      <c r="C391" s="21">
        <f>IF((ROUND(F390-ROUND($B$13-D391,2),2)&lt;=0),ROUND(D391+E391,2),$B$13)</f>
        <v/>
      </c>
      <c r="D391" s="21">
        <f>ROUND(F390*B5/100/B10,2)</f>
        <v/>
      </c>
      <c r="E391" s="21">
        <f>IF((ROUND(F390-ROUND($B$13-D391,2),2)&lt;=0),F390,ROUND($B$13-D391,2))</f>
        <v/>
      </c>
      <c r="F391" s="21">
        <f>IF((ROUND(F390-ROUND($B$13-D391,2),2)&lt;=0),0,ROUND(F390-E391,2))</f>
        <v/>
      </c>
    </row>
    <row r="392">
      <c r="A392" s="6" t="n">
        <v>376</v>
      </c>
      <c r="B392" s="19">
        <f>IF(B8="monthly",DATE(YEAR(B7)+INT((MONTH(B7)-1+375)/12),MOD(MONTH(B7)-1+375,12)+1,1)+(DAY(B7)-1),IF(B8="weekly",B7+2625,IF(B8="biweekly",B7+5250,B7+ROUND((375*365.25)/24,0))))</f>
        <v/>
      </c>
      <c r="C392" s="21">
        <f>IF((ROUND(F391-ROUND($B$13-D392,2),2)&lt;=0),ROUND(D392+E392,2),$B$13)</f>
        <v/>
      </c>
      <c r="D392" s="21">
        <f>ROUND(F391*B5/100/B10,2)</f>
        <v/>
      </c>
      <c r="E392" s="21">
        <f>IF((ROUND(F391-ROUND($B$13-D392,2),2)&lt;=0),F391,ROUND($B$13-D392,2))</f>
        <v/>
      </c>
      <c r="F392" s="21">
        <f>IF((ROUND(F391-ROUND($B$13-D392,2),2)&lt;=0),0,ROUND(F391-E392,2))</f>
        <v/>
      </c>
    </row>
    <row r="393">
      <c r="A393" s="6" t="n">
        <v>377</v>
      </c>
      <c r="B393" s="19">
        <f>IF(B8="monthly",DATE(YEAR(B7)+INT((MONTH(B7)-1+376)/12),MOD(MONTH(B7)-1+376,12)+1,1)+(DAY(B7)-1),IF(B8="weekly",B7+2632,IF(B8="biweekly",B7+5264,B7+ROUND((376*365.25)/24,0))))</f>
        <v/>
      </c>
      <c r="C393" s="21">
        <f>IF((ROUND(F392-ROUND($B$13-D393,2),2)&lt;=0),ROUND(D393+E393,2),$B$13)</f>
        <v/>
      </c>
      <c r="D393" s="21">
        <f>ROUND(F392*B5/100/B10,2)</f>
        <v/>
      </c>
      <c r="E393" s="21">
        <f>IF((ROUND(F392-ROUND($B$13-D393,2),2)&lt;=0),F392,ROUND($B$13-D393,2))</f>
        <v/>
      </c>
      <c r="F393" s="21">
        <f>IF((ROUND(F392-ROUND($B$13-D393,2),2)&lt;=0),0,ROUND(F392-E393,2))</f>
        <v/>
      </c>
    </row>
    <row r="394">
      <c r="A394" s="6" t="n">
        <v>378</v>
      </c>
      <c r="B394" s="19">
        <f>IF(B8="monthly",DATE(YEAR(B7)+INT((MONTH(B7)-1+377)/12),MOD(MONTH(B7)-1+377,12)+1,1)+(DAY(B7)-1),IF(B8="weekly",B7+2639,IF(B8="biweekly",B7+5278,B7+ROUND((377*365.25)/24,0))))</f>
        <v/>
      </c>
      <c r="C394" s="21">
        <f>IF((ROUND(F393-ROUND($B$13-D394,2),2)&lt;=0),ROUND(D394+E394,2),$B$13)</f>
        <v/>
      </c>
      <c r="D394" s="21">
        <f>ROUND(F393*B5/100/B10,2)</f>
        <v/>
      </c>
      <c r="E394" s="21">
        <f>IF((ROUND(F393-ROUND($B$13-D394,2),2)&lt;=0),F393,ROUND($B$13-D394,2))</f>
        <v/>
      </c>
      <c r="F394" s="21">
        <f>IF((ROUND(F393-ROUND($B$13-D394,2),2)&lt;=0),0,ROUND(F393-E394,2))</f>
        <v/>
      </c>
    </row>
    <row r="395">
      <c r="A395" s="6" t="n">
        <v>379</v>
      </c>
      <c r="B395" s="19">
        <f>IF(B8="monthly",DATE(YEAR(B7)+INT((MONTH(B7)-1+378)/12),MOD(MONTH(B7)-1+378,12)+1,1)+(DAY(B7)-1),IF(B8="weekly",B7+2646,IF(B8="biweekly",B7+5292,B7+ROUND((378*365.25)/24,0))))</f>
        <v/>
      </c>
      <c r="C395" s="21">
        <f>IF((ROUND(F394-ROUND($B$13-D395,2),2)&lt;=0),ROUND(D395+E395,2),$B$13)</f>
        <v/>
      </c>
      <c r="D395" s="21">
        <f>ROUND(F394*B5/100/B10,2)</f>
        <v/>
      </c>
      <c r="E395" s="21">
        <f>IF((ROUND(F394-ROUND($B$13-D395,2),2)&lt;=0),F394,ROUND($B$13-D395,2))</f>
        <v/>
      </c>
      <c r="F395" s="21">
        <f>IF((ROUND(F394-ROUND($B$13-D395,2),2)&lt;=0),0,ROUND(F394-E395,2))</f>
        <v/>
      </c>
    </row>
    <row r="396">
      <c r="A396" s="6" t="n">
        <v>380</v>
      </c>
      <c r="B396" s="19">
        <f>IF(B8="monthly",DATE(YEAR(B7)+INT((MONTH(B7)-1+379)/12),MOD(MONTH(B7)-1+379,12)+1,1)+(DAY(B7)-1),IF(B8="weekly",B7+2653,IF(B8="biweekly",B7+5306,B7+ROUND((379*365.25)/24,0))))</f>
        <v/>
      </c>
      <c r="C396" s="21">
        <f>IF((ROUND(F395-ROUND($B$13-D396,2),2)&lt;=0),ROUND(D396+E396,2),$B$13)</f>
        <v/>
      </c>
      <c r="D396" s="21">
        <f>ROUND(F395*B5/100/B10,2)</f>
        <v/>
      </c>
      <c r="E396" s="21">
        <f>IF((ROUND(F395-ROUND($B$13-D396,2),2)&lt;=0),F395,ROUND($B$13-D396,2))</f>
        <v/>
      </c>
      <c r="F396" s="21">
        <f>IF((ROUND(F395-ROUND($B$13-D396,2),2)&lt;=0),0,ROUND(F395-E396,2))</f>
        <v/>
      </c>
    </row>
    <row r="397">
      <c r="A397" s="6" t="n">
        <v>381</v>
      </c>
      <c r="B397" s="19">
        <f>IF(B8="monthly",DATE(YEAR(B7)+INT((MONTH(B7)-1+380)/12),MOD(MONTH(B7)-1+380,12)+1,1)+(DAY(B7)-1),IF(B8="weekly",B7+2660,IF(B8="biweekly",B7+5320,B7+ROUND((380*365.25)/24,0))))</f>
        <v/>
      </c>
      <c r="C397" s="21">
        <f>IF((ROUND(F396-ROUND($B$13-D397,2),2)&lt;=0),ROUND(D397+E397,2),$B$13)</f>
        <v/>
      </c>
      <c r="D397" s="21">
        <f>ROUND(F396*B5/100/B10,2)</f>
        <v/>
      </c>
      <c r="E397" s="21">
        <f>IF((ROUND(F396-ROUND($B$13-D397,2),2)&lt;=0),F396,ROUND($B$13-D397,2))</f>
        <v/>
      </c>
      <c r="F397" s="21">
        <f>IF((ROUND(F396-ROUND($B$13-D397,2),2)&lt;=0),0,ROUND(F396-E397,2))</f>
        <v/>
      </c>
    </row>
    <row r="398">
      <c r="A398" s="6" t="n">
        <v>382</v>
      </c>
      <c r="B398" s="19">
        <f>IF(B8="monthly",DATE(YEAR(B7)+INT((MONTH(B7)-1+381)/12),MOD(MONTH(B7)-1+381,12)+1,1)+(DAY(B7)-1),IF(B8="weekly",B7+2667,IF(B8="biweekly",B7+5334,B7+ROUND((381*365.25)/24,0))))</f>
        <v/>
      </c>
      <c r="C398" s="21">
        <f>IF((ROUND(F397-ROUND($B$13-D398,2),2)&lt;=0),ROUND(D398+E398,2),$B$13)</f>
        <v/>
      </c>
      <c r="D398" s="21">
        <f>ROUND(F397*B5/100/B10,2)</f>
        <v/>
      </c>
      <c r="E398" s="21">
        <f>IF((ROUND(F397-ROUND($B$13-D398,2),2)&lt;=0),F397,ROUND($B$13-D398,2))</f>
        <v/>
      </c>
      <c r="F398" s="21">
        <f>IF((ROUND(F397-ROUND($B$13-D398,2),2)&lt;=0),0,ROUND(F397-E398,2))</f>
        <v/>
      </c>
    </row>
    <row r="399">
      <c r="A399" s="6" t="n">
        <v>383</v>
      </c>
      <c r="B399" s="19">
        <f>IF(B8="monthly",DATE(YEAR(B7)+INT((MONTH(B7)-1+382)/12),MOD(MONTH(B7)-1+382,12)+1,1)+(DAY(B7)-1),IF(B8="weekly",B7+2674,IF(B8="biweekly",B7+5348,B7+ROUND((382*365.25)/24,0))))</f>
        <v/>
      </c>
      <c r="C399" s="21">
        <f>IF((ROUND(F398-ROUND($B$13-D399,2),2)&lt;=0),ROUND(D399+E399,2),$B$13)</f>
        <v/>
      </c>
      <c r="D399" s="21">
        <f>ROUND(F398*B5/100/B10,2)</f>
        <v/>
      </c>
      <c r="E399" s="21">
        <f>IF((ROUND(F398-ROUND($B$13-D399,2),2)&lt;=0),F398,ROUND($B$13-D399,2))</f>
        <v/>
      </c>
      <c r="F399" s="21">
        <f>IF((ROUND(F398-ROUND($B$13-D399,2),2)&lt;=0),0,ROUND(F398-E399,2))</f>
        <v/>
      </c>
    </row>
    <row r="400">
      <c r="A400" s="6" t="n">
        <v>384</v>
      </c>
      <c r="B400" s="19">
        <f>IF(B8="monthly",DATE(YEAR(B7)+INT((MONTH(B7)-1+383)/12),MOD(MONTH(B7)-1+383,12)+1,1)+(DAY(B7)-1),IF(B8="weekly",B7+2681,IF(B8="biweekly",B7+5362,B7+ROUND((383*365.25)/24,0))))</f>
        <v/>
      </c>
      <c r="C400" s="21">
        <f>IF((ROUND(F399-ROUND($B$13-D400,2),2)&lt;=0),ROUND(D400+E400,2),$B$13)</f>
        <v/>
      </c>
      <c r="D400" s="21">
        <f>ROUND(F399*B5/100/B10,2)</f>
        <v/>
      </c>
      <c r="E400" s="21">
        <f>IF((ROUND(F399-ROUND($B$13-D400,2),2)&lt;=0),F399,ROUND($B$13-D400,2))</f>
        <v/>
      </c>
      <c r="F400" s="21">
        <f>IF((ROUND(F399-ROUND($B$13-D400,2),2)&lt;=0),0,ROUND(F399-E400,2))</f>
        <v/>
      </c>
    </row>
    <row r="401">
      <c r="A401" s="6" t="n">
        <v>385</v>
      </c>
      <c r="B401" s="19">
        <f>IF(B8="monthly",DATE(YEAR(B7)+INT((MONTH(B7)-1+384)/12),MOD(MONTH(B7)-1+384,12)+1,1)+(DAY(B7)-1),IF(B8="weekly",B7+2688,IF(B8="biweekly",B7+5376,B7+ROUND((384*365.25)/24,0))))</f>
        <v/>
      </c>
      <c r="C401" s="21">
        <f>IF((ROUND(F400-ROUND($B$13-D401,2),2)&lt;=0),ROUND(D401+E401,2),$B$13)</f>
        <v/>
      </c>
      <c r="D401" s="21">
        <f>ROUND(F400*B5/100/B10,2)</f>
        <v/>
      </c>
      <c r="E401" s="21">
        <f>IF((ROUND(F400-ROUND($B$13-D401,2),2)&lt;=0),F400,ROUND($B$13-D401,2))</f>
        <v/>
      </c>
      <c r="F401" s="21">
        <f>IF((ROUND(F400-ROUND($B$13-D401,2),2)&lt;=0),0,ROUND(F400-E401,2))</f>
        <v/>
      </c>
    </row>
    <row r="402">
      <c r="A402" s="6" t="n">
        <v>386</v>
      </c>
      <c r="B402" s="19">
        <f>IF(B8="monthly",DATE(YEAR(B7)+INT((MONTH(B7)-1+385)/12),MOD(MONTH(B7)-1+385,12)+1,1)+(DAY(B7)-1),IF(B8="weekly",B7+2695,IF(B8="biweekly",B7+5390,B7+ROUND((385*365.25)/24,0))))</f>
        <v/>
      </c>
      <c r="C402" s="21">
        <f>IF((ROUND(F401-ROUND($B$13-D402,2),2)&lt;=0),ROUND(D402+E402,2),$B$13)</f>
        <v/>
      </c>
      <c r="D402" s="21">
        <f>ROUND(F401*B5/100/B10,2)</f>
        <v/>
      </c>
      <c r="E402" s="21">
        <f>IF((ROUND(F401-ROUND($B$13-D402,2),2)&lt;=0),F401,ROUND($B$13-D402,2))</f>
        <v/>
      </c>
      <c r="F402" s="21">
        <f>IF((ROUND(F401-ROUND($B$13-D402,2),2)&lt;=0),0,ROUND(F401-E402,2))</f>
        <v/>
      </c>
    </row>
    <row r="403">
      <c r="A403" s="6" t="n">
        <v>387</v>
      </c>
      <c r="B403" s="19">
        <f>IF(B8="monthly",DATE(YEAR(B7)+INT((MONTH(B7)-1+386)/12),MOD(MONTH(B7)-1+386,12)+1,1)+(DAY(B7)-1),IF(B8="weekly",B7+2702,IF(B8="biweekly",B7+5404,B7+ROUND((386*365.25)/24,0))))</f>
        <v/>
      </c>
      <c r="C403" s="21">
        <f>IF((ROUND(F402-ROUND($B$13-D403,2),2)&lt;=0),ROUND(D403+E403,2),$B$13)</f>
        <v/>
      </c>
      <c r="D403" s="21">
        <f>ROUND(F402*B5/100/B10,2)</f>
        <v/>
      </c>
      <c r="E403" s="21">
        <f>IF((ROUND(F402-ROUND($B$13-D403,2),2)&lt;=0),F402,ROUND($B$13-D403,2))</f>
        <v/>
      </c>
      <c r="F403" s="21">
        <f>IF((ROUND(F402-ROUND($B$13-D403,2),2)&lt;=0),0,ROUND(F402-E403,2))</f>
        <v/>
      </c>
    </row>
    <row r="404">
      <c r="A404" s="6" t="n">
        <v>388</v>
      </c>
      <c r="B404" s="19">
        <f>IF(B8="monthly",DATE(YEAR(B7)+INT((MONTH(B7)-1+387)/12),MOD(MONTH(B7)-1+387,12)+1,1)+(DAY(B7)-1),IF(B8="weekly",B7+2709,IF(B8="biweekly",B7+5418,B7+ROUND((387*365.25)/24,0))))</f>
        <v/>
      </c>
      <c r="C404" s="21">
        <f>IF((ROUND(F403-ROUND($B$13-D404,2),2)&lt;=0),ROUND(D404+E404,2),$B$13)</f>
        <v/>
      </c>
      <c r="D404" s="21">
        <f>ROUND(F403*B5/100/B10,2)</f>
        <v/>
      </c>
      <c r="E404" s="21">
        <f>IF((ROUND(F403-ROUND($B$13-D404,2),2)&lt;=0),F403,ROUND($B$13-D404,2))</f>
        <v/>
      </c>
      <c r="F404" s="21">
        <f>IF((ROUND(F403-ROUND($B$13-D404,2),2)&lt;=0),0,ROUND(F403-E404,2))</f>
        <v/>
      </c>
    </row>
    <row r="405">
      <c r="A405" s="6" t="n">
        <v>389</v>
      </c>
      <c r="B405" s="19">
        <f>IF(B8="monthly",DATE(YEAR(B7)+INT((MONTH(B7)-1+388)/12),MOD(MONTH(B7)-1+388,12)+1,1)+(DAY(B7)-1),IF(B8="weekly",B7+2716,IF(B8="biweekly",B7+5432,B7+ROUND((388*365.25)/24,0))))</f>
        <v/>
      </c>
      <c r="C405" s="21">
        <f>IF((ROUND(F404-ROUND($B$13-D405,2),2)&lt;=0),ROUND(D405+E405,2),$B$13)</f>
        <v/>
      </c>
      <c r="D405" s="21">
        <f>ROUND(F404*B5/100/B10,2)</f>
        <v/>
      </c>
      <c r="E405" s="21">
        <f>IF((ROUND(F404-ROUND($B$13-D405,2),2)&lt;=0),F404,ROUND($B$13-D405,2))</f>
        <v/>
      </c>
      <c r="F405" s="21">
        <f>IF((ROUND(F404-ROUND($B$13-D405,2),2)&lt;=0),0,ROUND(F404-E405,2))</f>
        <v/>
      </c>
    </row>
    <row r="406">
      <c r="A406" s="6" t="n">
        <v>390</v>
      </c>
      <c r="B406" s="19">
        <f>IF(B8="monthly",DATE(YEAR(B7)+INT((MONTH(B7)-1+389)/12),MOD(MONTH(B7)-1+389,12)+1,1)+(DAY(B7)-1),IF(B8="weekly",B7+2723,IF(B8="biweekly",B7+5446,B7+ROUND((389*365.25)/24,0))))</f>
        <v/>
      </c>
      <c r="C406" s="21">
        <f>IF((ROUND(F405-ROUND($B$13-D406,2),2)&lt;=0),ROUND(D406+E406,2),$B$13)</f>
        <v/>
      </c>
      <c r="D406" s="21">
        <f>ROUND(F405*B5/100/B10,2)</f>
        <v/>
      </c>
      <c r="E406" s="21">
        <f>IF((ROUND(F405-ROUND($B$13-D406,2),2)&lt;=0),F405,ROUND($B$13-D406,2))</f>
        <v/>
      </c>
      <c r="F406" s="21">
        <f>IF((ROUND(F405-ROUND($B$13-D406,2),2)&lt;=0),0,ROUND(F405-E406,2))</f>
        <v/>
      </c>
    </row>
    <row r="407">
      <c r="A407" s="6" t="n">
        <v>391</v>
      </c>
      <c r="B407" s="19">
        <f>IF(B8="monthly",DATE(YEAR(B7)+INT((MONTH(B7)-1+390)/12),MOD(MONTH(B7)-1+390,12)+1,1)+(DAY(B7)-1),IF(B8="weekly",B7+2730,IF(B8="biweekly",B7+5460,B7+ROUND((390*365.25)/24,0))))</f>
        <v/>
      </c>
      <c r="C407" s="21">
        <f>IF((ROUND(F406-ROUND($B$13-D407,2),2)&lt;=0),ROUND(D407+E407,2),$B$13)</f>
        <v/>
      </c>
      <c r="D407" s="21">
        <f>ROUND(F406*B5/100/B10,2)</f>
        <v/>
      </c>
      <c r="E407" s="21">
        <f>IF((ROUND(F406-ROUND($B$13-D407,2),2)&lt;=0),F406,ROUND($B$13-D407,2))</f>
        <v/>
      </c>
      <c r="F407" s="21">
        <f>IF((ROUND(F406-ROUND($B$13-D407,2),2)&lt;=0),0,ROUND(F406-E407,2))</f>
        <v/>
      </c>
    </row>
    <row r="408">
      <c r="A408" s="6" t="n">
        <v>392</v>
      </c>
      <c r="B408" s="19">
        <f>IF(B8="monthly",DATE(YEAR(B7)+INT((MONTH(B7)-1+391)/12),MOD(MONTH(B7)-1+391,12)+1,1)+(DAY(B7)-1),IF(B8="weekly",B7+2737,IF(B8="biweekly",B7+5474,B7+ROUND((391*365.25)/24,0))))</f>
        <v/>
      </c>
      <c r="C408" s="21">
        <f>IF((ROUND(F407-ROUND($B$13-D408,2),2)&lt;=0),ROUND(D408+E408,2),$B$13)</f>
        <v/>
      </c>
      <c r="D408" s="21">
        <f>ROUND(F407*B5/100/B10,2)</f>
        <v/>
      </c>
      <c r="E408" s="21">
        <f>IF((ROUND(F407-ROUND($B$13-D408,2),2)&lt;=0),F407,ROUND($B$13-D408,2))</f>
        <v/>
      </c>
      <c r="F408" s="21">
        <f>IF((ROUND(F407-ROUND($B$13-D408,2),2)&lt;=0),0,ROUND(F407-E408,2))</f>
        <v/>
      </c>
    </row>
    <row r="409">
      <c r="A409" s="6" t="n">
        <v>393</v>
      </c>
      <c r="B409" s="19">
        <f>IF(B8="monthly",DATE(YEAR(B7)+INT((MONTH(B7)-1+392)/12),MOD(MONTH(B7)-1+392,12)+1,1)+(DAY(B7)-1),IF(B8="weekly",B7+2744,IF(B8="biweekly",B7+5488,B7+ROUND((392*365.25)/24,0))))</f>
        <v/>
      </c>
      <c r="C409" s="21">
        <f>IF((ROUND(F408-ROUND($B$13-D409,2),2)&lt;=0),ROUND(D409+E409,2),$B$13)</f>
        <v/>
      </c>
      <c r="D409" s="21">
        <f>ROUND(F408*B5/100/B10,2)</f>
        <v/>
      </c>
      <c r="E409" s="21">
        <f>IF((ROUND(F408-ROUND($B$13-D409,2),2)&lt;=0),F408,ROUND($B$13-D409,2))</f>
        <v/>
      </c>
      <c r="F409" s="21">
        <f>IF((ROUND(F408-ROUND($B$13-D409,2),2)&lt;=0),0,ROUND(F408-E409,2))</f>
        <v/>
      </c>
    </row>
    <row r="410">
      <c r="A410" s="6" t="n">
        <v>394</v>
      </c>
      <c r="B410" s="19">
        <f>IF(B8="monthly",DATE(YEAR(B7)+INT((MONTH(B7)-1+393)/12),MOD(MONTH(B7)-1+393,12)+1,1)+(DAY(B7)-1),IF(B8="weekly",B7+2751,IF(B8="biweekly",B7+5502,B7+ROUND((393*365.25)/24,0))))</f>
        <v/>
      </c>
      <c r="C410" s="21">
        <f>IF((ROUND(F409-ROUND($B$13-D410,2),2)&lt;=0),ROUND(D410+E410,2),$B$13)</f>
        <v/>
      </c>
      <c r="D410" s="21">
        <f>ROUND(F409*B5/100/B10,2)</f>
        <v/>
      </c>
      <c r="E410" s="21">
        <f>IF((ROUND(F409-ROUND($B$13-D410,2),2)&lt;=0),F409,ROUND($B$13-D410,2))</f>
        <v/>
      </c>
      <c r="F410" s="21">
        <f>IF((ROUND(F409-ROUND($B$13-D410,2),2)&lt;=0),0,ROUND(F409-E410,2))</f>
        <v/>
      </c>
    </row>
    <row r="411">
      <c r="A411" s="6" t="n">
        <v>395</v>
      </c>
      <c r="B411" s="19">
        <f>IF(B8="monthly",DATE(YEAR(B7)+INT((MONTH(B7)-1+394)/12),MOD(MONTH(B7)-1+394,12)+1,1)+(DAY(B7)-1),IF(B8="weekly",B7+2758,IF(B8="biweekly",B7+5516,B7+ROUND((394*365.25)/24,0))))</f>
        <v/>
      </c>
      <c r="C411" s="21">
        <f>IF((ROUND(F410-ROUND($B$13-D411,2),2)&lt;=0),ROUND(D411+E411,2),$B$13)</f>
        <v/>
      </c>
      <c r="D411" s="21">
        <f>ROUND(F410*B5/100/B10,2)</f>
        <v/>
      </c>
      <c r="E411" s="21">
        <f>IF((ROUND(F410-ROUND($B$13-D411,2),2)&lt;=0),F410,ROUND($B$13-D411,2))</f>
        <v/>
      </c>
      <c r="F411" s="21">
        <f>IF((ROUND(F410-ROUND($B$13-D411,2),2)&lt;=0),0,ROUND(F410-E411,2))</f>
        <v/>
      </c>
    </row>
    <row r="412">
      <c r="A412" s="6" t="n">
        <v>396</v>
      </c>
      <c r="B412" s="19">
        <f>IF(B8="monthly",DATE(YEAR(B7)+INT((MONTH(B7)-1+395)/12),MOD(MONTH(B7)-1+395,12)+1,1)+(DAY(B7)-1),IF(B8="weekly",B7+2765,IF(B8="biweekly",B7+5530,B7+ROUND((395*365.25)/24,0))))</f>
        <v/>
      </c>
      <c r="C412" s="21">
        <f>IF((ROUND(F411-ROUND($B$13-D412,2),2)&lt;=0),ROUND(D412+E412,2),$B$13)</f>
        <v/>
      </c>
      <c r="D412" s="21">
        <f>ROUND(F411*B5/100/B10,2)</f>
        <v/>
      </c>
      <c r="E412" s="21">
        <f>IF((ROUND(F411-ROUND($B$13-D412,2),2)&lt;=0),F411,ROUND($B$13-D412,2))</f>
        <v/>
      </c>
      <c r="F412" s="21">
        <f>IF((ROUND(F411-ROUND($B$13-D412,2),2)&lt;=0),0,ROUND(F411-E412,2))</f>
        <v/>
      </c>
    </row>
    <row r="413">
      <c r="A413" s="6" t="n">
        <v>397</v>
      </c>
      <c r="B413" s="19">
        <f>IF(B8="monthly",DATE(YEAR(B7)+INT((MONTH(B7)-1+396)/12),MOD(MONTH(B7)-1+396,12)+1,1)+(DAY(B7)-1),IF(B8="weekly",B7+2772,IF(B8="biweekly",B7+5544,B7+ROUND((396*365.25)/24,0))))</f>
        <v/>
      </c>
      <c r="C413" s="21">
        <f>IF((ROUND(F412-ROUND($B$13-D413,2),2)&lt;=0),ROUND(D413+E413,2),$B$13)</f>
        <v/>
      </c>
      <c r="D413" s="21">
        <f>ROUND(F412*B5/100/B10,2)</f>
        <v/>
      </c>
      <c r="E413" s="21">
        <f>IF((ROUND(F412-ROUND($B$13-D413,2),2)&lt;=0),F412,ROUND($B$13-D413,2))</f>
        <v/>
      </c>
      <c r="F413" s="21">
        <f>IF((ROUND(F412-ROUND($B$13-D413,2),2)&lt;=0),0,ROUND(F412-E413,2))</f>
        <v/>
      </c>
    </row>
    <row r="414">
      <c r="A414" s="6" t="n">
        <v>398</v>
      </c>
      <c r="B414" s="19">
        <f>IF(B8="monthly",DATE(YEAR(B7)+INT((MONTH(B7)-1+397)/12),MOD(MONTH(B7)-1+397,12)+1,1)+(DAY(B7)-1),IF(B8="weekly",B7+2779,IF(B8="biweekly",B7+5558,B7+ROUND((397*365.25)/24,0))))</f>
        <v/>
      </c>
      <c r="C414" s="21">
        <f>IF((ROUND(F413-ROUND($B$13-D414,2),2)&lt;=0),ROUND(D414+E414,2),$B$13)</f>
        <v/>
      </c>
      <c r="D414" s="21">
        <f>ROUND(F413*B5/100/B10,2)</f>
        <v/>
      </c>
      <c r="E414" s="21">
        <f>IF((ROUND(F413-ROUND($B$13-D414,2),2)&lt;=0),F413,ROUND($B$13-D414,2))</f>
        <v/>
      </c>
      <c r="F414" s="21">
        <f>IF((ROUND(F413-ROUND($B$13-D414,2),2)&lt;=0),0,ROUND(F413-E414,2))</f>
        <v/>
      </c>
    </row>
    <row r="415">
      <c r="A415" s="6" t="n">
        <v>399</v>
      </c>
      <c r="B415" s="19">
        <f>IF(B8="monthly",DATE(YEAR(B7)+INT((MONTH(B7)-1+398)/12),MOD(MONTH(B7)-1+398,12)+1,1)+(DAY(B7)-1),IF(B8="weekly",B7+2786,IF(B8="biweekly",B7+5572,B7+ROUND((398*365.25)/24,0))))</f>
        <v/>
      </c>
      <c r="C415" s="21">
        <f>IF((ROUND(F414-ROUND($B$13-D415,2),2)&lt;=0),ROUND(D415+E415,2),$B$13)</f>
        <v/>
      </c>
      <c r="D415" s="21">
        <f>ROUND(F414*B5/100/B10,2)</f>
        <v/>
      </c>
      <c r="E415" s="21">
        <f>IF((ROUND(F414-ROUND($B$13-D415,2),2)&lt;=0),F414,ROUND($B$13-D415,2))</f>
        <v/>
      </c>
      <c r="F415" s="21">
        <f>IF((ROUND(F414-ROUND($B$13-D415,2),2)&lt;=0),0,ROUND(F414-E415,2))</f>
        <v/>
      </c>
    </row>
    <row r="416">
      <c r="A416" s="6" t="n">
        <v>400</v>
      </c>
      <c r="B416" s="19">
        <f>IF(B8="monthly",DATE(YEAR(B7)+INT((MONTH(B7)-1+399)/12),MOD(MONTH(B7)-1+399,12)+1,1)+(DAY(B7)-1),IF(B8="weekly",B7+2793,IF(B8="biweekly",B7+5586,B7+ROUND((399*365.25)/24,0))))</f>
        <v/>
      </c>
      <c r="C416" s="21">
        <f>IF((ROUND(F415-ROUND($B$13-D416,2),2)&lt;=0),ROUND(D416+E416,2),$B$13)</f>
        <v/>
      </c>
      <c r="D416" s="21">
        <f>ROUND(F415*B5/100/B10,2)</f>
        <v/>
      </c>
      <c r="E416" s="21">
        <f>IF((ROUND(F415-ROUND($B$13-D416,2),2)&lt;=0),F415,ROUND($B$13-D416,2))</f>
        <v/>
      </c>
      <c r="F416" s="21">
        <f>IF((ROUND(F415-ROUND($B$13-D416,2),2)&lt;=0),0,ROUND(F415-E416,2))</f>
        <v/>
      </c>
    </row>
    <row r="417">
      <c r="A417" s="6" t="n">
        <v>401</v>
      </c>
      <c r="B417" s="19">
        <f>IF(B8="monthly",DATE(YEAR(B7)+INT((MONTH(B7)-1+400)/12),MOD(MONTH(B7)-1+400,12)+1,1)+(DAY(B7)-1),IF(B8="weekly",B7+2800,IF(B8="biweekly",B7+5600,B7+ROUND((400*365.25)/24,0))))</f>
        <v/>
      </c>
      <c r="C417" s="21">
        <f>IF((ROUND(F416-ROUND($B$13-D417,2),2)&lt;=0),ROUND(D417+E417,2),$B$13)</f>
        <v/>
      </c>
      <c r="D417" s="21">
        <f>ROUND(F416*B5/100/B10,2)</f>
        <v/>
      </c>
      <c r="E417" s="21">
        <f>IF((ROUND(F416-ROUND($B$13-D417,2),2)&lt;=0),F416,ROUND($B$13-D417,2))</f>
        <v/>
      </c>
      <c r="F417" s="21">
        <f>IF((ROUND(F416-ROUND($B$13-D417,2),2)&lt;=0),0,ROUND(F416-E417,2))</f>
        <v/>
      </c>
    </row>
    <row r="418">
      <c r="A418" s="6" t="n">
        <v>402</v>
      </c>
      <c r="B418" s="19">
        <f>IF(B8="monthly",DATE(YEAR(B7)+INT((MONTH(B7)-1+401)/12),MOD(MONTH(B7)-1+401,12)+1,1)+(DAY(B7)-1),IF(B8="weekly",B7+2807,IF(B8="biweekly",B7+5614,B7+ROUND((401*365.25)/24,0))))</f>
        <v/>
      </c>
      <c r="C418" s="21">
        <f>IF((ROUND(F417-ROUND($B$13-D418,2),2)&lt;=0),ROUND(D418+E418,2),$B$13)</f>
        <v/>
      </c>
      <c r="D418" s="21">
        <f>ROUND(F417*B5/100/B10,2)</f>
        <v/>
      </c>
      <c r="E418" s="21">
        <f>IF((ROUND(F417-ROUND($B$13-D418,2),2)&lt;=0),F417,ROUND($B$13-D418,2))</f>
        <v/>
      </c>
      <c r="F418" s="21">
        <f>IF((ROUND(F417-ROUND($B$13-D418,2),2)&lt;=0),0,ROUND(F417-E418,2))</f>
        <v/>
      </c>
    </row>
    <row r="419">
      <c r="A419" s="6" t="n">
        <v>403</v>
      </c>
      <c r="B419" s="19">
        <f>IF(B8="monthly",DATE(YEAR(B7)+INT((MONTH(B7)-1+402)/12),MOD(MONTH(B7)-1+402,12)+1,1)+(DAY(B7)-1),IF(B8="weekly",B7+2814,IF(B8="biweekly",B7+5628,B7+ROUND((402*365.25)/24,0))))</f>
        <v/>
      </c>
      <c r="C419" s="21">
        <f>IF((ROUND(F418-ROUND($B$13-D419,2),2)&lt;=0),ROUND(D419+E419,2),$B$13)</f>
        <v/>
      </c>
      <c r="D419" s="21">
        <f>ROUND(F418*B5/100/B10,2)</f>
        <v/>
      </c>
      <c r="E419" s="21">
        <f>IF((ROUND(F418-ROUND($B$13-D419,2),2)&lt;=0),F418,ROUND($B$13-D419,2))</f>
        <v/>
      </c>
      <c r="F419" s="21">
        <f>IF((ROUND(F418-ROUND($B$13-D419,2),2)&lt;=0),0,ROUND(F418-E419,2))</f>
        <v/>
      </c>
    </row>
    <row r="420">
      <c r="A420" s="6" t="n">
        <v>404</v>
      </c>
      <c r="B420" s="19">
        <f>IF(B8="monthly",DATE(YEAR(B7)+INT((MONTH(B7)-1+403)/12),MOD(MONTH(B7)-1+403,12)+1,1)+(DAY(B7)-1),IF(B8="weekly",B7+2821,IF(B8="biweekly",B7+5642,B7+ROUND((403*365.25)/24,0))))</f>
        <v/>
      </c>
      <c r="C420" s="21">
        <f>IF((ROUND(F419-ROUND($B$13-D420,2),2)&lt;=0),ROUND(D420+E420,2),$B$13)</f>
        <v/>
      </c>
      <c r="D420" s="21">
        <f>ROUND(F419*B5/100/B10,2)</f>
        <v/>
      </c>
      <c r="E420" s="21">
        <f>IF((ROUND(F419-ROUND($B$13-D420,2),2)&lt;=0),F419,ROUND($B$13-D420,2))</f>
        <v/>
      </c>
      <c r="F420" s="21">
        <f>IF((ROUND(F419-ROUND($B$13-D420,2),2)&lt;=0),0,ROUND(F419-E420,2))</f>
        <v/>
      </c>
    </row>
    <row r="421">
      <c r="A421" s="6" t="n">
        <v>405</v>
      </c>
      <c r="B421" s="19">
        <f>IF(B8="monthly",DATE(YEAR(B7)+INT((MONTH(B7)-1+404)/12),MOD(MONTH(B7)-1+404,12)+1,1)+(DAY(B7)-1),IF(B8="weekly",B7+2828,IF(B8="biweekly",B7+5656,B7+ROUND((404*365.25)/24,0))))</f>
        <v/>
      </c>
      <c r="C421" s="21">
        <f>IF((ROUND(F420-ROUND($B$13-D421,2),2)&lt;=0),ROUND(D421+E421,2),$B$13)</f>
        <v/>
      </c>
      <c r="D421" s="21">
        <f>ROUND(F420*B5/100/B10,2)</f>
        <v/>
      </c>
      <c r="E421" s="21">
        <f>IF((ROUND(F420-ROUND($B$13-D421,2),2)&lt;=0),F420,ROUND($B$13-D421,2))</f>
        <v/>
      </c>
      <c r="F421" s="21">
        <f>IF((ROUND(F420-ROUND($B$13-D421,2),2)&lt;=0),0,ROUND(F420-E421,2))</f>
        <v/>
      </c>
    </row>
    <row r="422">
      <c r="A422" s="6" t="n">
        <v>406</v>
      </c>
      <c r="B422" s="19">
        <f>IF(B8="monthly",DATE(YEAR(B7)+INT((MONTH(B7)-1+405)/12),MOD(MONTH(B7)-1+405,12)+1,1)+(DAY(B7)-1),IF(B8="weekly",B7+2835,IF(B8="biweekly",B7+5670,B7+ROUND((405*365.25)/24,0))))</f>
        <v/>
      </c>
      <c r="C422" s="21">
        <f>IF((ROUND(F421-ROUND($B$13-D422,2),2)&lt;=0),ROUND(D422+E422,2),$B$13)</f>
        <v/>
      </c>
      <c r="D422" s="21">
        <f>ROUND(F421*B5/100/B10,2)</f>
        <v/>
      </c>
      <c r="E422" s="21">
        <f>IF((ROUND(F421-ROUND($B$13-D422,2),2)&lt;=0),F421,ROUND($B$13-D422,2))</f>
        <v/>
      </c>
      <c r="F422" s="21">
        <f>IF((ROUND(F421-ROUND($B$13-D422,2),2)&lt;=0),0,ROUND(F421-E422,2))</f>
        <v/>
      </c>
    </row>
    <row r="423">
      <c r="A423" s="6" t="n">
        <v>407</v>
      </c>
      <c r="B423" s="19">
        <f>IF(B8="monthly",DATE(YEAR(B7)+INT((MONTH(B7)-1+406)/12),MOD(MONTH(B7)-1+406,12)+1,1)+(DAY(B7)-1),IF(B8="weekly",B7+2842,IF(B8="biweekly",B7+5684,B7+ROUND((406*365.25)/24,0))))</f>
        <v/>
      </c>
      <c r="C423" s="21">
        <f>IF((ROUND(F422-ROUND($B$13-D423,2),2)&lt;=0),ROUND(D423+E423,2),$B$13)</f>
        <v/>
      </c>
      <c r="D423" s="21">
        <f>ROUND(F422*B5/100/B10,2)</f>
        <v/>
      </c>
      <c r="E423" s="21">
        <f>IF((ROUND(F422-ROUND($B$13-D423,2),2)&lt;=0),F422,ROUND($B$13-D423,2))</f>
        <v/>
      </c>
      <c r="F423" s="21">
        <f>IF((ROUND(F422-ROUND($B$13-D423,2),2)&lt;=0),0,ROUND(F422-E423,2))</f>
        <v/>
      </c>
    </row>
    <row r="424">
      <c r="A424" s="6" t="n">
        <v>408</v>
      </c>
      <c r="B424" s="19">
        <f>IF(B8="monthly",DATE(YEAR(B7)+INT((MONTH(B7)-1+407)/12),MOD(MONTH(B7)-1+407,12)+1,1)+(DAY(B7)-1),IF(B8="weekly",B7+2849,IF(B8="biweekly",B7+5698,B7+ROUND((407*365.25)/24,0))))</f>
        <v/>
      </c>
      <c r="C424" s="21">
        <f>IF((ROUND(F423-ROUND($B$13-D424,2),2)&lt;=0),ROUND(D424+E424,2),$B$13)</f>
        <v/>
      </c>
      <c r="D424" s="21">
        <f>ROUND(F423*B5/100/B10,2)</f>
        <v/>
      </c>
      <c r="E424" s="21">
        <f>IF((ROUND(F423-ROUND($B$13-D424,2),2)&lt;=0),F423,ROUND($B$13-D424,2))</f>
        <v/>
      </c>
      <c r="F424" s="21">
        <f>IF((ROUND(F423-ROUND($B$13-D424,2),2)&lt;=0),0,ROUND(F423-E424,2))</f>
        <v/>
      </c>
    </row>
    <row r="425">
      <c r="A425" s="6" t="n">
        <v>409</v>
      </c>
      <c r="B425" s="19">
        <f>IF(B8="monthly",DATE(YEAR(B7)+INT((MONTH(B7)-1+408)/12),MOD(MONTH(B7)-1+408,12)+1,1)+(DAY(B7)-1),IF(B8="weekly",B7+2856,IF(B8="biweekly",B7+5712,B7+ROUND((408*365.25)/24,0))))</f>
        <v/>
      </c>
      <c r="C425" s="21">
        <f>IF((ROUND(F424-ROUND($B$13-D425,2),2)&lt;=0),ROUND(D425+E425,2),$B$13)</f>
        <v/>
      </c>
      <c r="D425" s="21">
        <f>ROUND(F424*B5/100/B10,2)</f>
        <v/>
      </c>
      <c r="E425" s="21">
        <f>IF((ROUND(F424-ROUND($B$13-D425,2),2)&lt;=0),F424,ROUND($B$13-D425,2))</f>
        <v/>
      </c>
      <c r="F425" s="21">
        <f>IF((ROUND(F424-ROUND($B$13-D425,2),2)&lt;=0),0,ROUND(F424-E425,2))</f>
        <v/>
      </c>
    </row>
    <row r="426">
      <c r="A426" s="6" t="n">
        <v>410</v>
      </c>
      <c r="B426" s="19">
        <f>IF(B8="monthly",DATE(YEAR(B7)+INT((MONTH(B7)-1+409)/12),MOD(MONTH(B7)-1+409,12)+1,1)+(DAY(B7)-1),IF(B8="weekly",B7+2863,IF(B8="biweekly",B7+5726,B7+ROUND((409*365.25)/24,0))))</f>
        <v/>
      </c>
      <c r="C426" s="21">
        <f>IF((ROUND(F425-ROUND($B$13-D426,2),2)&lt;=0),ROUND(D426+E426,2),$B$13)</f>
        <v/>
      </c>
      <c r="D426" s="21">
        <f>ROUND(F425*B5/100/B10,2)</f>
        <v/>
      </c>
      <c r="E426" s="21">
        <f>IF((ROUND(F425-ROUND($B$13-D426,2),2)&lt;=0),F425,ROUND($B$13-D426,2))</f>
        <v/>
      </c>
      <c r="F426" s="21">
        <f>IF((ROUND(F425-ROUND($B$13-D426,2),2)&lt;=0),0,ROUND(F425-E426,2))</f>
        <v/>
      </c>
    </row>
    <row r="427">
      <c r="A427" s="6" t="n">
        <v>411</v>
      </c>
      <c r="B427" s="19">
        <f>IF(B8="monthly",DATE(YEAR(B7)+INT((MONTH(B7)-1+410)/12),MOD(MONTH(B7)-1+410,12)+1,1)+(DAY(B7)-1),IF(B8="weekly",B7+2870,IF(B8="biweekly",B7+5740,B7+ROUND((410*365.25)/24,0))))</f>
        <v/>
      </c>
      <c r="C427" s="21">
        <f>IF((ROUND(F426-ROUND($B$13-D427,2),2)&lt;=0),ROUND(D427+E427,2),$B$13)</f>
        <v/>
      </c>
      <c r="D427" s="21">
        <f>ROUND(F426*B5/100/B10,2)</f>
        <v/>
      </c>
      <c r="E427" s="21">
        <f>IF((ROUND(F426-ROUND($B$13-D427,2),2)&lt;=0),F426,ROUND($B$13-D427,2))</f>
        <v/>
      </c>
      <c r="F427" s="21">
        <f>IF((ROUND(F426-ROUND($B$13-D427,2),2)&lt;=0),0,ROUND(F426-E427,2))</f>
        <v/>
      </c>
    </row>
    <row r="428">
      <c r="A428" s="6" t="n">
        <v>412</v>
      </c>
      <c r="B428" s="19">
        <f>IF(B8="monthly",DATE(YEAR(B7)+INT((MONTH(B7)-1+411)/12),MOD(MONTH(B7)-1+411,12)+1,1)+(DAY(B7)-1),IF(B8="weekly",B7+2877,IF(B8="biweekly",B7+5754,B7+ROUND((411*365.25)/24,0))))</f>
        <v/>
      </c>
      <c r="C428" s="21">
        <f>IF((ROUND(F427-ROUND($B$13-D428,2),2)&lt;=0),ROUND(D428+E428,2),$B$13)</f>
        <v/>
      </c>
      <c r="D428" s="21">
        <f>ROUND(F427*B5/100/B10,2)</f>
        <v/>
      </c>
      <c r="E428" s="21">
        <f>IF((ROUND(F427-ROUND($B$13-D428,2),2)&lt;=0),F427,ROUND($B$13-D428,2))</f>
        <v/>
      </c>
      <c r="F428" s="21">
        <f>IF((ROUND(F427-ROUND($B$13-D428,2),2)&lt;=0),0,ROUND(F427-E428,2))</f>
        <v/>
      </c>
    </row>
    <row r="429">
      <c r="A429" s="6" t="n">
        <v>413</v>
      </c>
      <c r="B429" s="19">
        <f>IF(B8="monthly",DATE(YEAR(B7)+INT((MONTH(B7)-1+412)/12),MOD(MONTH(B7)-1+412,12)+1,1)+(DAY(B7)-1),IF(B8="weekly",B7+2884,IF(B8="biweekly",B7+5768,B7+ROUND((412*365.25)/24,0))))</f>
        <v/>
      </c>
      <c r="C429" s="21">
        <f>IF((ROUND(F428-ROUND($B$13-D429,2),2)&lt;=0),ROUND(D429+E429,2),$B$13)</f>
        <v/>
      </c>
      <c r="D429" s="21">
        <f>ROUND(F428*B5/100/B10,2)</f>
        <v/>
      </c>
      <c r="E429" s="21">
        <f>IF((ROUND(F428-ROUND($B$13-D429,2),2)&lt;=0),F428,ROUND($B$13-D429,2))</f>
        <v/>
      </c>
      <c r="F429" s="21">
        <f>IF((ROUND(F428-ROUND($B$13-D429,2),2)&lt;=0),0,ROUND(F428-E429,2))</f>
        <v/>
      </c>
    </row>
    <row r="430">
      <c r="A430" s="6" t="n">
        <v>414</v>
      </c>
      <c r="B430" s="19">
        <f>IF(B8="monthly",DATE(YEAR(B7)+INT((MONTH(B7)-1+413)/12),MOD(MONTH(B7)-1+413,12)+1,1)+(DAY(B7)-1),IF(B8="weekly",B7+2891,IF(B8="biweekly",B7+5782,B7+ROUND((413*365.25)/24,0))))</f>
        <v/>
      </c>
      <c r="C430" s="21">
        <f>IF((ROUND(F429-ROUND($B$13-D430,2),2)&lt;=0),ROUND(D430+E430,2),$B$13)</f>
        <v/>
      </c>
      <c r="D430" s="21">
        <f>ROUND(F429*B5/100/B10,2)</f>
        <v/>
      </c>
      <c r="E430" s="21">
        <f>IF((ROUND(F429-ROUND($B$13-D430,2),2)&lt;=0),F429,ROUND($B$13-D430,2))</f>
        <v/>
      </c>
      <c r="F430" s="21">
        <f>IF((ROUND(F429-ROUND($B$13-D430,2),2)&lt;=0),0,ROUND(F429-E430,2))</f>
        <v/>
      </c>
    </row>
    <row r="431">
      <c r="A431" s="6" t="n">
        <v>415</v>
      </c>
      <c r="B431" s="19">
        <f>IF(B8="monthly",DATE(YEAR(B7)+INT((MONTH(B7)-1+414)/12),MOD(MONTH(B7)-1+414,12)+1,1)+(DAY(B7)-1),IF(B8="weekly",B7+2898,IF(B8="biweekly",B7+5796,B7+ROUND((414*365.25)/24,0))))</f>
        <v/>
      </c>
      <c r="C431" s="21">
        <f>IF((ROUND(F430-ROUND($B$13-D431,2),2)&lt;=0),ROUND(D431+E431,2),$B$13)</f>
        <v/>
      </c>
      <c r="D431" s="21">
        <f>ROUND(F430*B5/100/B10,2)</f>
        <v/>
      </c>
      <c r="E431" s="21">
        <f>IF((ROUND(F430-ROUND($B$13-D431,2),2)&lt;=0),F430,ROUND($B$13-D431,2))</f>
        <v/>
      </c>
      <c r="F431" s="21">
        <f>IF((ROUND(F430-ROUND($B$13-D431,2),2)&lt;=0),0,ROUND(F430-E431,2))</f>
        <v/>
      </c>
    </row>
    <row r="432">
      <c r="A432" s="6" t="n">
        <v>416</v>
      </c>
      <c r="B432" s="19">
        <f>IF(B8="monthly",DATE(YEAR(B7)+INT((MONTH(B7)-1+415)/12),MOD(MONTH(B7)-1+415,12)+1,1)+(DAY(B7)-1),IF(B8="weekly",B7+2905,IF(B8="biweekly",B7+5810,B7+ROUND((415*365.25)/24,0))))</f>
        <v/>
      </c>
      <c r="C432" s="21">
        <f>IF((ROUND(F431-ROUND($B$13-D432,2),2)&lt;=0),ROUND(D432+E432,2),$B$13)</f>
        <v/>
      </c>
      <c r="D432" s="21">
        <f>ROUND(F431*B5/100/B10,2)</f>
        <v/>
      </c>
      <c r="E432" s="21">
        <f>IF((ROUND(F431-ROUND($B$13-D432,2),2)&lt;=0),F431,ROUND($B$13-D432,2))</f>
        <v/>
      </c>
      <c r="F432" s="21">
        <f>IF((ROUND(F431-ROUND($B$13-D432,2),2)&lt;=0),0,ROUND(F431-E432,2))</f>
        <v/>
      </c>
    </row>
    <row r="433">
      <c r="A433" s="6" t="n">
        <v>417</v>
      </c>
      <c r="B433" s="19">
        <f>IF(B8="monthly",DATE(YEAR(B7)+INT((MONTH(B7)-1+416)/12),MOD(MONTH(B7)-1+416,12)+1,1)+(DAY(B7)-1),IF(B8="weekly",B7+2912,IF(B8="biweekly",B7+5824,B7+ROUND((416*365.25)/24,0))))</f>
        <v/>
      </c>
      <c r="C433" s="21">
        <f>IF((ROUND(F432-ROUND($B$13-D433,2),2)&lt;=0),ROUND(D433+E433,2),$B$13)</f>
        <v/>
      </c>
      <c r="D433" s="21">
        <f>ROUND(F432*B5/100/B10,2)</f>
        <v/>
      </c>
      <c r="E433" s="21">
        <f>IF((ROUND(F432-ROUND($B$13-D433,2),2)&lt;=0),F432,ROUND($B$13-D433,2))</f>
        <v/>
      </c>
      <c r="F433" s="21">
        <f>IF((ROUND(F432-ROUND($B$13-D433,2),2)&lt;=0),0,ROUND(F432-E433,2))</f>
        <v/>
      </c>
    </row>
    <row r="434">
      <c r="A434" s="6" t="n">
        <v>418</v>
      </c>
      <c r="B434" s="19">
        <f>IF(B8="monthly",DATE(YEAR(B7)+INT((MONTH(B7)-1+417)/12),MOD(MONTH(B7)-1+417,12)+1,1)+(DAY(B7)-1),IF(B8="weekly",B7+2919,IF(B8="biweekly",B7+5838,B7+ROUND((417*365.25)/24,0))))</f>
        <v/>
      </c>
      <c r="C434" s="21">
        <f>IF((ROUND(F433-ROUND($B$13-D434,2),2)&lt;=0),ROUND(D434+E434,2),$B$13)</f>
        <v/>
      </c>
      <c r="D434" s="21">
        <f>ROUND(F433*B5/100/B10,2)</f>
        <v/>
      </c>
      <c r="E434" s="21">
        <f>IF((ROUND(F433-ROUND($B$13-D434,2),2)&lt;=0),F433,ROUND($B$13-D434,2))</f>
        <v/>
      </c>
      <c r="F434" s="21">
        <f>IF((ROUND(F433-ROUND($B$13-D434,2),2)&lt;=0),0,ROUND(F433-E434,2))</f>
        <v/>
      </c>
    </row>
    <row r="435">
      <c r="A435" s="6" t="n">
        <v>419</v>
      </c>
      <c r="B435" s="19">
        <f>IF(B8="monthly",DATE(YEAR(B7)+INT((MONTH(B7)-1+418)/12),MOD(MONTH(B7)-1+418,12)+1,1)+(DAY(B7)-1),IF(B8="weekly",B7+2926,IF(B8="biweekly",B7+5852,B7+ROUND((418*365.25)/24,0))))</f>
        <v/>
      </c>
      <c r="C435" s="21">
        <f>IF((ROUND(F434-ROUND($B$13-D435,2),2)&lt;=0),ROUND(D435+E435,2),$B$13)</f>
        <v/>
      </c>
      <c r="D435" s="21">
        <f>ROUND(F434*B5/100/B10,2)</f>
        <v/>
      </c>
      <c r="E435" s="21">
        <f>IF((ROUND(F434-ROUND($B$13-D435,2),2)&lt;=0),F434,ROUND($B$13-D435,2))</f>
        <v/>
      </c>
      <c r="F435" s="21">
        <f>IF((ROUND(F434-ROUND($B$13-D435,2),2)&lt;=0),0,ROUND(F434-E435,2))</f>
        <v/>
      </c>
    </row>
    <row r="436">
      <c r="A436" s="6" t="n">
        <v>420</v>
      </c>
      <c r="B436" s="19">
        <f>IF(B8="monthly",DATE(YEAR(B7)+INT((MONTH(B7)-1+419)/12),MOD(MONTH(B7)-1+419,12)+1,1)+(DAY(B7)-1),IF(B8="weekly",B7+2933,IF(B8="biweekly",B7+5866,B7+ROUND((419*365.25)/24,0))))</f>
        <v/>
      </c>
      <c r="C436" s="21">
        <f>IF((ROUND(F435-ROUND($B$13-D436,2),2)&lt;=0),ROUND(D436+E436,2),$B$13)</f>
        <v/>
      </c>
      <c r="D436" s="21">
        <f>ROUND(F435*B5/100/B10,2)</f>
        <v/>
      </c>
      <c r="E436" s="21">
        <f>IF((ROUND(F435-ROUND($B$13-D436,2),2)&lt;=0),F435,ROUND($B$13-D436,2))</f>
        <v/>
      </c>
      <c r="F436" s="21">
        <f>IF((ROUND(F435-ROUND($B$13-D436,2),2)&lt;=0),0,ROUND(F435-E436,2))</f>
        <v/>
      </c>
    </row>
    <row r="437">
      <c r="A437" s="6" t="n">
        <v>421</v>
      </c>
      <c r="B437" s="19">
        <f>IF(B8="monthly",DATE(YEAR(B7)+INT((MONTH(B7)-1+420)/12),MOD(MONTH(B7)-1+420,12)+1,1)+(DAY(B7)-1),IF(B8="weekly",B7+2940,IF(B8="biweekly",B7+5880,B7+ROUND((420*365.25)/24,0))))</f>
        <v/>
      </c>
      <c r="C437" s="21">
        <f>IF((ROUND(F436-ROUND($B$13-D437,2),2)&lt;=0),ROUND(D437+E437,2),$B$13)</f>
        <v/>
      </c>
      <c r="D437" s="21">
        <f>ROUND(F436*B5/100/B10,2)</f>
        <v/>
      </c>
      <c r="E437" s="21">
        <f>IF((ROUND(F436-ROUND($B$13-D437,2),2)&lt;=0),F436,ROUND($B$13-D437,2))</f>
        <v/>
      </c>
      <c r="F437" s="21">
        <f>IF((ROUND(F436-ROUND($B$13-D437,2),2)&lt;=0),0,ROUND(F436-E437,2))</f>
        <v/>
      </c>
    </row>
    <row r="438">
      <c r="A438" s="6" t="n">
        <v>422</v>
      </c>
      <c r="B438" s="19">
        <f>IF(B8="monthly",DATE(YEAR(B7)+INT((MONTH(B7)-1+421)/12),MOD(MONTH(B7)-1+421,12)+1,1)+(DAY(B7)-1),IF(B8="weekly",B7+2947,IF(B8="biweekly",B7+5894,B7+ROUND((421*365.25)/24,0))))</f>
        <v/>
      </c>
      <c r="C438" s="21">
        <f>IF((ROUND(F437-ROUND($B$13-D438,2),2)&lt;=0),ROUND(D438+E438,2),$B$13)</f>
        <v/>
      </c>
      <c r="D438" s="21">
        <f>ROUND(F437*B5/100/B10,2)</f>
        <v/>
      </c>
      <c r="E438" s="21">
        <f>IF((ROUND(F437-ROUND($B$13-D438,2),2)&lt;=0),F437,ROUND($B$13-D438,2))</f>
        <v/>
      </c>
      <c r="F438" s="21">
        <f>IF((ROUND(F437-ROUND($B$13-D438,2),2)&lt;=0),0,ROUND(F437-E438,2))</f>
        <v/>
      </c>
    </row>
    <row r="439">
      <c r="A439" s="6" t="n">
        <v>423</v>
      </c>
      <c r="B439" s="19">
        <f>IF(B8="monthly",DATE(YEAR(B7)+INT((MONTH(B7)-1+422)/12),MOD(MONTH(B7)-1+422,12)+1,1)+(DAY(B7)-1),IF(B8="weekly",B7+2954,IF(B8="biweekly",B7+5908,B7+ROUND((422*365.25)/24,0))))</f>
        <v/>
      </c>
      <c r="C439" s="21">
        <f>IF((ROUND(F438-ROUND($B$13-D439,2),2)&lt;=0),ROUND(D439+E439,2),$B$13)</f>
        <v/>
      </c>
      <c r="D439" s="21">
        <f>ROUND(F438*B5/100/B10,2)</f>
        <v/>
      </c>
      <c r="E439" s="21">
        <f>IF((ROUND(F438-ROUND($B$13-D439,2),2)&lt;=0),F438,ROUND($B$13-D439,2))</f>
        <v/>
      </c>
      <c r="F439" s="21">
        <f>IF((ROUND(F438-ROUND($B$13-D439,2),2)&lt;=0),0,ROUND(F438-E439,2))</f>
        <v/>
      </c>
    </row>
    <row r="440">
      <c r="A440" s="6" t="n">
        <v>424</v>
      </c>
      <c r="B440" s="19">
        <f>IF(B8="monthly",DATE(YEAR(B7)+INT((MONTH(B7)-1+423)/12),MOD(MONTH(B7)-1+423,12)+1,1)+(DAY(B7)-1),IF(B8="weekly",B7+2961,IF(B8="biweekly",B7+5922,B7+ROUND((423*365.25)/24,0))))</f>
        <v/>
      </c>
      <c r="C440" s="21">
        <f>IF((ROUND(F439-ROUND($B$13-D440,2),2)&lt;=0),ROUND(D440+E440,2),$B$13)</f>
        <v/>
      </c>
      <c r="D440" s="21">
        <f>ROUND(F439*B5/100/B10,2)</f>
        <v/>
      </c>
      <c r="E440" s="21">
        <f>IF((ROUND(F439-ROUND($B$13-D440,2),2)&lt;=0),F439,ROUND($B$13-D440,2))</f>
        <v/>
      </c>
      <c r="F440" s="21">
        <f>IF((ROUND(F439-ROUND($B$13-D440,2),2)&lt;=0),0,ROUND(F439-E440,2))</f>
        <v/>
      </c>
    </row>
    <row r="441">
      <c r="A441" s="6" t="n">
        <v>425</v>
      </c>
      <c r="B441" s="19">
        <f>IF(B8="monthly",DATE(YEAR(B7)+INT((MONTH(B7)-1+424)/12),MOD(MONTH(B7)-1+424,12)+1,1)+(DAY(B7)-1),IF(B8="weekly",B7+2968,IF(B8="biweekly",B7+5936,B7+ROUND((424*365.25)/24,0))))</f>
        <v/>
      </c>
      <c r="C441" s="21">
        <f>IF((ROUND(F440-ROUND($B$13-D441,2),2)&lt;=0),ROUND(D441+E441,2),$B$13)</f>
        <v/>
      </c>
      <c r="D441" s="21">
        <f>ROUND(F440*B5/100/B10,2)</f>
        <v/>
      </c>
      <c r="E441" s="21">
        <f>IF((ROUND(F440-ROUND($B$13-D441,2),2)&lt;=0),F440,ROUND($B$13-D441,2))</f>
        <v/>
      </c>
      <c r="F441" s="21">
        <f>IF((ROUND(F440-ROUND($B$13-D441,2),2)&lt;=0),0,ROUND(F440-E441,2))</f>
        <v/>
      </c>
    </row>
    <row r="442">
      <c r="A442" s="6" t="n">
        <v>426</v>
      </c>
      <c r="B442" s="19">
        <f>IF(B8="monthly",DATE(YEAR(B7)+INT((MONTH(B7)-1+425)/12),MOD(MONTH(B7)-1+425,12)+1,1)+(DAY(B7)-1),IF(B8="weekly",B7+2975,IF(B8="biweekly",B7+5950,B7+ROUND((425*365.25)/24,0))))</f>
        <v/>
      </c>
      <c r="C442" s="21">
        <f>IF((ROUND(F441-ROUND($B$13-D442,2),2)&lt;=0),ROUND(D442+E442,2),$B$13)</f>
        <v/>
      </c>
      <c r="D442" s="21">
        <f>ROUND(F441*B5/100/B10,2)</f>
        <v/>
      </c>
      <c r="E442" s="21">
        <f>IF((ROUND(F441-ROUND($B$13-D442,2),2)&lt;=0),F441,ROUND($B$13-D442,2))</f>
        <v/>
      </c>
      <c r="F442" s="21">
        <f>IF((ROUND(F441-ROUND($B$13-D442,2),2)&lt;=0),0,ROUND(F441-E442,2))</f>
        <v/>
      </c>
    </row>
    <row r="443">
      <c r="A443" s="6" t="n">
        <v>427</v>
      </c>
      <c r="B443" s="19">
        <f>IF(B8="monthly",DATE(YEAR(B7)+INT((MONTH(B7)-1+426)/12),MOD(MONTH(B7)-1+426,12)+1,1)+(DAY(B7)-1),IF(B8="weekly",B7+2982,IF(B8="biweekly",B7+5964,B7+ROUND((426*365.25)/24,0))))</f>
        <v/>
      </c>
      <c r="C443" s="21">
        <f>IF((ROUND(F442-ROUND($B$13-D443,2),2)&lt;=0),ROUND(D443+E443,2),$B$13)</f>
        <v/>
      </c>
      <c r="D443" s="21">
        <f>ROUND(F442*B5/100/B10,2)</f>
        <v/>
      </c>
      <c r="E443" s="21">
        <f>IF((ROUND(F442-ROUND($B$13-D443,2),2)&lt;=0),F442,ROUND($B$13-D443,2))</f>
        <v/>
      </c>
      <c r="F443" s="21">
        <f>IF((ROUND(F442-ROUND($B$13-D443,2),2)&lt;=0),0,ROUND(F442-E443,2))</f>
        <v/>
      </c>
    </row>
    <row r="444">
      <c r="A444" s="6" t="n">
        <v>428</v>
      </c>
      <c r="B444" s="19">
        <f>IF(B8="monthly",DATE(YEAR(B7)+INT((MONTH(B7)-1+427)/12),MOD(MONTH(B7)-1+427,12)+1,1)+(DAY(B7)-1),IF(B8="weekly",B7+2989,IF(B8="biweekly",B7+5978,B7+ROUND((427*365.25)/24,0))))</f>
        <v/>
      </c>
      <c r="C444" s="21">
        <f>IF((ROUND(F443-ROUND($B$13-D444,2),2)&lt;=0),ROUND(D444+E444,2),$B$13)</f>
        <v/>
      </c>
      <c r="D444" s="21">
        <f>ROUND(F443*B5/100/B10,2)</f>
        <v/>
      </c>
      <c r="E444" s="21">
        <f>IF((ROUND(F443-ROUND($B$13-D444,2),2)&lt;=0),F443,ROUND($B$13-D444,2))</f>
        <v/>
      </c>
      <c r="F444" s="21">
        <f>IF((ROUND(F443-ROUND($B$13-D444,2),2)&lt;=0),0,ROUND(F443-E444,2))</f>
        <v/>
      </c>
    </row>
    <row r="445">
      <c r="A445" s="6" t="n">
        <v>429</v>
      </c>
      <c r="B445" s="19">
        <f>IF(B8="monthly",DATE(YEAR(B7)+INT((MONTH(B7)-1+428)/12),MOD(MONTH(B7)-1+428,12)+1,1)+(DAY(B7)-1),IF(B8="weekly",B7+2996,IF(B8="biweekly",B7+5992,B7+ROUND((428*365.25)/24,0))))</f>
        <v/>
      </c>
      <c r="C445" s="21">
        <f>IF((ROUND(F444-ROUND($B$13-D445,2),2)&lt;=0),ROUND(D445+E445,2),$B$13)</f>
        <v/>
      </c>
      <c r="D445" s="21">
        <f>ROUND(F444*B5/100/B10,2)</f>
        <v/>
      </c>
      <c r="E445" s="21">
        <f>IF((ROUND(F444-ROUND($B$13-D445,2),2)&lt;=0),F444,ROUND($B$13-D445,2))</f>
        <v/>
      </c>
      <c r="F445" s="21">
        <f>IF((ROUND(F444-ROUND($B$13-D445,2),2)&lt;=0),0,ROUND(F444-E445,2))</f>
        <v/>
      </c>
    </row>
    <row r="446">
      <c r="A446" s="6" t="n">
        <v>430</v>
      </c>
      <c r="B446" s="19">
        <f>IF(B8="monthly",DATE(YEAR(B7)+INT((MONTH(B7)-1+429)/12),MOD(MONTH(B7)-1+429,12)+1,1)+(DAY(B7)-1),IF(B8="weekly",B7+3003,IF(B8="biweekly",B7+6006,B7+ROUND((429*365.25)/24,0))))</f>
        <v/>
      </c>
      <c r="C446" s="21">
        <f>IF((ROUND(F445-ROUND($B$13-D446,2),2)&lt;=0),ROUND(D446+E446,2),$B$13)</f>
        <v/>
      </c>
      <c r="D446" s="21">
        <f>ROUND(F445*B5/100/B10,2)</f>
        <v/>
      </c>
      <c r="E446" s="21">
        <f>IF((ROUND(F445-ROUND($B$13-D446,2),2)&lt;=0),F445,ROUND($B$13-D446,2))</f>
        <v/>
      </c>
      <c r="F446" s="21">
        <f>IF((ROUND(F445-ROUND($B$13-D446,2),2)&lt;=0),0,ROUND(F445-E446,2))</f>
        <v/>
      </c>
    </row>
    <row r="447">
      <c r="A447" s="6" t="n">
        <v>431</v>
      </c>
      <c r="B447" s="19">
        <f>IF(B8="monthly",DATE(YEAR(B7)+INT((MONTH(B7)-1+430)/12),MOD(MONTH(B7)-1+430,12)+1,1)+(DAY(B7)-1),IF(B8="weekly",B7+3010,IF(B8="biweekly",B7+6020,B7+ROUND((430*365.25)/24,0))))</f>
        <v/>
      </c>
      <c r="C447" s="21">
        <f>IF((ROUND(F446-ROUND($B$13-D447,2),2)&lt;=0),ROUND(D447+E447,2),$B$13)</f>
        <v/>
      </c>
      <c r="D447" s="21">
        <f>ROUND(F446*B5/100/B10,2)</f>
        <v/>
      </c>
      <c r="E447" s="21">
        <f>IF((ROUND(F446-ROUND($B$13-D447,2),2)&lt;=0),F446,ROUND($B$13-D447,2))</f>
        <v/>
      </c>
      <c r="F447" s="21">
        <f>IF((ROUND(F446-ROUND($B$13-D447,2),2)&lt;=0),0,ROUND(F446-E447,2))</f>
        <v/>
      </c>
    </row>
    <row r="448">
      <c r="A448" s="6" t="n">
        <v>432</v>
      </c>
      <c r="B448" s="19">
        <f>IF(B8="monthly",DATE(YEAR(B7)+INT((MONTH(B7)-1+431)/12),MOD(MONTH(B7)-1+431,12)+1,1)+(DAY(B7)-1),IF(B8="weekly",B7+3017,IF(B8="biweekly",B7+6034,B7+ROUND((431*365.25)/24,0))))</f>
        <v/>
      </c>
      <c r="C448" s="21">
        <f>IF((ROUND(F447-ROUND($B$13-D448,2),2)&lt;=0),ROUND(D448+E448,2),$B$13)</f>
        <v/>
      </c>
      <c r="D448" s="21">
        <f>ROUND(F447*B5/100/B10,2)</f>
        <v/>
      </c>
      <c r="E448" s="21">
        <f>IF((ROUND(F447-ROUND($B$13-D448,2),2)&lt;=0),F447,ROUND($B$13-D448,2))</f>
        <v/>
      </c>
      <c r="F448" s="21">
        <f>IF((ROUND(F447-ROUND($B$13-D448,2),2)&lt;=0),0,ROUND(F447-E448,2))</f>
        <v/>
      </c>
    </row>
    <row r="449">
      <c r="A449" s="6" t="n">
        <v>433</v>
      </c>
      <c r="B449" s="19">
        <f>IF(B8="monthly",DATE(YEAR(B7)+INT((MONTH(B7)-1+432)/12),MOD(MONTH(B7)-1+432,12)+1,1)+(DAY(B7)-1),IF(B8="weekly",B7+3024,IF(B8="biweekly",B7+6048,B7+ROUND((432*365.25)/24,0))))</f>
        <v/>
      </c>
      <c r="C449" s="21">
        <f>IF((ROUND(F448-ROUND($B$13-D449,2),2)&lt;=0),ROUND(D449+E449,2),$B$13)</f>
        <v/>
      </c>
      <c r="D449" s="21">
        <f>ROUND(F448*B5/100/B10,2)</f>
        <v/>
      </c>
      <c r="E449" s="21">
        <f>IF((ROUND(F448-ROUND($B$13-D449,2),2)&lt;=0),F448,ROUND($B$13-D449,2))</f>
        <v/>
      </c>
      <c r="F449" s="21">
        <f>IF((ROUND(F448-ROUND($B$13-D449,2),2)&lt;=0),0,ROUND(F448-E449,2))</f>
        <v/>
      </c>
    </row>
    <row r="450">
      <c r="A450" s="6" t="n">
        <v>434</v>
      </c>
      <c r="B450" s="19">
        <f>IF(B8="monthly",DATE(YEAR(B7)+INT((MONTH(B7)-1+433)/12),MOD(MONTH(B7)-1+433,12)+1,1)+(DAY(B7)-1),IF(B8="weekly",B7+3031,IF(B8="biweekly",B7+6062,B7+ROUND((433*365.25)/24,0))))</f>
        <v/>
      </c>
      <c r="C450" s="21">
        <f>IF((ROUND(F449-ROUND($B$13-D450,2),2)&lt;=0),ROUND(D450+E450,2),$B$13)</f>
        <v/>
      </c>
      <c r="D450" s="21">
        <f>ROUND(F449*B5/100/B10,2)</f>
        <v/>
      </c>
      <c r="E450" s="21">
        <f>IF((ROUND(F449-ROUND($B$13-D450,2),2)&lt;=0),F449,ROUND($B$13-D450,2))</f>
        <v/>
      </c>
      <c r="F450" s="21">
        <f>IF((ROUND(F449-ROUND($B$13-D450,2),2)&lt;=0),0,ROUND(F449-E450,2))</f>
        <v/>
      </c>
    </row>
    <row r="451">
      <c r="A451" s="6" t="n">
        <v>435</v>
      </c>
      <c r="B451" s="19">
        <f>IF(B8="monthly",DATE(YEAR(B7)+INT((MONTH(B7)-1+434)/12),MOD(MONTH(B7)-1+434,12)+1,1)+(DAY(B7)-1),IF(B8="weekly",B7+3038,IF(B8="biweekly",B7+6076,B7+ROUND((434*365.25)/24,0))))</f>
        <v/>
      </c>
      <c r="C451" s="21">
        <f>IF((ROUND(F450-ROUND($B$13-D451,2),2)&lt;=0),ROUND(D451+E451,2),$B$13)</f>
        <v/>
      </c>
      <c r="D451" s="21">
        <f>ROUND(F450*B5/100/B10,2)</f>
        <v/>
      </c>
      <c r="E451" s="21">
        <f>IF((ROUND(F450-ROUND($B$13-D451,2),2)&lt;=0),F450,ROUND($B$13-D451,2))</f>
        <v/>
      </c>
      <c r="F451" s="21">
        <f>IF((ROUND(F450-ROUND($B$13-D451,2),2)&lt;=0),0,ROUND(F450-E451,2))</f>
        <v/>
      </c>
    </row>
    <row r="452">
      <c r="A452" s="6" t="n">
        <v>436</v>
      </c>
      <c r="B452" s="19">
        <f>IF(B8="monthly",DATE(YEAR(B7)+INT((MONTH(B7)-1+435)/12),MOD(MONTH(B7)-1+435,12)+1,1)+(DAY(B7)-1),IF(B8="weekly",B7+3045,IF(B8="biweekly",B7+6090,B7+ROUND((435*365.25)/24,0))))</f>
        <v/>
      </c>
      <c r="C452" s="21">
        <f>IF((ROUND(F451-ROUND($B$13-D452,2),2)&lt;=0),ROUND(D452+E452,2),$B$13)</f>
        <v/>
      </c>
      <c r="D452" s="21">
        <f>ROUND(F451*B5/100/B10,2)</f>
        <v/>
      </c>
      <c r="E452" s="21">
        <f>IF((ROUND(F451-ROUND($B$13-D452,2),2)&lt;=0),F451,ROUND($B$13-D452,2))</f>
        <v/>
      </c>
      <c r="F452" s="21">
        <f>IF((ROUND(F451-ROUND($B$13-D452,2),2)&lt;=0),0,ROUND(F451-E452,2))</f>
        <v/>
      </c>
    </row>
    <row r="453">
      <c r="A453" s="6" t="n">
        <v>437</v>
      </c>
      <c r="B453" s="19">
        <f>IF(B8="monthly",DATE(YEAR(B7)+INT((MONTH(B7)-1+436)/12),MOD(MONTH(B7)-1+436,12)+1,1)+(DAY(B7)-1),IF(B8="weekly",B7+3052,IF(B8="biweekly",B7+6104,B7+ROUND((436*365.25)/24,0))))</f>
        <v/>
      </c>
      <c r="C453" s="21">
        <f>IF((ROUND(F452-ROUND($B$13-D453,2),2)&lt;=0),ROUND(D453+E453,2),$B$13)</f>
        <v/>
      </c>
      <c r="D453" s="21">
        <f>ROUND(F452*B5/100/B10,2)</f>
        <v/>
      </c>
      <c r="E453" s="21">
        <f>IF((ROUND(F452-ROUND($B$13-D453,2),2)&lt;=0),F452,ROUND($B$13-D453,2))</f>
        <v/>
      </c>
      <c r="F453" s="21">
        <f>IF((ROUND(F452-ROUND($B$13-D453,2),2)&lt;=0),0,ROUND(F452-E453,2))</f>
        <v/>
      </c>
    </row>
    <row r="454">
      <c r="A454" s="6" t="n">
        <v>438</v>
      </c>
      <c r="B454" s="19">
        <f>IF(B8="monthly",DATE(YEAR(B7)+INT((MONTH(B7)-1+437)/12),MOD(MONTH(B7)-1+437,12)+1,1)+(DAY(B7)-1),IF(B8="weekly",B7+3059,IF(B8="biweekly",B7+6118,B7+ROUND((437*365.25)/24,0))))</f>
        <v/>
      </c>
      <c r="C454" s="21">
        <f>IF((ROUND(F453-ROUND($B$13-D454,2),2)&lt;=0),ROUND(D454+E454,2),$B$13)</f>
        <v/>
      </c>
      <c r="D454" s="21">
        <f>ROUND(F453*B5/100/B10,2)</f>
        <v/>
      </c>
      <c r="E454" s="21">
        <f>IF((ROUND(F453-ROUND($B$13-D454,2),2)&lt;=0),F453,ROUND($B$13-D454,2))</f>
        <v/>
      </c>
      <c r="F454" s="21">
        <f>IF((ROUND(F453-ROUND($B$13-D454,2),2)&lt;=0),0,ROUND(F453-E454,2))</f>
        <v/>
      </c>
    </row>
    <row r="455">
      <c r="A455" s="6" t="n">
        <v>439</v>
      </c>
      <c r="B455" s="19">
        <f>IF(B8="monthly",DATE(YEAR(B7)+INT((MONTH(B7)-1+438)/12),MOD(MONTH(B7)-1+438,12)+1,1)+(DAY(B7)-1),IF(B8="weekly",B7+3066,IF(B8="biweekly",B7+6132,B7+ROUND((438*365.25)/24,0))))</f>
        <v/>
      </c>
      <c r="C455" s="21">
        <f>IF((ROUND(F454-ROUND($B$13-D455,2),2)&lt;=0),ROUND(D455+E455,2),$B$13)</f>
        <v/>
      </c>
      <c r="D455" s="21">
        <f>ROUND(F454*B5/100/B10,2)</f>
        <v/>
      </c>
      <c r="E455" s="21">
        <f>IF((ROUND(F454-ROUND($B$13-D455,2),2)&lt;=0),F454,ROUND($B$13-D455,2))</f>
        <v/>
      </c>
      <c r="F455" s="21">
        <f>IF((ROUND(F454-ROUND($B$13-D455,2),2)&lt;=0),0,ROUND(F454-E455,2))</f>
        <v/>
      </c>
    </row>
    <row r="456">
      <c r="A456" s="6" t="n">
        <v>440</v>
      </c>
      <c r="B456" s="19">
        <f>IF(B8="monthly",DATE(YEAR(B7)+INT((MONTH(B7)-1+439)/12),MOD(MONTH(B7)-1+439,12)+1,1)+(DAY(B7)-1),IF(B8="weekly",B7+3073,IF(B8="biweekly",B7+6146,B7+ROUND((439*365.25)/24,0))))</f>
        <v/>
      </c>
      <c r="C456" s="21">
        <f>IF((ROUND(F455-ROUND($B$13-D456,2),2)&lt;=0),ROUND(D456+E456,2),$B$13)</f>
        <v/>
      </c>
      <c r="D456" s="21">
        <f>ROUND(F455*B5/100/B10,2)</f>
        <v/>
      </c>
      <c r="E456" s="21">
        <f>IF((ROUND(F455-ROUND($B$13-D456,2),2)&lt;=0),F455,ROUND($B$13-D456,2))</f>
        <v/>
      </c>
      <c r="F456" s="21">
        <f>IF((ROUND(F455-ROUND($B$13-D456,2),2)&lt;=0),0,ROUND(F455-E456,2))</f>
        <v/>
      </c>
    </row>
    <row r="457">
      <c r="A457" s="6" t="n">
        <v>441</v>
      </c>
      <c r="B457" s="19">
        <f>IF(B8="monthly",DATE(YEAR(B7)+INT((MONTH(B7)-1+440)/12),MOD(MONTH(B7)-1+440,12)+1,1)+(DAY(B7)-1),IF(B8="weekly",B7+3080,IF(B8="biweekly",B7+6160,B7+ROUND((440*365.25)/24,0))))</f>
        <v/>
      </c>
      <c r="C457" s="21">
        <f>IF((ROUND(F456-ROUND($B$13-D457,2),2)&lt;=0),ROUND(D457+E457,2),$B$13)</f>
        <v/>
      </c>
      <c r="D457" s="21">
        <f>ROUND(F456*B5/100/B10,2)</f>
        <v/>
      </c>
      <c r="E457" s="21">
        <f>IF((ROUND(F456-ROUND($B$13-D457,2),2)&lt;=0),F456,ROUND($B$13-D457,2))</f>
        <v/>
      </c>
      <c r="F457" s="21">
        <f>IF((ROUND(F456-ROUND($B$13-D457,2),2)&lt;=0),0,ROUND(F456-E457,2))</f>
        <v/>
      </c>
    </row>
    <row r="458">
      <c r="A458" s="6" t="n">
        <v>442</v>
      </c>
      <c r="B458" s="19">
        <f>IF(B8="monthly",DATE(YEAR(B7)+INT((MONTH(B7)-1+441)/12),MOD(MONTH(B7)-1+441,12)+1,1)+(DAY(B7)-1),IF(B8="weekly",B7+3087,IF(B8="biweekly",B7+6174,B7+ROUND((441*365.25)/24,0))))</f>
        <v/>
      </c>
      <c r="C458" s="21">
        <f>IF((ROUND(F457-ROUND($B$13-D458,2),2)&lt;=0),ROUND(D458+E458,2),$B$13)</f>
        <v/>
      </c>
      <c r="D458" s="21">
        <f>ROUND(F457*B5/100/B10,2)</f>
        <v/>
      </c>
      <c r="E458" s="21">
        <f>IF((ROUND(F457-ROUND($B$13-D458,2),2)&lt;=0),F457,ROUND($B$13-D458,2))</f>
        <v/>
      </c>
      <c r="F458" s="21">
        <f>IF((ROUND(F457-ROUND($B$13-D458,2),2)&lt;=0),0,ROUND(F457-E458,2))</f>
        <v/>
      </c>
    </row>
    <row r="459">
      <c r="A459" s="6" t="n">
        <v>443</v>
      </c>
      <c r="B459" s="19">
        <f>IF(B8="monthly",DATE(YEAR(B7)+INT((MONTH(B7)-1+442)/12),MOD(MONTH(B7)-1+442,12)+1,1)+(DAY(B7)-1),IF(B8="weekly",B7+3094,IF(B8="biweekly",B7+6188,B7+ROUND((442*365.25)/24,0))))</f>
        <v/>
      </c>
      <c r="C459" s="21">
        <f>IF((ROUND(F458-ROUND($B$13-D459,2),2)&lt;=0),ROUND(D459+E459,2),$B$13)</f>
        <v/>
      </c>
      <c r="D459" s="21">
        <f>ROUND(F458*B5/100/B10,2)</f>
        <v/>
      </c>
      <c r="E459" s="21">
        <f>IF((ROUND(F458-ROUND($B$13-D459,2),2)&lt;=0),F458,ROUND($B$13-D459,2))</f>
        <v/>
      </c>
      <c r="F459" s="21">
        <f>IF((ROUND(F458-ROUND($B$13-D459,2),2)&lt;=0),0,ROUND(F458-E459,2))</f>
        <v/>
      </c>
    </row>
    <row r="460">
      <c r="A460" s="6" t="n">
        <v>444</v>
      </c>
      <c r="B460" s="19">
        <f>IF(B8="monthly",DATE(YEAR(B7)+INT((MONTH(B7)-1+443)/12),MOD(MONTH(B7)-1+443,12)+1,1)+(DAY(B7)-1),IF(B8="weekly",B7+3101,IF(B8="biweekly",B7+6202,B7+ROUND((443*365.25)/24,0))))</f>
        <v/>
      </c>
      <c r="C460" s="21">
        <f>IF((ROUND(F459-ROUND($B$13-D460,2),2)&lt;=0),ROUND(D460+E460,2),$B$13)</f>
        <v/>
      </c>
      <c r="D460" s="21">
        <f>ROUND(F459*B5/100/B10,2)</f>
        <v/>
      </c>
      <c r="E460" s="21">
        <f>IF((ROUND(F459-ROUND($B$13-D460,2),2)&lt;=0),F459,ROUND($B$13-D460,2))</f>
        <v/>
      </c>
      <c r="F460" s="21">
        <f>IF((ROUND(F459-ROUND($B$13-D460,2),2)&lt;=0),0,ROUND(F459-E460,2))</f>
        <v/>
      </c>
    </row>
    <row r="461">
      <c r="A461" s="6" t="n">
        <v>445</v>
      </c>
      <c r="B461" s="19">
        <f>IF(B8="monthly",DATE(YEAR(B7)+INT((MONTH(B7)-1+444)/12),MOD(MONTH(B7)-1+444,12)+1,1)+(DAY(B7)-1),IF(B8="weekly",B7+3108,IF(B8="biweekly",B7+6216,B7+ROUND((444*365.25)/24,0))))</f>
        <v/>
      </c>
      <c r="C461" s="21">
        <f>IF((ROUND(F460-ROUND($B$13-D461,2),2)&lt;=0),ROUND(D461+E461,2),$B$13)</f>
        <v/>
      </c>
      <c r="D461" s="21">
        <f>ROUND(F460*B5/100/B10,2)</f>
        <v/>
      </c>
      <c r="E461" s="21">
        <f>IF((ROUND(F460-ROUND($B$13-D461,2),2)&lt;=0),F460,ROUND($B$13-D461,2))</f>
        <v/>
      </c>
      <c r="F461" s="21">
        <f>IF((ROUND(F460-ROUND($B$13-D461,2),2)&lt;=0),0,ROUND(F460-E461,2))</f>
        <v/>
      </c>
    </row>
    <row r="462">
      <c r="A462" s="6" t="n">
        <v>446</v>
      </c>
      <c r="B462" s="19">
        <f>IF(B8="monthly",DATE(YEAR(B7)+INT((MONTH(B7)-1+445)/12),MOD(MONTH(B7)-1+445,12)+1,1)+(DAY(B7)-1),IF(B8="weekly",B7+3115,IF(B8="biweekly",B7+6230,B7+ROUND((445*365.25)/24,0))))</f>
        <v/>
      </c>
      <c r="C462" s="21">
        <f>IF((ROUND(F461-ROUND($B$13-D462,2),2)&lt;=0),ROUND(D462+E462,2),$B$13)</f>
        <v/>
      </c>
      <c r="D462" s="21">
        <f>ROUND(F461*B5/100/B10,2)</f>
        <v/>
      </c>
      <c r="E462" s="21">
        <f>IF((ROUND(F461-ROUND($B$13-D462,2),2)&lt;=0),F461,ROUND($B$13-D462,2))</f>
        <v/>
      </c>
      <c r="F462" s="21">
        <f>IF((ROUND(F461-ROUND($B$13-D462,2),2)&lt;=0),0,ROUND(F461-E462,2))</f>
        <v/>
      </c>
    </row>
    <row r="463">
      <c r="A463" s="6" t="n">
        <v>447</v>
      </c>
      <c r="B463" s="19">
        <f>IF(B8="monthly",DATE(YEAR(B7)+INT((MONTH(B7)-1+446)/12),MOD(MONTH(B7)-1+446,12)+1,1)+(DAY(B7)-1),IF(B8="weekly",B7+3122,IF(B8="biweekly",B7+6244,B7+ROUND((446*365.25)/24,0))))</f>
        <v/>
      </c>
      <c r="C463" s="21">
        <f>IF((ROUND(F462-ROUND($B$13-D463,2),2)&lt;=0),ROUND(D463+E463,2),$B$13)</f>
        <v/>
      </c>
      <c r="D463" s="21">
        <f>ROUND(F462*B5/100/B10,2)</f>
        <v/>
      </c>
      <c r="E463" s="21">
        <f>IF((ROUND(F462-ROUND($B$13-D463,2),2)&lt;=0),F462,ROUND($B$13-D463,2))</f>
        <v/>
      </c>
      <c r="F463" s="21">
        <f>IF((ROUND(F462-ROUND($B$13-D463,2),2)&lt;=0),0,ROUND(F462-E463,2))</f>
        <v/>
      </c>
    </row>
    <row r="464">
      <c r="A464" s="6" t="n">
        <v>448</v>
      </c>
      <c r="B464" s="19">
        <f>IF(B8="monthly",DATE(YEAR(B7)+INT((MONTH(B7)-1+447)/12),MOD(MONTH(B7)-1+447,12)+1,1)+(DAY(B7)-1),IF(B8="weekly",B7+3129,IF(B8="biweekly",B7+6258,B7+ROUND((447*365.25)/24,0))))</f>
        <v/>
      </c>
      <c r="C464" s="21">
        <f>IF((ROUND(F463-ROUND($B$13-D464,2),2)&lt;=0),ROUND(D464+E464,2),$B$13)</f>
        <v/>
      </c>
      <c r="D464" s="21">
        <f>ROUND(F463*B5/100/B10,2)</f>
        <v/>
      </c>
      <c r="E464" s="21">
        <f>IF((ROUND(F463-ROUND($B$13-D464,2),2)&lt;=0),F463,ROUND($B$13-D464,2))</f>
        <v/>
      </c>
      <c r="F464" s="21">
        <f>IF((ROUND(F463-ROUND($B$13-D464,2),2)&lt;=0),0,ROUND(F463-E464,2))</f>
        <v/>
      </c>
    </row>
    <row r="465">
      <c r="A465" s="6" t="n">
        <v>449</v>
      </c>
      <c r="B465" s="19">
        <f>IF(B8="monthly",DATE(YEAR(B7)+INT((MONTH(B7)-1+448)/12),MOD(MONTH(B7)-1+448,12)+1,1)+(DAY(B7)-1),IF(B8="weekly",B7+3136,IF(B8="biweekly",B7+6272,B7+ROUND((448*365.25)/24,0))))</f>
        <v/>
      </c>
      <c r="C465" s="21">
        <f>IF((ROUND(F464-ROUND($B$13-D465,2),2)&lt;=0),ROUND(D465+E465,2),$B$13)</f>
        <v/>
      </c>
      <c r="D465" s="21">
        <f>ROUND(F464*B5/100/B10,2)</f>
        <v/>
      </c>
      <c r="E465" s="21">
        <f>IF((ROUND(F464-ROUND($B$13-D465,2),2)&lt;=0),F464,ROUND($B$13-D465,2))</f>
        <v/>
      </c>
      <c r="F465" s="21">
        <f>IF((ROUND(F464-ROUND($B$13-D465,2),2)&lt;=0),0,ROUND(F464-E465,2))</f>
        <v/>
      </c>
    </row>
    <row r="466">
      <c r="A466" s="6" t="n">
        <v>450</v>
      </c>
      <c r="B466" s="19">
        <f>IF(B8="monthly",DATE(YEAR(B7)+INT((MONTH(B7)-1+449)/12),MOD(MONTH(B7)-1+449,12)+1,1)+(DAY(B7)-1),IF(B8="weekly",B7+3143,IF(B8="biweekly",B7+6286,B7+ROUND((449*365.25)/24,0))))</f>
        <v/>
      </c>
      <c r="C466" s="21">
        <f>IF((ROUND(F465-ROUND($B$13-D466,2),2)&lt;=0),ROUND(D466+E466,2),$B$13)</f>
        <v/>
      </c>
      <c r="D466" s="21">
        <f>ROUND(F465*B5/100/B10,2)</f>
        <v/>
      </c>
      <c r="E466" s="21">
        <f>IF((ROUND(F465-ROUND($B$13-D466,2),2)&lt;=0),F465,ROUND($B$13-D466,2))</f>
        <v/>
      </c>
      <c r="F466" s="21">
        <f>IF((ROUND(F465-ROUND($B$13-D466,2),2)&lt;=0),0,ROUND(F465-E466,2))</f>
        <v/>
      </c>
    </row>
    <row r="467">
      <c r="A467" s="6" t="n">
        <v>451</v>
      </c>
      <c r="B467" s="19">
        <f>IF(B8="monthly",DATE(YEAR(B7)+INT((MONTH(B7)-1+450)/12),MOD(MONTH(B7)-1+450,12)+1,1)+(DAY(B7)-1),IF(B8="weekly",B7+3150,IF(B8="biweekly",B7+6300,B7+ROUND((450*365.25)/24,0))))</f>
        <v/>
      </c>
      <c r="C467" s="21">
        <f>IF((ROUND(F466-ROUND($B$13-D467,2),2)&lt;=0),ROUND(D467+E467,2),$B$13)</f>
        <v/>
      </c>
      <c r="D467" s="21">
        <f>ROUND(F466*B5/100/B10,2)</f>
        <v/>
      </c>
      <c r="E467" s="21">
        <f>IF((ROUND(F466-ROUND($B$13-D467,2),2)&lt;=0),F466,ROUND($B$13-D467,2))</f>
        <v/>
      </c>
      <c r="F467" s="21">
        <f>IF((ROUND(F466-ROUND($B$13-D467,2),2)&lt;=0),0,ROUND(F466-E467,2))</f>
        <v/>
      </c>
    </row>
    <row r="468">
      <c r="A468" s="6" t="n">
        <v>452</v>
      </c>
      <c r="B468" s="19">
        <f>IF(B8="monthly",DATE(YEAR(B7)+INT((MONTH(B7)-1+451)/12),MOD(MONTH(B7)-1+451,12)+1,1)+(DAY(B7)-1),IF(B8="weekly",B7+3157,IF(B8="biweekly",B7+6314,B7+ROUND((451*365.25)/24,0))))</f>
        <v/>
      </c>
      <c r="C468" s="21">
        <f>IF((ROUND(F467-ROUND($B$13-D468,2),2)&lt;=0),ROUND(D468+E468,2),$B$13)</f>
        <v/>
      </c>
      <c r="D468" s="21">
        <f>ROUND(F467*B5/100/B10,2)</f>
        <v/>
      </c>
      <c r="E468" s="21">
        <f>IF((ROUND(F467-ROUND($B$13-D468,2),2)&lt;=0),F467,ROUND($B$13-D468,2))</f>
        <v/>
      </c>
      <c r="F468" s="21">
        <f>IF((ROUND(F467-ROUND($B$13-D468,2),2)&lt;=0),0,ROUND(F467-E468,2))</f>
        <v/>
      </c>
    </row>
    <row r="469">
      <c r="A469" s="6" t="n">
        <v>453</v>
      </c>
      <c r="B469" s="19">
        <f>IF(B8="monthly",DATE(YEAR(B7)+INT((MONTH(B7)-1+452)/12),MOD(MONTH(B7)-1+452,12)+1,1)+(DAY(B7)-1),IF(B8="weekly",B7+3164,IF(B8="biweekly",B7+6328,B7+ROUND((452*365.25)/24,0))))</f>
        <v/>
      </c>
      <c r="C469" s="21">
        <f>IF((ROUND(F468-ROUND($B$13-D469,2),2)&lt;=0),ROUND(D469+E469,2),$B$13)</f>
        <v/>
      </c>
      <c r="D469" s="21">
        <f>ROUND(F468*B5/100/B10,2)</f>
        <v/>
      </c>
      <c r="E469" s="21">
        <f>IF((ROUND(F468-ROUND($B$13-D469,2),2)&lt;=0),F468,ROUND($B$13-D469,2))</f>
        <v/>
      </c>
      <c r="F469" s="21">
        <f>IF((ROUND(F468-ROUND($B$13-D469,2),2)&lt;=0),0,ROUND(F468-E469,2))</f>
        <v/>
      </c>
    </row>
    <row r="470">
      <c r="A470" s="6" t="n">
        <v>454</v>
      </c>
      <c r="B470" s="19">
        <f>IF(B8="monthly",DATE(YEAR(B7)+INT((MONTH(B7)-1+453)/12),MOD(MONTH(B7)-1+453,12)+1,1)+(DAY(B7)-1),IF(B8="weekly",B7+3171,IF(B8="biweekly",B7+6342,B7+ROUND((453*365.25)/24,0))))</f>
        <v/>
      </c>
      <c r="C470" s="21">
        <f>IF((ROUND(F469-ROUND($B$13-D470,2),2)&lt;=0),ROUND(D470+E470,2),$B$13)</f>
        <v/>
      </c>
      <c r="D470" s="21">
        <f>ROUND(F469*B5/100/B10,2)</f>
        <v/>
      </c>
      <c r="E470" s="21">
        <f>IF((ROUND(F469-ROUND($B$13-D470,2),2)&lt;=0),F469,ROUND($B$13-D470,2))</f>
        <v/>
      </c>
      <c r="F470" s="21">
        <f>IF((ROUND(F469-ROUND($B$13-D470,2),2)&lt;=0),0,ROUND(F469-E470,2))</f>
        <v/>
      </c>
    </row>
    <row r="471">
      <c r="A471" s="6" t="n">
        <v>455</v>
      </c>
      <c r="B471" s="19">
        <f>IF(B8="monthly",DATE(YEAR(B7)+INT((MONTH(B7)-1+454)/12),MOD(MONTH(B7)-1+454,12)+1,1)+(DAY(B7)-1),IF(B8="weekly",B7+3178,IF(B8="biweekly",B7+6356,B7+ROUND((454*365.25)/24,0))))</f>
        <v/>
      </c>
      <c r="C471" s="21">
        <f>IF((ROUND(F470-ROUND($B$13-D471,2),2)&lt;=0),ROUND(D471+E471,2),$B$13)</f>
        <v/>
      </c>
      <c r="D471" s="21">
        <f>ROUND(F470*B5/100/B10,2)</f>
        <v/>
      </c>
      <c r="E471" s="21">
        <f>IF((ROUND(F470-ROUND($B$13-D471,2),2)&lt;=0),F470,ROUND($B$13-D471,2))</f>
        <v/>
      </c>
      <c r="F471" s="21">
        <f>IF((ROUND(F470-ROUND($B$13-D471,2),2)&lt;=0),0,ROUND(F470-E471,2))</f>
        <v/>
      </c>
    </row>
    <row r="472">
      <c r="A472" s="6" t="n">
        <v>456</v>
      </c>
      <c r="B472" s="19">
        <f>IF(B8="monthly",DATE(YEAR(B7)+INT((MONTH(B7)-1+455)/12),MOD(MONTH(B7)-1+455,12)+1,1)+(DAY(B7)-1),IF(B8="weekly",B7+3185,IF(B8="biweekly",B7+6370,B7+ROUND((455*365.25)/24,0))))</f>
        <v/>
      </c>
      <c r="C472" s="21">
        <f>IF((ROUND(F471-ROUND($B$13-D472,2),2)&lt;=0),ROUND(D472+E472,2),$B$13)</f>
        <v/>
      </c>
      <c r="D472" s="21">
        <f>ROUND(F471*B5/100/B10,2)</f>
        <v/>
      </c>
      <c r="E472" s="21">
        <f>IF((ROUND(F471-ROUND($B$13-D472,2),2)&lt;=0),F471,ROUND($B$13-D472,2))</f>
        <v/>
      </c>
      <c r="F472" s="21">
        <f>IF((ROUND(F471-ROUND($B$13-D472,2),2)&lt;=0),0,ROUND(F471-E472,2))</f>
        <v/>
      </c>
    </row>
    <row r="473">
      <c r="A473" s="6" t="n">
        <v>457</v>
      </c>
      <c r="B473" s="19">
        <f>IF(B8="monthly",DATE(YEAR(B7)+INT((MONTH(B7)-1+456)/12),MOD(MONTH(B7)-1+456,12)+1,1)+(DAY(B7)-1),IF(B8="weekly",B7+3192,IF(B8="biweekly",B7+6384,B7+ROUND((456*365.25)/24,0))))</f>
        <v/>
      </c>
      <c r="C473" s="21">
        <f>IF((ROUND(F472-ROUND($B$13-D473,2),2)&lt;=0),ROUND(D473+E473,2),$B$13)</f>
        <v/>
      </c>
      <c r="D473" s="21">
        <f>ROUND(F472*B5/100/B10,2)</f>
        <v/>
      </c>
      <c r="E473" s="21">
        <f>IF((ROUND(F472-ROUND($B$13-D473,2),2)&lt;=0),F472,ROUND($B$13-D473,2))</f>
        <v/>
      </c>
      <c r="F473" s="21">
        <f>IF((ROUND(F472-ROUND($B$13-D473,2),2)&lt;=0),0,ROUND(F472-E473,2))</f>
        <v/>
      </c>
    </row>
    <row r="474">
      <c r="A474" s="6" t="n">
        <v>458</v>
      </c>
      <c r="B474" s="19">
        <f>IF(B8="monthly",DATE(YEAR(B7)+INT((MONTH(B7)-1+457)/12),MOD(MONTH(B7)-1+457,12)+1,1)+(DAY(B7)-1),IF(B8="weekly",B7+3199,IF(B8="biweekly",B7+6398,B7+ROUND((457*365.25)/24,0))))</f>
        <v/>
      </c>
      <c r="C474" s="21">
        <f>IF((ROUND(F473-ROUND($B$13-D474,2),2)&lt;=0),ROUND(D474+E474,2),$B$13)</f>
        <v/>
      </c>
      <c r="D474" s="21">
        <f>ROUND(F473*B5/100/B10,2)</f>
        <v/>
      </c>
      <c r="E474" s="21">
        <f>IF((ROUND(F473-ROUND($B$13-D474,2),2)&lt;=0),F473,ROUND($B$13-D474,2))</f>
        <v/>
      </c>
      <c r="F474" s="21">
        <f>IF((ROUND(F473-ROUND($B$13-D474,2),2)&lt;=0),0,ROUND(F473-E474,2))</f>
        <v/>
      </c>
    </row>
    <row r="475">
      <c r="A475" s="6" t="n">
        <v>459</v>
      </c>
      <c r="B475" s="19">
        <f>IF(B8="monthly",DATE(YEAR(B7)+INT((MONTH(B7)-1+458)/12),MOD(MONTH(B7)-1+458,12)+1,1)+(DAY(B7)-1),IF(B8="weekly",B7+3206,IF(B8="biweekly",B7+6412,B7+ROUND((458*365.25)/24,0))))</f>
        <v/>
      </c>
      <c r="C475" s="21">
        <f>IF((ROUND(F474-ROUND($B$13-D475,2),2)&lt;=0),ROUND(D475+E475,2),$B$13)</f>
        <v/>
      </c>
      <c r="D475" s="21">
        <f>ROUND(F474*B5/100/B10,2)</f>
        <v/>
      </c>
      <c r="E475" s="21">
        <f>IF((ROUND(F474-ROUND($B$13-D475,2),2)&lt;=0),F474,ROUND($B$13-D475,2))</f>
        <v/>
      </c>
      <c r="F475" s="21">
        <f>IF((ROUND(F474-ROUND($B$13-D475,2),2)&lt;=0),0,ROUND(F474-E475,2))</f>
        <v/>
      </c>
    </row>
    <row r="476">
      <c r="A476" s="6" t="n">
        <v>460</v>
      </c>
      <c r="B476" s="19">
        <f>IF(B8="monthly",DATE(YEAR(B7)+INT((MONTH(B7)-1+459)/12),MOD(MONTH(B7)-1+459,12)+1,1)+(DAY(B7)-1),IF(B8="weekly",B7+3213,IF(B8="biweekly",B7+6426,B7+ROUND((459*365.25)/24,0))))</f>
        <v/>
      </c>
      <c r="C476" s="21">
        <f>IF((ROUND(F475-ROUND($B$13-D476,2),2)&lt;=0),ROUND(D476+E476,2),$B$13)</f>
        <v/>
      </c>
      <c r="D476" s="21">
        <f>ROUND(F475*B5/100/B10,2)</f>
        <v/>
      </c>
      <c r="E476" s="21">
        <f>IF((ROUND(F475-ROUND($B$13-D476,2),2)&lt;=0),F475,ROUND($B$13-D476,2))</f>
        <v/>
      </c>
      <c r="F476" s="21">
        <f>IF((ROUND(F475-ROUND($B$13-D476,2),2)&lt;=0),0,ROUND(F475-E476,2))</f>
        <v/>
      </c>
    </row>
    <row r="477">
      <c r="A477" s="6" t="n">
        <v>461</v>
      </c>
      <c r="B477" s="19">
        <f>IF(B8="monthly",DATE(YEAR(B7)+INT((MONTH(B7)-1+460)/12),MOD(MONTH(B7)-1+460,12)+1,1)+(DAY(B7)-1),IF(B8="weekly",B7+3220,IF(B8="biweekly",B7+6440,B7+ROUND((460*365.25)/24,0))))</f>
        <v/>
      </c>
      <c r="C477" s="21">
        <f>IF((ROUND(F476-ROUND($B$13-D477,2),2)&lt;=0),ROUND(D477+E477,2),$B$13)</f>
        <v/>
      </c>
      <c r="D477" s="21">
        <f>ROUND(F476*B5/100/B10,2)</f>
        <v/>
      </c>
      <c r="E477" s="21">
        <f>IF((ROUND(F476-ROUND($B$13-D477,2),2)&lt;=0),F476,ROUND($B$13-D477,2))</f>
        <v/>
      </c>
      <c r="F477" s="21">
        <f>IF((ROUND(F476-ROUND($B$13-D477,2),2)&lt;=0),0,ROUND(F476-E477,2))</f>
        <v/>
      </c>
    </row>
    <row r="478">
      <c r="A478" s="6" t="n">
        <v>462</v>
      </c>
      <c r="B478" s="19">
        <f>IF(B8="monthly",DATE(YEAR(B7)+INT((MONTH(B7)-1+461)/12),MOD(MONTH(B7)-1+461,12)+1,1)+(DAY(B7)-1),IF(B8="weekly",B7+3227,IF(B8="biweekly",B7+6454,B7+ROUND((461*365.25)/24,0))))</f>
        <v/>
      </c>
      <c r="C478" s="21">
        <f>IF((ROUND(F477-ROUND($B$13-D478,2),2)&lt;=0),ROUND(D478+E478,2),$B$13)</f>
        <v/>
      </c>
      <c r="D478" s="21">
        <f>ROUND(F477*B5/100/B10,2)</f>
        <v/>
      </c>
      <c r="E478" s="21">
        <f>IF((ROUND(F477-ROUND($B$13-D478,2),2)&lt;=0),F477,ROUND($B$13-D478,2))</f>
        <v/>
      </c>
      <c r="F478" s="21">
        <f>IF((ROUND(F477-ROUND($B$13-D478,2),2)&lt;=0),0,ROUND(F477-E478,2))</f>
        <v/>
      </c>
    </row>
    <row r="479">
      <c r="A479" s="6" t="n">
        <v>463</v>
      </c>
      <c r="B479" s="19">
        <f>IF(B8="monthly",DATE(YEAR(B7)+INT((MONTH(B7)-1+462)/12),MOD(MONTH(B7)-1+462,12)+1,1)+(DAY(B7)-1),IF(B8="weekly",B7+3234,IF(B8="biweekly",B7+6468,B7+ROUND((462*365.25)/24,0))))</f>
        <v/>
      </c>
      <c r="C479" s="21">
        <f>IF((ROUND(F478-ROUND($B$13-D479,2),2)&lt;=0),ROUND(D479+E479,2),$B$13)</f>
        <v/>
      </c>
      <c r="D479" s="21">
        <f>ROUND(F478*B5/100/B10,2)</f>
        <v/>
      </c>
      <c r="E479" s="21">
        <f>IF((ROUND(F478-ROUND($B$13-D479,2),2)&lt;=0),F478,ROUND($B$13-D479,2))</f>
        <v/>
      </c>
      <c r="F479" s="21">
        <f>IF((ROUND(F478-ROUND($B$13-D479,2),2)&lt;=0),0,ROUND(F478-E479,2))</f>
        <v/>
      </c>
    </row>
    <row r="480">
      <c r="A480" s="6" t="n">
        <v>464</v>
      </c>
      <c r="B480" s="19">
        <f>IF(B8="monthly",DATE(YEAR(B7)+INT((MONTH(B7)-1+463)/12),MOD(MONTH(B7)-1+463,12)+1,1)+(DAY(B7)-1),IF(B8="weekly",B7+3241,IF(B8="biweekly",B7+6482,B7+ROUND((463*365.25)/24,0))))</f>
        <v/>
      </c>
      <c r="C480" s="21">
        <f>IF((ROUND(F479-ROUND($B$13-D480,2),2)&lt;=0),ROUND(D480+E480,2),$B$13)</f>
        <v/>
      </c>
      <c r="D480" s="21">
        <f>ROUND(F479*B5/100/B10,2)</f>
        <v/>
      </c>
      <c r="E480" s="21">
        <f>IF((ROUND(F479-ROUND($B$13-D480,2),2)&lt;=0),F479,ROUND($B$13-D480,2))</f>
        <v/>
      </c>
      <c r="F480" s="21">
        <f>IF((ROUND(F479-ROUND($B$13-D480,2),2)&lt;=0),0,ROUND(F479-E480,2))</f>
        <v/>
      </c>
    </row>
    <row r="481">
      <c r="A481" s="6" t="n">
        <v>465</v>
      </c>
      <c r="B481" s="19">
        <f>IF(B8="monthly",DATE(YEAR(B7)+INT((MONTH(B7)-1+464)/12),MOD(MONTH(B7)-1+464,12)+1,1)+(DAY(B7)-1),IF(B8="weekly",B7+3248,IF(B8="biweekly",B7+6496,B7+ROUND((464*365.25)/24,0))))</f>
        <v/>
      </c>
      <c r="C481" s="21">
        <f>IF((ROUND(F480-ROUND($B$13-D481,2),2)&lt;=0),ROUND(D481+E481,2),$B$13)</f>
        <v/>
      </c>
      <c r="D481" s="21">
        <f>ROUND(F480*B5/100/B10,2)</f>
        <v/>
      </c>
      <c r="E481" s="21">
        <f>IF((ROUND(F480-ROUND($B$13-D481,2),2)&lt;=0),F480,ROUND($B$13-D481,2))</f>
        <v/>
      </c>
      <c r="F481" s="21">
        <f>IF((ROUND(F480-ROUND($B$13-D481,2),2)&lt;=0),0,ROUND(F480-E481,2))</f>
        <v/>
      </c>
    </row>
    <row r="482">
      <c r="A482" s="6" t="n">
        <v>466</v>
      </c>
      <c r="B482" s="19">
        <f>IF(B8="monthly",DATE(YEAR(B7)+INT((MONTH(B7)-1+465)/12),MOD(MONTH(B7)-1+465,12)+1,1)+(DAY(B7)-1),IF(B8="weekly",B7+3255,IF(B8="biweekly",B7+6510,B7+ROUND((465*365.25)/24,0))))</f>
        <v/>
      </c>
      <c r="C482" s="21">
        <f>IF((ROUND(F481-ROUND($B$13-D482,2),2)&lt;=0),ROUND(D482+E482,2),$B$13)</f>
        <v/>
      </c>
      <c r="D482" s="21">
        <f>ROUND(F481*B5/100/B10,2)</f>
        <v/>
      </c>
      <c r="E482" s="21">
        <f>IF((ROUND(F481-ROUND($B$13-D482,2),2)&lt;=0),F481,ROUND($B$13-D482,2))</f>
        <v/>
      </c>
      <c r="F482" s="21">
        <f>IF((ROUND(F481-ROUND($B$13-D482,2),2)&lt;=0),0,ROUND(F481-E482,2))</f>
        <v/>
      </c>
    </row>
    <row r="483">
      <c r="A483" s="6" t="n">
        <v>467</v>
      </c>
      <c r="B483" s="19">
        <f>IF(B8="monthly",DATE(YEAR(B7)+INT((MONTH(B7)-1+466)/12),MOD(MONTH(B7)-1+466,12)+1,1)+(DAY(B7)-1),IF(B8="weekly",B7+3262,IF(B8="biweekly",B7+6524,B7+ROUND((466*365.25)/24,0))))</f>
        <v/>
      </c>
      <c r="C483" s="21">
        <f>IF((ROUND(F482-ROUND($B$13-D483,2),2)&lt;=0),ROUND(D483+E483,2),$B$13)</f>
        <v/>
      </c>
      <c r="D483" s="21">
        <f>ROUND(F482*B5/100/B10,2)</f>
        <v/>
      </c>
      <c r="E483" s="21">
        <f>IF((ROUND(F482-ROUND($B$13-D483,2),2)&lt;=0),F482,ROUND($B$13-D483,2))</f>
        <v/>
      </c>
      <c r="F483" s="21">
        <f>IF((ROUND(F482-ROUND($B$13-D483,2),2)&lt;=0),0,ROUND(F482-E483,2))</f>
        <v/>
      </c>
    </row>
    <row r="484">
      <c r="A484" s="6" t="n">
        <v>468</v>
      </c>
      <c r="B484" s="19">
        <f>IF(B8="monthly",DATE(YEAR(B7)+INT((MONTH(B7)-1+467)/12),MOD(MONTH(B7)-1+467,12)+1,1)+(DAY(B7)-1),IF(B8="weekly",B7+3269,IF(B8="biweekly",B7+6538,B7+ROUND((467*365.25)/24,0))))</f>
        <v/>
      </c>
      <c r="C484" s="21">
        <f>IF((ROUND(F483-ROUND($B$13-D484,2),2)&lt;=0),ROUND(D484+E484,2),$B$13)</f>
        <v/>
      </c>
      <c r="D484" s="21">
        <f>ROUND(F483*B5/100/B10,2)</f>
        <v/>
      </c>
      <c r="E484" s="21">
        <f>IF((ROUND(F483-ROUND($B$13-D484,2),2)&lt;=0),F483,ROUND($B$13-D484,2))</f>
        <v/>
      </c>
      <c r="F484" s="21">
        <f>IF((ROUND(F483-ROUND($B$13-D484,2),2)&lt;=0),0,ROUND(F483-E484,2))</f>
        <v/>
      </c>
    </row>
    <row r="485">
      <c r="A485" s="6" t="n">
        <v>469</v>
      </c>
      <c r="B485" s="19">
        <f>IF(B8="monthly",DATE(YEAR(B7)+INT((MONTH(B7)-1+468)/12),MOD(MONTH(B7)-1+468,12)+1,1)+(DAY(B7)-1),IF(B8="weekly",B7+3276,IF(B8="biweekly",B7+6552,B7+ROUND((468*365.25)/24,0))))</f>
        <v/>
      </c>
      <c r="C485" s="21">
        <f>IF((ROUND(F484-ROUND($B$13-D485,2),2)&lt;=0),ROUND(D485+E485,2),$B$13)</f>
        <v/>
      </c>
      <c r="D485" s="21">
        <f>ROUND(F484*B5/100/B10,2)</f>
        <v/>
      </c>
      <c r="E485" s="21">
        <f>IF((ROUND(F484-ROUND($B$13-D485,2),2)&lt;=0),F484,ROUND($B$13-D485,2))</f>
        <v/>
      </c>
      <c r="F485" s="21">
        <f>IF((ROUND(F484-ROUND($B$13-D485,2),2)&lt;=0),0,ROUND(F484-E485,2))</f>
        <v/>
      </c>
    </row>
    <row r="486">
      <c r="A486" s="6" t="n">
        <v>470</v>
      </c>
      <c r="B486" s="19">
        <f>IF(B8="monthly",DATE(YEAR(B7)+INT((MONTH(B7)-1+469)/12),MOD(MONTH(B7)-1+469,12)+1,1)+(DAY(B7)-1),IF(B8="weekly",B7+3283,IF(B8="biweekly",B7+6566,B7+ROUND((469*365.25)/24,0))))</f>
        <v/>
      </c>
      <c r="C486" s="21">
        <f>IF((ROUND(F485-ROUND($B$13-D486,2),2)&lt;=0),ROUND(D486+E486,2),$B$13)</f>
        <v/>
      </c>
      <c r="D486" s="21">
        <f>ROUND(F485*B5/100/B10,2)</f>
        <v/>
      </c>
      <c r="E486" s="21">
        <f>IF((ROUND(F485-ROUND($B$13-D486,2),2)&lt;=0),F485,ROUND($B$13-D486,2))</f>
        <v/>
      </c>
      <c r="F486" s="21">
        <f>IF((ROUND(F485-ROUND($B$13-D486,2),2)&lt;=0),0,ROUND(F485-E486,2))</f>
        <v/>
      </c>
    </row>
    <row r="487">
      <c r="A487" s="6" t="n">
        <v>471</v>
      </c>
      <c r="B487" s="19">
        <f>IF(B8="monthly",DATE(YEAR(B7)+INT((MONTH(B7)-1+470)/12),MOD(MONTH(B7)-1+470,12)+1,1)+(DAY(B7)-1),IF(B8="weekly",B7+3290,IF(B8="biweekly",B7+6580,B7+ROUND((470*365.25)/24,0))))</f>
        <v/>
      </c>
      <c r="C487" s="21">
        <f>IF((ROUND(F486-ROUND($B$13-D487,2),2)&lt;=0),ROUND(D487+E487,2),$B$13)</f>
        <v/>
      </c>
      <c r="D487" s="21">
        <f>ROUND(F486*B5/100/B10,2)</f>
        <v/>
      </c>
      <c r="E487" s="21">
        <f>IF((ROUND(F486-ROUND($B$13-D487,2),2)&lt;=0),F486,ROUND($B$13-D487,2))</f>
        <v/>
      </c>
      <c r="F487" s="21">
        <f>IF((ROUND(F486-ROUND($B$13-D487,2),2)&lt;=0),0,ROUND(F486-E487,2))</f>
        <v/>
      </c>
    </row>
    <row r="488">
      <c r="A488" s="6" t="n">
        <v>472</v>
      </c>
      <c r="B488" s="19">
        <f>IF(B8="monthly",DATE(YEAR(B7)+INT((MONTH(B7)-1+471)/12),MOD(MONTH(B7)-1+471,12)+1,1)+(DAY(B7)-1),IF(B8="weekly",B7+3297,IF(B8="biweekly",B7+6594,B7+ROUND((471*365.25)/24,0))))</f>
        <v/>
      </c>
      <c r="C488" s="21">
        <f>IF((ROUND(F487-ROUND($B$13-D488,2),2)&lt;=0),ROUND(D488+E488,2),$B$13)</f>
        <v/>
      </c>
      <c r="D488" s="21">
        <f>ROUND(F487*B5/100/B10,2)</f>
        <v/>
      </c>
      <c r="E488" s="21">
        <f>IF((ROUND(F487-ROUND($B$13-D488,2),2)&lt;=0),F487,ROUND($B$13-D488,2))</f>
        <v/>
      </c>
      <c r="F488" s="21">
        <f>IF((ROUND(F487-ROUND($B$13-D488,2),2)&lt;=0),0,ROUND(F487-E488,2))</f>
        <v/>
      </c>
    </row>
    <row r="489">
      <c r="A489" s="6" t="n">
        <v>473</v>
      </c>
      <c r="B489" s="19">
        <f>IF(B8="monthly",DATE(YEAR(B7)+INT((MONTH(B7)-1+472)/12),MOD(MONTH(B7)-1+472,12)+1,1)+(DAY(B7)-1),IF(B8="weekly",B7+3304,IF(B8="biweekly",B7+6608,B7+ROUND((472*365.25)/24,0))))</f>
        <v/>
      </c>
      <c r="C489" s="21">
        <f>IF((ROUND(F488-ROUND($B$13-D489,2),2)&lt;=0),ROUND(D489+E489,2),$B$13)</f>
        <v/>
      </c>
      <c r="D489" s="21">
        <f>ROUND(F488*B5/100/B10,2)</f>
        <v/>
      </c>
      <c r="E489" s="21">
        <f>IF((ROUND(F488-ROUND($B$13-D489,2),2)&lt;=0),F488,ROUND($B$13-D489,2))</f>
        <v/>
      </c>
      <c r="F489" s="21">
        <f>IF((ROUND(F488-ROUND($B$13-D489,2),2)&lt;=0),0,ROUND(F488-E489,2))</f>
        <v/>
      </c>
    </row>
    <row r="490">
      <c r="A490" s="6" t="n">
        <v>474</v>
      </c>
      <c r="B490" s="19">
        <f>IF(B8="monthly",DATE(YEAR(B7)+INT((MONTH(B7)-1+473)/12),MOD(MONTH(B7)-1+473,12)+1,1)+(DAY(B7)-1),IF(B8="weekly",B7+3311,IF(B8="biweekly",B7+6622,B7+ROUND((473*365.25)/24,0))))</f>
        <v/>
      </c>
      <c r="C490" s="21">
        <f>IF((ROUND(F489-ROUND($B$13-D490,2),2)&lt;=0),ROUND(D490+E490,2),$B$13)</f>
        <v/>
      </c>
      <c r="D490" s="21">
        <f>ROUND(F489*B5/100/B10,2)</f>
        <v/>
      </c>
      <c r="E490" s="21">
        <f>IF((ROUND(F489-ROUND($B$13-D490,2),2)&lt;=0),F489,ROUND($B$13-D490,2))</f>
        <v/>
      </c>
      <c r="F490" s="21">
        <f>IF((ROUND(F489-ROUND($B$13-D490,2),2)&lt;=0),0,ROUND(F489-E490,2))</f>
        <v/>
      </c>
    </row>
    <row r="491">
      <c r="A491" s="6" t="n">
        <v>475</v>
      </c>
      <c r="B491" s="19">
        <f>IF(B8="monthly",DATE(YEAR(B7)+INT((MONTH(B7)-1+474)/12),MOD(MONTH(B7)-1+474,12)+1,1)+(DAY(B7)-1),IF(B8="weekly",B7+3318,IF(B8="biweekly",B7+6636,B7+ROUND((474*365.25)/24,0))))</f>
        <v/>
      </c>
      <c r="C491" s="21">
        <f>IF((ROUND(F490-ROUND($B$13-D491,2),2)&lt;=0),ROUND(D491+E491,2),$B$13)</f>
        <v/>
      </c>
      <c r="D491" s="21">
        <f>ROUND(F490*B5/100/B10,2)</f>
        <v/>
      </c>
      <c r="E491" s="21">
        <f>IF((ROUND(F490-ROUND($B$13-D491,2),2)&lt;=0),F490,ROUND($B$13-D491,2))</f>
        <v/>
      </c>
      <c r="F491" s="21">
        <f>IF((ROUND(F490-ROUND($B$13-D491,2),2)&lt;=0),0,ROUND(F490-E491,2))</f>
        <v/>
      </c>
    </row>
    <row r="492">
      <c r="A492" s="6" t="n">
        <v>476</v>
      </c>
      <c r="B492" s="19">
        <f>IF(B8="monthly",DATE(YEAR(B7)+INT((MONTH(B7)-1+475)/12),MOD(MONTH(B7)-1+475,12)+1,1)+(DAY(B7)-1),IF(B8="weekly",B7+3325,IF(B8="biweekly",B7+6650,B7+ROUND((475*365.25)/24,0))))</f>
        <v/>
      </c>
      <c r="C492" s="21">
        <f>IF((ROUND(F491-ROUND($B$13-D492,2),2)&lt;=0),ROUND(D492+E492,2),$B$13)</f>
        <v/>
      </c>
      <c r="D492" s="21">
        <f>ROUND(F491*B5/100/B10,2)</f>
        <v/>
      </c>
      <c r="E492" s="21">
        <f>IF((ROUND(F491-ROUND($B$13-D492,2),2)&lt;=0),F491,ROUND($B$13-D492,2))</f>
        <v/>
      </c>
      <c r="F492" s="21">
        <f>IF((ROUND(F491-ROUND($B$13-D492,2),2)&lt;=0),0,ROUND(F491-E492,2))</f>
        <v/>
      </c>
    </row>
    <row r="493">
      <c r="A493" s="6" t="n">
        <v>477</v>
      </c>
      <c r="B493" s="19">
        <f>IF(B8="monthly",DATE(YEAR(B7)+INT((MONTH(B7)-1+476)/12),MOD(MONTH(B7)-1+476,12)+1,1)+(DAY(B7)-1),IF(B8="weekly",B7+3332,IF(B8="biweekly",B7+6664,B7+ROUND((476*365.25)/24,0))))</f>
        <v/>
      </c>
      <c r="C493" s="21">
        <f>IF((ROUND(F492-ROUND($B$13-D493,2),2)&lt;=0),ROUND(D493+E493,2),$B$13)</f>
        <v/>
      </c>
      <c r="D493" s="21">
        <f>ROUND(F492*B5/100/B10,2)</f>
        <v/>
      </c>
      <c r="E493" s="21">
        <f>IF((ROUND(F492-ROUND($B$13-D493,2),2)&lt;=0),F492,ROUND($B$13-D493,2))</f>
        <v/>
      </c>
      <c r="F493" s="21">
        <f>IF((ROUND(F492-ROUND($B$13-D493,2),2)&lt;=0),0,ROUND(F492-E493,2))</f>
        <v/>
      </c>
    </row>
    <row r="494">
      <c r="A494" s="6" t="n">
        <v>478</v>
      </c>
      <c r="B494" s="19">
        <f>IF(B8="monthly",DATE(YEAR(B7)+INT((MONTH(B7)-1+477)/12),MOD(MONTH(B7)-1+477,12)+1,1)+(DAY(B7)-1),IF(B8="weekly",B7+3339,IF(B8="biweekly",B7+6678,B7+ROUND((477*365.25)/24,0))))</f>
        <v/>
      </c>
      <c r="C494" s="21">
        <f>IF((ROUND(F493-ROUND($B$13-D494,2),2)&lt;=0),ROUND(D494+E494,2),$B$13)</f>
        <v/>
      </c>
      <c r="D494" s="21">
        <f>ROUND(F493*B5/100/B10,2)</f>
        <v/>
      </c>
      <c r="E494" s="21">
        <f>IF((ROUND(F493-ROUND($B$13-D494,2),2)&lt;=0),F493,ROUND($B$13-D494,2))</f>
        <v/>
      </c>
      <c r="F494" s="21">
        <f>IF((ROUND(F493-ROUND($B$13-D494,2),2)&lt;=0),0,ROUND(F493-E494,2))</f>
        <v/>
      </c>
    </row>
    <row r="495">
      <c r="A495" s="6" t="n">
        <v>479</v>
      </c>
      <c r="B495" s="19">
        <f>IF(B8="monthly",DATE(YEAR(B7)+INT((MONTH(B7)-1+478)/12),MOD(MONTH(B7)-1+478,12)+1,1)+(DAY(B7)-1),IF(B8="weekly",B7+3346,IF(B8="biweekly",B7+6692,B7+ROUND((478*365.25)/24,0))))</f>
        <v/>
      </c>
      <c r="C495" s="21">
        <f>IF((ROUND(F494-ROUND($B$13-D495,2),2)&lt;=0),ROUND(D495+E495,2),$B$13)</f>
        <v/>
      </c>
      <c r="D495" s="21">
        <f>ROUND(F494*B5/100/B10,2)</f>
        <v/>
      </c>
      <c r="E495" s="21">
        <f>IF((ROUND(F494-ROUND($B$13-D495,2),2)&lt;=0),F494,ROUND($B$13-D495,2))</f>
        <v/>
      </c>
      <c r="F495" s="21">
        <f>IF((ROUND(F494-ROUND($B$13-D495,2),2)&lt;=0),0,ROUND(F494-E495,2))</f>
        <v/>
      </c>
    </row>
    <row r="496">
      <c r="A496" s="6" t="n">
        <v>480</v>
      </c>
      <c r="B496" s="19">
        <f>IF(B8="monthly",DATE(YEAR(B7)+INT((MONTH(B7)-1+479)/12),MOD(MONTH(B7)-1+479,12)+1,1)+(DAY(B7)-1),IF(B8="weekly",B7+3353,IF(B8="biweekly",B7+6706,B7+ROUND((479*365.25)/24,0))))</f>
        <v/>
      </c>
      <c r="C496" s="21">
        <f>IF((ROUND(F495-ROUND($B$13-D496,2),2)&lt;=0),ROUND(D496+E496,2),$B$13)</f>
        <v/>
      </c>
      <c r="D496" s="21">
        <f>ROUND(F495*B5/100/B10,2)</f>
        <v/>
      </c>
      <c r="E496" s="21">
        <f>IF((ROUND(F495-ROUND($B$13-D496,2),2)&lt;=0),F495,ROUND($B$13-D496,2))</f>
        <v/>
      </c>
      <c r="F496" s="21">
        <f>IF((ROUND(F495-ROUND($B$13-D496,2),2)&lt;=0),0,ROUND(F495-E496,2))</f>
        <v/>
      </c>
    </row>
    <row r="497">
      <c r="A497" s="6" t="n">
        <v>481</v>
      </c>
      <c r="B497" s="19">
        <f>IF(B8="monthly",DATE(YEAR(B7)+INT((MONTH(B7)-1+480)/12),MOD(MONTH(B7)-1+480,12)+1,1)+(DAY(B7)-1),IF(B8="weekly",B7+3360,IF(B8="biweekly",B7+6720,B7+ROUND((480*365.25)/24,0))))</f>
        <v/>
      </c>
      <c r="C497" s="21">
        <f>IF((ROUND(F496-ROUND($B$13-D497,2),2)&lt;=0),ROUND(D497+E497,2),$B$13)</f>
        <v/>
      </c>
      <c r="D497" s="21">
        <f>ROUND(F496*B5/100/B10,2)</f>
        <v/>
      </c>
      <c r="E497" s="21">
        <f>IF((ROUND(F496-ROUND($B$13-D497,2),2)&lt;=0),F496,ROUND($B$13-D497,2))</f>
        <v/>
      </c>
      <c r="F497" s="21">
        <f>IF((ROUND(F496-ROUND($B$13-D497,2),2)&lt;=0),0,ROUND(F496-E497,2))</f>
        <v/>
      </c>
    </row>
    <row r="498">
      <c r="A498" s="6" t="n">
        <v>482</v>
      </c>
      <c r="B498" s="19">
        <f>IF(B8="monthly",DATE(YEAR(B7)+INT((MONTH(B7)-1+481)/12),MOD(MONTH(B7)-1+481,12)+1,1)+(DAY(B7)-1),IF(B8="weekly",B7+3367,IF(B8="biweekly",B7+6734,B7+ROUND((481*365.25)/24,0))))</f>
        <v/>
      </c>
      <c r="C498" s="21">
        <f>IF((ROUND(F497-ROUND($B$13-D498,2),2)&lt;=0),ROUND(D498+E498,2),$B$13)</f>
        <v/>
      </c>
      <c r="D498" s="21">
        <f>ROUND(F497*B5/100/B10,2)</f>
        <v/>
      </c>
      <c r="E498" s="21">
        <f>IF((ROUND(F497-ROUND($B$13-D498,2),2)&lt;=0),F497,ROUND($B$13-D498,2))</f>
        <v/>
      </c>
      <c r="F498" s="21">
        <f>IF((ROUND(F497-ROUND($B$13-D498,2),2)&lt;=0),0,ROUND(F497-E498,2))</f>
        <v/>
      </c>
    </row>
    <row r="499">
      <c r="A499" s="6" t="n">
        <v>483</v>
      </c>
      <c r="B499" s="19">
        <f>IF(B8="monthly",DATE(YEAR(B7)+INT((MONTH(B7)-1+482)/12),MOD(MONTH(B7)-1+482,12)+1,1)+(DAY(B7)-1),IF(B8="weekly",B7+3374,IF(B8="biweekly",B7+6748,B7+ROUND((482*365.25)/24,0))))</f>
        <v/>
      </c>
      <c r="C499" s="21">
        <f>IF((ROUND(F498-ROUND($B$13-D499,2),2)&lt;=0),ROUND(D499+E499,2),$B$13)</f>
        <v/>
      </c>
      <c r="D499" s="21">
        <f>ROUND(F498*B5/100/B10,2)</f>
        <v/>
      </c>
      <c r="E499" s="21">
        <f>IF((ROUND(F498-ROUND($B$13-D499,2),2)&lt;=0),F498,ROUND($B$13-D499,2))</f>
        <v/>
      </c>
      <c r="F499" s="21">
        <f>IF((ROUND(F498-ROUND($B$13-D499,2),2)&lt;=0),0,ROUND(F498-E499,2))</f>
        <v/>
      </c>
    </row>
    <row r="500">
      <c r="A500" s="6" t="n">
        <v>484</v>
      </c>
      <c r="B500" s="19">
        <f>IF(B8="monthly",DATE(YEAR(B7)+INT((MONTH(B7)-1+483)/12),MOD(MONTH(B7)-1+483,12)+1,1)+(DAY(B7)-1),IF(B8="weekly",B7+3381,IF(B8="biweekly",B7+6762,B7+ROUND((483*365.25)/24,0))))</f>
        <v/>
      </c>
      <c r="C500" s="21">
        <f>IF((ROUND(F499-ROUND($B$13-D500,2),2)&lt;=0),ROUND(D500+E500,2),$B$13)</f>
        <v/>
      </c>
      <c r="D500" s="21">
        <f>ROUND(F499*B5/100/B10,2)</f>
        <v/>
      </c>
      <c r="E500" s="21">
        <f>IF((ROUND(F499-ROUND($B$13-D500,2),2)&lt;=0),F499,ROUND($B$13-D500,2))</f>
        <v/>
      </c>
      <c r="F500" s="21">
        <f>IF((ROUND(F499-ROUND($B$13-D500,2),2)&lt;=0),0,ROUND(F499-E500,2))</f>
        <v/>
      </c>
    </row>
    <row r="501">
      <c r="A501" s="6" t="n">
        <v>485</v>
      </c>
      <c r="B501" s="19">
        <f>IF(B8="monthly",DATE(YEAR(B7)+INT((MONTH(B7)-1+484)/12),MOD(MONTH(B7)-1+484,12)+1,1)+(DAY(B7)-1),IF(B8="weekly",B7+3388,IF(B8="biweekly",B7+6776,B7+ROUND((484*365.25)/24,0))))</f>
        <v/>
      </c>
      <c r="C501" s="21">
        <f>IF((ROUND(F500-ROUND($B$13-D501,2),2)&lt;=0),ROUND(D501+E501,2),$B$13)</f>
        <v/>
      </c>
      <c r="D501" s="21">
        <f>ROUND(F500*B5/100/B10,2)</f>
        <v/>
      </c>
      <c r="E501" s="21">
        <f>IF((ROUND(F500-ROUND($B$13-D501,2),2)&lt;=0),F500,ROUND($B$13-D501,2))</f>
        <v/>
      </c>
      <c r="F501" s="21">
        <f>IF((ROUND(F500-ROUND($B$13-D501,2),2)&lt;=0),0,ROUND(F500-E501,2))</f>
        <v/>
      </c>
    </row>
    <row r="502">
      <c r="A502" s="6" t="n">
        <v>486</v>
      </c>
      <c r="B502" s="19">
        <f>IF(B8="monthly",DATE(YEAR(B7)+INT((MONTH(B7)-1+485)/12),MOD(MONTH(B7)-1+485,12)+1,1)+(DAY(B7)-1),IF(B8="weekly",B7+3395,IF(B8="biweekly",B7+6790,B7+ROUND((485*365.25)/24,0))))</f>
        <v/>
      </c>
      <c r="C502" s="21">
        <f>IF((ROUND(F501-ROUND($B$13-D502,2),2)&lt;=0),ROUND(D502+E502,2),$B$13)</f>
        <v/>
      </c>
      <c r="D502" s="21">
        <f>ROUND(F501*B5/100/B10,2)</f>
        <v/>
      </c>
      <c r="E502" s="21">
        <f>IF((ROUND(F501-ROUND($B$13-D502,2),2)&lt;=0),F501,ROUND($B$13-D502,2))</f>
        <v/>
      </c>
      <c r="F502" s="21">
        <f>IF((ROUND(F501-ROUND($B$13-D502,2),2)&lt;=0),0,ROUND(F501-E502,2))</f>
        <v/>
      </c>
    </row>
    <row r="503">
      <c r="A503" s="6" t="n">
        <v>487</v>
      </c>
      <c r="B503" s="19">
        <f>IF(B8="monthly",DATE(YEAR(B7)+INT((MONTH(B7)-1+486)/12),MOD(MONTH(B7)-1+486,12)+1,1)+(DAY(B7)-1),IF(B8="weekly",B7+3402,IF(B8="biweekly",B7+6804,B7+ROUND((486*365.25)/24,0))))</f>
        <v/>
      </c>
      <c r="C503" s="21">
        <f>IF((ROUND(F502-ROUND($B$13-D503,2),2)&lt;=0),ROUND(D503+E503,2),$B$13)</f>
        <v/>
      </c>
      <c r="D503" s="21">
        <f>ROUND(F502*B5/100/B10,2)</f>
        <v/>
      </c>
      <c r="E503" s="21">
        <f>IF((ROUND(F502-ROUND($B$13-D503,2),2)&lt;=0),F502,ROUND($B$13-D503,2))</f>
        <v/>
      </c>
      <c r="F503" s="21">
        <f>IF((ROUND(F502-ROUND($B$13-D503,2),2)&lt;=0),0,ROUND(F502-E503,2))</f>
        <v/>
      </c>
    </row>
    <row r="504">
      <c r="A504" s="6" t="n">
        <v>488</v>
      </c>
      <c r="B504" s="19">
        <f>IF(B8="monthly",DATE(YEAR(B7)+INT((MONTH(B7)-1+487)/12),MOD(MONTH(B7)-1+487,12)+1,1)+(DAY(B7)-1),IF(B8="weekly",B7+3409,IF(B8="biweekly",B7+6818,B7+ROUND((487*365.25)/24,0))))</f>
        <v/>
      </c>
      <c r="C504" s="21">
        <f>IF((ROUND(F503-ROUND($B$13-D504,2),2)&lt;=0),ROUND(D504+E504,2),$B$13)</f>
        <v/>
      </c>
      <c r="D504" s="21">
        <f>ROUND(F503*B5/100/B10,2)</f>
        <v/>
      </c>
      <c r="E504" s="21">
        <f>IF((ROUND(F503-ROUND($B$13-D504,2),2)&lt;=0),F503,ROUND($B$13-D504,2))</f>
        <v/>
      </c>
      <c r="F504" s="21">
        <f>IF((ROUND(F503-ROUND($B$13-D504,2),2)&lt;=0),0,ROUND(F503-E504,2))</f>
        <v/>
      </c>
    </row>
    <row r="505">
      <c r="A505" s="6" t="n">
        <v>489</v>
      </c>
      <c r="B505" s="19">
        <f>IF(B8="monthly",DATE(YEAR(B7)+INT((MONTH(B7)-1+488)/12),MOD(MONTH(B7)-1+488,12)+1,1)+(DAY(B7)-1),IF(B8="weekly",B7+3416,IF(B8="biweekly",B7+6832,B7+ROUND((488*365.25)/24,0))))</f>
        <v/>
      </c>
      <c r="C505" s="21">
        <f>IF((ROUND(F504-ROUND($B$13-D505,2),2)&lt;=0),ROUND(D505+E505,2),$B$13)</f>
        <v/>
      </c>
      <c r="D505" s="21">
        <f>ROUND(F504*B5/100/B10,2)</f>
        <v/>
      </c>
      <c r="E505" s="21">
        <f>IF((ROUND(F504-ROUND($B$13-D505,2),2)&lt;=0),F504,ROUND($B$13-D505,2))</f>
        <v/>
      </c>
      <c r="F505" s="21">
        <f>IF((ROUND(F504-ROUND($B$13-D505,2),2)&lt;=0),0,ROUND(F504-E505,2))</f>
        <v/>
      </c>
    </row>
    <row r="506">
      <c r="A506" s="6" t="n">
        <v>490</v>
      </c>
      <c r="B506" s="19">
        <f>IF(B8="monthly",DATE(YEAR(B7)+INT((MONTH(B7)-1+489)/12),MOD(MONTH(B7)-1+489,12)+1,1)+(DAY(B7)-1),IF(B8="weekly",B7+3423,IF(B8="biweekly",B7+6846,B7+ROUND((489*365.25)/24,0))))</f>
        <v/>
      </c>
      <c r="C506" s="21">
        <f>IF((ROUND(F505-ROUND($B$13-D506,2),2)&lt;=0),ROUND(D506+E506,2),$B$13)</f>
        <v/>
      </c>
      <c r="D506" s="21">
        <f>ROUND(F505*B5/100/B10,2)</f>
        <v/>
      </c>
      <c r="E506" s="21">
        <f>IF((ROUND(F505-ROUND($B$13-D506,2),2)&lt;=0),F505,ROUND($B$13-D506,2))</f>
        <v/>
      </c>
      <c r="F506" s="21">
        <f>IF((ROUND(F505-ROUND($B$13-D506,2),2)&lt;=0),0,ROUND(F505-E506,2))</f>
        <v/>
      </c>
    </row>
    <row r="507">
      <c r="A507" s="6" t="n">
        <v>491</v>
      </c>
      <c r="B507" s="19">
        <f>IF(B8="monthly",DATE(YEAR(B7)+INT((MONTH(B7)-1+490)/12),MOD(MONTH(B7)-1+490,12)+1,1)+(DAY(B7)-1),IF(B8="weekly",B7+3430,IF(B8="biweekly",B7+6860,B7+ROUND((490*365.25)/24,0))))</f>
        <v/>
      </c>
      <c r="C507" s="21">
        <f>IF((ROUND(F506-ROUND($B$13-D507,2),2)&lt;=0),ROUND(D507+E507,2),$B$13)</f>
        <v/>
      </c>
      <c r="D507" s="21">
        <f>ROUND(F506*B5/100/B10,2)</f>
        <v/>
      </c>
      <c r="E507" s="21">
        <f>IF((ROUND(F506-ROUND($B$13-D507,2),2)&lt;=0),F506,ROUND($B$13-D507,2))</f>
        <v/>
      </c>
      <c r="F507" s="21">
        <f>IF((ROUND(F506-ROUND($B$13-D507,2),2)&lt;=0),0,ROUND(F506-E507,2))</f>
        <v/>
      </c>
    </row>
    <row r="508">
      <c r="A508" s="6" t="n">
        <v>492</v>
      </c>
      <c r="B508" s="19">
        <f>IF(B8="monthly",DATE(YEAR(B7)+INT((MONTH(B7)-1+491)/12),MOD(MONTH(B7)-1+491,12)+1,1)+(DAY(B7)-1),IF(B8="weekly",B7+3437,IF(B8="biweekly",B7+6874,B7+ROUND((491*365.25)/24,0))))</f>
        <v/>
      </c>
      <c r="C508" s="21">
        <f>IF((ROUND(F507-ROUND($B$13-D508,2),2)&lt;=0),ROUND(D508+E508,2),$B$13)</f>
        <v/>
      </c>
      <c r="D508" s="21">
        <f>ROUND(F507*B5/100/B10,2)</f>
        <v/>
      </c>
      <c r="E508" s="21">
        <f>IF((ROUND(F507-ROUND($B$13-D508,2),2)&lt;=0),F507,ROUND($B$13-D508,2))</f>
        <v/>
      </c>
      <c r="F508" s="21">
        <f>IF((ROUND(F507-ROUND($B$13-D508,2),2)&lt;=0),0,ROUND(F507-E508,2))</f>
        <v/>
      </c>
    </row>
    <row r="509">
      <c r="A509" s="6" t="n">
        <v>493</v>
      </c>
      <c r="B509" s="19">
        <f>IF(B8="monthly",DATE(YEAR(B7)+INT((MONTH(B7)-1+492)/12),MOD(MONTH(B7)-1+492,12)+1,1)+(DAY(B7)-1),IF(B8="weekly",B7+3444,IF(B8="biweekly",B7+6888,B7+ROUND((492*365.25)/24,0))))</f>
        <v/>
      </c>
      <c r="C509" s="21">
        <f>IF((ROUND(F508-ROUND($B$13-D509,2),2)&lt;=0),ROUND(D509+E509,2),$B$13)</f>
        <v/>
      </c>
      <c r="D509" s="21">
        <f>ROUND(F508*B5/100/B10,2)</f>
        <v/>
      </c>
      <c r="E509" s="21">
        <f>IF((ROUND(F508-ROUND($B$13-D509,2),2)&lt;=0),F508,ROUND($B$13-D509,2))</f>
        <v/>
      </c>
      <c r="F509" s="21">
        <f>IF((ROUND(F508-ROUND($B$13-D509,2),2)&lt;=0),0,ROUND(F508-E509,2))</f>
        <v/>
      </c>
    </row>
    <row r="510">
      <c r="A510" s="6" t="n">
        <v>494</v>
      </c>
      <c r="B510" s="19">
        <f>IF(B8="monthly",DATE(YEAR(B7)+INT((MONTH(B7)-1+493)/12),MOD(MONTH(B7)-1+493,12)+1,1)+(DAY(B7)-1),IF(B8="weekly",B7+3451,IF(B8="biweekly",B7+6902,B7+ROUND((493*365.25)/24,0))))</f>
        <v/>
      </c>
      <c r="C510" s="21">
        <f>IF((ROUND(F509-ROUND($B$13-D510,2),2)&lt;=0),ROUND(D510+E510,2),$B$13)</f>
        <v/>
      </c>
      <c r="D510" s="21">
        <f>ROUND(F509*B5/100/B10,2)</f>
        <v/>
      </c>
      <c r="E510" s="21">
        <f>IF((ROUND(F509-ROUND($B$13-D510,2),2)&lt;=0),F509,ROUND($B$13-D510,2))</f>
        <v/>
      </c>
      <c r="F510" s="21">
        <f>IF((ROUND(F509-ROUND($B$13-D510,2),2)&lt;=0),0,ROUND(F509-E510,2))</f>
        <v/>
      </c>
    </row>
    <row r="511">
      <c r="A511" s="6" t="n">
        <v>495</v>
      </c>
      <c r="B511" s="19">
        <f>IF(B8="monthly",DATE(YEAR(B7)+INT((MONTH(B7)-1+494)/12),MOD(MONTH(B7)-1+494,12)+1,1)+(DAY(B7)-1),IF(B8="weekly",B7+3458,IF(B8="biweekly",B7+6916,B7+ROUND((494*365.25)/24,0))))</f>
        <v/>
      </c>
      <c r="C511" s="21">
        <f>IF((ROUND(F510-ROUND($B$13-D511,2),2)&lt;=0),ROUND(D511+E511,2),$B$13)</f>
        <v/>
      </c>
      <c r="D511" s="21">
        <f>ROUND(F510*B5/100/B10,2)</f>
        <v/>
      </c>
      <c r="E511" s="21">
        <f>IF((ROUND(F510-ROUND($B$13-D511,2),2)&lt;=0),F510,ROUND($B$13-D511,2))</f>
        <v/>
      </c>
      <c r="F511" s="21">
        <f>IF((ROUND(F510-ROUND($B$13-D511,2),2)&lt;=0),0,ROUND(F510-E511,2))</f>
        <v/>
      </c>
    </row>
    <row r="512">
      <c r="A512" s="6" t="n">
        <v>496</v>
      </c>
      <c r="B512" s="19">
        <f>IF(B8="monthly",DATE(YEAR(B7)+INT((MONTH(B7)-1+495)/12),MOD(MONTH(B7)-1+495,12)+1,1)+(DAY(B7)-1),IF(B8="weekly",B7+3465,IF(B8="biweekly",B7+6930,B7+ROUND((495*365.25)/24,0))))</f>
        <v/>
      </c>
      <c r="C512" s="21">
        <f>IF((ROUND(F511-ROUND($B$13-D512,2),2)&lt;=0),ROUND(D512+E512,2),$B$13)</f>
        <v/>
      </c>
      <c r="D512" s="21">
        <f>ROUND(F511*B5/100/B10,2)</f>
        <v/>
      </c>
      <c r="E512" s="21">
        <f>IF((ROUND(F511-ROUND($B$13-D512,2),2)&lt;=0),F511,ROUND($B$13-D512,2))</f>
        <v/>
      </c>
      <c r="F512" s="21">
        <f>IF((ROUND(F511-ROUND($B$13-D512,2),2)&lt;=0),0,ROUND(F511-E512,2))</f>
        <v/>
      </c>
    </row>
    <row r="513">
      <c r="A513" s="6" t="n">
        <v>497</v>
      </c>
      <c r="B513" s="19">
        <f>IF(B8="monthly",DATE(YEAR(B7)+INT((MONTH(B7)-1+496)/12),MOD(MONTH(B7)-1+496,12)+1,1)+(DAY(B7)-1),IF(B8="weekly",B7+3472,IF(B8="biweekly",B7+6944,B7+ROUND((496*365.25)/24,0))))</f>
        <v/>
      </c>
      <c r="C513" s="21">
        <f>IF((ROUND(F512-ROUND($B$13-D513,2),2)&lt;=0),ROUND(D513+E513,2),$B$13)</f>
        <v/>
      </c>
      <c r="D513" s="21">
        <f>ROUND(F512*B5/100/B10,2)</f>
        <v/>
      </c>
      <c r="E513" s="21">
        <f>IF((ROUND(F512-ROUND($B$13-D513,2),2)&lt;=0),F512,ROUND($B$13-D513,2))</f>
        <v/>
      </c>
      <c r="F513" s="21">
        <f>IF((ROUND(F512-ROUND($B$13-D513,2),2)&lt;=0),0,ROUND(F512-E513,2))</f>
        <v/>
      </c>
    </row>
    <row r="514">
      <c r="A514" s="6" t="n">
        <v>498</v>
      </c>
      <c r="B514" s="19">
        <f>IF(B8="monthly",DATE(YEAR(B7)+INT((MONTH(B7)-1+497)/12),MOD(MONTH(B7)-1+497,12)+1,1)+(DAY(B7)-1),IF(B8="weekly",B7+3479,IF(B8="biweekly",B7+6958,B7+ROUND((497*365.25)/24,0))))</f>
        <v/>
      </c>
      <c r="C514" s="21">
        <f>IF((ROUND(F513-ROUND($B$13-D514,2),2)&lt;=0),ROUND(D514+E514,2),$B$13)</f>
        <v/>
      </c>
      <c r="D514" s="21">
        <f>ROUND(F513*B5/100/B10,2)</f>
        <v/>
      </c>
      <c r="E514" s="21">
        <f>IF((ROUND(F513-ROUND($B$13-D514,2),2)&lt;=0),F513,ROUND($B$13-D514,2))</f>
        <v/>
      </c>
      <c r="F514" s="21">
        <f>IF((ROUND(F513-ROUND($B$13-D514,2),2)&lt;=0),0,ROUND(F513-E514,2))</f>
        <v/>
      </c>
    </row>
    <row r="515">
      <c r="A515" s="6" t="n">
        <v>499</v>
      </c>
      <c r="B515" s="19">
        <f>IF(B8="monthly",DATE(YEAR(B7)+INT((MONTH(B7)-1+498)/12),MOD(MONTH(B7)-1+498,12)+1,1)+(DAY(B7)-1),IF(B8="weekly",B7+3486,IF(B8="biweekly",B7+6972,B7+ROUND((498*365.25)/24,0))))</f>
        <v/>
      </c>
      <c r="C515" s="21">
        <f>IF((ROUND(F514-ROUND($B$13-D515,2),2)&lt;=0),ROUND(D515+E515,2),$B$13)</f>
        <v/>
      </c>
      <c r="D515" s="21">
        <f>ROUND(F514*B5/100/B10,2)</f>
        <v/>
      </c>
      <c r="E515" s="21">
        <f>IF((ROUND(F514-ROUND($B$13-D515,2),2)&lt;=0),F514,ROUND($B$13-D515,2))</f>
        <v/>
      </c>
      <c r="F515" s="21">
        <f>IF((ROUND(F514-ROUND($B$13-D515,2),2)&lt;=0),0,ROUND(F514-E515,2))</f>
        <v/>
      </c>
    </row>
    <row r="516">
      <c r="A516" s="6" t="n">
        <v>500</v>
      </c>
      <c r="B516" s="19">
        <f>IF(B8="monthly",DATE(YEAR(B7)+INT((MONTH(B7)-1+499)/12),MOD(MONTH(B7)-1+499,12)+1,1)+(DAY(B7)-1),IF(B8="weekly",B7+3493,IF(B8="biweekly",B7+6986,B7+ROUND((499*365.25)/24,0))))</f>
        <v/>
      </c>
      <c r="C516" s="21">
        <f>IF((ROUND(F515-ROUND($B$13-D516,2),2)&lt;=0),ROUND(D516+E516,2),$B$13)</f>
        <v/>
      </c>
      <c r="D516" s="21">
        <f>ROUND(F515*B5/100/B10,2)</f>
        <v/>
      </c>
      <c r="E516" s="21">
        <f>IF((ROUND(F515-ROUND($B$13-D516,2),2)&lt;=0),F515,ROUND($B$13-D516,2))</f>
        <v/>
      </c>
      <c r="F516" s="21">
        <f>IF((ROUND(F515-ROUND($B$13-D516,2),2)&lt;=0),0,ROUND(F515-E516,2))</f>
        <v/>
      </c>
    </row>
    <row r="517">
      <c r="A517" s="6" t="n">
        <v>501</v>
      </c>
      <c r="B517" s="19">
        <f>IF(B8="monthly",DATE(YEAR(B7)+INT((MONTH(B7)-1+500)/12),MOD(MONTH(B7)-1+500,12)+1,1)+(DAY(B7)-1),IF(B8="weekly",B7+3500,IF(B8="biweekly",B7+7000,B7+ROUND((500*365.25)/24,0))))</f>
        <v/>
      </c>
      <c r="C517" s="21">
        <f>IF((ROUND(F516-ROUND($B$13-D517,2),2)&lt;=0),ROUND(D517+E517,2),$B$13)</f>
        <v/>
      </c>
      <c r="D517" s="21">
        <f>ROUND(F516*B5/100/B10,2)</f>
        <v/>
      </c>
      <c r="E517" s="21">
        <f>IF((ROUND(F516-ROUND($B$13-D517,2),2)&lt;=0),F516,ROUND($B$13-D517,2))</f>
        <v/>
      </c>
      <c r="F517" s="21">
        <f>IF((ROUND(F516-ROUND($B$13-D517,2),2)&lt;=0),0,ROUND(F516-E517,2))</f>
        <v/>
      </c>
    </row>
    <row r="518">
      <c r="A518" s="6" t="n">
        <v>502</v>
      </c>
      <c r="B518" s="19">
        <f>IF(B8="monthly",DATE(YEAR(B7)+INT((MONTH(B7)-1+501)/12),MOD(MONTH(B7)-1+501,12)+1,1)+(DAY(B7)-1),IF(B8="weekly",B7+3507,IF(B8="biweekly",B7+7014,B7+ROUND((501*365.25)/24,0))))</f>
        <v/>
      </c>
      <c r="C518" s="21">
        <f>IF((ROUND(F517-ROUND($B$13-D518,2),2)&lt;=0),ROUND(D518+E518,2),$B$13)</f>
        <v/>
      </c>
      <c r="D518" s="21">
        <f>ROUND(F517*B5/100/B10,2)</f>
        <v/>
      </c>
      <c r="E518" s="21">
        <f>IF((ROUND(F517-ROUND($B$13-D518,2),2)&lt;=0),F517,ROUND($B$13-D518,2))</f>
        <v/>
      </c>
      <c r="F518" s="21">
        <f>IF((ROUND(F517-ROUND($B$13-D518,2),2)&lt;=0),0,ROUND(F517-E518,2))</f>
        <v/>
      </c>
    </row>
    <row r="519">
      <c r="A519" s="6" t="n">
        <v>503</v>
      </c>
      <c r="B519" s="19">
        <f>IF(B8="monthly",DATE(YEAR(B7)+INT((MONTH(B7)-1+502)/12),MOD(MONTH(B7)-1+502,12)+1,1)+(DAY(B7)-1),IF(B8="weekly",B7+3514,IF(B8="biweekly",B7+7028,B7+ROUND((502*365.25)/24,0))))</f>
        <v/>
      </c>
      <c r="C519" s="21">
        <f>IF((ROUND(F518-ROUND($B$13-D519,2),2)&lt;=0),ROUND(D519+E519,2),$B$13)</f>
        <v/>
      </c>
      <c r="D519" s="21">
        <f>ROUND(F518*B5/100/B10,2)</f>
        <v/>
      </c>
      <c r="E519" s="21">
        <f>IF((ROUND(F518-ROUND($B$13-D519,2),2)&lt;=0),F518,ROUND($B$13-D519,2))</f>
        <v/>
      </c>
      <c r="F519" s="21">
        <f>IF((ROUND(F518-ROUND($B$13-D519,2),2)&lt;=0),0,ROUND(F518-E519,2))</f>
        <v/>
      </c>
    </row>
    <row r="520">
      <c r="A520" s="6" t="n">
        <v>504</v>
      </c>
      <c r="B520" s="19">
        <f>IF(B8="monthly",DATE(YEAR(B7)+INT((MONTH(B7)-1+503)/12),MOD(MONTH(B7)-1+503,12)+1,1)+(DAY(B7)-1),IF(B8="weekly",B7+3521,IF(B8="biweekly",B7+7042,B7+ROUND((503*365.25)/24,0))))</f>
        <v/>
      </c>
      <c r="C520" s="21">
        <f>IF((ROUND(F519-ROUND($B$13-D520,2),2)&lt;=0),ROUND(D520+E520,2),$B$13)</f>
        <v/>
      </c>
      <c r="D520" s="21">
        <f>ROUND(F519*B5/100/B10,2)</f>
        <v/>
      </c>
      <c r="E520" s="21">
        <f>IF((ROUND(F519-ROUND($B$13-D520,2),2)&lt;=0),F519,ROUND($B$13-D520,2))</f>
        <v/>
      </c>
      <c r="F520" s="21">
        <f>IF((ROUND(F519-ROUND($B$13-D520,2),2)&lt;=0),0,ROUND(F519-E520,2))</f>
        <v/>
      </c>
    </row>
    <row r="521">
      <c r="A521" s="6" t="n">
        <v>505</v>
      </c>
      <c r="B521" s="19">
        <f>IF(B8="monthly",DATE(YEAR(B7)+INT((MONTH(B7)-1+504)/12),MOD(MONTH(B7)-1+504,12)+1,1)+(DAY(B7)-1),IF(B8="weekly",B7+3528,IF(B8="biweekly",B7+7056,B7+ROUND((504*365.25)/24,0))))</f>
        <v/>
      </c>
      <c r="C521" s="21">
        <f>IF((ROUND(F520-ROUND($B$13-D521,2),2)&lt;=0),ROUND(D521+E521,2),$B$13)</f>
        <v/>
      </c>
      <c r="D521" s="21">
        <f>ROUND(F520*B5/100/B10,2)</f>
        <v/>
      </c>
      <c r="E521" s="21">
        <f>IF((ROUND(F520-ROUND($B$13-D521,2),2)&lt;=0),F520,ROUND($B$13-D521,2))</f>
        <v/>
      </c>
      <c r="F521" s="21">
        <f>IF((ROUND(F520-ROUND($B$13-D521,2),2)&lt;=0),0,ROUND(F520-E521,2))</f>
        <v/>
      </c>
    </row>
    <row r="522">
      <c r="A522" s="6" t="n">
        <v>506</v>
      </c>
      <c r="B522" s="19">
        <f>IF(B8="monthly",DATE(YEAR(B7)+INT((MONTH(B7)-1+505)/12),MOD(MONTH(B7)-1+505,12)+1,1)+(DAY(B7)-1),IF(B8="weekly",B7+3535,IF(B8="biweekly",B7+7070,B7+ROUND((505*365.25)/24,0))))</f>
        <v/>
      </c>
      <c r="C522" s="21">
        <f>IF((ROUND(F521-ROUND($B$13-D522,2),2)&lt;=0),ROUND(D522+E522,2),$B$13)</f>
        <v/>
      </c>
      <c r="D522" s="21">
        <f>ROUND(F521*B5/100/B10,2)</f>
        <v/>
      </c>
      <c r="E522" s="21">
        <f>IF((ROUND(F521-ROUND($B$13-D522,2),2)&lt;=0),F521,ROUND($B$13-D522,2))</f>
        <v/>
      </c>
      <c r="F522" s="21">
        <f>IF((ROUND(F521-ROUND($B$13-D522,2),2)&lt;=0),0,ROUND(F521-E522,2))</f>
        <v/>
      </c>
    </row>
    <row r="523">
      <c r="A523" s="6" t="n">
        <v>507</v>
      </c>
      <c r="B523" s="19">
        <f>IF(B8="monthly",DATE(YEAR(B7)+INT((MONTH(B7)-1+506)/12),MOD(MONTH(B7)-1+506,12)+1,1)+(DAY(B7)-1),IF(B8="weekly",B7+3542,IF(B8="biweekly",B7+7084,B7+ROUND((506*365.25)/24,0))))</f>
        <v/>
      </c>
      <c r="C523" s="21">
        <f>IF((ROUND(F522-ROUND($B$13-D523,2),2)&lt;=0),ROUND(D523+E523,2),$B$13)</f>
        <v/>
      </c>
      <c r="D523" s="21">
        <f>ROUND(F522*B5/100/B10,2)</f>
        <v/>
      </c>
      <c r="E523" s="21">
        <f>IF((ROUND(F522-ROUND($B$13-D523,2),2)&lt;=0),F522,ROUND($B$13-D523,2))</f>
        <v/>
      </c>
      <c r="F523" s="21">
        <f>IF((ROUND(F522-ROUND($B$13-D523,2),2)&lt;=0),0,ROUND(F522-E523,2))</f>
        <v/>
      </c>
    </row>
    <row r="524">
      <c r="A524" s="6" t="n">
        <v>508</v>
      </c>
      <c r="B524" s="19">
        <f>IF(B8="monthly",DATE(YEAR(B7)+INT((MONTH(B7)-1+507)/12),MOD(MONTH(B7)-1+507,12)+1,1)+(DAY(B7)-1),IF(B8="weekly",B7+3549,IF(B8="biweekly",B7+7098,B7+ROUND((507*365.25)/24,0))))</f>
        <v/>
      </c>
      <c r="C524" s="21">
        <f>IF((ROUND(F523-ROUND($B$13-D524,2),2)&lt;=0),ROUND(D524+E524,2),$B$13)</f>
        <v/>
      </c>
      <c r="D524" s="21">
        <f>ROUND(F523*B5/100/B10,2)</f>
        <v/>
      </c>
      <c r="E524" s="21">
        <f>IF((ROUND(F523-ROUND($B$13-D524,2),2)&lt;=0),F523,ROUND($B$13-D524,2))</f>
        <v/>
      </c>
      <c r="F524" s="21">
        <f>IF((ROUND(F523-ROUND($B$13-D524,2),2)&lt;=0),0,ROUND(F523-E524,2))</f>
        <v/>
      </c>
    </row>
    <row r="525">
      <c r="A525" s="6" t="n">
        <v>509</v>
      </c>
      <c r="B525" s="19">
        <f>IF(B8="monthly",DATE(YEAR(B7)+INT((MONTH(B7)-1+508)/12),MOD(MONTH(B7)-1+508,12)+1,1)+(DAY(B7)-1),IF(B8="weekly",B7+3556,IF(B8="biweekly",B7+7112,B7+ROUND((508*365.25)/24,0))))</f>
        <v/>
      </c>
      <c r="C525" s="21">
        <f>IF((ROUND(F524-ROUND($B$13-D525,2),2)&lt;=0),ROUND(D525+E525,2),$B$13)</f>
        <v/>
      </c>
      <c r="D525" s="21">
        <f>ROUND(F524*B5/100/B10,2)</f>
        <v/>
      </c>
      <c r="E525" s="21">
        <f>IF((ROUND(F524-ROUND($B$13-D525,2),2)&lt;=0),F524,ROUND($B$13-D525,2))</f>
        <v/>
      </c>
      <c r="F525" s="21">
        <f>IF((ROUND(F524-ROUND($B$13-D525,2),2)&lt;=0),0,ROUND(F524-E525,2))</f>
        <v/>
      </c>
    </row>
    <row r="526">
      <c r="A526" s="6" t="n">
        <v>510</v>
      </c>
      <c r="B526" s="19">
        <f>IF(B8="monthly",DATE(YEAR(B7)+INT((MONTH(B7)-1+509)/12),MOD(MONTH(B7)-1+509,12)+1,1)+(DAY(B7)-1),IF(B8="weekly",B7+3563,IF(B8="biweekly",B7+7126,B7+ROUND((509*365.25)/24,0))))</f>
        <v/>
      </c>
      <c r="C526" s="21">
        <f>IF((ROUND(F525-ROUND($B$13-D526,2),2)&lt;=0),ROUND(D526+E526,2),$B$13)</f>
        <v/>
      </c>
      <c r="D526" s="21">
        <f>ROUND(F525*B5/100/B10,2)</f>
        <v/>
      </c>
      <c r="E526" s="21">
        <f>IF((ROUND(F525-ROUND($B$13-D526,2),2)&lt;=0),F525,ROUND($B$13-D526,2))</f>
        <v/>
      </c>
      <c r="F526" s="21">
        <f>IF((ROUND(F525-ROUND($B$13-D526,2),2)&lt;=0),0,ROUND(F525-E526,2))</f>
        <v/>
      </c>
    </row>
    <row r="527">
      <c r="A527" s="6" t="n">
        <v>511</v>
      </c>
      <c r="B527" s="19">
        <f>IF(B8="monthly",DATE(YEAR(B7)+INT((MONTH(B7)-1+510)/12),MOD(MONTH(B7)-1+510,12)+1,1)+(DAY(B7)-1),IF(B8="weekly",B7+3570,IF(B8="biweekly",B7+7140,B7+ROUND((510*365.25)/24,0))))</f>
        <v/>
      </c>
      <c r="C527" s="21">
        <f>IF((ROUND(F526-ROUND($B$13-D527,2),2)&lt;=0),ROUND(D527+E527,2),$B$13)</f>
        <v/>
      </c>
      <c r="D527" s="21">
        <f>ROUND(F526*B5/100/B10,2)</f>
        <v/>
      </c>
      <c r="E527" s="21">
        <f>IF((ROUND(F526-ROUND($B$13-D527,2),2)&lt;=0),F526,ROUND($B$13-D527,2))</f>
        <v/>
      </c>
      <c r="F527" s="21">
        <f>IF((ROUND(F526-ROUND($B$13-D527,2),2)&lt;=0),0,ROUND(F526-E527,2))</f>
        <v/>
      </c>
    </row>
    <row r="528">
      <c r="A528" s="6" t="n">
        <v>512</v>
      </c>
      <c r="B528" s="19">
        <f>IF(B8="monthly",DATE(YEAR(B7)+INT((MONTH(B7)-1+511)/12),MOD(MONTH(B7)-1+511,12)+1,1)+(DAY(B7)-1),IF(B8="weekly",B7+3577,IF(B8="biweekly",B7+7154,B7+ROUND((511*365.25)/24,0))))</f>
        <v/>
      </c>
      <c r="C528" s="21">
        <f>IF((ROUND(F527-ROUND($B$13-D528,2),2)&lt;=0),ROUND(D528+E528,2),$B$13)</f>
        <v/>
      </c>
      <c r="D528" s="21">
        <f>ROUND(F527*B5/100/B10,2)</f>
        <v/>
      </c>
      <c r="E528" s="21">
        <f>IF((ROUND(F527-ROUND($B$13-D528,2),2)&lt;=0),F527,ROUND($B$13-D528,2))</f>
        <v/>
      </c>
      <c r="F528" s="21">
        <f>IF((ROUND(F527-ROUND($B$13-D528,2),2)&lt;=0),0,ROUND(F527-E528,2))</f>
        <v/>
      </c>
    </row>
    <row r="529">
      <c r="A529" s="6" t="n">
        <v>513</v>
      </c>
      <c r="B529" s="19">
        <f>IF(B8="monthly",DATE(YEAR(B7)+INT((MONTH(B7)-1+512)/12),MOD(MONTH(B7)-1+512,12)+1,1)+(DAY(B7)-1),IF(B8="weekly",B7+3584,IF(B8="biweekly",B7+7168,B7+ROUND((512*365.25)/24,0))))</f>
        <v/>
      </c>
      <c r="C529" s="21">
        <f>IF((ROUND(F528-ROUND($B$13-D529,2),2)&lt;=0),ROUND(D529+E529,2),$B$13)</f>
        <v/>
      </c>
      <c r="D529" s="21">
        <f>ROUND(F528*B5/100/B10,2)</f>
        <v/>
      </c>
      <c r="E529" s="21">
        <f>IF((ROUND(F528-ROUND($B$13-D529,2),2)&lt;=0),F528,ROUND($B$13-D529,2))</f>
        <v/>
      </c>
      <c r="F529" s="21">
        <f>IF((ROUND(F528-ROUND($B$13-D529,2),2)&lt;=0),0,ROUND(F528-E529,2))</f>
        <v/>
      </c>
    </row>
    <row r="530">
      <c r="A530" s="6" t="n">
        <v>514</v>
      </c>
      <c r="B530" s="19">
        <f>IF(B8="monthly",DATE(YEAR(B7)+INT((MONTH(B7)-1+513)/12),MOD(MONTH(B7)-1+513,12)+1,1)+(DAY(B7)-1),IF(B8="weekly",B7+3591,IF(B8="biweekly",B7+7182,B7+ROUND((513*365.25)/24,0))))</f>
        <v/>
      </c>
      <c r="C530" s="21">
        <f>IF((ROUND(F529-ROUND($B$13-D530,2),2)&lt;=0),ROUND(D530+E530,2),$B$13)</f>
        <v/>
      </c>
      <c r="D530" s="21">
        <f>ROUND(F529*B5/100/B10,2)</f>
        <v/>
      </c>
      <c r="E530" s="21">
        <f>IF((ROUND(F529-ROUND($B$13-D530,2),2)&lt;=0),F529,ROUND($B$13-D530,2))</f>
        <v/>
      </c>
      <c r="F530" s="21">
        <f>IF((ROUND(F529-ROUND($B$13-D530,2),2)&lt;=0),0,ROUND(F529-E530,2))</f>
        <v/>
      </c>
    </row>
    <row r="531">
      <c r="A531" s="6" t="n">
        <v>515</v>
      </c>
      <c r="B531" s="19">
        <f>IF(B8="monthly",DATE(YEAR(B7)+INT((MONTH(B7)-1+514)/12),MOD(MONTH(B7)-1+514,12)+1,1)+(DAY(B7)-1),IF(B8="weekly",B7+3598,IF(B8="biweekly",B7+7196,B7+ROUND((514*365.25)/24,0))))</f>
        <v/>
      </c>
      <c r="C531" s="21">
        <f>IF((ROUND(F530-ROUND($B$13-D531,2),2)&lt;=0),ROUND(D531+E531,2),$B$13)</f>
        <v/>
      </c>
      <c r="D531" s="21">
        <f>ROUND(F530*B5/100/B10,2)</f>
        <v/>
      </c>
      <c r="E531" s="21">
        <f>IF((ROUND(F530-ROUND($B$13-D531,2),2)&lt;=0),F530,ROUND($B$13-D531,2))</f>
        <v/>
      </c>
      <c r="F531" s="21">
        <f>IF((ROUND(F530-ROUND($B$13-D531,2),2)&lt;=0),0,ROUND(F530-E531,2))</f>
        <v/>
      </c>
    </row>
    <row r="532">
      <c r="A532" s="6" t="n">
        <v>516</v>
      </c>
      <c r="B532" s="19">
        <f>IF(B8="monthly",DATE(YEAR(B7)+INT((MONTH(B7)-1+515)/12),MOD(MONTH(B7)-1+515,12)+1,1)+(DAY(B7)-1),IF(B8="weekly",B7+3605,IF(B8="biweekly",B7+7210,B7+ROUND((515*365.25)/24,0))))</f>
        <v/>
      </c>
      <c r="C532" s="21">
        <f>IF((ROUND(F531-ROUND($B$13-D532,2),2)&lt;=0),ROUND(D532+E532,2),$B$13)</f>
        <v/>
      </c>
      <c r="D532" s="21">
        <f>ROUND(F531*B5/100/B10,2)</f>
        <v/>
      </c>
      <c r="E532" s="21">
        <f>IF((ROUND(F531-ROUND($B$13-D532,2),2)&lt;=0),F531,ROUND($B$13-D532,2))</f>
        <v/>
      </c>
      <c r="F532" s="21">
        <f>IF((ROUND(F531-ROUND($B$13-D532,2),2)&lt;=0),0,ROUND(F531-E532,2))</f>
        <v/>
      </c>
    </row>
    <row r="533">
      <c r="A533" s="6" t="n">
        <v>517</v>
      </c>
      <c r="B533" s="19">
        <f>IF(B8="monthly",DATE(YEAR(B7)+INT((MONTH(B7)-1+516)/12),MOD(MONTH(B7)-1+516,12)+1,1)+(DAY(B7)-1),IF(B8="weekly",B7+3612,IF(B8="biweekly",B7+7224,B7+ROUND((516*365.25)/24,0))))</f>
        <v/>
      </c>
      <c r="C533" s="21">
        <f>IF((ROUND(F532-ROUND($B$13-D533,2),2)&lt;=0),ROUND(D533+E533,2),$B$13)</f>
        <v/>
      </c>
      <c r="D533" s="21">
        <f>ROUND(F532*B5/100/B10,2)</f>
        <v/>
      </c>
      <c r="E533" s="21">
        <f>IF((ROUND(F532-ROUND($B$13-D533,2),2)&lt;=0),F532,ROUND($B$13-D533,2))</f>
        <v/>
      </c>
      <c r="F533" s="21">
        <f>IF((ROUND(F532-ROUND($B$13-D533,2),2)&lt;=0),0,ROUND(F532-E533,2))</f>
        <v/>
      </c>
    </row>
    <row r="534">
      <c r="A534" s="6" t="n">
        <v>518</v>
      </c>
      <c r="B534" s="19">
        <f>IF(B8="monthly",DATE(YEAR(B7)+INT((MONTH(B7)-1+517)/12),MOD(MONTH(B7)-1+517,12)+1,1)+(DAY(B7)-1),IF(B8="weekly",B7+3619,IF(B8="biweekly",B7+7238,B7+ROUND((517*365.25)/24,0))))</f>
        <v/>
      </c>
      <c r="C534" s="21">
        <f>IF((ROUND(F533-ROUND($B$13-D534,2),2)&lt;=0),ROUND(D534+E534,2),$B$13)</f>
        <v/>
      </c>
      <c r="D534" s="21">
        <f>ROUND(F533*B5/100/B10,2)</f>
        <v/>
      </c>
      <c r="E534" s="21">
        <f>IF((ROUND(F533-ROUND($B$13-D534,2),2)&lt;=0),F533,ROUND($B$13-D534,2))</f>
        <v/>
      </c>
      <c r="F534" s="21">
        <f>IF((ROUND(F533-ROUND($B$13-D534,2),2)&lt;=0),0,ROUND(F533-E534,2))</f>
        <v/>
      </c>
    </row>
    <row r="535">
      <c r="A535" s="6" t="n">
        <v>519</v>
      </c>
      <c r="B535" s="19">
        <f>IF(B8="monthly",DATE(YEAR(B7)+INT((MONTH(B7)-1+518)/12),MOD(MONTH(B7)-1+518,12)+1,1)+(DAY(B7)-1),IF(B8="weekly",B7+3626,IF(B8="biweekly",B7+7252,B7+ROUND((518*365.25)/24,0))))</f>
        <v/>
      </c>
      <c r="C535" s="21">
        <f>IF((ROUND(F534-ROUND($B$13-D535,2),2)&lt;=0),ROUND(D535+E535,2),$B$13)</f>
        <v/>
      </c>
      <c r="D535" s="21">
        <f>ROUND(F534*B5/100/B10,2)</f>
        <v/>
      </c>
      <c r="E535" s="21">
        <f>IF((ROUND(F534-ROUND($B$13-D535,2),2)&lt;=0),F534,ROUND($B$13-D535,2))</f>
        <v/>
      </c>
      <c r="F535" s="21">
        <f>IF((ROUND(F534-ROUND($B$13-D535,2),2)&lt;=0),0,ROUND(F534-E535,2))</f>
        <v/>
      </c>
    </row>
    <row r="536">
      <c r="A536" s="6" t="n">
        <v>520</v>
      </c>
      <c r="B536" s="19">
        <f>IF(B8="monthly",DATE(YEAR(B7)+INT((MONTH(B7)-1+519)/12),MOD(MONTH(B7)-1+519,12)+1,1)+(DAY(B7)-1),IF(B8="weekly",B7+3633,IF(B8="biweekly",B7+7266,B7+ROUND((519*365.25)/24,0))))</f>
        <v/>
      </c>
      <c r="C536" s="21">
        <f>IF((ROUND(F535-ROUND($B$13-D536,2),2)&lt;=0),ROUND(D536+E536,2),$B$13)</f>
        <v/>
      </c>
      <c r="D536" s="21">
        <f>ROUND(F535*B5/100/B10,2)</f>
        <v/>
      </c>
      <c r="E536" s="21">
        <f>IF((ROUND(F535-ROUND($B$13-D536,2),2)&lt;=0),F535,ROUND($B$13-D536,2))</f>
        <v/>
      </c>
      <c r="F536" s="21">
        <f>IF((ROUND(F535-ROUND($B$13-D536,2),2)&lt;=0),0,ROUND(F535-E536,2))</f>
        <v/>
      </c>
    </row>
    <row r="537">
      <c r="A537" s="6" t="n">
        <v>521</v>
      </c>
      <c r="B537" s="19">
        <f>IF(B8="monthly",DATE(YEAR(B7)+INT((MONTH(B7)-1+520)/12),MOD(MONTH(B7)-1+520,12)+1,1)+(DAY(B7)-1),IF(B8="weekly",B7+3640,IF(B8="biweekly",B7+7280,B7+ROUND((520*365.25)/24,0))))</f>
        <v/>
      </c>
      <c r="C537" s="21">
        <f>IF((ROUND(F536-ROUND($B$13-D537,2),2)&lt;=0),ROUND(D537+E537,2),$B$13)</f>
        <v/>
      </c>
      <c r="D537" s="21">
        <f>ROUND(F536*B5/100/B10,2)</f>
        <v/>
      </c>
      <c r="E537" s="21">
        <f>IF((ROUND(F536-ROUND($B$13-D537,2),2)&lt;=0),F536,ROUND($B$13-D537,2))</f>
        <v/>
      </c>
      <c r="F537" s="21">
        <f>IF((ROUND(F536-ROUND($B$13-D537,2),2)&lt;=0),0,ROUND(F536-E537,2))</f>
        <v/>
      </c>
    </row>
    <row r="538">
      <c r="A538" s="6" t="n">
        <v>522</v>
      </c>
      <c r="B538" s="19">
        <f>IF(B8="monthly",DATE(YEAR(B7)+INT((MONTH(B7)-1+521)/12),MOD(MONTH(B7)-1+521,12)+1,1)+(DAY(B7)-1),IF(B8="weekly",B7+3647,IF(B8="biweekly",B7+7294,B7+ROUND((521*365.25)/24,0))))</f>
        <v/>
      </c>
      <c r="C538" s="21">
        <f>IF((ROUND(F537-ROUND($B$13-D538,2),2)&lt;=0),ROUND(D538+E538,2),$B$13)</f>
        <v/>
      </c>
      <c r="D538" s="21">
        <f>ROUND(F537*B5/100/B10,2)</f>
        <v/>
      </c>
      <c r="E538" s="21">
        <f>IF((ROUND(F537-ROUND($B$13-D538,2),2)&lt;=0),F537,ROUND($B$13-D538,2))</f>
        <v/>
      </c>
      <c r="F538" s="21">
        <f>IF((ROUND(F537-ROUND($B$13-D538,2),2)&lt;=0),0,ROUND(F537-E538,2))</f>
        <v/>
      </c>
    </row>
    <row r="539">
      <c r="A539" s="6" t="n">
        <v>523</v>
      </c>
      <c r="B539" s="19">
        <f>IF(B8="monthly",DATE(YEAR(B7)+INT((MONTH(B7)-1+522)/12),MOD(MONTH(B7)-1+522,12)+1,1)+(DAY(B7)-1),IF(B8="weekly",B7+3654,IF(B8="biweekly",B7+7308,B7+ROUND((522*365.25)/24,0))))</f>
        <v/>
      </c>
      <c r="C539" s="21">
        <f>IF((ROUND(F538-ROUND($B$13-D539,2),2)&lt;=0),ROUND(D539+E539,2),$B$13)</f>
        <v/>
      </c>
      <c r="D539" s="21">
        <f>ROUND(F538*B5/100/B10,2)</f>
        <v/>
      </c>
      <c r="E539" s="21">
        <f>IF((ROUND(F538-ROUND($B$13-D539,2),2)&lt;=0),F538,ROUND($B$13-D539,2))</f>
        <v/>
      </c>
      <c r="F539" s="21">
        <f>IF((ROUND(F538-ROUND($B$13-D539,2),2)&lt;=0),0,ROUND(F538-E539,2))</f>
        <v/>
      </c>
    </row>
    <row r="540">
      <c r="A540" s="6" t="n">
        <v>524</v>
      </c>
      <c r="B540" s="19">
        <f>IF(B8="monthly",DATE(YEAR(B7)+INT((MONTH(B7)-1+523)/12),MOD(MONTH(B7)-1+523,12)+1,1)+(DAY(B7)-1),IF(B8="weekly",B7+3661,IF(B8="biweekly",B7+7322,B7+ROUND((523*365.25)/24,0))))</f>
        <v/>
      </c>
      <c r="C540" s="21">
        <f>IF((ROUND(F539-ROUND($B$13-D540,2),2)&lt;=0),ROUND(D540+E540,2),$B$13)</f>
        <v/>
      </c>
      <c r="D540" s="21">
        <f>ROUND(F539*B5/100/B10,2)</f>
        <v/>
      </c>
      <c r="E540" s="21">
        <f>IF((ROUND(F539-ROUND($B$13-D540,2),2)&lt;=0),F539,ROUND($B$13-D540,2))</f>
        <v/>
      </c>
      <c r="F540" s="21">
        <f>IF((ROUND(F539-ROUND($B$13-D540,2),2)&lt;=0),0,ROUND(F539-E540,2))</f>
        <v/>
      </c>
    </row>
    <row r="541">
      <c r="A541" s="6" t="n">
        <v>525</v>
      </c>
      <c r="B541" s="19">
        <f>IF(B8="monthly",DATE(YEAR(B7)+INT((MONTH(B7)-1+524)/12),MOD(MONTH(B7)-1+524,12)+1,1)+(DAY(B7)-1),IF(B8="weekly",B7+3668,IF(B8="biweekly",B7+7336,B7+ROUND((524*365.25)/24,0))))</f>
        <v/>
      </c>
      <c r="C541" s="21">
        <f>IF((ROUND(F540-ROUND($B$13-D541,2),2)&lt;=0),ROUND(D541+E541,2),$B$13)</f>
        <v/>
      </c>
      <c r="D541" s="21">
        <f>ROUND(F540*B5/100/B10,2)</f>
        <v/>
      </c>
      <c r="E541" s="21">
        <f>IF((ROUND(F540-ROUND($B$13-D541,2),2)&lt;=0),F540,ROUND($B$13-D541,2))</f>
        <v/>
      </c>
      <c r="F541" s="21">
        <f>IF((ROUND(F540-ROUND($B$13-D541,2),2)&lt;=0),0,ROUND(F540-E541,2))</f>
        <v/>
      </c>
    </row>
    <row r="542">
      <c r="A542" s="6" t="n">
        <v>526</v>
      </c>
      <c r="B542" s="19">
        <f>IF(B8="monthly",DATE(YEAR(B7)+INT((MONTH(B7)-1+525)/12),MOD(MONTH(B7)-1+525,12)+1,1)+(DAY(B7)-1),IF(B8="weekly",B7+3675,IF(B8="biweekly",B7+7350,B7+ROUND((525*365.25)/24,0))))</f>
        <v/>
      </c>
      <c r="C542" s="21">
        <f>IF((ROUND(F541-ROUND($B$13-D542,2),2)&lt;=0),ROUND(D542+E542,2),$B$13)</f>
        <v/>
      </c>
      <c r="D542" s="21">
        <f>ROUND(F541*B5/100/B10,2)</f>
        <v/>
      </c>
      <c r="E542" s="21">
        <f>IF((ROUND(F541-ROUND($B$13-D542,2),2)&lt;=0),F541,ROUND($B$13-D542,2))</f>
        <v/>
      </c>
      <c r="F542" s="21">
        <f>IF((ROUND(F541-ROUND($B$13-D542,2),2)&lt;=0),0,ROUND(F541-E542,2))</f>
        <v/>
      </c>
    </row>
    <row r="543">
      <c r="A543" s="6" t="n">
        <v>527</v>
      </c>
      <c r="B543" s="19">
        <f>IF(B8="monthly",DATE(YEAR(B7)+INT((MONTH(B7)-1+526)/12),MOD(MONTH(B7)-1+526,12)+1,1)+(DAY(B7)-1),IF(B8="weekly",B7+3682,IF(B8="biweekly",B7+7364,B7+ROUND((526*365.25)/24,0))))</f>
        <v/>
      </c>
      <c r="C543" s="21">
        <f>IF((ROUND(F542-ROUND($B$13-D543,2),2)&lt;=0),ROUND(D543+E543,2),$B$13)</f>
        <v/>
      </c>
      <c r="D543" s="21">
        <f>ROUND(F542*B5/100/B10,2)</f>
        <v/>
      </c>
      <c r="E543" s="21">
        <f>IF((ROUND(F542-ROUND($B$13-D543,2),2)&lt;=0),F542,ROUND($B$13-D543,2))</f>
        <v/>
      </c>
      <c r="F543" s="21">
        <f>IF((ROUND(F542-ROUND($B$13-D543,2),2)&lt;=0),0,ROUND(F542-E543,2))</f>
        <v/>
      </c>
    </row>
    <row r="544">
      <c r="A544" s="6" t="n">
        <v>528</v>
      </c>
      <c r="B544" s="19">
        <f>IF(B8="monthly",DATE(YEAR(B7)+INT((MONTH(B7)-1+527)/12),MOD(MONTH(B7)-1+527,12)+1,1)+(DAY(B7)-1),IF(B8="weekly",B7+3689,IF(B8="biweekly",B7+7378,B7+ROUND((527*365.25)/24,0))))</f>
        <v/>
      </c>
      <c r="C544" s="21">
        <f>IF((ROUND(F543-ROUND($B$13-D544,2),2)&lt;=0),ROUND(D544+E544,2),$B$13)</f>
        <v/>
      </c>
      <c r="D544" s="21">
        <f>ROUND(F543*B5/100/B10,2)</f>
        <v/>
      </c>
      <c r="E544" s="21">
        <f>IF((ROUND(F543-ROUND($B$13-D544,2),2)&lt;=0),F543,ROUND($B$13-D544,2))</f>
        <v/>
      </c>
      <c r="F544" s="21">
        <f>IF((ROUND(F543-ROUND($B$13-D544,2),2)&lt;=0),0,ROUND(F543-E544,2))</f>
        <v/>
      </c>
    </row>
    <row r="545">
      <c r="A545" s="6" t="n">
        <v>529</v>
      </c>
      <c r="B545" s="19">
        <f>IF(B8="monthly",DATE(YEAR(B7)+INT((MONTH(B7)-1+528)/12),MOD(MONTH(B7)-1+528,12)+1,1)+(DAY(B7)-1),IF(B8="weekly",B7+3696,IF(B8="biweekly",B7+7392,B7+ROUND((528*365.25)/24,0))))</f>
        <v/>
      </c>
      <c r="C545" s="21">
        <f>IF((ROUND(F544-ROUND($B$13-D545,2),2)&lt;=0),ROUND(D545+E545,2),$B$13)</f>
        <v/>
      </c>
      <c r="D545" s="21">
        <f>ROUND(F544*B5/100/B10,2)</f>
        <v/>
      </c>
      <c r="E545" s="21">
        <f>IF((ROUND(F544-ROUND($B$13-D545,2),2)&lt;=0),F544,ROUND($B$13-D545,2))</f>
        <v/>
      </c>
      <c r="F545" s="21">
        <f>IF((ROUND(F544-ROUND($B$13-D545,2),2)&lt;=0),0,ROUND(F544-E545,2))</f>
        <v/>
      </c>
    </row>
    <row r="546">
      <c r="A546" s="6" t="n">
        <v>530</v>
      </c>
      <c r="B546" s="19">
        <f>IF(B8="monthly",DATE(YEAR(B7)+INT((MONTH(B7)-1+529)/12),MOD(MONTH(B7)-1+529,12)+1,1)+(DAY(B7)-1),IF(B8="weekly",B7+3703,IF(B8="biweekly",B7+7406,B7+ROUND((529*365.25)/24,0))))</f>
        <v/>
      </c>
      <c r="C546" s="21">
        <f>IF((ROUND(F545-ROUND($B$13-D546,2),2)&lt;=0),ROUND(D546+E546,2),$B$13)</f>
        <v/>
      </c>
      <c r="D546" s="21">
        <f>ROUND(F545*B5/100/B10,2)</f>
        <v/>
      </c>
      <c r="E546" s="21">
        <f>IF((ROUND(F545-ROUND($B$13-D546,2),2)&lt;=0),F545,ROUND($B$13-D546,2))</f>
        <v/>
      </c>
      <c r="F546" s="21">
        <f>IF((ROUND(F545-ROUND($B$13-D546,2),2)&lt;=0),0,ROUND(F545-E546,2))</f>
        <v/>
      </c>
    </row>
    <row r="547">
      <c r="A547" s="6" t="n">
        <v>531</v>
      </c>
      <c r="B547" s="19">
        <f>IF(B8="monthly",DATE(YEAR(B7)+INT((MONTH(B7)-1+530)/12),MOD(MONTH(B7)-1+530,12)+1,1)+(DAY(B7)-1),IF(B8="weekly",B7+3710,IF(B8="biweekly",B7+7420,B7+ROUND((530*365.25)/24,0))))</f>
        <v/>
      </c>
      <c r="C547" s="21">
        <f>IF((ROUND(F546-ROUND($B$13-D547,2),2)&lt;=0),ROUND(D547+E547,2),$B$13)</f>
        <v/>
      </c>
      <c r="D547" s="21">
        <f>ROUND(F546*B5/100/B10,2)</f>
        <v/>
      </c>
      <c r="E547" s="21">
        <f>IF((ROUND(F546-ROUND($B$13-D547,2),2)&lt;=0),F546,ROUND($B$13-D547,2))</f>
        <v/>
      </c>
      <c r="F547" s="21">
        <f>IF((ROUND(F546-ROUND($B$13-D547,2),2)&lt;=0),0,ROUND(F546-E547,2))</f>
        <v/>
      </c>
    </row>
    <row r="548">
      <c r="A548" s="6" t="n">
        <v>532</v>
      </c>
      <c r="B548" s="19">
        <f>IF(B8="monthly",DATE(YEAR(B7)+INT((MONTH(B7)-1+531)/12),MOD(MONTH(B7)-1+531,12)+1,1)+(DAY(B7)-1),IF(B8="weekly",B7+3717,IF(B8="biweekly",B7+7434,B7+ROUND((531*365.25)/24,0))))</f>
        <v/>
      </c>
      <c r="C548" s="21">
        <f>IF((ROUND(F547-ROUND($B$13-D548,2),2)&lt;=0),ROUND(D548+E548,2),$B$13)</f>
        <v/>
      </c>
      <c r="D548" s="21">
        <f>ROUND(F547*B5/100/B10,2)</f>
        <v/>
      </c>
      <c r="E548" s="21">
        <f>IF((ROUND(F547-ROUND($B$13-D548,2),2)&lt;=0),F547,ROUND($B$13-D548,2))</f>
        <v/>
      </c>
      <c r="F548" s="21">
        <f>IF((ROUND(F547-ROUND($B$13-D548,2),2)&lt;=0),0,ROUND(F547-E548,2))</f>
        <v/>
      </c>
    </row>
    <row r="549">
      <c r="A549" s="6" t="n">
        <v>533</v>
      </c>
      <c r="B549" s="19">
        <f>IF(B8="monthly",DATE(YEAR(B7)+INT((MONTH(B7)-1+532)/12),MOD(MONTH(B7)-1+532,12)+1,1)+(DAY(B7)-1),IF(B8="weekly",B7+3724,IF(B8="biweekly",B7+7448,B7+ROUND((532*365.25)/24,0))))</f>
        <v/>
      </c>
      <c r="C549" s="21">
        <f>IF((ROUND(F548-ROUND($B$13-D549,2),2)&lt;=0),ROUND(D549+E549,2),$B$13)</f>
        <v/>
      </c>
      <c r="D549" s="21">
        <f>ROUND(F548*B5/100/B10,2)</f>
        <v/>
      </c>
      <c r="E549" s="21">
        <f>IF((ROUND(F548-ROUND($B$13-D549,2),2)&lt;=0),F548,ROUND($B$13-D549,2))</f>
        <v/>
      </c>
      <c r="F549" s="21">
        <f>IF((ROUND(F548-ROUND($B$13-D549,2),2)&lt;=0),0,ROUND(F548-E549,2))</f>
        <v/>
      </c>
    </row>
    <row r="550">
      <c r="A550" s="6" t="n">
        <v>534</v>
      </c>
      <c r="B550" s="19">
        <f>IF(B8="monthly",DATE(YEAR(B7)+INT((MONTH(B7)-1+533)/12),MOD(MONTH(B7)-1+533,12)+1,1)+(DAY(B7)-1),IF(B8="weekly",B7+3731,IF(B8="biweekly",B7+7462,B7+ROUND((533*365.25)/24,0))))</f>
        <v/>
      </c>
      <c r="C550" s="21">
        <f>IF((ROUND(F549-ROUND($B$13-D550,2),2)&lt;=0),ROUND(D550+E550,2),$B$13)</f>
        <v/>
      </c>
      <c r="D550" s="21">
        <f>ROUND(F549*B5/100/B10,2)</f>
        <v/>
      </c>
      <c r="E550" s="21">
        <f>IF((ROUND(F549-ROUND($B$13-D550,2),2)&lt;=0),F549,ROUND($B$13-D550,2))</f>
        <v/>
      </c>
      <c r="F550" s="21">
        <f>IF((ROUND(F549-ROUND($B$13-D550,2),2)&lt;=0),0,ROUND(F549-E550,2))</f>
        <v/>
      </c>
    </row>
    <row r="551">
      <c r="A551" s="6" t="n">
        <v>535</v>
      </c>
      <c r="B551" s="19">
        <f>IF(B8="monthly",DATE(YEAR(B7)+INT((MONTH(B7)-1+534)/12),MOD(MONTH(B7)-1+534,12)+1,1)+(DAY(B7)-1),IF(B8="weekly",B7+3738,IF(B8="biweekly",B7+7476,B7+ROUND((534*365.25)/24,0))))</f>
        <v/>
      </c>
      <c r="C551" s="21">
        <f>IF((ROUND(F550-ROUND($B$13-D551,2),2)&lt;=0),ROUND(D551+E551,2),$B$13)</f>
        <v/>
      </c>
      <c r="D551" s="21">
        <f>ROUND(F550*B5/100/B10,2)</f>
        <v/>
      </c>
      <c r="E551" s="21">
        <f>IF((ROUND(F550-ROUND($B$13-D551,2),2)&lt;=0),F550,ROUND($B$13-D551,2))</f>
        <v/>
      </c>
      <c r="F551" s="21">
        <f>IF((ROUND(F550-ROUND($B$13-D551,2),2)&lt;=0),0,ROUND(F550-E551,2))</f>
        <v/>
      </c>
    </row>
    <row r="552">
      <c r="A552" s="6" t="n">
        <v>536</v>
      </c>
      <c r="B552" s="19">
        <f>IF(B8="monthly",DATE(YEAR(B7)+INT((MONTH(B7)-1+535)/12),MOD(MONTH(B7)-1+535,12)+1,1)+(DAY(B7)-1),IF(B8="weekly",B7+3745,IF(B8="biweekly",B7+7490,B7+ROUND((535*365.25)/24,0))))</f>
        <v/>
      </c>
      <c r="C552" s="21">
        <f>IF((ROUND(F551-ROUND($B$13-D552,2),2)&lt;=0),ROUND(D552+E552,2),$B$13)</f>
        <v/>
      </c>
      <c r="D552" s="21">
        <f>ROUND(F551*B5/100/B10,2)</f>
        <v/>
      </c>
      <c r="E552" s="21">
        <f>IF((ROUND(F551-ROUND($B$13-D552,2),2)&lt;=0),F551,ROUND($B$13-D552,2))</f>
        <v/>
      </c>
      <c r="F552" s="21">
        <f>IF((ROUND(F551-ROUND($B$13-D552,2),2)&lt;=0),0,ROUND(F551-E552,2))</f>
        <v/>
      </c>
    </row>
    <row r="553">
      <c r="A553" s="6" t="n">
        <v>537</v>
      </c>
      <c r="B553" s="19">
        <f>IF(B8="monthly",DATE(YEAR(B7)+INT((MONTH(B7)-1+536)/12),MOD(MONTH(B7)-1+536,12)+1,1)+(DAY(B7)-1),IF(B8="weekly",B7+3752,IF(B8="biweekly",B7+7504,B7+ROUND((536*365.25)/24,0))))</f>
        <v/>
      </c>
      <c r="C553" s="21">
        <f>IF((ROUND(F552-ROUND($B$13-D553,2),2)&lt;=0),ROUND(D553+E553,2),$B$13)</f>
        <v/>
      </c>
      <c r="D553" s="21">
        <f>ROUND(F552*B5/100/B10,2)</f>
        <v/>
      </c>
      <c r="E553" s="21">
        <f>IF((ROUND(F552-ROUND($B$13-D553,2),2)&lt;=0),F552,ROUND($B$13-D553,2))</f>
        <v/>
      </c>
      <c r="F553" s="21">
        <f>IF((ROUND(F552-ROUND($B$13-D553,2),2)&lt;=0),0,ROUND(F552-E553,2))</f>
        <v/>
      </c>
    </row>
    <row r="554">
      <c r="A554" s="6" t="n">
        <v>538</v>
      </c>
      <c r="B554" s="19">
        <f>IF(B8="monthly",DATE(YEAR(B7)+INT((MONTH(B7)-1+537)/12),MOD(MONTH(B7)-1+537,12)+1,1)+(DAY(B7)-1),IF(B8="weekly",B7+3759,IF(B8="biweekly",B7+7518,B7+ROUND((537*365.25)/24,0))))</f>
        <v/>
      </c>
      <c r="C554" s="21">
        <f>IF((ROUND(F553-ROUND($B$13-D554,2),2)&lt;=0),ROUND(D554+E554,2),$B$13)</f>
        <v/>
      </c>
      <c r="D554" s="21">
        <f>ROUND(F553*B5/100/B10,2)</f>
        <v/>
      </c>
      <c r="E554" s="21">
        <f>IF((ROUND(F553-ROUND($B$13-D554,2),2)&lt;=0),F553,ROUND($B$13-D554,2))</f>
        <v/>
      </c>
      <c r="F554" s="21">
        <f>IF((ROUND(F553-ROUND($B$13-D554,2),2)&lt;=0),0,ROUND(F553-E554,2))</f>
        <v/>
      </c>
    </row>
    <row r="555">
      <c r="A555" s="6" t="n">
        <v>539</v>
      </c>
      <c r="B555" s="19">
        <f>IF(B8="monthly",DATE(YEAR(B7)+INT((MONTH(B7)-1+538)/12),MOD(MONTH(B7)-1+538,12)+1,1)+(DAY(B7)-1),IF(B8="weekly",B7+3766,IF(B8="biweekly",B7+7532,B7+ROUND((538*365.25)/24,0))))</f>
        <v/>
      </c>
      <c r="C555" s="21">
        <f>IF((ROUND(F554-ROUND($B$13-D555,2),2)&lt;=0),ROUND(D555+E555,2),$B$13)</f>
        <v/>
      </c>
      <c r="D555" s="21">
        <f>ROUND(F554*B5/100/B10,2)</f>
        <v/>
      </c>
      <c r="E555" s="21">
        <f>IF((ROUND(F554-ROUND($B$13-D555,2),2)&lt;=0),F554,ROUND($B$13-D555,2))</f>
        <v/>
      </c>
      <c r="F555" s="21">
        <f>IF((ROUND(F554-ROUND($B$13-D555,2),2)&lt;=0),0,ROUND(F554-E555,2))</f>
        <v/>
      </c>
    </row>
    <row r="556">
      <c r="A556" s="6" t="n">
        <v>540</v>
      </c>
      <c r="B556" s="19">
        <f>IF(B8="monthly",DATE(YEAR(B7)+INT((MONTH(B7)-1+539)/12),MOD(MONTH(B7)-1+539,12)+1,1)+(DAY(B7)-1),IF(B8="weekly",B7+3773,IF(B8="biweekly",B7+7546,B7+ROUND((539*365.25)/24,0))))</f>
        <v/>
      </c>
      <c r="C556" s="21">
        <f>IF((ROUND(F555-ROUND($B$13-D556,2),2)&lt;=0),ROUND(D556+E556,2),$B$13)</f>
        <v/>
      </c>
      <c r="D556" s="21">
        <f>ROUND(F555*B5/100/B10,2)</f>
        <v/>
      </c>
      <c r="E556" s="21">
        <f>IF((ROUND(F555-ROUND($B$13-D556,2),2)&lt;=0),F555,ROUND($B$13-D556,2))</f>
        <v/>
      </c>
      <c r="F556" s="21">
        <f>IF((ROUND(F555-ROUND($B$13-D556,2),2)&lt;=0),0,ROUND(F555-E556,2))</f>
        <v/>
      </c>
    </row>
    <row r="557">
      <c r="A557" s="6" t="n">
        <v>541</v>
      </c>
      <c r="B557" s="19">
        <f>IF(B8="monthly",DATE(YEAR(B7)+INT((MONTH(B7)-1+540)/12),MOD(MONTH(B7)-1+540,12)+1,1)+(DAY(B7)-1),IF(B8="weekly",B7+3780,IF(B8="biweekly",B7+7560,B7+ROUND((540*365.25)/24,0))))</f>
        <v/>
      </c>
      <c r="C557" s="21">
        <f>IF((ROUND(F556-ROUND($B$13-D557,2),2)&lt;=0),ROUND(D557+E557,2),$B$13)</f>
        <v/>
      </c>
      <c r="D557" s="21">
        <f>ROUND(F556*B5/100/B10,2)</f>
        <v/>
      </c>
      <c r="E557" s="21">
        <f>IF((ROUND(F556-ROUND($B$13-D557,2),2)&lt;=0),F556,ROUND($B$13-D557,2))</f>
        <v/>
      </c>
      <c r="F557" s="21">
        <f>IF((ROUND(F556-ROUND($B$13-D557,2),2)&lt;=0),0,ROUND(F556-E557,2))</f>
        <v/>
      </c>
    </row>
    <row r="558">
      <c r="A558" s="6" t="n">
        <v>542</v>
      </c>
      <c r="B558" s="19">
        <f>IF(B8="monthly",DATE(YEAR(B7)+INT((MONTH(B7)-1+541)/12),MOD(MONTH(B7)-1+541,12)+1,1)+(DAY(B7)-1),IF(B8="weekly",B7+3787,IF(B8="biweekly",B7+7574,B7+ROUND((541*365.25)/24,0))))</f>
        <v/>
      </c>
      <c r="C558" s="21">
        <f>IF((ROUND(F557-ROUND($B$13-D558,2),2)&lt;=0),ROUND(D558+E558,2),$B$13)</f>
        <v/>
      </c>
      <c r="D558" s="21">
        <f>ROUND(F557*B5/100/B10,2)</f>
        <v/>
      </c>
      <c r="E558" s="21">
        <f>IF((ROUND(F557-ROUND($B$13-D558,2),2)&lt;=0),F557,ROUND($B$13-D558,2))</f>
        <v/>
      </c>
      <c r="F558" s="21">
        <f>IF((ROUND(F557-ROUND($B$13-D558,2),2)&lt;=0),0,ROUND(F557-E558,2))</f>
        <v/>
      </c>
    </row>
    <row r="559">
      <c r="A559" s="6" t="n">
        <v>543</v>
      </c>
      <c r="B559" s="19">
        <f>IF(B8="monthly",DATE(YEAR(B7)+INT((MONTH(B7)-1+542)/12),MOD(MONTH(B7)-1+542,12)+1,1)+(DAY(B7)-1),IF(B8="weekly",B7+3794,IF(B8="biweekly",B7+7588,B7+ROUND((542*365.25)/24,0))))</f>
        <v/>
      </c>
      <c r="C559" s="21">
        <f>IF((ROUND(F558-ROUND($B$13-D559,2),2)&lt;=0),ROUND(D559+E559,2),$B$13)</f>
        <v/>
      </c>
      <c r="D559" s="21">
        <f>ROUND(F558*B5/100/B10,2)</f>
        <v/>
      </c>
      <c r="E559" s="21">
        <f>IF((ROUND(F558-ROUND($B$13-D559,2),2)&lt;=0),F558,ROUND($B$13-D559,2))</f>
        <v/>
      </c>
      <c r="F559" s="21">
        <f>IF((ROUND(F558-ROUND($B$13-D559,2),2)&lt;=0),0,ROUND(F558-E559,2))</f>
        <v/>
      </c>
    </row>
    <row r="560">
      <c r="A560" s="6" t="n">
        <v>544</v>
      </c>
      <c r="B560" s="19">
        <f>IF(B8="monthly",DATE(YEAR(B7)+INT((MONTH(B7)-1+543)/12),MOD(MONTH(B7)-1+543,12)+1,1)+(DAY(B7)-1),IF(B8="weekly",B7+3801,IF(B8="biweekly",B7+7602,B7+ROUND((543*365.25)/24,0))))</f>
        <v/>
      </c>
      <c r="C560" s="21">
        <f>IF((ROUND(F559-ROUND($B$13-D560,2),2)&lt;=0),ROUND(D560+E560,2),$B$13)</f>
        <v/>
      </c>
      <c r="D560" s="21">
        <f>ROUND(F559*B5/100/B10,2)</f>
        <v/>
      </c>
      <c r="E560" s="21">
        <f>IF((ROUND(F559-ROUND($B$13-D560,2),2)&lt;=0),F559,ROUND($B$13-D560,2))</f>
        <v/>
      </c>
      <c r="F560" s="21">
        <f>IF((ROUND(F559-ROUND($B$13-D560,2),2)&lt;=0),0,ROUND(F559-E560,2))</f>
        <v/>
      </c>
    </row>
    <row r="561">
      <c r="A561" s="6" t="n">
        <v>545</v>
      </c>
      <c r="B561" s="19">
        <f>IF(B8="monthly",DATE(YEAR(B7)+INT((MONTH(B7)-1+544)/12),MOD(MONTH(B7)-1+544,12)+1,1)+(DAY(B7)-1),IF(B8="weekly",B7+3808,IF(B8="biweekly",B7+7616,B7+ROUND((544*365.25)/24,0))))</f>
        <v/>
      </c>
      <c r="C561" s="21">
        <f>IF((ROUND(F560-ROUND($B$13-D561,2),2)&lt;=0),ROUND(D561+E561,2),$B$13)</f>
        <v/>
      </c>
      <c r="D561" s="21">
        <f>ROUND(F560*B5/100/B10,2)</f>
        <v/>
      </c>
      <c r="E561" s="21">
        <f>IF((ROUND(F560-ROUND($B$13-D561,2),2)&lt;=0),F560,ROUND($B$13-D561,2))</f>
        <v/>
      </c>
      <c r="F561" s="21">
        <f>IF((ROUND(F560-ROUND($B$13-D561,2),2)&lt;=0),0,ROUND(F560-E561,2))</f>
        <v/>
      </c>
    </row>
    <row r="562">
      <c r="A562" s="6" t="n">
        <v>546</v>
      </c>
      <c r="B562" s="19">
        <f>IF(B8="monthly",DATE(YEAR(B7)+INT((MONTH(B7)-1+545)/12),MOD(MONTH(B7)-1+545,12)+1,1)+(DAY(B7)-1),IF(B8="weekly",B7+3815,IF(B8="biweekly",B7+7630,B7+ROUND((545*365.25)/24,0))))</f>
        <v/>
      </c>
      <c r="C562" s="21">
        <f>IF((ROUND(F561-ROUND($B$13-D562,2),2)&lt;=0),ROUND(D562+E562,2),$B$13)</f>
        <v/>
      </c>
      <c r="D562" s="21">
        <f>ROUND(F561*B5/100/B10,2)</f>
        <v/>
      </c>
      <c r="E562" s="21">
        <f>IF((ROUND(F561-ROUND($B$13-D562,2),2)&lt;=0),F561,ROUND($B$13-D562,2))</f>
        <v/>
      </c>
      <c r="F562" s="21">
        <f>IF((ROUND(F561-ROUND($B$13-D562,2),2)&lt;=0),0,ROUND(F561-E562,2))</f>
        <v/>
      </c>
    </row>
    <row r="563">
      <c r="A563" s="6" t="n">
        <v>547</v>
      </c>
      <c r="B563" s="19">
        <f>IF(B8="monthly",DATE(YEAR(B7)+INT((MONTH(B7)-1+546)/12),MOD(MONTH(B7)-1+546,12)+1,1)+(DAY(B7)-1),IF(B8="weekly",B7+3822,IF(B8="biweekly",B7+7644,B7+ROUND((546*365.25)/24,0))))</f>
        <v/>
      </c>
      <c r="C563" s="21">
        <f>IF((ROUND(F562-ROUND($B$13-D563,2),2)&lt;=0),ROUND(D563+E563,2),$B$13)</f>
        <v/>
      </c>
      <c r="D563" s="21">
        <f>ROUND(F562*B5/100/B10,2)</f>
        <v/>
      </c>
      <c r="E563" s="21">
        <f>IF((ROUND(F562-ROUND($B$13-D563,2),2)&lt;=0),F562,ROUND($B$13-D563,2))</f>
        <v/>
      </c>
      <c r="F563" s="21">
        <f>IF((ROUND(F562-ROUND($B$13-D563,2),2)&lt;=0),0,ROUND(F562-E563,2))</f>
        <v/>
      </c>
    </row>
    <row r="564">
      <c r="A564" s="6" t="n">
        <v>548</v>
      </c>
      <c r="B564" s="19">
        <f>IF(B8="monthly",DATE(YEAR(B7)+INT((MONTH(B7)-1+547)/12),MOD(MONTH(B7)-1+547,12)+1,1)+(DAY(B7)-1),IF(B8="weekly",B7+3829,IF(B8="biweekly",B7+7658,B7+ROUND((547*365.25)/24,0))))</f>
        <v/>
      </c>
      <c r="C564" s="21">
        <f>IF((ROUND(F563-ROUND($B$13-D564,2),2)&lt;=0),ROUND(D564+E564,2),$B$13)</f>
        <v/>
      </c>
      <c r="D564" s="21">
        <f>ROUND(F563*B5/100/B10,2)</f>
        <v/>
      </c>
      <c r="E564" s="21">
        <f>IF((ROUND(F563-ROUND($B$13-D564,2),2)&lt;=0),F563,ROUND($B$13-D564,2))</f>
        <v/>
      </c>
      <c r="F564" s="21">
        <f>IF((ROUND(F563-ROUND($B$13-D564,2),2)&lt;=0),0,ROUND(F563-E564,2))</f>
        <v/>
      </c>
    </row>
    <row r="565">
      <c r="A565" s="6" t="n">
        <v>549</v>
      </c>
      <c r="B565" s="19">
        <f>IF(B8="monthly",DATE(YEAR(B7)+INT((MONTH(B7)-1+548)/12),MOD(MONTH(B7)-1+548,12)+1,1)+(DAY(B7)-1),IF(B8="weekly",B7+3836,IF(B8="biweekly",B7+7672,B7+ROUND((548*365.25)/24,0))))</f>
        <v/>
      </c>
      <c r="C565" s="21">
        <f>IF((ROUND(F564-ROUND($B$13-D565,2),2)&lt;=0),ROUND(D565+E565,2),$B$13)</f>
        <v/>
      </c>
      <c r="D565" s="21">
        <f>ROUND(F564*B5/100/B10,2)</f>
        <v/>
      </c>
      <c r="E565" s="21">
        <f>IF((ROUND(F564-ROUND($B$13-D565,2),2)&lt;=0),F564,ROUND($B$13-D565,2))</f>
        <v/>
      </c>
      <c r="F565" s="21">
        <f>IF((ROUND(F564-ROUND($B$13-D565,2),2)&lt;=0),0,ROUND(F564-E565,2))</f>
        <v/>
      </c>
    </row>
    <row r="566">
      <c r="A566" s="6" t="n">
        <v>550</v>
      </c>
      <c r="B566" s="19">
        <f>IF(B8="monthly",DATE(YEAR(B7)+INT((MONTH(B7)-1+549)/12),MOD(MONTH(B7)-1+549,12)+1,1)+(DAY(B7)-1),IF(B8="weekly",B7+3843,IF(B8="biweekly",B7+7686,B7+ROUND((549*365.25)/24,0))))</f>
        <v/>
      </c>
      <c r="C566" s="21">
        <f>IF((ROUND(F565-ROUND($B$13-D566,2),2)&lt;=0),ROUND(D566+E566,2),$B$13)</f>
        <v/>
      </c>
      <c r="D566" s="21">
        <f>ROUND(F565*B5/100/B10,2)</f>
        <v/>
      </c>
      <c r="E566" s="21">
        <f>IF((ROUND(F565-ROUND($B$13-D566,2),2)&lt;=0),F565,ROUND($B$13-D566,2))</f>
        <v/>
      </c>
      <c r="F566" s="21">
        <f>IF((ROUND(F565-ROUND($B$13-D566,2),2)&lt;=0),0,ROUND(F565-E566,2))</f>
        <v/>
      </c>
    </row>
    <row r="567">
      <c r="A567" s="6" t="n">
        <v>551</v>
      </c>
      <c r="B567" s="19">
        <f>IF(B8="monthly",DATE(YEAR(B7)+INT((MONTH(B7)-1+550)/12),MOD(MONTH(B7)-1+550,12)+1,1)+(DAY(B7)-1),IF(B8="weekly",B7+3850,IF(B8="biweekly",B7+7700,B7+ROUND((550*365.25)/24,0))))</f>
        <v/>
      </c>
      <c r="C567" s="21">
        <f>IF((ROUND(F566-ROUND($B$13-D567,2),2)&lt;=0),ROUND(D567+E567,2),$B$13)</f>
        <v/>
      </c>
      <c r="D567" s="21">
        <f>ROUND(F566*B5/100/B10,2)</f>
        <v/>
      </c>
      <c r="E567" s="21">
        <f>IF((ROUND(F566-ROUND($B$13-D567,2),2)&lt;=0),F566,ROUND($B$13-D567,2))</f>
        <v/>
      </c>
      <c r="F567" s="21">
        <f>IF((ROUND(F566-ROUND($B$13-D567,2),2)&lt;=0),0,ROUND(F566-E567,2))</f>
        <v/>
      </c>
    </row>
    <row r="568">
      <c r="A568" s="6" t="n">
        <v>552</v>
      </c>
      <c r="B568" s="19">
        <f>IF(B8="monthly",DATE(YEAR(B7)+INT((MONTH(B7)-1+551)/12),MOD(MONTH(B7)-1+551,12)+1,1)+(DAY(B7)-1),IF(B8="weekly",B7+3857,IF(B8="biweekly",B7+7714,B7+ROUND((551*365.25)/24,0))))</f>
        <v/>
      </c>
      <c r="C568" s="21">
        <f>IF((ROUND(F567-ROUND($B$13-D568,2),2)&lt;=0),ROUND(D568+E568,2),$B$13)</f>
        <v/>
      </c>
      <c r="D568" s="21">
        <f>ROUND(F567*B5/100/B10,2)</f>
        <v/>
      </c>
      <c r="E568" s="21">
        <f>IF((ROUND(F567-ROUND($B$13-D568,2),2)&lt;=0),F567,ROUND($B$13-D568,2))</f>
        <v/>
      </c>
      <c r="F568" s="21">
        <f>IF((ROUND(F567-ROUND($B$13-D568,2),2)&lt;=0),0,ROUND(F567-E568,2))</f>
        <v/>
      </c>
    </row>
    <row r="569">
      <c r="A569" s="6" t="n">
        <v>553</v>
      </c>
      <c r="B569" s="19">
        <f>IF(B8="monthly",DATE(YEAR(B7)+INT((MONTH(B7)-1+552)/12),MOD(MONTH(B7)-1+552,12)+1,1)+(DAY(B7)-1),IF(B8="weekly",B7+3864,IF(B8="biweekly",B7+7728,B7+ROUND((552*365.25)/24,0))))</f>
        <v/>
      </c>
      <c r="C569" s="21">
        <f>IF((ROUND(F568-ROUND($B$13-D569,2),2)&lt;=0),ROUND(D569+E569,2),$B$13)</f>
        <v/>
      </c>
      <c r="D569" s="21">
        <f>ROUND(F568*B5/100/B10,2)</f>
        <v/>
      </c>
      <c r="E569" s="21">
        <f>IF((ROUND(F568-ROUND($B$13-D569,2),2)&lt;=0),F568,ROUND($B$13-D569,2))</f>
        <v/>
      </c>
      <c r="F569" s="21">
        <f>IF((ROUND(F568-ROUND($B$13-D569,2),2)&lt;=0),0,ROUND(F568-E569,2))</f>
        <v/>
      </c>
    </row>
    <row r="570">
      <c r="A570" s="6" t="n">
        <v>554</v>
      </c>
      <c r="B570" s="19">
        <f>IF(B8="monthly",DATE(YEAR(B7)+INT((MONTH(B7)-1+553)/12),MOD(MONTH(B7)-1+553,12)+1,1)+(DAY(B7)-1),IF(B8="weekly",B7+3871,IF(B8="biweekly",B7+7742,B7+ROUND((553*365.25)/24,0))))</f>
        <v/>
      </c>
      <c r="C570" s="21">
        <f>IF((ROUND(F569-ROUND($B$13-D570,2),2)&lt;=0),ROUND(D570+E570,2),$B$13)</f>
        <v/>
      </c>
      <c r="D570" s="21">
        <f>ROUND(F569*B5/100/B10,2)</f>
        <v/>
      </c>
      <c r="E570" s="21">
        <f>IF((ROUND(F569-ROUND($B$13-D570,2),2)&lt;=0),F569,ROUND($B$13-D570,2))</f>
        <v/>
      </c>
      <c r="F570" s="21">
        <f>IF((ROUND(F569-ROUND($B$13-D570,2),2)&lt;=0),0,ROUND(F569-E570,2))</f>
        <v/>
      </c>
    </row>
    <row r="571">
      <c r="A571" s="6" t="n">
        <v>555</v>
      </c>
      <c r="B571" s="19">
        <f>IF(B8="monthly",DATE(YEAR(B7)+INT((MONTH(B7)-1+554)/12),MOD(MONTH(B7)-1+554,12)+1,1)+(DAY(B7)-1),IF(B8="weekly",B7+3878,IF(B8="biweekly",B7+7756,B7+ROUND((554*365.25)/24,0))))</f>
        <v/>
      </c>
      <c r="C571" s="21">
        <f>IF((ROUND(F570-ROUND($B$13-D571,2),2)&lt;=0),ROUND(D571+E571,2),$B$13)</f>
        <v/>
      </c>
      <c r="D571" s="21">
        <f>ROUND(F570*B5/100/B10,2)</f>
        <v/>
      </c>
      <c r="E571" s="21">
        <f>IF((ROUND(F570-ROUND($B$13-D571,2),2)&lt;=0),F570,ROUND($B$13-D571,2))</f>
        <v/>
      </c>
      <c r="F571" s="21">
        <f>IF((ROUND(F570-ROUND($B$13-D571,2),2)&lt;=0),0,ROUND(F570-E571,2))</f>
        <v/>
      </c>
    </row>
    <row r="572">
      <c r="A572" s="6" t="n">
        <v>556</v>
      </c>
      <c r="B572" s="19">
        <f>IF(B8="monthly",DATE(YEAR(B7)+INT((MONTH(B7)-1+555)/12),MOD(MONTH(B7)-1+555,12)+1,1)+(DAY(B7)-1),IF(B8="weekly",B7+3885,IF(B8="biweekly",B7+7770,B7+ROUND((555*365.25)/24,0))))</f>
        <v/>
      </c>
      <c r="C572" s="21">
        <f>IF((ROUND(F571-ROUND($B$13-D572,2),2)&lt;=0),ROUND(D572+E572,2),$B$13)</f>
        <v/>
      </c>
      <c r="D572" s="21">
        <f>ROUND(F571*B5/100/B10,2)</f>
        <v/>
      </c>
      <c r="E572" s="21">
        <f>IF((ROUND(F571-ROUND($B$13-D572,2),2)&lt;=0),F571,ROUND($B$13-D572,2))</f>
        <v/>
      </c>
      <c r="F572" s="21">
        <f>IF((ROUND(F571-ROUND($B$13-D572,2),2)&lt;=0),0,ROUND(F571-E572,2))</f>
        <v/>
      </c>
    </row>
    <row r="573">
      <c r="A573" s="6" t="n">
        <v>557</v>
      </c>
      <c r="B573" s="19">
        <f>IF(B8="monthly",DATE(YEAR(B7)+INT((MONTH(B7)-1+556)/12),MOD(MONTH(B7)-1+556,12)+1,1)+(DAY(B7)-1),IF(B8="weekly",B7+3892,IF(B8="biweekly",B7+7784,B7+ROUND((556*365.25)/24,0))))</f>
        <v/>
      </c>
      <c r="C573" s="21">
        <f>IF((ROUND(F572-ROUND($B$13-D573,2),2)&lt;=0),ROUND(D573+E573,2),$B$13)</f>
        <v/>
      </c>
      <c r="D573" s="21">
        <f>ROUND(F572*B5/100/B10,2)</f>
        <v/>
      </c>
      <c r="E573" s="21">
        <f>IF((ROUND(F572-ROUND($B$13-D573,2),2)&lt;=0),F572,ROUND($B$13-D573,2))</f>
        <v/>
      </c>
      <c r="F573" s="21">
        <f>IF((ROUND(F572-ROUND($B$13-D573,2),2)&lt;=0),0,ROUND(F572-E573,2))</f>
        <v/>
      </c>
    </row>
    <row r="574">
      <c r="A574" s="6" t="n">
        <v>558</v>
      </c>
      <c r="B574" s="19">
        <f>IF(B8="monthly",DATE(YEAR(B7)+INT((MONTH(B7)-1+557)/12),MOD(MONTH(B7)-1+557,12)+1,1)+(DAY(B7)-1),IF(B8="weekly",B7+3899,IF(B8="biweekly",B7+7798,B7+ROUND((557*365.25)/24,0))))</f>
        <v/>
      </c>
      <c r="C574" s="21">
        <f>IF((ROUND(F573-ROUND($B$13-D574,2),2)&lt;=0),ROUND(D574+E574,2),$B$13)</f>
        <v/>
      </c>
      <c r="D574" s="21">
        <f>ROUND(F573*B5/100/B10,2)</f>
        <v/>
      </c>
      <c r="E574" s="21">
        <f>IF((ROUND(F573-ROUND($B$13-D574,2),2)&lt;=0),F573,ROUND($B$13-D574,2))</f>
        <v/>
      </c>
      <c r="F574" s="21">
        <f>IF((ROUND(F573-ROUND($B$13-D574,2),2)&lt;=0),0,ROUND(F573-E574,2))</f>
        <v/>
      </c>
    </row>
    <row r="575">
      <c r="A575" s="6" t="n">
        <v>559</v>
      </c>
      <c r="B575" s="19">
        <f>IF(B8="monthly",DATE(YEAR(B7)+INT((MONTH(B7)-1+558)/12),MOD(MONTH(B7)-1+558,12)+1,1)+(DAY(B7)-1),IF(B8="weekly",B7+3906,IF(B8="biweekly",B7+7812,B7+ROUND((558*365.25)/24,0))))</f>
        <v/>
      </c>
      <c r="C575" s="21">
        <f>IF((ROUND(F574-ROUND($B$13-D575,2),2)&lt;=0),ROUND(D575+E575,2),$B$13)</f>
        <v/>
      </c>
      <c r="D575" s="21">
        <f>ROUND(F574*B5/100/B10,2)</f>
        <v/>
      </c>
      <c r="E575" s="21">
        <f>IF((ROUND(F574-ROUND($B$13-D575,2),2)&lt;=0),F574,ROUND($B$13-D575,2))</f>
        <v/>
      </c>
      <c r="F575" s="21">
        <f>IF((ROUND(F574-ROUND($B$13-D575,2),2)&lt;=0),0,ROUND(F574-E575,2))</f>
        <v/>
      </c>
    </row>
    <row r="576">
      <c r="A576" s="6" t="n">
        <v>560</v>
      </c>
      <c r="B576" s="19">
        <f>IF(B8="monthly",DATE(YEAR(B7)+INT((MONTH(B7)-1+559)/12),MOD(MONTH(B7)-1+559,12)+1,1)+(DAY(B7)-1),IF(B8="weekly",B7+3913,IF(B8="biweekly",B7+7826,B7+ROUND((559*365.25)/24,0))))</f>
        <v/>
      </c>
      <c r="C576" s="21">
        <f>IF((ROUND(F575-ROUND($B$13-D576,2),2)&lt;=0),ROUND(D576+E576,2),$B$13)</f>
        <v/>
      </c>
      <c r="D576" s="21">
        <f>ROUND(F575*B5/100/B10,2)</f>
        <v/>
      </c>
      <c r="E576" s="21">
        <f>IF((ROUND(F575-ROUND($B$13-D576,2),2)&lt;=0),F575,ROUND($B$13-D576,2))</f>
        <v/>
      </c>
      <c r="F576" s="21">
        <f>IF((ROUND(F575-ROUND($B$13-D576,2),2)&lt;=0),0,ROUND(F575-E576,2))</f>
        <v/>
      </c>
    </row>
    <row r="577">
      <c r="A577" s="6" t="n">
        <v>561</v>
      </c>
      <c r="B577" s="19">
        <f>IF(B8="monthly",DATE(YEAR(B7)+INT((MONTH(B7)-1+560)/12),MOD(MONTH(B7)-1+560,12)+1,1)+(DAY(B7)-1),IF(B8="weekly",B7+3920,IF(B8="biweekly",B7+7840,B7+ROUND((560*365.25)/24,0))))</f>
        <v/>
      </c>
      <c r="C577" s="21">
        <f>IF((ROUND(F576-ROUND($B$13-D577,2),2)&lt;=0),ROUND(D577+E577,2),$B$13)</f>
        <v/>
      </c>
      <c r="D577" s="21">
        <f>ROUND(F576*B5/100/B10,2)</f>
        <v/>
      </c>
      <c r="E577" s="21">
        <f>IF((ROUND(F576-ROUND($B$13-D577,2),2)&lt;=0),F576,ROUND($B$13-D577,2))</f>
        <v/>
      </c>
      <c r="F577" s="21">
        <f>IF((ROUND(F576-ROUND($B$13-D577,2),2)&lt;=0),0,ROUND(F576-E577,2))</f>
        <v/>
      </c>
    </row>
    <row r="578">
      <c r="A578" s="6" t="n">
        <v>562</v>
      </c>
      <c r="B578" s="19">
        <f>IF(B8="monthly",DATE(YEAR(B7)+INT((MONTH(B7)-1+561)/12),MOD(MONTH(B7)-1+561,12)+1,1)+(DAY(B7)-1),IF(B8="weekly",B7+3927,IF(B8="biweekly",B7+7854,B7+ROUND((561*365.25)/24,0))))</f>
        <v/>
      </c>
      <c r="C578" s="21">
        <f>IF((ROUND(F577-ROUND($B$13-D578,2),2)&lt;=0),ROUND(D578+E578,2),$B$13)</f>
        <v/>
      </c>
      <c r="D578" s="21">
        <f>ROUND(F577*B5/100/B10,2)</f>
        <v/>
      </c>
      <c r="E578" s="21">
        <f>IF((ROUND(F577-ROUND($B$13-D578,2),2)&lt;=0),F577,ROUND($B$13-D578,2))</f>
        <v/>
      </c>
      <c r="F578" s="21">
        <f>IF((ROUND(F577-ROUND($B$13-D578,2),2)&lt;=0),0,ROUND(F577-E578,2))</f>
        <v/>
      </c>
    </row>
    <row r="579">
      <c r="A579" s="6" t="n">
        <v>563</v>
      </c>
      <c r="B579" s="19">
        <f>IF(B8="monthly",DATE(YEAR(B7)+INT((MONTH(B7)-1+562)/12),MOD(MONTH(B7)-1+562,12)+1,1)+(DAY(B7)-1),IF(B8="weekly",B7+3934,IF(B8="biweekly",B7+7868,B7+ROUND((562*365.25)/24,0))))</f>
        <v/>
      </c>
      <c r="C579" s="21">
        <f>IF((ROUND(F578-ROUND($B$13-D579,2),2)&lt;=0),ROUND(D579+E579,2),$B$13)</f>
        <v/>
      </c>
      <c r="D579" s="21">
        <f>ROUND(F578*B5/100/B10,2)</f>
        <v/>
      </c>
      <c r="E579" s="21">
        <f>IF((ROUND(F578-ROUND($B$13-D579,2),2)&lt;=0),F578,ROUND($B$13-D579,2))</f>
        <v/>
      </c>
      <c r="F579" s="21">
        <f>IF((ROUND(F578-ROUND($B$13-D579,2),2)&lt;=0),0,ROUND(F578-E579,2))</f>
        <v/>
      </c>
    </row>
    <row r="580">
      <c r="A580" s="6" t="n">
        <v>564</v>
      </c>
      <c r="B580" s="19">
        <f>IF(B8="monthly",DATE(YEAR(B7)+INT((MONTH(B7)-1+563)/12),MOD(MONTH(B7)-1+563,12)+1,1)+(DAY(B7)-1),IF(B8="weekly",B7+3941,IF(B8="biweekly",B7+7882,B7+ROUND((563*365.25)/24,0))))</f>
        <v/>
      </c>
      <c r="C580" s="21">
        <f>IF((ROUND(F579-ROUND($B$13-D580,2),2)&lt;=0),ROUND(D580+E580,2),$B$13)</f>
        <v/>
      </c>
      <c r="D580" s="21">
        <f>ROUND(F579*B5/100/B10,2)</f>
        <v/>
      </c>
      <c r="E580" s="21">
        <f>IF((ROUND(F579-ROUND($B$13-D580,2),2)&lt;=0),F579,ROUND($B$13-D580,2))</f>
        <v/>
      </c>
      <c r="F580" s="21">
        <f>IF((ROUND(F579-ROUND($B$13-D580,2),2)&lt;=0),0,ROUND(F579-E580,2))</f>
        <v/>
      </c>
    </row>
    <row r="581">
      <c r="A581" s="6" t="n">
        <v>565</v>
      </c>
      <c r="B581" s="19">
        <f>IF(B8="monthly",DATE(YEAR(B7)+INT((MONTH(B7)-1+564)/12),MOD(MONTH(B7)-1+564,12)+1,1)+(DAY(B7)-1),IF(B8="weekly",B7+3948,IF(B8="biweekly",B7+7896,B7+ROUND((564*365.25)/24,0))))</f>
        <v/>
      </c>
      <c r="C581" s="21">
        <f>IF((ROUND(F580-ROUND($B$13-D581,2),2)&lt;=0),ROUND(D581+E581,2),$B$13)</f>
        <v/>
      </c>
      <c r="D581" s="21">
        <f>ROUND(F580*B5/100/B10,2)</f>
        <v/>
      </c>
      <c r="E581" s="21">
        <f>IF((ROUND(F580-ROUND($B$13-D581,2),2)&lt;=0),F580,ROUND($B$13-D581,2))</f>
        <v/>
      </c>
      <c r="F581" s="21">
        <f>IF((ROUND(F580-ROUND($B$13-D581,2),2)&lt;=0),0,ROUND(F580-E581,2))</f>
        <v/>
      </c>
    </row>
    <row r="582">
      <c r="A582" s="6" t="n">
        <v>566</v>
      </c>
      <c r="B582" s="19">
        <f>IF(B8="monthly",DATE(YEAR(B7)+INT((MONTH(B7)-1+565)/12),MOD(MONTH(B7)-1+565,12)+1,1)+(DAY(B7)-1),IF(B8="weekly",B7+3955,IF(B8="biweekly",B7+7910,B7+ROUND((565*365.25)/24,0))))</f>
        <v/>
      </c>
      <c r="C582" s="21">
        <f>IF((ROUND(F581-ROUND($B$13-D582,2),2)&lt;=0),ROUND(D582+E582,2),$B$13)</f>
        <v/>
      </c>
      <c r="D582" s="21">
        <f>ROUND(F581*B5/100/B10,2)</f>
        <v/>
      </c>
      <c r="E582" s="21">
        <f>IF((ROUND(F581-ROUND($B$13-D582,2),2)&lt;=0),F581,ROUND($B$13-D582,2))</f>
        <v/>
      </c>
      <c r="F582" s="21">
        <f>IF((ROUND(F581-ROUND($B$13-D582,2),2)&lt;=0),0,ROUND(F581-E582,2))</f>
        <v/>
      </c>
    </row>
    <row r="583">
      <c r="A583" s="6" t="n">
        <v>567</v>
      </c>
      <c r="B583" s="19">
        <f>IF(B8="monthly",DATE(YEAR(B7)+INT((MONTH(B7)-1+566)/12),MOD(MONTH(B7)-1+566,12)+1,1)+(DAY(B7)-1),IF(B8="weekly",B7+3962,IF(B8="biweekly",B7+7924,B7+ROUND((566*365.25)/24,0))))</f>
        <v/>
      </c>
      <c r="C583" s="21">
        <f>IF((ROUND(F582-ROUND($B$13-D583,2),2)&lt;=0),ROUND(D583+E583,2),$B$13)</f>
        <v/>
      </c>
      <c r="D583" s="21">
        <f>ROUND(F582*B5/100/B10,2)</f>
        <v/>
      </c>
      <c r="E583" s="21">
        <f>IF((ROUND(F582-ROUND($B$13-D583,2),2)&lt;=0),F582,ROUND($B$13-D583,2))</f>
        <v/>
      </c>
      <c r="F583" s="21">
        <f>IF((ROUND(F582-ROUND($B$13-D583,2),2)&lt;=0),0,ROUND(F582-E583,2))</f>
        <v/>
      </c>
    </row>
    <row r="584">
      <c r="A584" s="6" t="n">
        <v>568</v>
      </c>
      <c r="B584" s="19">
        <f>IF(B8="monthly",DATE(YEAR(B7)+INT((MONTH(B7)-1+567)/12),MOD(MONTH(B7)-1+567,12)+1,1)+(DAY(B7)-1),IF(B8="weekly",B7+3969,IF(B8="biweekly",B7+7938,B7+ROUND((567*365.25)/24,0))))</f>
        <v/>
      </c>
      <c r="C584" s="21">
        <f>IF((ROUND(F583-ROUND($B$13-D584,2),2)&lt;=0),ROUND(D584+E584,2),$B$13)</f>
        <v/>
      </c>
      <c r="D584" s="21">
        <f>ROUND(F583*B5/100/B10,2)</f>
        <v/>
      </c>
      <c r="E584" s="21">
        <f>IF((ROUND(F583-ROUND($B$13-D584,2),2)&lt;=0),F583,ROUND($B$13-D584,2))</f>
        <v/>
      </c>
      <c r="F584" s="21">
        <f>IF((ROUND(F583-ROUND($B$13-D584,2),2)&lt;=0),0,ROUND(F583-E584,2))</f>
        <v/>
      </c>
    </row>
    <row r="585">
      <c r="A585" s="6" t="n">
        <v>569</v>
      </c>
      <c r="B585" s="19">
        <f>IF(B8="monthly",DATE(YEAR(B7)+INT((MONTH(B7)-1+568)/12),MOD(MONTH(B7)-1+568,12)+1,1)+(DAY(B7)-1),IF(B8="weekly",B7+3976,IF(B8="biweekly",B7+7952,B7+ROUND((568*365.25)/24,0))))</f>
        <v/>
      </c>
      <c r="C585" s="21">
        <f>IF((ROUND(F584-ROUND($B$13-D585,2),2)&lt;=0),ROUND(D585+E585,2),$B$13)</f>
        <v/>
      </c>
      <c r="D585" s="21">
        <f>ROUND(F584*B5/100/B10,2)</f>
        <v/>
      </c>
      <c r="E585" s="21">
        <f>IF((ROUND(F584-ROUND($B$13-D585,2),2)&lt;=0),F584,ROUND($B$13-D585,2))</f>
        <v/>
      </c>
      <c r="F585" s="21">
        <f>IF((ROUND(F584-ROUND($B$13-D585,2),2)&lt;=0),0,ROUND(F584-E585,2))</f>
        <v/>
      </c>
    </row>
    <row r="586">
      <c r="A586" s="6" t="n">
        <v>570</v>
      </c>
      <c r="B586" s="19">
        <f>IF(B8="monthly",DATE(YEAR(B7)+INT((MONTH(B7)-1+569)/12),MOD(MONTH(B7)-1+569,12)+1,1)+(DAY(B7)-1),IF(B8="weekly",B7+3983,IF(B8="biweekly",B7+7966,B7+ROUND((569*365.25)/24,0))))</f>
        <v/>
      </c>
      <c r="C586" s="21">
        <f>IF((ROUND(F585-ROUND($B$13-D586,2),2)&lt;=0),ROUND(D586+E586,2),$B$13)</f>
        <v/>
      </c>
      <c r="D586" s="21">
        <f>ROUND(F585*B5/100/B10,2)</f>
        <v/>
      </c>
      <c r="E586" s="21">
        <f>IF((ROUND(F585-ROUND($B$13-D586,2),2)&lt;=0),F585,ROUND($B$13-D586,2))</f>
        <v/>
      </c>
      <c r="F586" s="21">
        <f>IF((ROUND(F585-ROUND($B$13-D586,2),2)&lt;=0),0,ROUND(F585-E586,2))</f>
        <v/>
      </c>
    </row>
    <row r="587">
      <c r="A587" s="6" t="n">
        <v>571</v>
      </c>
      <c r="B587" s="19">
        <f>IF(B8="monthly",DATE(YEAR(B7)+INT((MONTH(B7)-1+570)/12),MOD(MONTH(B7)-1+570,12)+1,1)+(DAY(B7)-1),IF(B8="weekly",B7+3990,IF(B8="biweekly",B7+7980,B7+ROUND((570*365.25)/24,0))))</f>
        <v/>
      </c>
      <c r="C587" s="21">
        <f>IF((ROUND(F586-ROUND($B$13-D587,2),2)&lt;=0),ROUND(D587+E587,2),$B$13)</f>
        <v/>
      </c>
      <c r="D587" s="21">
        <f>ROUND(F586*B5/100/B10,2)</f>
        <v/>
      </c>
      <c r="E587" s="21">
        <f>IF((ROUND(F586-ROUND($B$13-D587,2),2)&lt;=0),F586,ROUND($B$13-D587,2))</f>
        <v/>
      </c>
      <c r="F587" s="21">
        <f>IF((ROUND(F586-ROUND($B$13-D587,2),2)&lt;=0),0,ROUND(F586-E587,2))</f>
        <v/>
      </c>
    </row>
    <row r="588">
      <c r="A588" s="6" t="n">
        <v>572</v>
      </c>
      <c r="B588" s="19">
        <f>IF(B8="monthly",DATE(YEAR(B7)+INT((MONTH(B7)-1+571)/12),MOD(MONTH(B7)-1+571,12)+1,1)+(DAY(B7)-1),IF(B8="weekly",B7+3997,IF(B8="biweekly",B7+7994,B7+ROUND((571*365.25)/24,0))))</f>
        <v/>
      </c>
      <c r="C588" s="21">
        <f>IF((ROUND(F587-ROUND($B$13-D588,2),2)&lt;=0),ROUND(D588+E588,2),$B$13)</f>
        <v/>
      </c>
      <c r="D588" s="21">
        <f>ROUND(F587*B5/100/B10,2)</f>
        <v/>
      </c>
      <c r="E588" s="21">
        <f>IF((ROUND(F587-ROUND($B$13-D588,2),2)&lt;=0),F587,ROUND($B$13-D588,2))</f>
        <v/>
      </c>
      <c r="F588" s="21">
        <f>IF((ROUND(F587-ROUND($B$13-D588,2),2)&lt;=0),0,ROUND(F587-E588,2))</f>
        <v/>
      </c>
    </row>
    <row r="589">
      <c r="A589" s="6" t="n">
        <v>573</v>
      </c>
      <c r="B589" s="19">
        <f>IF(B8="monthly",DATE(YEAR(B7)+INT((MONTH(B7)-1+572)/12),MOD(MONTH(B7)-1+572,12)+1,1)+(DAY(B7)-1),IF(B8="weekly",B7+4004,IF(B8="biweekly",B7+8008,B7+ROUND((572*365.25)/24,0))))</f>
        <v/>
      </c>
      <c r="C589" s="21">
        <f>IF((ROUND(F588-ROUND($B$13-D589,2),2)&lt;=0),ROUND(D589+E589,2),$B$13)</f>
        <v/>
      </c>
      <c r="D589" s="21">
        <f>ROUND(F588*B5/100/B10,2)</f>
        <v/>
      </c>
      <c r="E589" s="21">
        <f>IF((ROUND(F588-ROUND($B$13-D589,2),2)&lt;=0),F588,ROUND($B$13-D589,2))</f>
        <v/>
      </c>
      <c r="F589" s="21">
        <f>IF((ROUND(F588-ROUND($B$13-D589,2),2)&lt;=0),0,ROUND(F588-E589,2))</f>
        <v/>
      </c>
    </row>
    <row r="590">
      <c r="A590" s="6" t="n">
        <v>574</v>
      </c>
      <c r="B590" s="19">
        <f>IF(B8="monthly",DATE(YEAR(B7)+INT((MONTH(B7)-1+573)/12),MOD(MONTH(B7)-1+573,12)+1,1)+(DAY(B7)-1),IF(B8="weekly",B7+4011,IF(B8="biweekly",B7+8022,B7+ROUND((573*365.25)/24,0))))</f>
        <v/>
      </c>
      <c r="C590" s="21">
        <f>IF((ROUND(F589-ROUND($B$13-D590,2),2)&lt;=0),ROUND(D590+E590,2),$B$13)</f>
        <v/>
      </c>
      <c r="D590" s="21">
        <f>ROUND(F589*B5/100/B10,2)</f>
        <v/>
      </c>
      <c r="E590" s="21">
        <f>IF((ROUND(F589-ROUND($B$13-D590,2),2)&lt;=0),F589,ROUND($B$13-D590,2))</f>
        <v/>
      </c>
      <c r="F590" s="21">
        <f>IF((ROUND(F589-ROUND($B$13-D590,2),2)&lt;=0),0,ROUND(F589-E590,2))</f>
        <v/>
      </c>
    </row>
    <row r="591">
      <c r="A591" s="6" t="n">
        <v>575</v>
      </c>
      <c r="B591" s="19">
        <f>IF(B8="monthly",DATE(YEAR(B7)+INT((MONTH(B7)-1+574)/12),MOD(MONTH(B7)-1+574,12)+1,1)+(DAY(B7)-1),IF(B8="weekly",B7+4018,IF(B8="biweekly",B7+8036,B7+ROUND((574*365.25)/24,0))))</f>
        <v/>
      </c>
      <c r="C591" s="21">
        <f>IF((ROUND(F590-ROUND($B$13-D591,2),2)&lt;=0),ROUND(D591+E591,2),$B$13)</f>
        <v/>
      </c>
      <c r="D591" s="21">
        <f>ROUND(F590*B5/100/B10,2)</f>
        <v/>
      </c>
      <c r="E591" s="21">
        <f>IF((ROUND(F590-ROUND($B$13-D591,2),2)&lt;=0),F590,ROUND($B$13-D591,2))</f>
        <v/>
      </c>
      <c r="F591" s="21">
        <f>IF((ROUND(F590-ROUND($B$13-D591,2),2)&lt;=0),0,ROUND(F590-E591,2))</f>
        <v/>
      </c>
    </row>
    <row r="592">
      <c r="A592" s="6" t="n">
        <v>576</v>
      </c>
      <c r="B592" s="19">
        <f>IF(B8="monthly",DATE(YEAR(B7)+INT((MONTH(B7)-1+575)/12),MOD(MONTH(B7)-1+575,12)+1,1)+(DAY(B7)-1),IF(B8="weekly",B7+4025,IF(B8="biweekly",B7+8050,B7+ROUND((575*365.25)/24,0))))</f>
        <v/>
      </c>
      <c r="C592" s="21">
        <f>IF((ROUND(F591-ROUND($B$13-D592,2),2)&lt;=0),ROUND(D592+E592,2),$B$13)</f>
        <v/>
      </c>
      <c r="D592" s="21">
        <f>ROUND(F591*B5/100/B10,2)</f>
        <v/>
      </c>
      <c r="E592" s="21">
        <f>IF((ROUND(F591-ROUND($B$13-D592,2),2)&lt;=0),F591,ROUND($B$13-D592,2))</f>
        <v/>
      </c>
      <c r="F592" s="21">
        <f>IF((ROUND(F591-ROUND($B$13-D592,2),2)&lt;=0),0,ROUND(F591-E592,2))</f>
        <v/>
      </c>
    </row>
    <row r="593">
      <c r="A593" s="6" t="n">
        <v>577</v>
      </c>
      <c r="B593" s="19">
        <f>IF(B8="monthly",DATE(YEAR(B7)+INT((MONTH(B7)-1+576)/12),MOD(MONTH(B7)-1+576,12)+1,1)+(DAY(B7)-1),IF(B8="weekly",B7+4032,IF(B8="biweekly",B7+8064,B7+ROUND((576*365.25)/24,0))))</f>
        <v/>
      </c>
      <c r="C593" s="21">
        <f>IF((ROUND(F592-ROUND($B$13-D593,2),2)&lt;=0),ROUND(D593+E593,2),$B$13)</f>
        <v/>
      </c>
      <c r="D593" s="21">
        <f>ROUND(F592*B5/100/B10,2)</f>
        <v/>
      </c>
      <c r="E593" s="21">
        <f>IF((ROUND(F592-ROUND($B$13-D593,2),2)&lt;=0),F592,ROUND($B$13-D593,2))</f>
        <v/>
      </c>
      <c r="F593" s="21">
        <f>IF((ROUND(F592-ROUND($B$13-D593,2),2)&lt;=0),0,ROUND(F592-E593,2))</f>
        <v/>
      </c>
    </row>
    <row r="594">
      <c r="A594" s="6" t="n">
        <v>578</v>
      </c>
      <c r="B594" s="19">
        <f>IF(B8="monthly",DATE(YEAR(B7)+INT((MONTH(B7)-1+577)/12),MOD(MONTH(B7)-1+577,12)+1,1)+(DAY(B7)-1),IF(B8="weekly",B7+4039,IF(B8="biweekly",B7+8078,B7+ROUND((577*365.25)/24,0))))</f>
        <v/>
      </c>
      <c r="C594" s="21">
        <f>IF((ROUND(F593-ROUND($B$13-D594,2),2)&lt;=0),ROUND(D594+E594,2),$B$13)</f>
        <v/>
      </c>
      <c r="D594" s="21">
        <f>ROUND(F593*B5/100/B10,2)</f>
        <v/>
      </c>
      <c r="E594" s="21">
        <f>IF((ROUND(F593-ROUND($B$13-D594,2),2)&lt;=0),F593,ROUND($B$13-D594,2))</f>
        <v/>
      </c>
      <c r="F594" s="21">
        <f>IF((ROUND(F593-ROUND($B$13-D594,2),2)&lt;=0),0,ROUND(F593-E594,2))</f>
        <v/>
      </c>
    </row>
    <row r="595">
      <c r="A595" s="6" t="n">
        <v>579</v>
      </c>
      <c r="B595" s="19">
        <f>IF(B8="monthly",DATE(YEAR(B7)+INT((MONTH(B7)-1+578)/12),MOD(MONTH(B7)-1+578,12)+1,1)+(DAY(B7)-1),IF(B8="weekly",B7+4046,IF(B8="biweekly",B7+8092,B7+ROUND((578*365.25)/24,0))))</f>
        <v/>
      </c>
      <c r="C595" s="21">
        <f>IF((ROUND(F594-ROUND($B$13-D595,2),2)&lt;=0),ROUND(D595+E595,2),$B$13)</f>
        <v/>
      </c>
      <c r="D595" s="21">
        <f>ROUND(F594*B5/100/B10,2)</f>
        <v/>
      </c>
      <c r="E595" s="21">
        <f>IF((ROUND(F594-ROUND($B$13-D595,2),2)&lt;=0),F594,ROUND($B$13-D595,2))</f>
        <v/>
      </c>
      <c r="F595" s="21">
        <f>IF((ROUND(F594-ROUND($B$13-D595,2),2)&lt;=0),0,ROUND(F594-E595,2))</f>
        <v/>
      </c>
    </row>
    <row r="596">
      <c r="A596" s="6" t="n">
        <v>580</v>
      </c>
      <c r="B596" s="19">
        <f>IF(B8="monthly",DATE(YEAR(B7)+INT((MONTH(B7)-1+579)/12),MOD(MONTH(B7)-1+579,12)+1,1)+(DAY(B7)-1),IF(B8="weekly",B7+4053,IF(B8="biweekly",B7+8106,B7+ROUND((579*365.25)/24,0))))</f>
        <v/>
      </c>
      <c r="C596" s="21">
        <f>IF((ROUND(F595-ROUND($B$13-D596,2),2)&lt;=0),ROUND(D596+E596,2),$B$13)</f>
        <v/>
      </c>
      <c r="D596" s="21">
        <f>ROUND(F595*B5/100/B10,2)</f>
        <v/>
      </c>
      <c r="E596" s="21">
        <f>IF((ROUND(F595-ROUND($B$13-D596,2),2)&lt;=0),F595,ROUND($B$13-D596,2))</f>
        <v/>
      </c>
      <c r="F596" s="21">
        <f>IF((ROUND(F595-ROUND($B$13-D596,2),2)&lt;=0),0,ROUND(F595-E596,2))</f>
        <v/>
      </c>
    </row>
    <row r="597">
      <c r="A597" s="6" t="n">
        <v>581</v>
      </c>
      <c r="B597" s="19">
        <f>IF(B8="monthly",DATE(YEAR(B7)+INT((MONTH(B7)-1+580)/12),MOD(MONTH(B7)-1+580,12)+1,1)+(DAY(B7)-1),IF(B8="weekly",B7+4060,IF(B8="biweekly",B7+8120,B7+ROUND((580*365.25)/24,0))))</f>
        <v/>
      </c>
      <c r="C597" s="21">
        <f>IF((ROUND(F596-ROUND($B$13-D597,2),2)&lt;=0),ROUND(D597+E597,2),$B$13)</f>
        <v/>
      </c>
      <c r="D597" s="21">
        <f>ROUND(F596*B5/100/B10,2)</f>
        <v/>
      </c>
      <c r="E597" s="21">
        <f>IF((ROUND(F596-ROUND($B$13-D597,2),2)&lt;=0),F596,ROUND($B$13-D597,2))</f>
        <v/>
      </c>
      <c r="F597" s="21">
        <f>IF((ROUND(F596-ROUND($B$13-D597,2),2)&lt;=0),0,ROUND(F596-E597,2))</f>
        <v/>
      </c>
    </row>
    <row r="598">
      <c r="A598" s="6" t="n">
        <v>582</v>
      </c>
      <c r="B598" s="19">
        <f>IF(B8="monthly",DATE(YEAR(B7)+INT((MONTH(B7)-1+581)/12),MOD(MONTH(B7)-1+581,12)+1,1)+(DAY(B7)-1),IF(B8="weekly",B7+4067,IF(B8="biweekly",B7+8134,B7+ROUND((581*365.25)/24,0))))</f>
        <v/>
      </c>
      <c r="C598" s="21">
        <f>IF((ROUND(F597-ROUND($B$13-D598,2),2)&lt;=0),ROUND(D598+E598,2),$B$13)</f>
        <v/>
      </c>
      <c r="D598" s="21">
        <f>ROUND(F597*B5/100/B10,2)</f>
        <v/>
      </c>
      <c r="E598" s="21">
        <f>IF((ROUND(F597-ROUND($B$13-D598,2),2)&lt;=0),F597,ROUND($B$13-D598,2))</f>
        <v/>
      </c>
      <c r="F598" s="21">
        <f>IF((ROUND(F597-ROUND($B$13-D598,2),2)&lt;=0),0,ROUND(F597-E598,2))</f>
        <v/>
      </c>
    </row>
    <row r="599">
      <c r="A599" s="6" t="n">
        <v>583</v>
      </c>
      <c r="B599" s="19">
        <f>IF(B8="monthly",DATE(YEAR(B7)+INT((MONTH(B7)-1+582)/12),MOD(MONTH(B7)-1+582,12)+1,1)+(DAY(B7)-1),IF(B8="weekly",B7+4074,IF(B8="biweekly",B7+8148,B7+ROUND((582*365.25)/24,0))))</f>
        <v/>
      </c>
      <c r="C599" s="21">
        <f>IF((ROUND(F598-ROUND($B$13-D599,2),2)&lt;=0),ROUND(D599+E599,2),$B$13)</f>
        <v/>
      </c>
      <c r="D599" s="21">
        <f>ROUND(F598*B5/100/B10,2)</f>
        <v/>
      </c>
      <c r="E599" s="21">
        <f>IF((ROUND(F598-ROUND($B$13-D599,2),2)&lt;=0),F598,ROUND($B$13-D599,2))</f>
        <v/>
      </c>
      <c r="F599" s="21">
        <f>IF((ROUND(F598-ROUND($B$13-D599,2),2)&lt;=0),0,ROUND(F598-E599,2))</f>
        <v/>
      </c>
    </row>
    <row r="600">
      <c r="A600" s="6" t="n">
        <v>584</v>
      </c>
      <c r="B600" s="19">
        <f>IF(B8="monthly",DATE(YEAR(B7)+INT((MONTH(B7)-1+583)/12),MOD(MONTH(B7)-1+583,12)+1,1)+(DAY(B7)-1),IF(B8="weekly",B7+4081,IF(B8="biweekly",B7+8162,B7+ROUND((583*365.25)/24,0))))</f>
        <v/>
      </c>
      <c r="C600" s="21">
        <f>IF((ROUND(F599-ROUND($B$13-D600,2),2)&lt;=0),ROUND(D600+E600,2),$B$13)</f>
        <v/>
      </c>
      <c r="D600" s="21">
        <f>ROUND(F599*B5/100/B10,2)</f>
        <v/>
      </c>
      <c r="E600" s="21">
        <f>IF((ROUND(F599-ROUND($B$13-D600,2),2)&lt;=0),F599,ROUND($B$13-D600,2))</f>
        <v/>
      </c>
      <c r="F600" s="21">
        <f>IF((ROUND(F599-ROUND($B$13-D600,2),2)&lt;=0),0,ROUND(F599-E600,2))</f>
        <v/>
      </c>
    </row>
    <row r="601">
      <c r="A601" s="6" t="n">
        <v>585</v>
      </c>
      <c r="B601" s="19">
        <f>IF(B8="monthly",DATE(YEAR(B7)+INT((MONTH(B7)-1+584)/12),MOD(MONTH(B7)-1+584,12)+1,1)+(DAY(B7)-1),IF(B8="weekly",B7+4088,IF(B8="biweekly",B7+8176,B7+ROUND((584*365.25)/24,0))))</f>
        <v/>
      </c>
      <c r="C601" s="21">
        <f>IF((ROUND(F600-ROUND($B$13-D601,2),2)&lt;=0),ROUND(D601+E601,2),$B$13)</f>
        <v/>
      </c>
      <c r="D601" s="21">
        <f>ROUND(F600*B5/100/B10,2)</f>
        <v/>
      </c>
      <c r="E601" s="21">
        <f>IF((ROUND(F600-ROUND($B$13-D601,2),2)&lt;=0),F600,ROUND($B$13-D601,2))</f>
        <v/>
      </c>
      <c r="F601" s="21">
        <f>IF((ROUND(F600-ROUND($B$13-D601,2),2)&lt;=0),0,ROUND(F600-E601,2))</f>
        <v/>
      </c>
    </row>
    <row r="602">
      <c r="A602" s="6" t="n">
        <v>586</v>
      </c>
      <c r="B602" s="19">
        <f>IF(B8="monthly",DATE(YEAR(B7)+INT((MONTH(B7)-1+585)/12),MOD(MONTH(B7)-1+585,12)+1,1)+(DAY(B7)-1),IF(B8="weekly",B7+4095,IF(B8="biweekly",B7+8190,B7+ROUND((585*365.25)/24,0))))</f>
        <v/>
      </c>
      <c r="C602" s="21">
        <f>IF((ROUND(F601-ROUND($B$13-D602,2),2)&lt;=0),ROUND(D602+E602,2),$B$13)</f>
        <v/>
      </c>
      <c r="D602" s="21">
        <f>ROUND(F601*B5/100/B10,2)</f>
        <v/>
      </c>
      <c r="E602" s="21">
        <f>IF((ROUND(F601-ROUND($B$13-D602,2),2)&lt;=0),F601,ROUND($B$13-D602,2))</f>
        <v/>
      </c>
      <c r="F602" s="21">
        <f>IF((ROUND(F601-ROUND($B$13-D602,2),2)&lt;=0),0,ROUND(F601-E602,2))</f>
        <v/>
      </c>
    </row>
    <row r="603">
      <c r="A603" s="6" t="n">
        <v>587</v>
      </c>
      <c r="B603" s="19">
        <f>IF(B8="monthly",DATE(YEAR(B7)+INT((MONTH(B7)-1+586)/12),MOD(MONTH(B7)-1+586,12)+1,1)+(DAY(B7)-1),IF(B8="weekly",B7+4102,IF(B8="biweekly",B7+8204,B7+ROUND((586*365.25)/24,0))))</f>
        <v/>
      </c>
      <c r="C603" s="21">
        <f>IF((ROUND(F602-ROUND($B$13-D603,2),2)&lt;=0),ROUND(D603+E603,2),$B$13)</f>
        <v/>
      </c>
      <c r="D603" s="21">
        <f>ROUND(F602*B5/100/B10,2)</f>
        <v/>
      </c>
      <c r="E603" s="21">
        <f>IF((ROUND(F602-ROUND($B$13-D603,2),2)&lt;=0),F602,ROUND($B$13-D603,2))</f>
        <v/>
      </c>
      <c r="F603" s="21">
        <f>IF((ROUND(F602-ROUND($B$13-D603,2),2)&lt;=0),0,ROUND(F602-E603,2))</f>
        <v/>
      </c>
    </row>
    <row r="604">
      <c r="A604" s="6" t="n">
        <v>588</v>
      </c>
      <c r="B604" s="19">
        <f>IF(B8="monthly",DATE(YEAR(B7)+INT((MONTH(B7)-1+587)/12),MOD(MONTH(B7)-1+587,12)+1,1)+(DAY(B7)-1),IF(B8="weekly",B7+4109,IF(B8="biweekly",B7+8218,B7+ROUND((587*365.25)/24,0))))</f>
        <v/>
      </c>
      <c r="C604" s="21">
        <f>IF((ROUND(F603-ROUND($B$13-D604,2),2)&lt;=0),ROUND(D604+E604,2),$B$13)</f>
        <v/>
      </c>
      <c r="D604" s="21">
        <f>ROUND(F603*B5/100/B10,2)</f>
        <v/>
      </c>
      <c r="E604" s="21">
        <f>IF((ROUND(F603-ROUND($B$13-D604,2),2)&lt;=0),F603,ROUND($B$13-D604,2))</f>
        <v/>
      </c>
      <c r="F604" s="21">
        <f>IF((ROUND(F603-ROUND($B$13-D604,2),2)&lt;=0),0,ROUND(F603-E604,2))</f>
        <v/>
      </c>
    </row>
    <row r="605">
      <c r="A605" s="6" t="n">
        <v>589</v>
      </c>
      <c r="B605" s="19">
        <f>IF(B8="monthly",DATE(YEAR(B7)+INT((MONTH(B7)-1+588)/12),MOD(MONTH(B7)-1+588,12)+1,1)+(DAY(B7)-1),IF(B8="weekly",B7+4116,IF(B8="biweekly",B7+8232,B7+ROUND((588*365.25)/24,0))))</f>
        <v/>
      </c>
      <c r="C605" s="21">
        <f>IF((ROUND(F604-ROUND($B$13-D605,2),2)&lt;=0),ROUND(D605+E605,2),$B$13)</f>
        <v/>
      </c>
      <c r="D605" s="21">
        <f>ROUND(F604*B5/100/B10,2)</f>
        <v/>
      </c>
      <c r="E605" s="21">
        <f>IF((ROUND(F604-ROUND($B$13-D605,2),2)&lt;=0),F604,ROUND($B$13-D605,2))</f>
        <v/>
      </c>
      <c r="F605" s="21">
        <f>IF((ROUND(F604-ROUND($B$13-D605,2),2)&lt;=0),0,ROUND(F604-E605,2))</f>
        <v/>
      </c>
    </row>
    <row r="606">
      <c r="A606" s="6" t="n">
        <v>590</v>
      </c>
      <c r="B606" s="19">
        <f>IF(B8="monthly",DATE(YEAR(B7)+INT((MONTH(B7)-1+589)/12),MOD(MONTH(B7)-1+589,12)+1,1)+(DAY(B7)-1),IF(B8="weekly",B7+4123,IF(B8="biweekly",B7+8246,B7+ROUND((589*365.25)/24,0))))</f>
        <v/>
      </c>
      <c r="C606" s="21">
        <f>IF((ROUND(F605-ROUND($B$13-D606,2),2)&lt;=0),ROUND(D606+E606,2),$B$13)</f>
        <v/>
      </c>
      <c r="D606" s="21">
        <f>ROUND(F605*B5/100/B10,2)</f>
        <v/>
      </c>
      <c r="E606" s="21">
        <f>IF((ROUND(F605-ROUND($B$13-D606,2),2)&lt;=0),F605,ROUND($B$13-D606,2))</f>
        <v/>
      </c>
      <c r="F606" s="21">
        <f>IF((ROUND(F605-ROUND($B$13-D606,2),2)&lt;=0),0,ROUND(F605-E606,2))</f>
        <v/>
      </c>
    </row>
    <row r="607">
      <c r="A607" s="6" t="n">
        <v>591</v>
      </c>
      <c r="B607" s="19">
        <f>IF(B8="monthly",DATE(YEAR(B7)+INT((MONTH(B7)-1+590)/12),MOD(MONTH(B7)-1+590,12)+1,1)+(DAY(B7)-1),IF(B8="weekly",B7+4130,IF(B8="biweekly",B7+8260,B7+ROUND((590*365.25)/24,0))))</f>
        <v/>
      </c>
      <c r="C607" s="21">
        <f>IF((ROUND(F606-ROUND($B$13-D607,2),2)&lt;=0),ROUND(D607+E607,2),$B$13)</f>
        <v/>
      </c>
      <c r="D607" s="21">
        <f>ROUND(F606*B5/100/B10,2)</f>
        <v/>
      </c>
      <c r="E607" s="21">
        <f>IF((ROUND(F606-ROUND($B$13-D607,2),2)&lt;=0),F606,ROUND($B$13-D607,2))</f>
        <v/>
      </c>
      <c r="F607" s="21">
        <f>IF((ROUND(F606-ROUND($B$13-D607,2),2)&lt;=0),0,ROUND(F606-E607,2))</f>
        <v/>
      </c>
    </row>
    <row r="608">
      <c r="A608" s="6" t="n">
        <v>592</v>
      </c>
      <c r="B608" s="19">
        <f>IF(B8="monthly",DATE(YEAR(B7)+INT((MONTH(B7)-1+591)/12),MOD(MONTH(B7)-1+591,12)+1,1)+(DAY(B7)-1),IF(B8="weekly",B7+4137,IF(B8="biweekly",B7+8274,B7+ROUND((591*365.25)/24,0))))</f>
        <v/>
      </c>
      <c r="C608" s="21">
        <f>IF((ROUND(F607-ROUND($B$13-D608,2),2)&lt;=0),ROUND(D608+E608,2),$B$13)</f>
        <v/>
      </c>
      <c r="D608" s="21">
        <f>ROUND(F607*B5/100/B10,2)</f>
        <v/>
      </c>
      <c r="E608" s="21">
        <f>IF((ROUND(F607-ROUND($B$13-D608,2),2)&lt;=0),F607,ROUND($B$13-D608,2))</f>
        <v/>
      </c>
      <c r="F608" s="21">
        <f>IF((ROUND(F607-ROUND($B$13-D608,2),2)&lt;=0),0,ROUND(F607-E608,2))</f>
        <v/>
      </c>
    </row>
    <row r="609">
      <c r="A609" s="6" t="n">
        <v>593</v>
      </c>
      <c r="B609" s="19">
        <f>IF(B8="monthly",DATE(YEAR(B7)+INT((MONTH(B7)-1+592)/12),MOD(MONTH(B7)-1+592,12)+1,1)+(DAY(B7)-1),IF(B8="weekly",B7+4144,IF(B8="biweekly",B7+8288,B7+ROUND((592*365.25)/24,0))))</f>
        <v/>
      </c>
      <c r="C609" s="21">
        <f>IF((ROUND(F608-ROUND($B$13-D609,2),2)&lt;=0),ROUND(D609+E609,2),$B$13)</f>
        <v/>
      </c>
      <c r="D609" s="21">
        <f>ROUND(F608*B5/100/B10,2)</f>
        <v/>
      </c>
      <c r="E609" s="21">
        <f>IF((ROUND(F608-ROUND($B$13-D609,2),2)&lt;=0),F608,ROUND($B$13-D609,2))</f>
        <v/>
      </c>
      <c r="F609" s="21">
        <f>IF((ROUND(F608-ROUND($B$13-D609,2),2)&lt;=0),0,ROUND(F608-E609,2))</f>
        <v/>
      </c>
    </row>
    <row r="610">
      <c r="A610" s="6" t="n">
        <v>594</v>
      </c>
      <c r="B610" s="19">
        <f>IF(B8="monthly",DATE(YEAR(B7)+INT((MONTH(B7)-1+593)/12),MOD(MONTH(B7)-1+593,12)+1,1)+(DAY(B7)-1),IF(B8="weekly",B7+4151,IF(B8="biweekly",B7+8302,B7+ROUND((593*365.25)/24,0))))</f>
        <v/>
      </c>
      <c r="C610" s="21">
        <f>IF((ROUND(F609-ROUND($B$13-D610,2),2)&lt;=0),ROUND(D610+E610,2),$B$13)</f>
        <v/>
      </c>
      <c r="D610" s="21">
        <f>ROUND(F609*B5/100/B10,2)</f>
        <v/>
      </c>
      <c r="E610" s="21">
        <f>IF((ROUND(F609-ROUND($B$13-D610,2),2)&lt;=0),F609,ROUND($B$13-D610,2))</f>
        <v/>
      </c>
      <c r="F610" s="21">
        <f>IF((ROUND(F609-ROUND($B$13-D610,2),2)&lt;=0),0,ROUND(F609-E610,2))</f>
        <v/>
      </c>
    </row>
    <row r="611">
      <c r="A611" s="6" t="n">
        <v>595</v>
      </c>
      <c r="B611" s="19">
        <f>IF(B8="monthly",DATE(YEAR(B7)+INT((MONTH(B7)-1+594)/12),MOD(MONTH(B7)-1+594,12)+1,1)+(DAY(B7)-1),IF(B8="weekly",B7+4158,IF(B8="biweekly",B7+8316,B7+ROUND((594*365.25)/24,0))))</f>
        <v/>
      </c>
      <c r="C611" s="21">
        <f>IF((ROUND(F610-ROUND($B$13-D611,2),2)&lt;=0),ROUND(D611+E611,2),$B$13)</f>
        <v/>
      </c>
      <c r="D611" s="21">
        <f>ROUND(F610*B5/100/B10,2)</f>
        <v/>
      </c>
      <c r="E611" s="21">
        <f>IF((ROUND(F610-ROUND($B$13-D611,2),2)&lt;=0),F610,ROUND($B$13-D611,2))</f>
        <v/>
      </c>
      <c r="F611" s="21">
        <f>IF((ROUND(F610-ROUND($B$13-D611,2),2)&lt;=0),0,ROUND(F610-E611,2))</f>
        <v/>
      </c>
    </row>
    <row r="612">
      <c r="A612" s="6" t="n">
        <v>596</v>
      </c>
      <c r="B612" s="19">
        <f>IF(B8="monthly",DATE(YEAR(B7)+INT((MONTH(B7)-1+595)/12),MOD(MONTH(B7)-1+595,12)+1,1)+(DAY(B7)-1),IF(B8="weekly",B7+4165,IF(B8="biweekly",B7+8330,B7+ROUND((595*365.25)/24,0))))</f>
        <v/>
      </c>
      <c r="C612" s="21">
        <f>IF((ROUND(F611-ROUND($B$13-D612,2),2)&lt;=0),ROUND(D612+E612,2),$B$13)</f>
        <v/>
      </c>
      <c r="D612" s="21">
        <f>ROUND(F611*B5/100/B10,2)</f>
        <v/>
      </c>
      <c r="E612" s="21">
        <f>IF((ROUND(F611-ROUND($B$13-D612,2),2)&lt;=0),F611,ROUND($B$13-D612,2))</f>
        <v/>
      </c>
      <c r="F612" s="21">
        <f>IF((ROUND(F611-ROUND($B$13-D612,2),2)&lt;=0),0,ROUND(F611-E612,2))</f>
        <v/>
      </c>
    </row>
    <row r="613">
      <c r="A613" s="6" t="n">
        <v>597</v>
      </c>
      <c r="B613" s="19">
        <f>IF(B8="monthly",DATE(YEAR(B7)+INT((MONTH(B7)-1+596)/12),MOD(MONTH(B7)-1+596,12)+1,1)+(DAY(B7)-1),IF(B8="weekly",B7+4172,IF(B8="biweekly",B7+8344,B7+ROUND((596*365.25)/24,0))))</f>
        <v/>
      </c>
      <c r="C613" s="21">
        <f>IF((ROUND(F612-ROUND($B$13-D613,2),2)&lt;=0),ROUND(D613+E613,2),$B$13)</f>
        <v/>
      </c>
      <c r="D613" s="21">
        <f>ROUND(F612*B5/100/B10,2)</f>
        <v/>
      </c>
      <c r="E613" s="21">
        <f>IF((ROUND(F612-ROUND($B$13-D613,2),2)&lt;=0),F612,ROUND($B$13-D613,2))</f>
        <v/>
      </c>
      <c r="F613" s="21">
        <f>IF((ROUND(F612-ROUND($B$13-D613,2),2)&lt;=0),0,ROUND(F612-E613,2))</f>
        <v/>
      </c>
    </row>
    <row r="614">
      <c r="A614" s="6" t="n">
        <v>598</v>
      </c>
      <c r="B614" s="19">
        <f>IF(B8="monthly",DATE(YEAR(B7)+INT((MONTH(B7)-1+597)/12),MOD(MONTH(B7)-1+597,12)+1,1)+(DAY(B7)-1),IF(B8="weekly",B7+4179,IF(B8="biweekly",B7+8358,B7+ROUND((597*365.25)/24,0))))</f>
        <v/>
      </c>
      <c r="C614" s="21">
        <f>IF((ROUND(F613-ROUND($B$13-D614,2),2)&lt;=0),ROUND(D614+E614,2),$B$13)</f>
        <v/>
      </c>
      <c r="D614" s="21">
        <f>ROUND(F613*B5/100/B10,2)</f>
        <v/>
      </c>
      <c r="E614" s="21">
        <f>IF((ROUND(F613-ROUND($B$13-D614,2),2)&lt;=0),F613,ROUND($B$13-D614,2))</f>
        <v/>
      </c>
      <c r="F614" s="21">
        <f>IF((ROUND(F613-ROUND($B$13-D614,2),2)&lt;=0),0,ROUND(F613-E614,2))</f>
        <v/>
      </c>
    </row>
    <row r="615">
      <c r="A615" s="6" t="n">
        <v>599</v>
      </c>
      <c r="B615" s="19">
        <f>IF(B8="monthly",DATE(YEAR(B7)+INT((MONTH(B7)-1+598)/12),MOD(MONTH(B7)-1+598,12)+1,1)+(DAY(B7)-1),IF(B8="weekly",B7+4186,IF(B8="biweekly",B7+8372,B7+ROUND((598*365.25)/24,0))))</f>
        <v/>
      </c>
      <c r="C615" s="21">
        <f>IF((ROUND(F614-ROUND($B$13-D615,2),2)&lt;=0),ROUND(D615+E615,2),$B$13)</f>
        <v/>
      </c>
      <c r="D615" s="21">
        <f>ROUND(F614*B5/100/B10,2)</f>
        <v/>
      </c>
      <c r="E615" s="21">
        <f>IF((ROUND(F614-ROUND($B$13-D615,2),2)&lt;=0),F614,ROUND($B$13-D615,2))</f>
        <v/>
      </c>
      <c r="F615" s="21">
        <f>IF((ROUND(F614-ROUND($B$13-D615,2),2)&lt;=0),0,ROUND(F614-E615,2))</f>
        <v/>
      </c>
    </row>
    <row r="616">
      <c r="A616" s="6" t="n">
        <v>600</v>
      </c>
      <c r="B616" s="19">
        <f>IF(B8="monthly",DATE(YEAR(B7)+INT((MONTH(B7)-1+599)/12),MOD(MONTH(B7)-1+599,12)+1,1)+(DAY(B7)-1),IF(B8="weekly",B7+4193,IF(B8="biweekly",B7+8386,B7+ROUND((599*365.25)/24,0))))</f>
        <v/>
      </c>
      <c r="C616" s="21">
        <f>IF((ROUND(F615-ROUND($B$13-D616,2),2)&lt;=0),ROUND(D616+E616,2),$B$13)</f>
        <v/>
      </c>
      <c r="D616" s="21">
        <f>ROUND(F615*B5/100/B10,2)</f>
        <v/>
      </c>
      <c r="E616" s="21">
        <f>IF((ROUND(F615-ROUND($B$13-D616,2),2)&lt;=0),F615,ROUND($B$13-D616,2))</f>
        <v/>
      </c>
      <c r="F616" s="21">
        <f>IF((ROUND(F615-ROUND($B$13-D616,2),2)&lt;=0),0,ROUND(F615-E616,2))</f>
        <v/>
      </c>
    </row>
    <row r="617">
      <c r="A617" s="6" t="n">
        <v>601</v>
      </c>
      <c r="B617" s="19">
        <f>IF(B8="monthly",DATE(YEAR(B7)+INT((MONTH(B7)-1+600)/12),MOD(MONTH(B7)-1+600,12)+1,1)+(DAY(B7)-1),IF(B8="weekly",B7+4200,IF(B8="biweekly",B7+8400,B7+ROUND((600*365.25)/24,0))))</f>
        <v/>
      </c>
      <c r="C617" s="21">
        <f>IF((ROUND(F616-ROUND($B$13-D617,2),2)&lt;=0),ROUND(D617+E617,2),$B$13)</f>
        <v/>
      </c>
      <c r="D617" s="21">
        <f>ROUND(F616*B5/100/B10,2)</f>
        <v/>
      </c>
      <c r="E617" s="21">
        <f>IF((ROUND(F616-ROUND($B$13-D617,2),2)&lt;=0),F616,ROUND($B$13-D617,2))</f>
        <v/>
      </c>
      <c r="F617" s="21">
        <f>IF((ROUND(F616-ROUND($B$13-D617,2),2)&lt;=0),0,ROUND(F616-E617,2))</f>
        <v/>
      </c>
    </row>
    <row r="618">
      <c r="A618" s="6" t="n">
        <v>602</v>
      </c>
      <c r="B618" s="19">
        <f>IF(B8="monthly",DATE(YEAR(B7)+INT((MONTH(B7)-1+601)/12),MOD(MONTH(B7)-1+601,12)+1,1)+(DAY(B7)-1),IF(B8="weekly",B7+4207,IF(B8="biweekly",B7+8414,B7+ROUND((601*365.25)/24,0))))</f>
        <v/>
      </c>
      <c r="C618" s="21">
        <f>IF((ROUND(F617-ROUND($B$13-D618,2),2)&lt;=0),ROUND(D618+E618,2),$B$13)</f>
        <v/>
      </c>
      <c r="D618" s="21">
        <f>ROUND(F617*B5/100/B10,2)</f>
        <v/>
      </c>
      <c r="E618" s="21">
        <f>IF((ROUND(F617-ROUND($B$13-D618,2),2)&lt;=0),F617,ROUND($B$13-D618,2))</f>
        <v/>
      </c>
      <c r="F618" s="21">
        <f>IF((ROUND(F617-ROUND($B$13-D618,2),2)&lt;=0),0,ROUND(F617-E618,2))</f>
        <v/>
      </c>
    </row>
    <row r="619">
      <c r="A619" s="6" t="n">
        <v>603</v>
      </c>
      <c r="B619" s="19">
        <f>IF(B8="monthly",DATE(YEAR(B7)+INT((MONTH(B7)-1+602)/12),MOD(MONTH(B7)-1+602,12)+1,1)+(DAY(B7)-1),IF(B8="weekly",B7+4214,IF(B8="biweekly",B7+8428,B7+ROUND((602*365.25)/24,0))))</f>
        <v/>
      </c>
      <c r="C619" s="21">
        <f>IF((ROUND(F618-ROUND($B$13-D619,2),2)&lt;=0),ROUND(D619+E619,2),$B$13)</f>
        <v/>
      </c>
      <c r="D619" s="21">
        <f>ROUND(F618*B5/100/B10,2)</f>
        <v/>
      </c>
      <c r="E619" s="21">
        <f>IF((ROUND(F618-ROUND($B$13-D619,2),2)&lt;=0),F618,ROUND($B$13-D619,2))</f>
        <v/>
      </c>
      <c r="F619" s="21">
        <f>IF((ROUND(F618-ROUND($B$13-D619,2),2)&lt;=0),0,ROUND(F618-E619,2))</f>
        <v/>
      </c>
    </row>
    <row r="620">
      <c r="A620" s="6" t="n">
        <v>604</v>
      </c>
      <c r="B620" s="19">
        <f>IF(B8="monthly",DATE(YEAR(B7)+INT((MONTH(B7)-1+603)/12),MOD(MONTH(B7)-1+603,12)+1,1)+(DAY(B7)-1),IF(B8="weekly",B7+4221,IF(B8="biweekly",B7+8442,B7+ROUND((603*365.25)/24,0))))</f>
        <v/>
      </c>
      <c r="C620" s="21">
        <f>IF((ROUND(F619-ROUND($B$13-D620,2),2)&lt;=0),ROUND(D620+E620,2),$B$13)</f>
        <v/>
      </c>
      <c r="D620" s="21">
        <f>ROUND(F619*B5/100/B10,2)</f>
        <v/>
      </c>
      <c r="E620" s="21">
        <f>IF((ROUND(F619-ROUND($B$13-D620,2),2)&lt;=0),F619,ROUND($B$13-D620,2))</f>
        <v/>
      </c>
      <c r="F620" s="21">
        <f>IF((ROUND(F619-ROUND($B$13-D620,2),2)&lt;=0),0,ROUND(F619-E620,2))</f>
        <v/>
      </c>
    </row>
    <row r="621">
      <c r="A621" s="6" t="n">
        <v>605</v>
      </c>
      <c r="B621" s="19">
        <f>IF(B8="monthly",DATE(YEAR(B7)+INT((MONTH(B7)-1+604)/12),MOD(MONTH(B7)-1+604,12)+1,1)+(DAY(B7)-1),IF(B8="weekly",B7+4228,IF(B8="biweekly",B7+8456,B7+ROUND((604*365.25)/24,0))))</f>
        <v/>
      </c>
      <c r="C621" s="21">
        <f>IF((ROUND(F620-ROUND($B$13-D621,2),2)&lt;=0),ROUND(D621+E621,2),$B$13)</f>
        <v/>
      </c>
      <c r="D621" s="21">
        <f>ROUND(F620*B5/100/B10,2)</f>
        <v/>
      </c>
      <c r="E621" s="21">
        <f>IF((ROUND(F620-ROUND($B$13-D621,2),2)&lt;=0),F620,ROUND($B$13-D621,2))</f>
        <v/>
      </c>
      <c r="F621" s="21">
        <f>IF((ROUND(F620-ROUND($B$13-D621,2),2)&lt;=0),0,ROUND(F620-E621,2))</f>
        <v/>
      </c>
    </row>
    <row r="622">
      <c r="A622" s="6" t="n">
        <v>606</v>
      </c>
      <c r="B622" s="19">
        <f>IF(B8="monthly",DATE(YEAR(B7)+INT((MONTH(B7)-1+605)/12),MOD(MONTH(B7)-1+605,12)+1,1)+(DAY(B7)-1),IF(B8="weekly",B7+4235,IF(B8="biweekly",B7+8470,B7+ROUND((605*365.25)/24,0))))</f>
        <v/>
      </c>
      <c r="C622" s="21">
        <f>IF((ROUND(F621-ROUND($B$13-D622,2),2)&lt;=0),ROUND(D622+E622,2),$B$13)</f>
        <v/>
      </c>
      <c r="D622" s="21">
        <f>ROUND(F621*B5/100/B10,2)</f>
        <v/>
      </c>
      <c r="E622" s="21">
        <f>IF((ROUND(F621-ROUND($B$13-D622,2),2)&lt;=0),F621,ROUND($B$13-D622,2))</f>
        <v/>
      </c>
      <c r="F622" s="21">
        <f>IF((ROUND(F621-ROUND($B$13-D622,2),2)&lt;=0),0,ROUND(F621-E622,2))</f>
        <v/>
      </c>
    </row>
    <row r="623">
      <c r="A623" s="6" t="n">
        <v>607</v>
      </c>
      <c r="B623" s="19">
        <f>IF(B8="monthly",DATE(YEAR(B7)+INT((MONTH(B7)-1+606)/12),MOD(MONTH(B7)-1+606,12)+1,1)+(DAY(B7)-1),IF(B8="weekly",B7+4242,IF(B8="biweekly",B7+8484,B7+ROUND((606*365.25)/24,0))))</f>
        <v/>
      </c>
      <c r="C623" s="21">
        <f>IF((ROUND(F622-ROUND($B$13-D623,2),2)&lt;=0),ROUND(D623+E623,2),$B$13)</f>
        <v/>
      </c>
      <c r="D623" s="21">
        <f>ROUND(F622*B5/100/B10,2)</f>
        <v/>
      </c>
      <c r="E623" s="21">
        <f>IF((ROUND(F622-ROUND($B$13-D623,2),2)&lt;=0),F622,ROUND($B$13-D623,2))</f>
        <v/>
      </c>
      <c r="F623" s="21">
        <f>IF((ROUND(F622-ROUND($B$13-D623,2),2)&lt;=0),0,ROUND(F622-E623,2))</f>
        <v/>
      </c>
    </row>
    <row r="624">
      <c r="A624" s="6" t="n">
        <v>608</v>
      </c>
      <c r="B624" s="19">
        <f>IF(B8="monthly",DATE(YEAR(B7)+INT((MONTH(B7)-1+607)/12),MOD(MONTH(B7)-1+607,12)+1,1)+(DAY(B7)-1),IF(B8="weekly",B7+4249,IF(B8="biweekly",B7+8498,B7+ROUND((607*365.25)/24,0))))</f>
        <v/>
      </c>
      <c r="C624" s="21">
        <f>IF((ROUND(F623-ROUND($B$13-D624,2),2)&lt;=0),ROUND(D624+E624,2),$B$13)</f>
        <v/>
      </c>
      <c r="D624" s="21">
        <f>ROUND(F623*B5/100/B10,2)</f>
        <v/>
      </c>
      <c r="E624" s="21">
        <f>IF((ROUND(F623-ROUND($B$13-D624,2),2)&lt;=0),F623,ROUND($B$13-D624,2))</f>
        <v/>
      </c>
      <c r="F624" s="21">
        <f>IF((ROUND(F623-ROUND($B$13-D624,2),2)&lt;=0),0,ROUND(F623-E624,2))</f>
        <v/>
      </c>
    </row>
    <row r="625">
      <c r="A625" s="6" t="n">
        <v>609</v>
      </c>
      <c r="B625" s="19">
        <f>IF(B8="monthly",DATE(YEAR(B7)+INT((MONTH(B7)-1+608)/12),MOD(MONTH(B7)-1+608,12)+1,1)+(DAY(B7)-1),IF(B8="weekly",B7+4256,IF(B8="biweekly",B7+8512,B7+ROUND((608*365.25)/24,0))))</f>
        <v/>
      </c>
      <c r="C625" s="21">
        <f>IF((ROUND(F624-ROUND($B$13-D625,2),2)&lt;=0),ROUND(D625+E625,2),$B$13)</f>
        <v/>
      </c>
      <c r="D625" s="21">
        <f>ROUND(F624*B5/100/B10,2)</f>
        <v/>
      </c>
      <c r="E625" s="21">
        <f>IF((ROUND(F624-ROUND($B$13-D625,2),2)&lt;=0),F624,ROUND($B$13-D625,2))</f>
        <v/>
      </c>
      <c r="F625" s="21">
        <f>IF((ROUND(F624-ROUND($B$13-D625,2),2)&lt;=0),0,ROUND(F624-E625,2))</f>
        <v/>
      </c>
    </row>
    <row r="626">
      <c r="A626" s="6" t="n">
        <v>610</v>
      </c>
      <c r="B626" s="19">
        <f>IF(B8="monthly",DATE(YEAR(B7)+INT((MONTH(B7)-1+609)/12),MOD(MONTH(B7)-1+609,12)+1,1)+(DAY(B7)-1),IF(B8="weekly",B7+4263,IF(B8="biweekly",B7+8526,B7+ROUND((609*365.25)/24,0))))</f>
        <v/>
      </c>
      <c r="C626" s="21">
        <f>IF((ROUND(F625-ROUND($B$13-D626,2),2)&lt;=0),ROUND(D626+E626,2),$B$13)</f>
        <v/>
      </c>
      <c r="D626" s="21">
        <f>ROUND(F625*B5/100/B10,2)</f>
        <v/>
      </c>
      <c r="E626" s="21">
        <f>IF((ROUND(F625-ROUND($B$13-D626,2),2)&lt;=0),F625,ROUND($B$13-D626,2))</f>
        <v/>
      </c>
      <c r="F626" s="21">
        <f>IF((ROUND(F625-ROUND($B$13-D626,2),2)&lt;=0),0,ROUND(F625-E626,2))</f>
        <v/>
      </c>
    </row>
    <row r="627">
      <c r="A627" s="6" t="n">
        <v>611</v>
      </c>
      <c r="B627" s="19">
        <f>IF(B8="monthly",DATE(YEAR(B7)+INT((MONTH(B7)-1+610)/12),MOD(MONTH(B7)-1+610,12)+1,1)+(DAY(B7)-1),IF(B8="weekly",B7+4270,IF(B8="biweekly",B7+8540,B7+ROUND((610*365.25)/24,0))))</f>
        <v/>
      </c>
      <c r="C627" s="21">
        <f>IF((ROUND(F626-ROUND($B$13-D627,2),2)&lt;=0),ROUND(D627+E627,2),$B$13)</f>
        <v/>
      </c>
      <c r="D627" s="21">
        <f>ROUND(F626*B5/100/B10,2)</f>
        <v/>
      </c>
      <c r="E627" s="21">
        <f>IF((ROUND(F626-ROUND($B$13-D627,2),2)&lt;=0),F626,ROUND($B$13-D627,2))</f>
        <v/>
      </c>
      <c r="F627" s="21">
        <f>IF((ROUND(F626-ROUND($B$13-D627,2),2)&lt;=0),0,ROUND(F626-E627,2))</f>
        <v/>
      </c>
    </row>
    <row r="628">
      <c r="A628" s="6" t="n">
        <v>612</v>
      </c>
      <c r="B628" s="19">
        <f>IF(B8="monthly",DATE(YEAR(B7)+INT((MONTH(B7)-1+611)/12),MOD(MONTH(B7)-1+611,12)+1,1)+(DAY(B7)-1),IF(B8="weekly",B7+4277,IF(B8="biweekly",B7+8554,B7+ROUND((611*365.25)/24,0))))</f>
        <v/>
      </c>
      <c r="C628" s="21">
        <f>IF((ROUND(F627-ROUND($B$13-D628,2),2)&lt;=0),ROUND(D628+E628,2),$B$13)</f>
        <v/>
      </c>
      <c r="D628" s="21">
        <f>ROUND(F627*B5/100/B10,2)</f>
        <v/>
      </c>
      <c r="E628" s="21">
        <f>IF((ROUND(F627-ROUND($B$13-D628,2),2)&lt;=0),F627,ROUND($B$13-D628,2))</f>
        <v/>
      </c>
      <c r="F628" s="21">
        <f>IF((ROUND(F627-ROUND($B$13-D628,2),2)&lt;=0),0,ROUND(F627-E628,2))</f>
        <v/>
      </c>
    </row>
    <row r="629">
      <c r="A629" s="6" t="n">
        <v>613</v>
      </c>
      <c r="B629" s="19">
        <f>IF(B8="monthly",DATE(YEAR(B7)+INT((MONTH(B7)-1+612)/12),MOD(MONTH(B7)-1+612,12)+1,1)+(DAY(B7)-1),IF(B8="weekly",B7+4284,IF(B8="biweekly",B7+8568,B7+ROUND((612*365.25)/24,0))))</f>
        <v/>
      </c>
      <c r="C629" s="21">
        <f>IF((ROUND(F628-ROUND($B$13-D629,2),2)&lt;=0),ROUND(D629+E629,2),$B$13)</f>
        <v/>
      </c>
      <c r="D629" s="21">
        <f>ROUND(F628*B5/100/B10,2)</f>
        <v/>
      </c>
      <c r="E629" s="21">
        <f>IF((ROUND(F628-ROUND($B$13-D629,2),2)&lt;=0),F628,ROUND($B$13-D629,2))</f>
        <v/>
      </c>
      <c r="F629" s="21">
        <f>IF((ROUND(F628-ROUND($B$13-D629,2),2)&lt;=0),0,ROUND(F628-E629,2))</f>
        <v/>
      </c>
    </row>
    <row r="630">
      <c r="A630" s="6" t="n">
        <v>614</v>
      </c>
      <c r="B630" s="19">
        <f>IF(B8="monthly",DATE(YEAR(B7)+INT((MONTH(B7)-1+613)/12),MOD(MONTH(B7)-1+613,12)+1,1)+(DAY(B7)-1),IF(B8="weekly",B7+4291,IF(B8="biweekly",B7+8582,B7+ROUND((613*365.25)/24,0))))</f>
        <v/>
      </c>
      <c r="C630" s="21">
        <f>IF((ROUND(F629-ROUND($B$13-D630,2),2)&lt;=0),ROUND(D630+E630,2),$B$13)</f>
        <v/>
      </c>
      <c r="D630" s="21">
        <f>ROUND(F629*B5/100/B10,2)</f>
        <v/>
      </c>
      <c r="E630" s="21">
        <f>IF((ROUND(F629-ROUND($B$13-D630,2),2)&lt;=0),F629,ROUND($B$13-D630,2))</f>
        <v/>
      </c>
      <c r="F630" s="21">
        <f>IF((ROUND(F629-ROUND($B$13-D630,2),2)&lt;=0),0,ROUND(F629-E630,2))</f>
        <v/>
      </c>
    </row>
    <row r="631">
      <c r="A631" s="6" t="n">
        <v>615</v>
      </c>
      <c r="B631" s="19">
        <f>IF(B8="monthly",DATE(YEAR(B7)+INT((MONTH(B7)-1+614)/12),MOD(MONTH(B7)-1+614,12)+1,1)+(DAY(B7)-1),IF(B8="weekly",B7+4298,IF(B8="biweekly",B7+8596,B7+ROUND((614*365.25)/24,0))))</f>
        <v/>
      </c>
      <c r="C631" s="21">
        <f>IF((ROUND(F630-ROUND($B$13-D631,2),2)&lt;=0),ROUND(D631+E631,2),$B$13)</f>
        <v/>
      </c>
      <c r="D631" s="21">
        <f>ROUND(F630*B5/100/B10,2)</f>
        <v/>
      </c>
      <c r="E631" s="21">
        <f>IF((ROUND(F630-ROUND($B$13-D631,2),2)&lt;=0),F630,ROUND($B$13-D631,2))</f>
        <v/>
      </c>
      <c r="F631" s="21">
        <f>IF((ROUND(F630-ROUND($B$13-D631,2),2)&lt;=0),0,ROUND(F630-E631,2))</f>
        <v/>
      </c>
    </row>
    <row r="632">
      <c r="A632" s="6" t="n">
        <v>616</v>
      </c>
      <c r="B632" s="19">
        <f>IF(B8="monthly",DATE(YEAR(B7)+INT((MONTH(B7)-1+615)/12),MOD(MONTH(B7)-1+615,12)+1,1)+(DAY(B7)-1),IF(B8="weekly",B7+4305,IF(B8="biweekly",B7+8610,B7+ROUND((615*365.25)/24,0))))</f>
        <v/>
      </c>
      <c r="C632" s="21">
        <f>IF((ROUND(F631-ROUND($B$13-D632,2),2)&lt;=0),ROUND(D632+E632,2),$B$13)</f>
        <v/>
      </c>
      <c r="D632" s="21">
        <f>ROUND(F631*B5/100/B10,2)</f>
        <v/>
      </c>
      <c r="E632" s="21">
        <f>IF((ROUND(F631-ROUND($B$13-D632,2),2)&lt;=0),F631,ROUND($B$13-D632,2))</f>
        <v/>
      </c>
      <c r="F632" s="21">
        <f>IF((ROUND(F631-ROUND($B$13-D632,2),2)&lt;=0),0,ROUND(F631-E632,2))</f>
        <v/>
      </c>
    </row>
    <row r="633">
      <c r="A633" s="6" t="n">
        <v>617</v>
      </c>
      <c r="B633" s="19">
        <f>IF(B8="monthly",DATE(YEAR(B7)+INT((MONTH(B7)-1+616)/12),MOD(MONTH(B7)-1+616,12)+1,1)+(DAY(B7)-1),IF(B8="weekly",B7+4312,IF(B8="biweekly",B7+8624,B7+ROUND((616*365.25)/24,0))))</f>
        <v/>
      </c>
      <c r="C633" s="21">
        <f>IF((ROUND(F632-ROUND($B$13-D633,2),2)&lt;=0),ROUND(D633+E633,2),$B$13)</f>
        <v/>
      </c>
      <c r="D633" s="21">
        <f>ROUND(F632*B5/100/B10,2)</f>
        <v/>
      </c>
      <c r="E633" s="21">
        <f>IF((ROUND(F632-ROUND($B$13-D633,2),2)&lt;=0),F632,ROUND($B$13-D633,2))</f>
        <v/>
      </c>
      <c r="F633" s="21">
        <f>IF((ROUND(F632-ROUND($B$13-D633,2),2)&lt;=0),0,ROUND(F632-E633,2))</f>
        <v/>
      </c>
    </row>
    <row r="634">
      <c r="A634" s="6" t="n">
        <v>618</v>
      </c>
      <c r="B634" s="19">
        <f>IF(B8="monthly",DATE(YEAR(B7)+INT((MONTH(B7)-1+617)/12),MOD(MONTH(B7)-1+617,12)+1,1)+(DAY(B7)-1),IF(B8="weekly",B7+4319,IF(B8="biweekly",B7+8638,B7+ROUND((617*365.25)/24,0))))</f>
        <v/>
      </c>
      <c r="C634" s="21">
        <f>IF((ROUND(F633-ROUND($B$13-D634,2),2)&lt;=0),ROUND(D634+E634,2),$B$13)</f>
        <v/>
      </c>
      <c r="D634" s="21">
        <f>ROUND(F633*B5/100/B10,2)</f>
        <v/>
      </c>
      <c r="E634" s="21">
        <f>IF((ROUND(F633-ROUND($B$13-D634,2),2)&lt;=0),F633,ROUND($B$13-D634,2))</f>
        <v/>
      </c>
      <c r="F634" s="21">
        <f>IF((ROUND(F633-ROUND($B$13-D634,2),2)&lt;=0),0,ROUND(F633-E634,2))</f>
        <v/>
      </c>
    </row>
    <row r="635">
      <c r="A635" s="6" t="n">
        <v>619</v>
      </c>
      <c r="B635" s="19">
        <f>IF(B8="monthly",DATE(YEAR(B7)+INT((MONTH(B7)-1+618)/12),MOD(MONTH(B7)-1+618,12)+1,1)+(DAY(B7)-1),IF(B8="weekly",B7+4326,IF(B8="biweekly",B7+8652,B7+ROUND((618*365.25)/24,0))))</f>
        <v/>
      </c>
      <c r="C635" s="21">
        <f>IF((ROUND(F634-ROUND($B$13-D635,2),2)&lt;=0),ROUND(D635+E635,2),$B$13)</f>
        <v/>
      </c>
      <c r="D635" s="21">
        <f>ROUND(F634*B5/100/B10,2)</f>
        <v/>
      </c>
      <c r="E635" s="21">
        <f>IF((ROUND(F634-ROUND($B$13-D635,2),2)&lt;=0),F634,ROUND($B$13-D635,2))</f>
        <v/>
      </c>
      <c r="F635" s="21">
        <f>IF((ROUND(F634-ROUND($B$13-D635,2),2)&lt;=0),0,ROUND(F634-E635,2))</f>
        <v/>
      </c>
    </row>
    <row r="636">
      <c r="A636" s="6" t="n">
        <v>620</v>
      </c>
      <c r="B636" s="19">
        <f>IF(B8="monthly",DATE(YEAR(B7)+INT((MONTH(B7)-1+619)/12),MOD(MONTH(B7)-1+619,12)+1,1)+(DAY(B7)-1),IF(B8="weekly",B7+4333,IF(B8="biweekly",B7+8666,B7+ROUND((619*365.25)/24,0))))</f>
        <v/>
      </c>
      <c r="C636" s="21">
        <f>IF((ROUND(F635-ROUND($B$13-D636,2),2)&lt;=0),ROUND(D636+E636,2),$B$13)</f>
        <v/>
      </c>
      <c r="D636" s="21">
        <f>ROUND(F635*B5/100/B10,2)</f>
        <v/>
      </c>
      <c r="E636" s="21">
        <f>IF((ROUND(F635-ROUND($B$13-D636,2),2)&lt;=0),F635,ROUND($B$13-D636,2))</f>
        <v/>
      </c>
      <c r="F636" s="21">
        <f>IF((ROUND(F635-ROUND($B$13-D636,2),2)&lt;=0),0,ROUND(F635-E636,2))</f>
        <v/>
      </c>
    </row>
    <row r="637">
      <c r="A637" s="6" t="n">
        <v>621</v>
      </c>
      <c r="B637" s="19">
        <f>IF(B8="monthly",DATE(YEAR(B7)+INT((MONTH(B7)-1+620)/12),MOD(MONTH(B7)-1+620,12)+1,1)+(DAY(B7)-1),IF(B8="weekly",B7+4340,IF(B8="biweekly",B7+8680,B7+ROUND((620*365.25)/24,0))))</f>
        <v/>
      </c>
      <c r="C637" s="21">
        <f>IF((ROUND(F636-ROUND($B$13-D637,2),2)&lt;=0),ROUND(D637+E637,2),$B$13)</f>
        <v/>
      </c>
      <c r="D637" s="21">
        <f>ROUND(F636*B5/100/B10,2)</f>
        <v/>
      </c>
      <c r="E637" s="21">
        <f>IF((ROUND(F636-ROUND($B$13-D637,2),2)&lt;=0),F636,ROUND($B$13-D637,2))</f>
        <v/>
      </c>
      <c r="F637" s="21">
        <f>IF((ROUND(F636-ROUND($B$13-D637,2),2)&lt;=0),0,ROUND(F636-E637,2))</f>
        <v/>
      </c>
    </row>
    <row r="638">
      <c r="A638" s="6" t="n">
        <v>622</v>
      </c>
      <c r="B638" s="19">
        <f>IF(B8="monthly",DATE(YEAR(B7)+INT((MONTH(B7)-1+621)/12),MOD(MONTH(B7)-1+621,12)+1,1)+(DAY(B7)-1),IF(B8="weekly",B7+4347,IF(B8="biweekly",B7+8694,B7+ROUND((621*365.25)/24,0))))</f>
        <v/>
      </c>
      <c r="C638" s="21">
        <f>IF((ROUND(F637-ROUND($B$13-D638,2),2)&lt;=0),ROUND(D638+E638,2),$B$13)</f>
        <v/>
      </c>
      <c r="D638" s="21">
        <f>ROUND(F637*B5/100/B10,2)</f>
        <v/>
      </c>
      <c r="E638" s="21">
        <f>IF((ROUND(F637-ROUND($B$13-D638,2),2)&lt;=0),F637,ROUND($B$13-D638,2))</f>
        <v/>
      </c>
      <c r="F638" s="21">
        <f>IF((ROUND(F637-ROUND($B$13-D638,2),2)&lt;=0),0,ROUND(F637-E638,2))</f>
        <v/>
      </c>
    </row>
    <row r="639">
      <c r="A639" s="6" t="n">
        <v>623</v>
      </c>
      <c r="B639" s="19">
        <f>IF(B8="monthly",DATE(YEAR(B7)+INT((MONTH(B7)-1+622)/12),MOD(MONTH(B7)-1+622,12)+1,1)+(DAY(B7)-1),IF(B8="weekly",B7+4354,IF(B8="biweekly",B7+8708,B7+ROUND((622*365.25)/24,0))))</f>
        <v/>
      </c>
      <c r="C639" s="21">
        <f>IF((ROUND(F638-ROUND($B$13-D639,2),2)&lt;=0),ROUND(D639+E639,2),$B$13)</f>
        <v/>
      </c>
      <c r="D639" s="21">
        <f>ROUND(F638*B5/100/B10,2)</f>
        <v/>
      </c>
      <c r="E639" s="21">
        <f>IF((ROUND(F638-ROUND($B$13-D639,2),2)&lt;=0),F638,ROUND($B$13-D639,2))</f>
        <v/>
      </c>
      <c r="F639" s="21">
        <f>IF((ROUND(F638-ROUND($B$13-D639,2),2)&lt;=0),0,ROUND(F638-E639,2))</f>
        <v/>
      </c>
    </row>
    <row r="640">
      <c r="A640" s="6" t="n">
        <v>624</v>
      </c>
      <c r="B640" s="19">
        <f>IF(B8="monthly",DATE(YEAR(B7)+INT((MONTH(B7)-1+623)/12),MOD(MONTH(B7)-1+623,12)+1,1)+(DAY(B7)-1),IF(B8="weekly",B7+4361,IF(B8="biweekly",B7+8722,B7+ROUND((623*365.25)/24,0))))</f>
        <v/>
      </c>
      <c r="C640" s="21">
        <f>IF((ROUND(F639-ROUND($B$13-D640,2),2)&lt;=0),ROUND(D640+E640,2),$B$13)</f>
        <v/>
      </c>
      <c r="D640" s="21">
        <f>ROUND(F639*B5/100/B10,2)</f>
        <v/>
      </c>
      <c r="E640" s="21">
        <f>IF((ROUND(F639-ROUND($B$13-D640,2),2)&lt;=0),F639,ROUND($B$13-D640,2))</f>
        <v/>
      </c>
      <c r="F640" s="21">
        <f>IF((ROUND(F639-ROUND($B$13-D640,2),2)&lt;=0),0,ROUND(F639-E640,2))</f>
        <v/>
      </c>
    </row>
    <row r="641">
      <c r="A641" s="6" t="n">
        <v>625</v>
      </c>
      <c r="B641" s="19">
        <f>IF(B8="monthly",DATE(YEAR(B7)+INT((MONTH(B7)-1+624)/12),MOD(MONTH(B7)-1+624,12)+1,1)+(DAY(B7)-1),IF(B8="weekly",B7+4368,IF(B8="biweekly",B7+8736,B7+ROUND((624*365.25)/24,0))))</f>
        <v/>
      </c>
      <c r="C641" s="21">
        <f>IF((ROUND(F640-ROUND($B$13-D641,2),2)&lt;=0),ROUND(D641+E641,2),$B$13)</f>
        <v/>
      </c>
      <c r="D641" s="21">
        <f>ROUND(F640*B5/100/B10,2)</f>
        <v/>
      </c>
      <c r="E641" s="21">
        <f>IF((ROUND(F640-ROUND($B$13-D641,2),2)&lt;=0),F640,ROUND($B$13-D641,2))</f>
        <v/>
      </c>
      <c r="F641" s="21">
        <f>IF((ROUND(F640-ROUND($B$13-D641,2),2)&lt;=0),0,ROUND(F640-E641,2))</f>
        <v/>
      </c>
    </row>
    <row r="642">
      <c r="A642" s="6" t="n">
        <v>626</v>
      </c>
      <c r="B642" s="19">
        <f>IF(B8="monthly",DATE(YEAR(B7)+INT((MONTH(B7)-1+625)/12),MOD(MONTH(B7)-1+625,12)+1,1)+(DAY(B7)-1),IF(B8="weekly",B7+4375,IF(B8="biweekly",B7+8750,B7+ROUND((625*365.25)/24,0))))</f>
        <v/>
      </c>
      <c r="C642" s="21">
        <f>IF((ROUND(F641-ROUND($B$13-D642,2),2)&lt;=0),ROUND(D642+E642,2),$B$13)</f>
        <v/>
      </c>
      <c r="D642" s="21">
        <f>ROUND(F641*B5/100/B10,2)</f>
        <v/>
      </c>
      <c r="E642" s="21">
        <f>IF((ROUND(F641-ROUND($B$13-D642,2),2)&lt;=0),F641,ROUND($B$13-D642,2))</f>
        <v/>
      </c>
      <c r="F642" s="21">
        <f>IF((ROUND(F641-ROUND($B$13-D642,2),2)&lt;=0),0,ROUND(F641-E642,2))</f>
        <v/>
      </c>
    </row>
    <row r="643">
      <c r="A643" s="6" t="n">
        <v>627</v>
      </c>
      <c r="B643" s="19">
        <f>IF(B8="monthly",DATE(YEAR(B7)+INT((MONTH(B7)-1+626)/12),MOD(MONTH(B7)-1+626,12)+1,1)+(DAY(B7)-1),IF(B8="weekly",B7+4382,IF(B8="biweekly",B7+8764,B7+ROUND((626*365.25)/24,0))))</f>
        <v/>
      </c>
      <c r="C643" s="21">
        <f>IF((ROUND(F642-ROUND($B$13-D643,2),2)&lt;=0),ROUND(D643+E643,2),$B$13)</f>
        <v/>
      </c>
      <c r="D643" s="21">
        <f>ROUND(F642*B5/100/B10,2)</f>
        <v/>
      </c>
      <c r="E643" s="21">
        <f>IF((ROUND(F642-ROUND($B$13-D643,2),2)&lt;=0),F642,ROUND($B$13-D643,2))</f>
        <v/>
      </c>
      <c r="F643" s="21">
        <f>IF((ROUND(F642-ROUND($B$13-D643,2),2)&lt;=0),0,ROUND(F642-E643,2))</f>
        <v/>
      </c>
    </row>
    <row r="644">
      <c r="A644" s="6" t="n">
        <v>628</v>
      </c>
      <c r="B644" s="19">
        <f>IF(B8="monthly",DATE(YEAR(B7)+INT((MONTH(B7)-1+627)/12),MOD(MONTH(B7)-1+627,12)+1,1)+(DAY(B7)-1),IF(B8="weekly",B7+4389,IF(B8="biweekly",B7+8778,B7+ROUND((627*365.25)/24,0))))</f>
        <v/>
      </c>
      <c r="C644" s="21">
        <f>IF((ROUND(F643-ROUND($B$13-D644,2),2)&lt;=0),ROUND(D644+E644,2),$B$13)</f>
        <v/>
      </c>
      <c r="D644" s="21">
        <f>ROUND(F643*B5/100/B10,2)</f>
        <v/>
      </c>
      <c r="E644" s="21">
        <f>IF((ROUND(F643-ROUND($B$13-D644,2),2)&lt;=0),F643,ROUND($B$13-D644,2))</f>
        <v/>
      </c>
      <c r="F644" s="21">
        <f>IF((ROUND(F643-ROUND($B$13-D644,2),2)&lt;=0),0,ROUND(F643-E644,2))</f>
        <v/>
      </c>
    </row>
    <row r="645">
      <c r="A645" s="6" t="n">
        <v>629</v>
      </c>
      <c r="B645" s="19">
        <f>IF(B8="monthly",DATE(YEAR(B7)+INT((MONTH(B7)-1+628)/12),MOD(MONTH(B7)-1+628,12)+1,1)+(DAY(B7)-1),IF(B8="weekly",B7+4396,IF(B8="biweekly",B7+8792,B7+ROUND((628*365.25)/24,0))))</f>
        <v/>
      </c>
      <c r="C645" s="21">
        <f>IF((ROUND(F644-ROUND($B$13-D645,2),2)&lt;=0),ROUND(D645+E645,2),$B$13)</f>
        <v/>
      </c>
      <c r="D645" s="21">
        <f>ROUND(F644*B5/100/B10,2)</f>
        <v/>
      </c>
      <c r="E645" s="21">
        <f>IF((ROUND(F644-ROUND($B$13-D645,2),2)&lt;=0),F644,ROUND($B$13-D645,2))</f>
        <v/>
      </c>
      <c r="F645" s="21">
        <f>IF((ROUND(F644-ROUND($B$13-D645,2),2)&lt;=0),0,ROUND(F644-E645,2))</f>
        <v/>
      </c>
    </row>
    <row r="646">
      <c r="A646" s="6" t="n">
        <v>630</v>
      </c>
      <c r="B646" s="19">
        <f>IF(B8="monthly",DATE(YEAR(B7)+INT((MONTH(B7)-1+629)/12),MOD(MONTH(B7)-1+629,12)+1,1)+(DAY(B7)-1),IF(B8="weekly",B7+4403,IF(B8="biweekly",B7+8806,B7+ROUND((629*365.25)/24,0))))</f>
        <v/>
      </c>
      <c r="C646" s="21">
        <f>IF((ROUND(F645-ROUND($B$13-D646,2),2)&lt;=0),ROUND(D646+E646,2),$B$13)</f>
        <v/>
      </c>
      <c r="D646" s="21">
        <f>ROUND(F645*B5/100/B10,2)</f>
        <v/>
      </c>
      <c r="E646" s="21">
        <f>IF((ROUND(F645-ROUND($B$13-D646,2),2)&lt;=0),F645,ROUND($B$13-D646,2))</f>
        <v/>
      </c>
      <c r="F646" s="21">
        <f>IF((ROUND(F645-ROUND($B$13-D646,2),2)&lt;=0),0,ROUND(F645-E646,2))</f>
        <v/>
      </c>
    </row>
    <row r="647">
      <c r="A647" s="6" t="n">
        <v>631</v>
      </c>
      <c r="B647" s="19">
        <f>IF(B8="monthly",DATE(YEAR(B7)+INT((MONTH(B7)-1+630)/12),MOD(MONTH(B7)-1+630,12)+1,1)+(DAY(B7)-1),IF(B8="weekly",B7+4410,IF(B8="biweekly",B7+8820,B7+ROUND((630*365.25)/24,0))))</f>
        <v/>
      </c>
      <c r="C647" s="21">
        <f>IF((ROUND(F646-ROUND($B$13-D647,2),2)&lt;=0),ROUND(D647+E647,2),$B$13)</f>
        <v/>
      </c>
      <c r="D647" s="21">
        <f>ROUND(F646*B5/100/B10,2)</f>
        <v/>
      </c>
      <c r="E647" s="21">
        <f>IF((ROUND(F646-ROUND($B$13-D647,2),2)&lt;=0),F646,ROUND($B$13-D647,2))</f>
        <v/>
      </c>
      <c r="F647" s="21">
        <f>IF((ROUND(F646-ROUND($B$13-D647,2),2)&lt;=0),0,ROUND(F646-E647,2))</f>
        <v/>
      </c>
    </row>
    <row r="648">
      <c r="A648" s="6" t="n">
        <v>632</v>
      </c>
      <c r="B648" s="19">
        <f>IF(B8="monthly",DATE(YEAR(B7)+INT((MONTH(B7)-1+631)/12),MOD(MONTH(B7)-1+631,12)+1,1)+(DAY(B7)-1),IF(B8="weekly",B7+4417,IF(B8="biweekly",B7+8834,B7+ROUND((631*365.25)/24,0))))</f>
        <v/>
      </c>
      <c r="C648" s="21">
        <f>IF((ROUND(F647-ROUND($B$13-D648,2),2)&lt;=0),ROUND(D648+E648,2),$B$13)</f>
        <v/>
      </c>
      <c r="D648" s="21">
        <f>ROUND(F647*B5/100/B10,2)</f>
        <v/>
      </c>
      <c r="E648" s="21">
        <f>IF((ROUND(F647-ROUND($B$13-D648,2),2)&lt;=0),F647,ROUND($B$13-D648,2))</f>
        <v/>
      </c>
      <c r="F648" s="21">
        <f>IF((ROUND(F647-ROUND($B$13-D648,2),2)&lt;=0),0,ROUND(F647-E648,2))</f>
        <v/>
      </c>
    </row>
    <row r="649">
      <c r="A649" s="6" t="n">
        <v>633</v>
      </c>
      <c r="B649" s="19">
        <f>IF(B8="monthly",DATE(YEAR(B7)+INT((MONTH(B7)-1+632)/12),MOD(MONTH(B7)-1+632,12)+1,1)+(DAY(B7)-1),IF(B8="weekly",B7+4424,IF(B8="biweekly",B7+8848,B7+ROUND((632*365.25)/24,0))))</f>
        <v/>
      </c>
      <c r="C649" s="21">
        <f>IF((ROUND(F648-ROUND($B$13-D649,2),2)&lt;=0),ROUND(D649+E649,2),$B$13)</f>
        <v/>
      </c>
      <c r="D649" s="21">
        <f>ROUND(F648*B5/100/B10,2)</f>
        <v/>
      </c>
      <c r="E649" s="21">
        <f>IF((ROUND(F648-ROUND($B$13-D649,2),2)&lt;=0),F648,ROUND($B$13-D649,2))</f>
        <v/>
      </c>
      <c r="F649" s="21">
        <f>IF((ROUND(F648-ROUND($B$13-D649,2),2)&lt;=0),0,ROUND(F648-E649,2))</f>
        <v/>
      </c>
    </row>
    <row r="650">
      <c r="A650" s="6" t="n">
        <v>634</v>
      </c>
      <c r="B650" s="19">
        <f>IF(B8="monthly",DATE(YEAR(B7)+INT((MONTH(B7)-1+633)/12),MOD(MONTH(B7)-1+633,12)+1,1)+(DAY(B7)-1),IF(B8="weekly",B7+4431,IF(B8="biweekly",B7+8862,B7+ROUND((633*365.25)/24,0))))</f>
        <v/>
      </c>
      <c r="C650" s="21">
        <f>IF((ROUND(F649-ROUND($B$13-D650,2),2)&lt;=0),ROUND(D650+E650,2),$B$13)</f>
        <v/>
      </c>
      <c r="D650" s="21">
        <f>ROUND(F649*B5/100/B10,2)</f>
        <v/>
      </c>
      <c r="E650" s="21">
        <f>IF((ROUND(F649-ROUND($B$13-D650,2),2)&lt;=0),F649,ROUND($B$13-D650,2))</f>
        <v/>
      </c>
      <c r="F650" s="21">
        <f>IF((ROUND(F649-ROUND($B$13-D650,2),2)&lt;=0),0,ROUND(F649-E650,2))</f>
        <v/>
      </c>
    </row>
    <row r="651">
      <c r="A651" s="6" t="n">
        <v>635</v>
      </c>
      <c r="B651" s="19">
        <f>IF(B8="monthly",DATE(YEAR(B7)+INT((MONTH(B7)-1+634)/12),MOD(MONTH(B7)-1+634,12)+1,1)+(DAY(B7)-1),IF(B8="weekly",B7+4438,IF(B8="biweekly",B7+8876,B7+ROUND((634*365.25)/24,0))))</f>
        <v/>
      </c>
      <c r="C651" s="21">
        <f>IF((ROUND(F650-ROUND($B$13-D651,2),2)&lt;=0),ROUND(D651+E651,2),$B$13)</f>
        <v/>
      </c>
      <c r="D651" s="21">
        <f>ROUND(F650*B5/100/B10,2)</f>
        <v/>
      </c>
      <c r="E651" s="21">
        <f>IF((ROUND(F650-ROUND($B$13-D651,2),2)&lt;=0),F650,ROUND($B$13-D651,2))</f>
        <v/>
      </c>
      <c r="F651" s="21">
        <f>IF((ROUND(F650-ROUND($B$13-D651,2),2)&lt;=0),0,ROUND(F650-E651,2))</f>
        <v/>
      </c>
    </row>
    <row r="652">
      <c r="A652" s="6" t="n">
        <v>636</v>
      </c>
      <c r="B652" s="19">
        <f>IF(B8="monthly",DATE(YEAR(B7)+INT((MONTH(B7)-1+635)/12),MOD(MONTH(B7)-1+635,12)+1,1)+(DAY(B7)-1),IF(B8="weekly",B7+4445,IF(B8="biweekly",B7+8890,B7+ROUND((635*365.25)/24,0))))</f>
        <v/>
      </c>
      <c r="C652" s="21">
        <f>IF((ROUND(F651-ROUND($B$13-D652,2),2)&lt;=0),ROUND(D652+E652,2),$B$13)</f>
        <v/>
      </c>
      <c r="D652" s="21">
        <f>ROUND(F651*B5/100/B10,2)</f>
        <v/>
      </c>
      <c r="E652" s="21">
        <f>IF((ROUND(F651-ROUND($B$13-D652,2),2)&lt;=0),F651,ROUND($B$13-D652,2))</f>
        <v/>
      </c>
      <c r="F652" s="21">
        <f>IF((ROUND(F651-ROUND($B$13-D652,2),2)&lt;=0),0,ROUND(F651-E652,2))</f>
        <v/>
      </c>
    </row>
    <row r="653">
      <c r="A653" s="6" t="n">
        <v>637</v>
      </c>
      <c r="B653" s="19">
        <f>IF(B8="monthly",DATE(YEAR(B7)+INT((MONTH(B7)-1+636)/12),MOD(MONTH(B7)-1+636,12)+1,1)+(DAY(B7)-1),IF(B8="weekly",B7+4452,IF(B8="biweekly",B7+8904,B7+ROUND((636*365.25)/24,0))))</f>
        <v/>
      </c>
      <c r="C653" s="21">
        <f>IF((ROUND(F652-ROUND($B$13-D653,2),2)&lt;=0),ROUND(D653+E653,2),$B$13)</f>
        <v/>
      </c>
      <c r="D653" s="21">
        <f>ROUND(F652*B5/100/B10,2)</f>
        <v/>
      </c>
      <c r="E653" s="21">
        <f>IF((ROUND(F652-ROUND($B$13-D653,2),2)&lt;=0),F652,ROUND($B$13-D653,2))</f>
        <v/>
      </c>
      <c r="F653" s="21">
        <f>IF((ROUND(F652-ROUND($B$13-D653,2),2)&lt;=0),0,ROUND(F652-E653,2))</f>
        <v/>
      </c>
    </row>
    <row r="654">
      <c r="A654" s="6" t="n">
        <v>638</v>
      </c>
      <c r="B654" s="19">
        <f>IF(B8="monthly",DATE(YEAR(B7)+INT((MONTH(B7)-1+637)/12),MOD(MONTH(B7)-1+637,12)+1,1)+(DAY(B7)-1),IF(B8="weekly",B7+4459,IF(B8="biweekly",B7+8918,B7+ROUND((637*365.25)/24,0))))</f>
        <v/>
      </c>
      <c r="C654" s="21">
        <f>IF((ROUND(F653-ROUND($B$13-D654,2),2)&lt;=0),ROUND(D654+E654,2),$B$13)</f>
        <v/>
      </c>
      <c r="D654" s="21">
        <f>ROUND(F653*B5/100/B10,2)</f>
        <v/>
      </c>
      <c r="E654" s="21">
        <f>IF((ROUND(F653-ROUND($B$13-D654,2),2)&lt;=0),F653,ROUND($B$13-D654,2))</f>
        <v/>
      </c>
      <c r="F654" s="21">
        <f>IF((ROUND(F653-ROUND($B$13-D654,2),2)&lt;=0),0,ROUND(F653-E654,2))</f>
        <v/>
      </c>
    </row>
    <row r="655">
      <c r="A655" s="6" t="n">
        <v>639</v>
      </c>
      <c r="B655" s="19">
        <f>IF(B8="monthly",DATE(YEAR(B7)+INT((MONTH(B7)-1+638)/12),MOD(MONTH(B7)-1+638,12)+1,1)+(DAY(B7)-1),IF(B8="weekly",B7+4466,IF(B8="biweekly",B7+8932,B7+ROUND((638*365.25)/24,0))))</f>
        <v/>
      </c>
      <c r="C655" s="21">
        <f>IF((ROUND(F654-ROUND($B$13-D655,2),2)&lt;=0),ROUND(D655+E655,2),$B$13)</f>
        <v/>
      </c>
      <c r="D655" s="21">
        <f>ROUND(F654*B5/100/B10,2)</f>
        <v/>
      </c>
      <c r="E655" s="21">
        <f>IF((ROUND(F654-ROUND($B$13-D655,2),2)&lt;=0),F654,ROUND($B$13-D655,2))</f>
        <v/>
      </c>
      <c r="F655" s="21">
        <f>IF((ROUND(F654-ROUND($B$13-D655,2),2)&lt;=0),0,ROUND(F654-E655,2))</f>
        <v/>
      </c>
    </row>
    <row r="656">
      <c r="A656" s="6" t="n">
        <v>640</v>
      </c>
      <c r="B656" s="19">
        <f>IF(B8="monthly",DATE(YEAR(B7)+INT((MONTH(B7)-1+639)/12),MOD(MONTH(B7)-1+639,12)+1,1)+(DAY(B7)-1),IF(B8="weekly",B7+4473,IF(B8="biweekly",B7+8946,B7+ROUND((639*365.25)/24,0))))</f>
        <v/>
      </c>
      <c r="C656" s="21">
        <f>IF((ROUND(F655-ROUND($B$13-D656,2),2)&lt;=0),ROUND(D656+E656,2),$B$13)</f>
        <v/>
      </c>
      <c r="D656" s="21">
        <f>ROUND(F655*B5/100/B10,2)</f>
        <v/>
      </c>
      <c r="E656" s="21">
        <f>IF((ROUND(F655-ROUND($B$13-D656,2),2)&lt;=0),F655,ROUND($B$13-D656,2))</f>
        <v/>
      </c>
      <c r="F656" s="21">
        <f>IF((ROUND(F655-ROUND($B$13-D656,2),2)&lt;=0),0,ROUND(F655-E656,2))</f>
        <v/>
      </c>
    </row>
    <row r="657">
      <c r="A657" s="6" t="n">
        <v>641</v>
      </c>
      <c r="B657" s="19">
        <f>IF(B8="monthly",DATE(YEAR(B7)+INT((MONTH(B7)-1+640)/12),MOD(MONTH(B7)-1+640,12)+1,1)+(DAY(B7)-1),IF(B8="weekly",B7+4480,IF(B8="biweekly",B7+8960,B7+ROUND((640*365.25)/24,0))))</f>
        <v/>
      </c>
      <c r="C657" s="21">
        <f>IF((ROUND(F656-ROUND($B$13-D657,2),2)&lt;=0),ROUND(D657+E657,2),$B$13)</f>
        <v/>
      </c>
      <c r="D657" s="21">
        <f>ROUND(F656*B5/100/B10,2)</f>
        <v/>
      </c>
      <c r="E657" s="21">
        <f>IF((ROUND(F656-ROUND($B$13-D657,2),2)&lt;=0),F656,ROUND($B$13-D657,2))</f>
        <v/>
      </c>
      <c r="F657" s="21">
        <f>IF((ROUND(F656-ROUND($B$13-D657,2),2)&lt;=0),0,ROUND(F656-E657,2))</f>
        <v/>
      </c>
    </row>
    <row r="658">
      <c r="A658" s="6" t="n">
        <v>642</v>
      </c>
      <c r="B658" s="19">
        <f>IF(B8="monthly",DATE(YEAR(B7)+INT((MONTH(B7)-1+641)/12),MOD(MONTH(B7)-1+641,12)+1,1)+(DAY(B7)-1),IF(B8="weekly",B7+4487,IF(B8="biweekly",B7+8974,B7+ROUND((641*365.25)/24,0))))</f>
        <v/>
      </c>
      <c r="C658" s="21">
        <f>IF((ROUND(F657-ROUND($B$13-D658,2),2)&lt;=0),ROUND(D658+E658,2),$B$13)</f>
        <v/>
      </c>
      <c r="D658" s="21">
        <f>ROUND(F657*B5/100/B10,2)</f>
        <v/>
      </c>
      <c r="E658" s="21">
        <f>IF((ROUND(F657-ROUND($B$13-D658,2),2)&lt;=0),F657,ROUND($B$13-D658,2))</f>
        <v/>
      </c>
      <c r="F658" s="21">
        <f>IF((ROUND(F657-ROUND($B$13-D658,2),2)&lt;=0),0,ROUND(F657-E658,2))</f>
        <v/>
      </c>
    </row>
    <row r="659">
      <c r="A659" s="6" t="n">
        <v>643</v>
      </c>
      <c r="B659" s="19">
        <f>IF(B8="monthly",DATE(YEAR(B7)+INT((MONTH(B7)-1+642)/12),MOD(MONTH(B7)-1+642,12)+1,1)+(DAY(B7)-1),IF(B8="weekly",B7+4494,IF(B8="biweekly",B7+8988,B7+ROUND((642*365.25)/24,0))))</f>
        <v/>
      </c>
      <c r="C659" s="21">
        <f>IF((ROUND(F658-ROUND($B$13-D659,2),2)&lt;=0),ROUND(D659+E659,2),$B$13)</f>
        <v/>
      </c>
      <c r="D659" s="21">
        <f>ROUND(F658*B5/100/B10,2)</f>
        <v/>
      </c>
      <c r="E659" s="21">
        <f>IF((ROUND(F658-ROUND($B$13-D659,2),2)&lt;=0),F658,ROUND($B$13-D659,2))</f>
        <v/>
      </c>
      <c r="F659" s="21">
        <f>IF((ROUND(F658-ROUND($B$13-D659,2),2)&lt;=0),0,ROUND(F658-E659,2))</f>
        <v/>
      </c>
    </row>
    <row r="660">
      <c r="A660" s="6" t="n">
        <v>644</v>
      </c>
      <c r="B660" s="19">
        <f>IF(B8="monthly",DATE(YEAR(B7)+INT((MONTH(B7)-1+643)/12),MOD(MONTH(B7)-1+643,12)+1,1)+(DAY(B7)-1),IF(B8="weekly",B7+4501,IF(B8="biweekly",B7+9002,B7+ROUND((643*365.25)/24,0))))</f>
        <v/>
      </c>
      <c r="C660" s="21">
        <f>IF((ROUND(F659-ROUND($B$13-D660,2),2)&lt;=0),ROUND(D660+E660,2),$B$13)</f>
        <v/>
      </c>
      <c r="D660" s="21">
        <f>ROUND(F659*B5/100/B10,2)</f>
        <v/>
      </c>
      <c r="E660" s="21">
        <f>IF((ROUND(F659-ROUND($B$13-D660,2),2)&lt;=0),F659,ROUND($B$13-D660,2))</f>
        <v/>
      </c>
      <c r="F660" s="21">
        <f>IF((ROUND(F659-ROUND($B$13-D660,2),2)&lt;=0),0,ROUND(F659-E660,2))</f>
        <v/>
      </c>
    </row>
    <row r="661">
      <c r="A661" s="6" t="n">
        <v>645</v>
      </c>
      <c r="B661" s="19">
        <f>IF(B8="monthly",DATE(YEAR(B7)+INT((MONTH(B7)-1+644)/12),MOD(MONTH(B7)-1+644,12)+1,1)+(DAY(B7)-1),IF(B8="weekly",B7+4508,IF(B8="biweekly",B7+9016,B7+ROUND((644*365.25)/24,0))))</f>
        <v/>
      </c>
      <c r="C661" s="21">
        <f>IF((ROUND(F660-ROUND($B$13-D661,2),2)&lt;=0),ROUND(D661+E661,2),$B$13)</f>
        <v/>
      </c>
      <c r="D661" s="21">
        <f>ROUND(F660*B5/100/B10,2)</f>
        <v/>
      </c>
      <c r="E661" s="21">
        <f>IF((ROUND(F660-ROUND($B$13-D661,2),2)&lt;=0),F660,ROUND($B$13-D661,2))</f>
        <v/>
      </c>
      <c r="F661" s="21">
        <f>IF((ROUND(F660-ROUND($B$13-D661,2),2)&lt;=0),0,ROUND(F660-E661,2))</f>
        <v/>
      </c>
    </row>
    <row r="662">
      <c r="A662" s="6" t="n">
        <v>646</v>
      </c>
      <c r="B662" s="19">
        <f>IF(B8="monthly",DATE(YEAR(B7)+INT((MONTH(B7)-1+645)/12),MOD(MONTH(B7)-1+645,12)+1,1)+(DAY(B7)-1),IF(B8="weekly",B7+4515,IF(B8="biweekly",B7+9030,B7+ROUND((645*365.25)/24,0))))</f>
        <v/>
      </c>
      <c r="C662" s="21">
        <f>IF((ROUND(F661-ROUND($B$13-D662,2),2)&lt;=0),ROUND(D662+E662,2),$B$13)</f>
        <v/>
      </c>
      <c r="D662" s="21">
        <f>ROUND(F661*B5/100/B10,2)</f>
        <v/>
      </c>
      <c r="E662" s="21">
        <f>IF((ROUND(F661-ROUND($B$13-D662,2),2)&lt;=0),F661,ROUND($B$13-D662,2))</f>
        <v/>
      </c>
      <c r="F662" s="21">
        <f>IF((ROUND(F661-ROUND($B$13-D662,2),2)&lt;=0),0,ROUND(F661-E662,2))</f>
        <v/>
      </c>
    </row>
    <row r="663">
      <c r="A663" s="6" t="n">
        <v>647</v>
      </c>
      <c r="B663" s="19">
        <f>IF(B8="monthly",DATE(YEAR(B7)+INT((MONTH(B7)-1+646)/12),MOD(MONTH(B7)-1+646,12)+1,1)+(DAY(B7)-1),IF(B8="weekly",B7+4522,IF(B8="biweekly",B7+9044,B7+ROUND((646*365.25)/24,0))))</f>
        <v/>
      </c>
      <c r="C663" s="21">
        <f>IF((ROUND(F662-ROUND($B$13-D663,2),2)&lt;=0),ROUND(D663+E663,2),$B$13)</f>
        <v/>
      </c>
      <c r="D663" s="21">
        <f>ROUND(F662*B5/100/B10,2)</f>
        <v/>
      </c>
      <c r="E663" s="21">
        <f>IF((ROUND(F662-ROUND($B$13-D663,2),2)&lt;=0),F662,ROUND($B$13-D663,2))</f>
        <v/>
      </c>
      <c r="F663" s="21">
        <f>IF((ROUND(F662-ROUND($B$13-D663,2),2)&lt;=0),0,ROUND(F662-E663,2))</f>
        <v/>
      </c>
    </row>
    <row r="664">
      <c r="A664" s="6" t="n">
        <v>648</v>
      </c>
      <c r="B664" s="19">
        <f>IF(B8="monthly",DATE(YEAR(B7)+INT((MONTH(B7)-1+647)/12),MOD(MONTH(B7)-1+647,12)+1,1)+(DAY(B7)-1),IF(B8="weekly",B7+4529,IF(B8="biweekly",B7+9058,B7+ROUND((647*365.25)/24,0))))</f>
        <v/>
      </c>
      <c r="C664" s="21">
        <f>IF((ROUND(F663-ROUND($B$13-D664,2),2)&lt;=0),ROUND(D664+E664,2),$B$13)</f>
        <v/>
      </c>
      <c r="D664" s="21">
        <f>ROUND(F663*B5/100/B10,2)</f>
        <v/>
      </c>
      <c r="E664" s="21">
        <f>IF((ROUND(F663-ROUND($B$13-D664,2),2)&lt;=0),F663,ROUND($B$13-D664,2))</f>
        <v/>
      </c>
      <c r="F664" s="21">
        <f>IF((ROUND(F663-ROUND($B$13-D664,2),2)&lt;=0),0,ROUND(F663-E664,2))</f>
        <v/>
      </c>
    </row>
    <row r="665">
      <c r="A665" s="6" t="n">
        <v>649</v>
      </c>
      <c r="B665" s="19">
        <f>IF(B8="monthly",DATE(YEAR(B7)+INT((MONTH(B7)-1+648)/12),MOD(MONTH(B7)-1+648,12)+1,1)+(DAY(B7)-1),IF(B8="weekly",B7+4536,IF(B8="biweekly",B7+9072,B7+ROUND((648*365.25)/24,0))))</f>
        <v/>
      </c>
      <c r="C665" s="21">
        <f>IF((ROUND(F664-ROUND($B$13-D665,2),2)&lt;=0),ROUND(D665+E665,2),$B$13)</f>
        <v/>
      </c>
      <c r="D665" s="21">
        <f>ROUND(F664*B5/100/B10,2)</f>
        <v/>
      </c>
      <c r="E665" s="21">
        <f>IF((ROUND(F664-ROUND($B$13-D665,2),2)&lt;=0),F664,ROUND($B$13-D665,2))</f>
        <v/>
      </c>
      <c r="F665" s="21">
        <f>IF((ROUND(F664-ROUND($B$13-D665,2),2)&lt;=0),0,ROUND(F664-E665,2))</f>
        <v/>
      </c>
    </row>
    <row r="666">
      <c r="A666" s="6" t="n">
        <v>650</v>
      </c>
      <c r="B666" s="19">
        <f>IF(B8="monthly",DATE(YEAR(B7)+INT((MONTH(B7)-1+649)/12),MOD(MONTH(B7)-1+649,12)+1,1)+(DAY(B7)-1),IF(B8="weekly",B7+4543,IF(B8="biweekly",B7+9086,B7+ROUND((649*365.25)/24,0))))</f>
        <v/>
      </c>
      <c r="C666" s="21">
        <f>IF((ROUND(F665-ROUND($B$13-D666,2),2)&lt;=0),ROUND(D666+E666,2),$B$13)</f>
        <v/>
      </c>
      <c r="D666" s="21">
        <f>ROUND(F665*B5/100/B10,2)</f>
        <v/>
      </c>
      <c r="E666" s="21">
        <f>IF((ROUND(F665-ROUND($B$13-D666,2),2)&lt;=0),F665,ROUND($B$13-D666,2))</f>
        <v/>
      </c>
      <c r="F666" s="21">
        <f>IF((ROUND(F665-ROUND($B$13-D666,2),2)&lt;=0),0,ROUND(F665-E666,2))</f>
        <v/>
      </c>
    </row>
    <row r="667">
      <c r="A667" s="6" t="n">
        <v>651</v>
      </c>
      <c r="B667" s="19">
        <f>IF(B8="monthly",DATE(YEAR(B7)+INT((MONTH(B7)-1+650)/12),MOD(MONTH(B7)-1+650,12)+1,1)+(DAY(B7)-1),IF(B8="weekly",B7+4550,IF(B8="biweekly",B7+9100,B7+ROUND((650*365.25)/24,0))))</f>
        <v/>
      </c>
      <c r="C667" s="21">
        <f>IF((ROUND(F666-ROUND($B$13-D667,2),2)&lt;=0),ROUND(D667+E667,2),$B$13)</f>
        <v/>
      </c>
      <c r="D667" s="21">
        <f>ROUND(F666*B5/100/B10,2)</f>
        <v/>
      </c>
      <c r="E667" s="21">
        <f>IF((ROUND(F666-ROUND($B$13-D667,2),2)&lt;=0),F666,ROUND($B$13-D667,2))</f>
        <v/>
      </c>
      <c r="F667" s="21">
        <f>IF((ROUND(F666-ROUND($B$13-D667,2),2)&lt;=0),0,ROUND(F666-E667,2))</f>
        <v/>
      </c>
    </row>
    <row r="668">
      <c r="A668" s="6" t="n">
        <v>652</v>
      </c>
      <c r="B668" s="19">
        <f>IF(B8="monthly",DATE(YEAR(B7)+INT((MONTH(B7)-1+651)/12),MOD(MONTH(B7)-1+651,12)+1,1)+(DAY(B7)-1),IF(B8="weekly",B7+4557,IF(B8="biweekly",B7+9114,B7+ROUND((651*365.25)/24,0))))</f>
        <v/>
      </c>
      <c r="C668" s="21">
        <f>IF((ROUND(F667-ROUND($B$13-D668,2),2)&lt;=0),ROUND(D668+E668,2),$B$13)</f>
        <v/>
      </c>
      <c r="D668" s="21">
        <f>ROUND(F667*B5/100/B10,2)</f>
        <v/>
      </c>
      <c r="E668" s="21">
        <f>IF((ROUND(F667-ROUND($B$13-D668,2),2)&lt;=0),F667,ROUND($B$13-D668,2))</f>
        <v/>
      </c>
      <c r="F668" s="21">
        <f>IF((ROUND(F667-ROUND($B$13-D668,2),2)&lt;=0),0,ROUND(F667-E668,2))</f>
        <v/>
      </c>
    </row>
    <row r="669">
      <c r="A669" s="6" t="n">
        <v>653</v>
      </c>
      <c r="B669" s="19">
        <f>IF(B8="monthly",DATE(YEAR(B7)+INT((MONTH(B7)-1+652)/12),MOD(MONTH(B7)-1+652,12)+1,1)+(DAY(B7)-1),IF(B8="weekly",B7+4564,IF(B8="biweekly",B7+9128,B7+ROUND((652*365.25)/24,0))))</f>
        <v/>
      </c>
      <c r="C669" s="21">
        <f>IF((ROUND(F668-ROUND($B$13-D669,2),2)&lt;=0),ROUND(D669+E669,2),$B$13)</f>
        <v/>
      </c>
      <c r="D669" s="21">
        <f>ROUND(F668*B5/100/B10,2)</f>
        <v/>
      </c>
      <c r="E669" s="21">
        <f>IF((ROUND(F668-ROUND($B$13-D669,2),2)&lt;=0),F668,ROUND($B$13-D669,2))</f>
        <v/>
      </c>
      <c r="F669" s="21">
        <f>IF((ROUND(F668-ROUND($B$13-D669,2),2)&lt;=0),0,ROUND(F668-E669,2))</f>
        <v/>
      </c>
    </row>
    <row r="670">
      <c r="A670" s="6" t="n">
        <v>654</v>
      </c>
      <c r="B670" s="19">
        <f>IF(B8="monthly",DATE(YEAR(B7)+INT((MONTH(B7)-1+653)/12),MOD(MONTH(B7)-1+653,12)+1,1)+(DAY(B7)-1),IF(B8="weekly",B7+4571,IF(B8="biweekly",B7+9142,B7+ROUND((653*365.25)/24,0))))</f>
        <v/>
      </c>
      <c r="C670" s="21">
        <f>IF((ROUND(F669-ROUND($B$13-D670,2),2)&lt;=0),ROUND(D670+E670,2),$B$13)</f>
        <v/>
      </c>
      <c r="D670" s="21">
        <f>ROUND(F669*B5/100/B10,2)</f>
        <v/>
      </c>
      <c r="E670" s="21">
        <f>IF((ROUND(F669-ROUND($B$13-D670,2),2)&lt;=0),F669,ROUND($B$13-D670,2))</f>
        <v/>
      </c>
      <c r="F670" s="21">
        <f>IF((ROUND(F669-ROUND($B$13-D670,2),2)&lt;=0),0,ROUND(F669-E670,2))</f>
        <v/>
      </c>
    </row>
    <row r="671">
      <c r="A671" s="6" t="n">
        <v>655</v>
      </c>
      <c r="B671" s="19">
        <f>IF(B8="monthly",DATE(YEAR(B7)+INT((MONTH(B7)-1+654)/12),MOD(MONTH(B7)-1+654,12)+1,1)+(DAY(B7)-1),IF(B8="weekly",B7+4578,IF(B8="biweekly",B7+9156,B7+ROUND((654*365.25)/24,0))))</f>
        <v/>
      </c>
      <c r="C671" s="21">
        <f>IF((ROUND(F670-ROUND($B$13-D671,2),2)&lt;=0),ROUND(D671+E671,2),$B$13)</f>
        <v/>
      </c>
      <c r="D671" s="21">
        <f>ROUND(F670*B5/100/B10,2)</f>
        <v/>
      </c>
      <c r="E671" s="21">
        <f>IF((ROUND(F670-ROUND($B$13-D671,2),2)&lt;=0),F670,ROUND($B$13-D671,2))</f>
        <v/>
      </c>
      <c r="F671" s="21">
        <f>IF((ROUND(F670-ROUND($B$13-D671,2),2)&lt;=0),0,ROUND(F670-E671,2))</f>
        <v/>
      </c>
    </row>
    <row r="672">
      <c r="A672" s="6" t="n">
        <v>656</v>
      </c>
      <c r="B672" s="19">
        <f>IF(B8="monthly",DATE(YEAR(B7)+INT((MONTH(B7)-1+655)/12),MOD(MONTH(B7)-1+655,12)+1,1)+(DAY(B7)-1),IF(B8="weekly",B7+4585,IF(B8="biweekly",B7+9170,B7+ROUND((655*365.25)/24,0))))</f>
        <v/>
      </c>
      <c r="C672" s="21">
        <f>IF((ROUND(F671-ROUND($B$13-D672,2),2)&lt;=0),ROUND(D672+E672,2),$B$13)</f>
        <v/>
      </c>
      <c r="D672" s="21">
        <f>ROUND(F671*B5/100/B10,2)</f>
        <v/>
      </c>
      <c r="E672" s="21">
        <f>IF((ROUND(F671-ROUND($B$13-D672,2),2)&lt;=0),F671,ROUND($B$13-D672,2))</f>
        <v/>
      </c>
      <c r="F672" s="21">
        <f>IF((ROUND(F671-ROUND($B$13-D672,2),2)&lt;=0),0,ROUND(F671-E672,2))</f>
        <v/>
      </c>
    </row>
    <row r="673">
      <c r="A673" s="6" t="n">
        <v>657</v>
      </c>
      <c r="B673" s="19">
        <f>IF(B8="monthly",DATE(YEAR(B7)+INT((MONTH(B7)-1+656)/12),MOD(MONTH(B7)-1+656,12)+1,1)+(DAY(B7)-1),IF(B8="weekly",B7+4592,IF(B8="biweekly",B7+9184,B7+ROUND((656*365.25)/24,0))))</f>
        <v/>
      </c>
      <c r="C673" s="21">
        <f>IF((ROUND(F672-ROUND($B$13-D673,2),2)&lt;=0),ROUND(D673+E673,2),$B$13)</f>
        <v/>
      </c>
      <c r="D673" s="21">
        <f>ROUND(F672*B5/100/B10,2)</f>
        <v/>
      </c>
      <c r="E673" s="21">
        <f>IF((ROUND(F672-ROUND($B$13-D673,2),2)&lt;=0),F672,ROUND($B$13-D673,2))</f>
        <v/>
      </c>
      <c r="F673" s="21">
        <f>IF((ROUND(F672-ROUND($B$13-D673,2),2)&lt;=0),0,ROUND(F672-E673,2))</f>
        <v/>
      </c>
    </row>
    <row r="674">
      <c r="A674" s="6" t="n">
        <v>658</v>
      </c>
      <c r="B674" s="19">
        <f>IF(B8="monthly",DATE(YEAR(B7)+INT((MONTH(B7)-1+657)/12),MOD(MONTH(B7)-1+657,12)+1,1)+(DAY(B7)-1),IF(B8="weekly",B7+4599,IF(B8="biweekly",B7+9198,B7+ROUND((657*365.25)/24,0))))</f>
        <v/>
      </c>
      <c r="C674" s="21">
        <f>IF((ROUND(F673-ROUND($B$13-D674,2),2)&lt;=0),ROUND(D674+E674,2),$B$13)</f>
        <v/>
      </c>
      <c r="D674" s="21">
        <f>ROUND(F673*B5/100/B10,2)</f>
        <v/>
      </c>
      <c r="E674" s="21">
        <f>IF((ROUND(F673-ROUND($B$13-D674,2),2)&lt;=0),F673,ROUND($B$13-D674,2))</f>
        <v/>
      </c>
      <c r="F674" s="21">
        <f>IF((ROUND(F673-ROUND($B$13-D674,2),2)&lt;=0),0,ROUND(F673-E674,2))</f>
        <v/>
      </c>
    </row>
    <row r="675">
      <c r="A675" s="6" t="n">
        <v>659</v>
      </c>
      <c r="B675" s="19">
        <f>IF(B8="monthly",DATE(YEAR(B7)+INT((MONTH(B7)-1+658)/12),MOD(MONTH(B7)-1+658,12)+1,1)+(DAY(B7)-1),IF(B8="weekly",B7+4606,IF(B8="biweekly",B7+9212,B7+ROUND((658*365.25)/24,0))))</f>
        <v/>
      </c>
      <c r="C675" s="21">
        <f>IF((ROUND(F674-ROUND($B$13-D675,2),2)&lt;=0),ROUND(D675+E675,2),$B$13)</f>
        <v/>
      </c>
      <c r="D675" s="21">
        <f>ROUND(F674*B5/100/B10,2)</f>
        <v/>
      </c>
      <c r="E675" s="21">
        <f>IF((ROUND(F674-ROUND($B$13-D675,2),2)&lt;=0),F674,ROUND($B$13-D675,2))</f>
        <v/>
      </c>
      <c r="F675" s="21">
        <f>IF((ROUND(F674-ROUND($B$13-D675,2),2)&lt;=0),0,ROUND(F674-E675,2))</f>
        <v/>
      </c>
    </row>
    <row r="676">
      <c r="A676" s="6" t="n">
        <v>660</v>
      </c>
      <c r="B676" s="19">
        <f>IF(B8="monthly",DATE(YEAR(B7)+INT((MONTH(B7)-1+659)/12),MOD(MONTH(B7)-1+659,12)+1,1)+(DAY(B7)-1),IF(B8="weekly",B7+4613,IF(B8="biweekly",B7+9226,B7+ROUND((659*365.25)/24,0))))</f>
        <v/>
      </c>
      <c r="C676" s="21">
        <f>IF((ROUND(F675-ROUND($B$13-D676,2),2)&lt;=0),ROUND(D676+E676,2),$B$13)</f>
        <v/>
      </c>
      <c r="D676" s="21">
        <f>ROUND(F675*B5/100/B10,2)</f>
        <v/>
      </c>
      <c r="E676" s="21">
        <f>IF((ROUND(F675-ROUND($B$13-D676,2),2)&lt;=0),F675,ROUND($B$13-D676,2))</f>
        <v/>
      </c>
      <c r="F676" s="21">
        <f>IF((ROUND(F675-ROUND($B$13-D676,2),2)&lt;=0),0,ROUND(F675-E676,2))</f>
        <v/>
      </c>
    </row>
    <row r="677">
      <c r="A677" s="6" t="n">
        <v>661</v>
      </c>
      <c r="B677" s="19">
        <f>IF(B8="monthly",DATE(YEAR(B7)+INT((MONTH(B7)-1+660)/12),MOD(MONTH(B7)-1+660,12)+1,1)+(DAY(B7)-1),IF(B8="weekly",B7+4620,IF(B8="biweekly",B7+9240,B7+ROUND((660*365.25)/24,0))))</f>
        <v/>
      </c>
      <c r="C677" s="21">
        <f>IF((ROUND(F676-ROUND($B$13-D677,2),2)&lt;=0),ROUND(D677+E677,2),$B$13)</f>
        <v/>
      </c>
      <c r="D677" s="21">
        <f>ROUND(F676*B5/100/B10,2)</f>
        <v/>
      </c>
      <c r="E677" s="21">
        <f>IF((ROUND(F676-ROUND($B$13-D677,2),2)&lt;=0),F676,ROUND($B$13-D677,2))</f>
        <v/>
      </c>
      <c r="F677" s="21">
        <f>IF((ROUND(F676-ROUND($B$13-D677,2),2)&lt;=0),0,ROUND(F676-E677,2))</f>
        <v/>
      </c>
    </row>
    <row r="678">
      <c r="A678" s="6" t="n">
        <v>662</v>
      </c>
      <c r="B678" s="19">
        <f>IF(B8="monthly",DATE(YEAR(B7)+INT((MONTH(B7)-1+661)/12),MOD(MONTH(B7)-1+661,12)+1,1)+(DAY(B7)-1),IF(B8="weekly",B7+4627,IF(B8="biweekly",B7+9254,B7+ROUND((661*365.25)/24,0))))</f>
        <v/>
      </c>
      <c r="C678" s="21">
        <f>IF((ROUND(F677-ROUND($B$13-D678,2),2)&lt;=0),ROUND(D678+E678,2),$B$13)</f>
        <v/>
      </c>
      <c r="D678" s="21">
        <f>ROUND(F677*B5/100/B10,2)</f>
        <v/>
      </c>
      <c r="E678" s="21">
        <f>IF((ROUND(F677-ROUND($B$13-D678,2),2)&lt;=0),F677,ROUND($B$13-D678,2))</f>
        <v/>
      </c>
      <c r="F678" s="21">
        <f>IF((ROUND(F677-ROUND($B$13-D678,2),2)&lt;=0),0,ROUND(F677-E678,2))</f>
        <v/>
      </c>
    </row>
    <row r="679">
      <c r="A679" s="6" t="n">
        <v>663</v>
      </c>
      <c r="B679" s="19">
        <f>IF(B8="monthly",DATE(YEAR(B7)+INT((MONTH(B7)-1+662)/12),MOD(MONTH(B7)-1+662,12)+1,1)+(DAY(B7)-1),IF(B8="weekly",B7+4634,IF(B8="biweekly",B7+9268,B7+ROUND((662*365.25)/24,0))))</f>
        <v/>
      </c>
      <c r="C679" s="21">
        <f>IF((ROUND(F678-ROUND($B$13-D679,2),2)&lt;=0),ROUND(D679+E679,2),$B$13)</f>
        <v/>
      </c>
      <c r="D679" s="21">
        <f>ROUND(F678*B5/100/B10,2)</f>
        <v/>
      </c>
      <c r="E679" s="21">
        <f>IF((ROUND(F678-ROUND($B$13-D679,2),2)&lt;=0),F678,ROUND($B$13-D679,2))</f>
        <v/>
      </c>
      <c r="F679" s="21">
        <f>IF((ROUND(F678-ROUND($B$13-D679,2),2)&lt;=0),0,ROUND(F678-E679,2))</f>
        <v/>
      </c>
    </row>
    <row r="680">
      <c r="A680" s="6" t="n">
        <v>664</v>
      </c>
      <c r="B680" s="19">
        <f>IF(B8="monthly",DATE(YEAR(B7)+INT((MONTH(B7)-1+663)/12),MOD(MONTH(B7)-1+663,12)+1,1)+(DAY(B7)-1),IF(B8="weekly",B7+4641,IF(B8="biweekly",B7+9282,B7+ROUND((663*365.25)/24,0))))</f>
        <v/>
      </c>
      <c r="C680" s="21">
        <f>IF((ROUND(F679-ROUND($B$13-D680,2),2)&lt;=0),ROUND(D680+E680,2),$B$13)</f>
        <v/>
      </c>
      <c r="D680" s="21">
        <f>ROUND(F679*B5/100/B10,2)</f>
        <v/>
      </c>
      <c r="E680" s="21">
        <f>IF((ROUND(F679-ROUND($B$13-D680,2),2)&lt;=0),F679,ROUND($B$13-D680,2))</f>
        <v/>
      </c>
      <c r="F680" s="21">
        <f>IF((ROUND(F679-ROUND($B$13-D680,2),2)&lt;=0),0,ROUND(F679-E680,2))</f>
        <v/>
      </c>
    </row>
    <row r="681">
      <c r="A681" s="6" t="n">
        <v>665</v>
      </c>
      <c r="B681" s="19">
        <f>IF(B8="monthly",DATE(YEAR(B7)+INT((MONTH(B7)-1+664)/12),MOD(MONTH(B7)-1+664,12)+1,1)+(DAY(B7)-1),IF(B8="weekly",B7+4648,IF(B8="biweekly",B7+9296,B7+ROUND((664*365.25)/24,0))))</f>
        <v/>
      </c>
      <c r="C681" s="21">
        <f>IF((ROUND(F680-ROUND($B$13-D681,2),2)&lt;=0),ROUND(D681+E681,2),$B$13)</f>
        <v/>
      </c>
      <c r="D681" s="21">
        <f>ROUND(F680*B5/100/B10,2)</f>
        <v/>
      </c>
      <c r="E681" s="21">
        <f>IF((ROUND(F680-ROUND($B$13-D681,2),2)&lt;=0),F680,ROUND($B$13-D681,2))</f>
        <v/>
      </c>
      <c r="F681" s="21">
        <f>IF((ROUND(F680-ROUND($B$13-D681,2),2)&lt;=0),0,ROUND(F680-E681,2))</f>
        <v/>
      </c>
    </row>
    <row r="682">
      <c r="A682" s="6" t="n">
        <v>666</v>
      </c>
      <c r="B682" s="19">
        <f>IF(B8="monthly",DATE(YEAR(B7)+INT((MONTH(B7)-1+665)/12),MOD(MONTH(B7)-1+665,12)+1,1)+(DAY(B7)-1),IF(B8="weekly",B7+4655,IF(B8="biweekly",B7+9310,B7+ROUND((665*365.25)/24,0))))</f>
        <v/>
      </c>
      <c r="C682" s="21">
        <f>IF((ROUND(F681-ROUND($B$13-D682,2),2)&lt;=0),ROUND(D682+E682,2),$B$13)</f>
        <v/>
      </c>
      <c r="D682" s="21">
        <f>ROUND(F681*B5/100/B10,2)</f>
        <v/>
      </c>
      <c r="E682" s="21">
        <f>IF((ROUND(F681-ROUND($B$13-D682,2),2)&lt;=0),F681,ROUND($B$13-D682,2))</f>
        <v/>
      </c>
      <c r="F682" s="21">
        <f>IF((ROUND(F681-ROUND($B$13-D682,2),2)&lt;=0),0,ROUND(F681-E682,2))</f>
        <v/>
      </c>
    </row>
    <row r="683">
      <c r="A683" s="6" t="n">
        <v>667</v>
      </c>
      <c r="B683" s="19">
        <f>IF(B8="monthly",DATE(YEAR(B7)+INT((MONTH(B7)-1+666)/12),MOD(MONTH(B7)-1+666,12)+1,1)+(DAY(B7)-1),IF(B8="weekly",B7+4662,IF(B8="biweekly",B7+9324,B7+ROUND((666*365.25)/24,0))))</f>
        <v/>
      </c>
      <c r="C683" s="21">
        <f>IF((ROUND(F682-ROUND($B$13-D683,2),2)&lt;=0),ROUND(D683+E683,2),$B$13)</f>
        <v/>
      </c>
      <c r="D683" s="21">
        <f>ROUND(F682*B5/100/B10,2)</f>
        <v/>
      </c>
      <c r="E683" s="21">
        <f>IF((ROUND(F682-ROUND($B$13-D683,2),2)&lt;=0),F682,ROUND($B$13-D683,2))</f>
        <v/>
      </c>
      <c r="F683" s="21">
        <f>IF((ROUND(F682-ROUND($B$13-D683,2),2)&lt;=0),0,ROUND(F682-E683,2))</f>
        <v/>
      </c>
    </row>
    <row r="684">
      <c r="A684" s="6" t="n">
        <v>668</v>
      </c>
      <c r="B684" s="19">
        <f>IF(B8="monthly",DATE(YEAR(B7)+INT((MONTH(B7)-1+667)/12),MOD(MONTH(B7)-1+667,12)+1,1)+(DAY(B7)-1),IF(B8="weekly",B7+4669,IF(B8="biweekly",B7+9338,B7+ROUND((667*365.25)/24,0))))</f>
        <v/>
      </c>
      <c r="C684" s="21">
        <f>IF((ROUND(F683-ROUND($B$13-D684,2),2)&lt;=0),ROUND(D684+E684,2),$B$13)</f>
        <v/>
      </c>
      <c r="D684" s="21">
        <f>ROUND(F683*B5/100/B10,2)</f>
        <v/>
      </c>
      <c r="E684" s="21">
        <f>IF((ROUND(F683-ROUND($B$13-D684,2),2)&lt;=0),F683,ROUND($B$13-D684,2))</f>
        <v/>
      </c>
      <c r="F684" s="21">
        <f>IF((ROUND(F683-ROUND($B$13-D684,2),2)&lt;=0),0,ROUND(F683-E684,2))</f>
        <v/>
      </c>
    </row>
    <row r="685">
      <c r="A685" s="6" t="n">
        <v>669</v>
      </c>
      <c r="B685" s="19">
        <f>IF(B8="monthly",DATE(YEAR(B7)+INT((MONTH(B7)-1+668)/12),MOD(MONTH(B7)-1+668,12)+1,1)+(DAY(B7)-1),IF(B8="weekly",B7+4676,IF(B8="biweekly",B7+9352,B7+ROUND((668*365.25)/24,0))))</f>
        <v/>
      </c>
      <c r="C685" s="21">
        <f>IF((ROUND(F684-ROUND($B$13-D685,2),2)&lt;=0),ROUND(D685+E685,2),$B$13)</f>
        <v/>
      </c>
      <c r="D685" s="21">
        <f>ROUND(F684*B5/100/B10,2)</f>
        <v/>
      </c>
      <c r="E685" s="21">
        <f>IF((ROUND(F684-ROUND($B$13-D685,2),2)&lt;=0),F684,ROUND($B$13-D685,2))</f>
        <v/>
      </c>
      <c r="F685" s="21">
        <f>IF((ROUND(F684-ROUND($B$13-D685,2),2)&lt;=0),0,ROUND(F684-E685,2))</f>
        <v/>
      </c>
    </row>
    <row r="686">
      <c r="A686" s="6" t="n">
        <v>670</v>
      </c>
      <c r="B686" s="19">
        <f>IF(B8="monthly",DATE(YEAR(B7)+INT((MONTH(B7)-1+669)/12),MOD(MONTH(B7)-1+669,12)+1,1)+(DAY(B7)-1),IF(B8="weekly",B7+4683,IF(B8="biweekly",B7+9366,B7+ROUND((669*365.25)/24,0))))</f>
        <v/>
      </c>
      <c r="C686" s="21">
        <f>IF((ROUND(F685-ROUND($B$13-D686,2),2)&lt;=0),ROUND(D686+E686,2),$B$13)</f>
        <v/>
      </c>
      <c r="D686" s="21">
        <f>ROUND(F685*B5/100/B10,2)</f>
        <v/>
      </c>
      <c r="E686" s="21">
        <f>IF((ROUND(F685-ROUND($B$13-D686,2),2)&lt;=0),F685,ROUND($B$13-D686,2))</f>
        <v/>
      </c>
      <c r="F686" s="21">
        <f>IF((ROUND(F685-ROUND($B$13-D686,2),2)&lt;=0),0,ROUND(F685-E686,2))</f>
        <v/>
      </c>
    </row>
    <row r="687">
      <c r="A687" s="6" t="n">
        <v>671</v>
      </c>
      <c r="B687" s="19">
        <f>IF(B8="monthly",DATE(YEAR(B7)+INT((MONTH(B7)-1+670)/12),MOD(MONTH(B7)-1+670,12)+1,1)+(DAY(B7)-1),IF(B8="weekly",B7+4690,IF(B8="biweekly",B7+9380,B7+ROUND((670*365.25)/24,0))))</f>
        <v/>
      </c>
      <c r="C687" s="21">
        <f>IF((ROUND(F686-ROUND($B$13-D687,2),2)&lt;=0),ROUND(D687+E687,2),$B$13)</f>
        <v/>
      </c>
      <c r="D687" s="21">
        <f>ROUND(F686*B5/100/B10,2)</f>
        <v/>
      </c>
      <c r="E687" s="21">
        <f>IF((ROUND(F686-ROUND($B$13-D687,2),2)&lt;=0),F686,ROUND($B$13-D687,2))</f>
        <v/>
      </c>
      <c r="F687" s="21">
        <f>IF((ROUND(F686-ROUND($B$13-D687,2),2)&lt;=0),0,ROUND(F686-E687,2))</f>
        <v/>
      </c>
    </row>
    <row r="688">
      <c r="A688" s="6" t="n">
        <v>672</v>
      </c>
      <c r="B688" s="19">
        <f>IF(B8="monthly",DATE(YEAR(B7)+INT((MONTH(B7)-1+671)/12),MOD(MONTH(B7)-1+671,12)+1,1)+(DAY(B7)-1),IF(B8="weekly",B7+4697,IF(B8="biweekly",B7+9394,B7+ROUND((671*365.25)/24,0))))</f>
        <v/>
      </c>
      <c r="C688" s="21">
        <f>IF((ROUND(F687-ROUND($B$13-D688,2),2)&lt;=0),ROUND(D688+E688,2),$B$13)</f>
        <v/>
      </c>
      <c r="D688" s="21">
        <f>ROUND(F687*B5/100/B10,2)</f>
        <v/>
      </c>
      <c r="E688" s="21">
        <f>IF((ROUND(F687-ROUND($B$13-D688,2),2)&lt;=0),F687,ROUND($B$13-D688,2))</f>
        <v/>
      </c>
      <c r="F688" s="21">
        <f>IF((ROUND(F687-ROUND($B$13-D688,2),2)&lt;=0),0,ROUND(F687-E688,2))</f>
        <v/>
      </c>
    </row>
    <row r="689">
      <c r="A689" s="6" t="n">
        <v>673</v>
      </c>
      <c r="B689" s="19">
        <f>IF(B8="monthly",DATE(YEAR(B7)+INT((MONTH(B7)-1+672)/12),MOD(MONTH(B7)-1+672,12)+1,1)+(DAY(B7)-1),IF(B8="weekly",B7+4704,IF(B8="biweekly",B7+9408,B7+ROUND((672*365.25)/24,0))))</f>
        <v/>
      </c>
      <c r="C689" s="21">
        <f>IF((ROUND(F688-ROUND($B$13-D689,2),2)&lt;=0),ROUND(D689+E689,2),$B$13)</f>
        <v/>
      </c>
      <c r="D689" s="21">
        <f>ROUND(F688*B5/100/B10,2)</f>
        <v/>
      </c>
      <c r="E689" s="21">
        <f>IF((ROUND(F688-ROUND($B$13-D689,2),2)&lt;=0),F688,ROUND($B$13-D689,2))</f>
        <v/>
      </c>
      <c r="F689" s="21">
        <f>IF((ROUND(F688-ROUND($B$13-D689,2),2)&lt;=0),0,ROUND(F688-E689,2))</f>
        <v/>
      </c>
    </row>
    <row r="690">
      <c r="A690" s="6" t="n">
        <v>674</v>
      </c>
      <c r="B690" s="19">
        <f>IF(B8="monthly",DATE(YEAR(B7)+INT((MONTH(B7)-1+673)/12),MOD(MONTH(B7)-1+673,12)+1,1)+(DAY(B7)-1),IF(B8="weekly",B7+4711,IF(B8="biweekly",B7+9422,B7+ROUND((673*365.25)/24,0))))</f>
        <v/>
      </c>
      <c r="C690" s="21">
        <f>IF((ROUND(F689-ROUND($B$13-D690,2),2)&lt;=0),ROUND(D690+E690,2),$B$13)</f>
        <v/>
      </c>
      <c r="D690" s="21">
        <f>ROUND(F689*B5/100/B10,2)</f>
        <v/>
      </c>
      <c r="E690" s="21">
        <f>IF((ROUND(F689-ROUND($B$13-D690,2),2)&lt;=0),F689,ROUND($B$13-D690,2))</f>
        <v/>
      </c>
      <c r="F690" s="21">
        <f>IF((ROUND(F689-ROUND($B$13-D690,2),2)&lt;=0),0,ROUND(F689-E690,2))</f>
        <v/>
      </c>
    </row>
    <row r="691">
      <c r="A691" s="6" t="n">
        <v>675</v>
      </c>
      <c r="B691" s="19">
        <f>IF(B8="monthly",DATE(YEAR(B7)+INT((MONTH(B7)-1+674)/12),MOD(MONTH(B7)-1+674,12)+1,1)+(DAY(B7)-1),IF(B8="weekly",B7+4718,IF(B8="biweekly",B7+9436,B7+ROUND((674*365.25)/24,0))))</f>
        <v/>
      </c>
      <c r="C691" s="21">
        <f>IF((ROUND(F690-ROUND($B$13-D691,2),2)&lt;=0),ROUND(D691+E691,2),$B$13)</f>
        <v/>
      </c>
      <c r="D691" s="21">
        <f>ROUND(F690*B5/100/B10,2)</f>
        <v/>
      </c>
      <c r="E691" s="21">
        <f>IF((ROUND(F690-ROUND($B$13-D691,2),2)&lt;=0),F690,ROUND($B$13-D691,2))</f>
        <v/>
      </c>
      <c r="F691" s="21">
        <f>IF((ROUND(F690-ROUND($B$13-D691,2),2)&lt;=0),0,ROUND(F690-E691,2))</f>
        <v/>
      </c>
    </row>
    <row r="692">
      <c r="A692" s="6" t="n">
        <v>676</v>
      </c>
      <c r="B692" s="19">
        <f>IF(B8="monthly",DATE(YEAR(B7)+INT((MONTH(B7)-1+675)/12),MOD(MONTH(B7)-1+675,12)+1,1)+(DAY(B7)-1),IF(B8="weekly",B7+4725,IF(B8="biweekly",B7+9450,B7+ROUND((675*365.25)/24,0))))</f>
        <v/>
      </c>
      <c r="C692" s="21">
        <f>IF((ROUND(F691-ROUND($B$13-D692,2),2)&lt;=0),ROUND(D692+E692,2),$B$13)</f>
        <v/>
      </c>
      <c r="D692" s="21">
        <f>ROUND(F691*B5/100/B10,2)</f>
        <v/>
      </c>
      <c r="E692" s="21">
        <f>IF((ROUND(F691-ROUND($B$13-D692,2),2)&lt;=0),F691,ROUND($B$13-D692,2))</f>
        <v/>
      </c>
      <c r="F692" s="21">
        <f>IF((ROUND(F691-ROUND($B$13-D692,2),2)&lt;=0),0,ROUND(F691-E692,2))</f>
        <v/>
      </c>
    </row>
    <row r="693">
      <c r="A693" s="6" t="n">
        <v>677</v>
      </c>
      <c r="B693" s="19">
        <f>IF(B8="monthly",DATE(YEAR(B7)+INT((MONTH(B7)-1+676)/12),MOD(MONTH(B7)-1+676,12)+1,1)+(DAY(B7)-1),IF(B8="weekly",B7+4732,IF(B8="biweekly",B7+9464,B7+ROUND((676*365.25)/24,0))))</f>
        <v/>
      </c>
      <c r="C693" s="21">
        <f>IF((ROUND(F692-ROUND($B$13-D693,2),2)&lt;=0),ROUND(D693+E693,2),$B$13)</f>
        <v/>
      </c>
      <c r="D693" s="21">
        <f>ROUND(F692*B5/100/B10,2)</f>
        <v/>
      </c>
      <c r="E693" s="21">
        <f>IF((ROUND(F692-ROUND($B$13-D693,2),2)&lt;=0),F692,ROUND($B$13-D693,2))</f>
        <v/>
      </c>
      <c r="F693" s="21">
        <f>IF((ROUND(F692-ROUND($B$13-D693,2),2)&lt;=0),0,ROUND(F692-E693,2))</f>
        <v/>
      </c>
    </row>
    <row r="694">
      <c r="A694" s="6" t="n">
        <v>678</v>
      </c>
      <c r="B694" s="19">
        <f>IF(B8="monthly",DATE(YEAR(B7)+INT((MONTH(B7)-1+677)/12),MOD(MONTH(B7)-1+677,12)+1,1)+(DAY(B7)-1),IF(B8="weekly",B7+4739,IF(B8="biweekly",B7+9478,B7+ROUND((677*365.25)/24,0))))</f>
        <v/>
      </c>
      <c r="C694" s="21">
        <f>IF((ROUND(F693-ROUND($B$13-D694,2),2)&lt;=0),ROUND(D694+E694,2),$B$13)</f>
        <v/>
      </c>
      <c r="D694" s="21">
        <f>ROUND(F693*B5/100/B10,2)</f>
        <v/>
      </c>
      <c r="E694" s="21">
        <f>IF((ROUND(F693-ROUND($B$13-D694,2),2)&lt;=0),F693,ROUND($B$13-D694,2))</f>
        <v/>
      </c>
      <c r="F694" s="21">
        <f>IF((ROUND(F693-ROUND($B$13-D694,2),2)&lt;=0),0,ROUND(F693-E694,2))</f>
        <v/>
      </c>
    </row>
    <row r="695">
      <c r="A695" s="6" t="n">
        <v>679</v>
      </c>
      <c r="B695" s="19">
        <f>IF(B8="monthly",DATE(YEAR(B7)+INT((MONTH(B7)-1+678)/12),MOD(MONTH(B7)-1+678,12)+1,1)+(DAY(B7)-1),IF(B8="weekly",B7+4746,IF(B8="biweekly",B7+9492,B7+ROUND((678*365.25)/24,0))))</f>
        <v/>
      </c>
      <c r="C695" s="21">
        <f>IF((ROUND(F694-ROUND($B$13-D695,2),2)&lt;=0),ROUND(D695+E695,2),$B$13)</f>
        <v/>
      </c>
      <c r="D695" s="21">
        <f>ROUND(F694*B5/100/B10,2)</f>
        <v/>
      </c>
      <c r="E695" s="21">
        <f>IF((ROUND(F694-ROUND($B$13-D695,2),2)&lt;=0),F694,ROUND($B$13-D695,2))</f>
        <v/>
      </c>
      <c r="F695" s="21">
        <f>IF((ROUND(F694-ROUND($B$13-D695,2),2)&lt;=0),0,ROUND(F694-E695,2))</f>
        <v/>
      </c>
    </row>
    <row r="696">
      <c r="A696" s="6" t="n">
        <v>680</v>
      </c>
      <c r="B696" s="19">
        <f>IF(B8="monthly",DATE(YEAR(B7)+INT((MONTH(B7)-1+679)/12),MOD(MONTH(B7)-1+679,12)+1,1)+(DAY(B7)-1),IF(B8="weekly",B7+4753,IF(B8="biweekly",B7+9506,B7+ROUND((679*365.25)/24,0))))</f>
        <v/>
      </c>
      <c r="C696" s="21">
        <f>IF((ROUND(F695-ROUND($B$13-D696,2),2)&lt;=0),ROUND(D696+E696,2),$B$13)</f>
        <v/>
      </c>
      <c r="D696" s="21">
        <f>ROUND(F695*B5/100/B10,2)</f>
        <v/>
      </c>
      <c r="E696" s="21">
        <f>IF((ROUND(F695-ROUND($B$13-D696,2),2)&lt;=0),F695,ROUND($B$13-D696,2))</f>
        <v/>
      </c>
      <c r="F696" s="21">
        <f>IF((ROUND(F695-ROUND($B$13-D696,2),2)&lt;=0),0,ROUND(F695-E696,2))</f>
        <v/>
      </c>
    </row>
    <row r="697">
      <c r="A697" s="6" t="n">
        <v>681</v>
      </c>
      <c r="B697" s="19">
        <f>IF(B8="monthly",DATE(YEAR(B7)+INT((MONTH(B7)-1+680)/12),MOD(MONTH(B7)-1+680,12)+1,1)+(DAY(B7)-1),IF(B8="weekly",B7+4760,IF(B8="biweekly",B7+9520,B7+ROUND((680*365.25)/24,0))))</f>
        <v/>
      </c>
      <c r="C697" s="21">
        <f>IF((ROUND(F696-ROUND($B$13-D697,2),2)&lt;=0),ROUND(D697+E697,2),$B$13)</f>
        <v/>
      </c>
      <c r="D697" s="21">
        <f>ROUND(F696*B5/100/B10,2)</f>
        <v/>
      </c>
      <c r="E697" s="21">
        <f>IF((ROUND(F696-ROUND($B$13-D697,2),2)&lt;=0),F696,ROUND($B$13-D697,2))</f>
        <v/>
      </c>
      <c r="F697" s="21">
        <f>IF((ROUND(F696-ROUND($B$13-D697,2),2)&lt;=0),0,ROUND(F696-E697,2))</f>
        <v/>
      </c>
    </row>
    <row r="698">
      <c r="A698" s="6" t="n">
        <v>682</v>
      </c>
      <c r="B698" s="19">
        <f>IF(B8="monthly",DATE(YEAR(B7)+INT((MONTH(B7)-1+681)/12),MOD(MONTH(B7)-1+681,12)+1,1)+(DAY(B7)-1),IF(B8="weekly",B7+4767,IF(B8="biweekly",B7+9534,B7+ROUND((681*365.25)/24,0))))</f>
        <v/>
      </c>
      <c r="C698" s="21">
        <f>IF((ROUND(F697-ROUND($B$13-D698,2),2)&lt;=0),ROUND(D698+E698,2),$B$13)</f>
        <v/>
      </c>
      <c r="D698" s="21">
        <f>ROUND(F697*B5/100/B10,2)</f>
        <v/>
      </c>
      <c r="E698" s="21">
        <f>IF((ROUND(F697-ROUND($B$13-D698,2),2)&lt;=0),F697,ROUND($B$13-D698,2))</f>
        <v/>
      </c>
      <c r="F698" s="21">
        <f>IF((ROUND(F697-ROUND($B$13-D698,2),2)&lt;=0),0,ROUND(F697-E698,2))</f>
        <v/>
      </c>
    </row>
    <row r="699">
      <c r="A699" s="6" t="n">
        <v>683</v>
      </c>
      <c r="B699" s="19">
        <f>IF(B8="monthly",DATE(YEAR(B7)+INT((MONTH(B7)-1+682)/12),MOD(MONTH(B7)-1+682,12)+1,1)+(DAY(B7)-1),IF(B8="weekly",B7+4774,IF(B8="biweekly",B7+9548,B7+ROUND((682*365.25)/24,0))))</f>
        <v/>
      </c>
      <c r="C699" s="21">
        <f>IF((ROUND(F698-ROUND($B$13-D699,2),2)&lt;=0),ROUND(D699+E699,2),$B$13)</f>
        <v/>
      </c>
      <c r="D699" s="21">
        <f>ROUND(F698*B5/100/B10,2)</f>
        <v/>
      </c>
      <c r="E699" s="21">
        <f>IF((ROUND(F698-ROUND($B$13-D699,2),2)&lt;=0),F698,ROUND($B$13-D699,2))</f>
        <v/>
      </c>
      <c r="F699" s="21">
        <f>IF((ROUND(F698-ROUND($B$13-D699,2),2)&lt;=0),0,ROUND(F698-E699,2))</f>
        <v/>
      </c>
    </row>
    <row r="700">
      <c r="A700" s="6" t="n">
        <v>684</v>
      </c>
      <c r="B700" s="19">
        <f>IF(B8="monthly",DATE(YEAR(B7)+INT((MONTH(B7)-1+683)/12),MOD(MONTH(B7)-1+683,12)+1,1)+(DAY(B7)-1),IF(B8="weekly",B7+4781,IF(B8="biweekly",B7+9562,B7+ROUND((683*365.25)/24,0))))</f>
        <v/>
      </c>
      <c r="C700" s="21">
        <f>IF((ROUND(F699-ROUND($B$13-D700,2),2)&lt;=0),ROUND(D700+E700,2),$B$13)</f>
        <v/>
      </c>
      <c r="D700" s="21">
        <f>ROUND(F699*B5/100/B10,2)</f>
        <v/>
      </c>
      <c r="E700" s="21">
        <f>IF((ROUND(F699-ROUND($B$13-D700,2),2)&lt;=0),F699,ROUND($B$13-D700,2))</f>
        <v/>
      </c>
      <c r="F700" s="21">
        <f>IF((ROUND(F699-ROUND($B$13-D700,2),2)&lt;=0),0,ROUND(F699-E700,2))</f>
        <v/>
      </c>
    </row>
    <row r="701">
      <c r="A701" s="6" t="n">
        <v>685</v>
      </c>
      <c r="B701" s="19">
        <f>IF(B8="monthly",DATE(YEAR(B7)+INT((MONTH(B7)-1+684)/12),MOD(MONTH(B7)-1+684,12)+1,1)+(DAY(B7)-1),IF(B8="weekly",B7+4788,IF(B8="biweekly",B7+9576,B7+ROUND((684*365.25)/24,0))))</f>
        <v/>
      </c>
      <c r="C701" s="21">
        <f>IF((ROUND(F700-ROUND($B$13-D701,2),2)&lt;=0),ROUND(D701+E701,2),$B$13)</f>
        <v/>
      </c>
      <c r="D701" s="21">
        <f>ROUND(F700*B5/100/B10,2)</f>
        <v/>
      </c>
      <c r="E701" s="21">
        <f>IF((ROUND(F700-ROUND($B$13-D701,2),2)&lt;=0),F700,ROUND($B$13-D701,2))</f>
        <v/>
      </c>
      <c r="F701" s="21">
        <f>IF((ROUND(F700-ROUND($B$13-D701,2),2)&lt;=0),0,ROUND(F700-E701,2))</f>
        <v/>
      </c>
    </row>
    <row r="702">
      <c r="A702" s="6" t="n">
        <v>686</v>
      </c>
      <c r="B702" s="19">
        <f>IF(B8="monthly",DATE(YEAR(B7)+INT((MONTH(B7)-1+685)/12),MOD(MONTH(B7)-1+685,12)+1,1)+(DAY(B7)-1),IF(B8="weekly",B7+4795,IF(B8="biweekly",B7+9590,B7+ROUND((685*365.25)/24,0))))</f>
        <v/>
      </c>
      <c r="C702" s="21">
        <f>IF((ROUND(F701-ROUND($B$13-D702,2),2)&lt;=0),ROUND(D702+E702,2),$B$13)</f>
        <v/>
      </c>
      <c r="D702" s="21">
        <f>ROUND(F701*B5/100/B10,2)</f>
        <v/>
      </c>
      <c r="E702" s="21">
        <f>IF((ROUND(F701-ROUND($B$13-D702,2),2)&lt;=0),F701,ROUND($B$13-D702,2))</f>
        <v/>
      </c>
      <c r="F702" s="21">
        <f>IF((ROUND(F701-ROUND($B$13-D702,2),2)&lt;=0),0,ROUND(F701-E702,2))</f>
        <v/>
      </c>
    </row>
    <row r="703">
      <c r="A703" s="6" t="n">
        <v>687</v>
      </c>
      <c r="B703" s="19">
        <f>IF(B8="monthly",DATE(YEAR(B7)+INT((MONTH(B7)-1+686)/12),MOD(MONTH(B7)-1+686,12)+1,1)+(DAY(B7)-1),IF(B8="weekly",B7+4802,IF(B8="biweekly",B7+9604,B7+ROUND((686*365.25)/24,0))))</f>
        <v/>
      </c>
      <c r="C703" s="21">
        <f>IF((ROUND(F702-ROUND($B$13-D703,2),2)&lt;=0),ROUND(D703+E703,2),$B$13)</f>
        <v/>
      </c>
      <c r="D703" s="21">
        <f>ROUND(F702*B5/100/B10,2)</f>
        <v/>
      </c>
      <c r="E703" s="21">
        <f>IF((ROUND(F702-ROUND($B$13-D703,2),2)&lt;=0),F702,ROUND($B$13-D703,2))</f>
        <v/>
      </c>
      <c r="F703" s="21">
        <f>IF((ROUND(F702-ROUND($B$13-D703,2),2)&lt;=0),0,ROUND(F702-E703,2))</f>
        <v/>
      </c>
    </row>
    <row r="704">
      <c r="A704" s="6" t="n">
        <v>688</v>
      </c>
      <c r="B704" s="19">
        <f>IF(B8="monthly",DATE(YEAR(B7)+INT((MONTH(B7)-1+687)/12),MOD(MONTH(B7)-1+687,12)+1,1)+(DAY(B7)-1),IF(B8="weekly",B7+4809,IF(B8="biweekly",B7+9618,B7+ROUND((687*365.25)/24,0))))</f>
        <v/>
      </c>
      <c r="C704" s="21">
        <f>IF((ROUND(F703-ROUND($B$13-D704,2),2)&lt;=0),ROUND(D704+E704,2),$B$13)</f>
        <v/>
      </c>
      <c r="D704" s="21">
        <f>ROUND(F703*B5/100/B10,2)</f>
        <v/>
      </c>
      <c r="E704" s="21">
        <f>IF((ROUND(F703-ROUND($B$13-D704,2),2)&lt;=0),F703,ROUND($B$13-D704,2))</f>
        <v/>
      </c>
      <c r="F704" s="21">
        <f>IF((ROUND(F703-ROUND($B$13-D704,2),2)&lt;=0),0,ROUND(F703-E704,2))</f>
        <v/>
      </c>
    </row>
    <row r="705">
      <c r="A705" s="6" t="n">
        <v>689</v>
      </c>
      <c r="B705" s="19">
        <f>IF(B8="monthly",DATE(YEAR(B7)+INT((MONTH(B7)-1+688)/12),MOD(MONTH(B7)-1+688,12)+1,1)+(DAY(B7)-1),IF(B8="weekly",B7+4816,IF(B8="biweekly",B7+9632,B7+ROUND((688*365.25)/24,0))))</f>
        <v/>
      </c>
      <c r="C705" s="21">
        <f>IF((ROUND(F704-ROUND($B$13-D705,2),2)&lt;=0),ROUND(D705+E705,2),$B$13)</f>
        <v/>
      </c>
      <c r="D705" s="21">
        <f>ROUND(F704*B5/100/B10,2)</f>
        <v/>
      </c>
      <c r="E705" s="21">
        <f>IF((ROUND(F704-ROUND($B$13-D705,2),2)&lt;=0),F704,ROUND($B$13-D705,2))</f>
        <v/>
      </c>
      <c r="F705" s="21">
        <f>IF((ROUND(F704-ROUND($B$13-D705,2),2)&lt;=0),0,ROUND(F704-E705,2))</f>
        <v/>
      </c>
    </row>
    <row r="706">
      <c r="A706" s="6" t="n">
        <v>690</v>
      </c>
      <c r="B706" s="19">
        <f>IF(B8="monthly",DATE(YEAR(B7)+INT((MONTH(B7)-1+689)/12),MOD(MONTH(B7)-1+689,12)+1,1)+(DAY(B7)-1),IF(B8="weekly",B7+4823,IF(B8="biweekly",B7+9646,B7+ROUND((689*365.25)/24,0))))</f>
        <v/>
      </c>
      <c r="C706" s="21">
        <f>IF((ROUND(F705-ROUND($B$13-D706,2),2)&lt;=0),ROUND(D706+E706,2),$B$13)</f>
        <v/>
      </c>
      <c r="D706" s="21">
        <f>ROUND(F705*B5/100/B10,2)</f>
        <v/>
      </c>
      <c r="E706" s="21">
        <f>IF((ROUND(F705-ROUND($B$13-D706,2),2)&lt;=0),F705,ROUND($B$13-D706,2))</f>
        <v/>
      </c>
      <c r="F706" s="21">
        <f>IF((ROUND(F705-ROUND($B$13-D706,2),2)&lt;=0),0,ROUND(F705-E706,2))</f>
        <v/>
      </c>
    </row>
    <row r="707">
      <c r="A707" s="6" t="n">
        <v>691</v>
      </c>
      <c r="B707" s="19">
        <f>IF(B8="monthly",DATE(YEAR(B7)+INT((MONTH(B7)-1+690)/12),MOD(MONTH(B7)-1+690,12)+1,1)+(DAY(B7)-1),IF(B8="weekly",B7+4830,IF(B8="biweekly",B7+9660,B7+ROUND((690*365.25)/24,0))))</f>
        <v/>
      </c>
      <c r="C707" s="21">
        <f>IF((ROUND(F706-ROUND($B$13-D707,2),2)&lt;=0),ROUND(D707+E707,2),$B$13)</f>
        <v/>
      </c>
      <c r="D707" s="21">
        <f>ROUND(F706*B5/100/B10,2)</f>
        <v/>
      </c>
      <c r="E707" s="21">
        <f>IF((ROUND(F706-ROUND($B$13-D707,2),2)&lt;=0),F706,ROUND($B$13-D707,2))</f>
        <v/>
      </c>
      <c r="F707" s="21">
        <f>IF((ROUND(F706-ROUND($B$13-D707,2),2)&lt;=0),0,ROUND(F706-E707,2))</f>
        <v/>
      </c>
    </row>
    <row r="708">
      <c r="A708" s="6" t="n">
        <v>692</v>
      </c>
      <c r="B708" s="19">
        <f>IF(B8="monthly",DATE(YEAR(B7)+INT((MONTH(B7)-1+691)/12),MOD(MONTH(B7)-1+691,12)+1,1)+(DAY(B7)-1),IF(B8="weekly",B7+4837,IF(B8="biweekly",B7+9674,B7+ROUND((691*365.25)/24,0))))</f>
        <v/>
      </c>
      <c r="C708" s="21">
        <f>IF((ROUND(F707-ROUND($B$13-D708,2),2)&lt;=0),ROUND(D708+E708,2),$B$13)</f>
        <v/>
      </c>
      <c r="D708" s="21">
        <f>ROUND(F707*B5/100/B10,2)</f>
        <v/>
      </c>
      <c r="E708" s="21">
        <f>IF((ROUND(F707-ROUND($B$13-D708,2),2)&lt;=0),F707,ROUND($B$13-D708,2))</f>
        <v/>
      </c>
      <c r="F708" s="21">
        <f>IF((ROUND(F707-ROUND($B$13-D708,2),2)&lt;=0),0,ROUND(F707-E708,2))</f>
        <v/>
      </c>
    </row>
    <row r="709">
      <c r="A709" s="6" t="n">
        <v>693</v>
      </c>
      <c r="B709" s="19">
        <f>IF(B8="monthly",DATE(YEAR(B7)+INT((MONTH(B7)-1+692)/12),MOD(MONTH(B7)-1+692,12)+1,1)+(DAY(B7)-1),IF(B8="weekly",B7+4844,IF(B8="biweekly",B7+9688,B7+ROUND((692*365.25)/24,0))))</f>
        <v/>
      </c>
      <c r="C709" s="21">
        <f>IF((ROUND(F708-ROUND($B$13-D709,2),2)&lt;=0),ROUND(D709+E709,2),$B$13)</f>
        <v/>
      </c>
      <c r="D709" s="21">
        <f>ROUND(F708*B5/100/B10,2)</f>
        <v/>
      </c>
      <c r="E709" s="21">
        <f>IF((ROUND(F708-ROUND($B$13-D709,2),2)&lt;=0),F708,ROUND($B$13-D709,2))</f>
        <v/>
      </c>
      <c r="F709" s="21">
        <f>IF((ROUND(F708-ROUND($B$13-D709,2),2)&lt;=0),0,ROUND(F708-E709,2))</f>
        <v/>
      </c>
    </row>
    <row r="710">
      <c r="A710" s="6" t="n">
        <v>694</v>
      </c>
      <c r="B710" s="19">
        <f>IF(B8="monthly",DATE(YEAR(B7)+INT((MONTH(B7)-1+693)/12),MOD(MONTH(B7)-1+693,12)+1,1)+(DAY(B7)-1),IF(B8="weekly",B7+4851,IF(B8="biweekly",B7+9702,B7+ROUND((693*365.25)/24,0))))</f>
        <v/>
      </c>
      <c r="C710" s="21">
        <f>IF((ROUND(F709-ROUND($B$13-D710,2),2)&lt;=0),ROUND(D710+E710,2),$B$13)</f>
        <v/>
      </c>
      <c r="D710" s="21">
        <f>ROUND(F709*B5/100/B10,2)</f>
        <v/>
      </c>
      <c r="E710" s="21">
        <f>IF((ROUND(F709-ROUND($B$13-D710,2),2)&lt;=0),F709,ROUND($B$13-D710,2))</f>
        <v/>
      </c>
      <c r="F710" s="21">
        <f>IF((ROUND(F709-ROUND($B$13-D710,2),2)&lt;=0),0,ROUND(F709-E710,2))</f>
        <v/>
      </c>
    </row>
    <row r="711">
      <c r="A711" s="6" t="n">
        <v>695</v>
      </c>
      <c r="B711" s="19">
        <f>IF(B8="monthly",DATE(YEAR(B7)+INT((MONTH(B7)-1+694)/12),MOD(MONTH(B7)-1+694,12)+1,1)+(DAY(B7)-1),IF(B8="weekly",B7+4858,IF(B8="biweekly",B7+9716,B7+ROUND((694*365.25)/24,0))))</f>
        <v/>
      </c>
      <c r="C711" s="21">
        <f>IF((ROUND(F710-ROUND($B$13-D711,2),2)&lt;=0),ROUND(D711+E711,2),$B$13)</f>
        <v/>
      </c>
      <c r="D711" s="21">
        <f>ROUND(F710*B5/100/B10,2)</f>
        <v/>
      </c>
      <c r="E711" s="21">
        <f>IF((ROUND(F710-ROUND($B$13-D711,2),2)&lt;=0),F710,ROUND($B$13-D711,2))</f>
        <v/>
      </c>
      <c r="F711" s="21">
        <f>IF((ROUND(F710-ROUND($B$13-D711,2),2)&lt;=0),0,ROUND(F710-E711,2))</f>
        <v/>
      </c>
    </row>
    <row r="712">
      <c r="A712" s="6" t="n">
        <v>696</v>
      </c>
      <c r="B712" s="19">
        <f>IF(B8="monthly",DATE(YEAR(B7)+INT((MONTH(B7)-1+695)/12),MOD(MONTH(B7)-1+695,12)+1,1)+(DAY(B7)-1),IF(B8="weekly",B7+4865,IF(B8="biweekly",B7+9730,B7+ROUND((695*365.25)/24,0))))</f>
        <v/>
      </c>
      <c r="C712" s="21">
        <f>IF((ROUND(F711-ROUND($B$13-D712,2),2)&lt;=0),ROUND(D712+E712,2),$B$13)</f>
        <v/>
      </c>
      <c r="D712" s="21">
        <f>ROUND(F711*B5/100/B10,2)</f>
        <v/>
      </c>
      <c r="E712" s="21">
        <f>IF((ROUND(F711-ROUND($B$13-D712,2),2)&lt;=0),F711,ROUND($B$13-D712,2))</f>
        <v/>
      </c>
      <c r="F712" s="21">
        <f>IF((ROUND(F711-ROUND($B$13-D712,2),2)&lt;=0),0,ROUND(F711-E712,2))</f>
        <v/>
      </c>
    </row>
    <row r="713">
      <c r="A713" s="6" t="n">
        <v>697</v>
      </c>
      <c r="B713" s="19">
        <f>IF(B8="monthly",DATE(YEAR(B7)+INT((MONTH(B7)-1+696)/12),MOD(MONTH(B7)-1+696,12)+1,1)+(DAY(B7)-1),IF(B8="weekly",B7+4872,IF(B8="biweekly",B7+9744,B7+ROUND((696*365.25)/24,0))))</f>
        <v/>
      </c>
      <c r="C713" s="21">
        <f>IF((ROUND(F712-ROUND($B$13-D713,2),2)&lt;=0),ROUND(D713+E713,2),$B$13)</f>
        <v/>
      </c>
      <c r="D713" s="21">
        <f>ROUND(F712*B5/100/B10,2)</f>
        <v/>
      </c>
      <c r="E713" s="21">
        <f>IF((ROUND(F712-ROUND($B$13-D713,2),2)&lt;=0),F712,ROUND($B$13-D713,2))</f>
        <v/>
      </c>
      <c r="F713" s="21">
        <f>IF((ROUND(F712-ROUND($B$13-D713,2),2)&lt;=0),0,ROUND(F712-E713,2))</f>
        <v/>
      </c>
    </row>
    <row r="714">
      <c r="A714" s="6" t="n">
        <v>698</v>
      </c>
      <c r="B714" s="19">
        <f>IF(B8="monthly",DATE(YEAR(B7)+INT((MONTH(B7)-1+697)/12),MOD(MONTH(B7)-1+697,12)+1,1)+(DAY(B7)-1),IF(B8="weekly",B7+4879,IF(B8="biweekly",B7+9758,B7+ROUND((697*365.25)/24,0))))</f>
        <v/>
      </c>
      <c r="C714" s="21">
        <f>IF((ROUND(F713-ROUND($B$13-D714,2),2)&lt;=0),ROUND(D714+E714,2),$B$13)</f>
        <v/>
      </c>
      <c r="D714" s="21">
        <f>ROUND(F713*B5/100/B10,2)</f>
        <v/>
      </c>
      <c r="E714" s="21">
        <f>IF((ROUND(F713-ROUND($B$13-D714,2),2)&lt;=0),F713,ROUND($B$13-D714,2))</f>
        <v/>
      </c>
      <c r="F714" s="21">
        <f>IF((ROUND(F713-ROUND($B$13-D714,2),2)&lt;=0),0,ROUND(F713-E714,2))</f>
        <v/>
      </c>
    </row>
    <row r="715">
      <c r="A715" s="6" t="n">
        <v>699</v>
      </c>
      <c r="B715" s="19">
        <f>IF(B8="monthly",DATE(YEAR(B7)+INT((MONTH(B7)-1+698)/12),MOD(MONTH(B7)-1+698,12)+1,1)+(DAY(B7)-1),IF(B8="weekly",B7+4886,IF(B8="biweekly",B7+9772,B7+ROUND((698*365.25)/24,0))))</f>
        <v/>
      </c>
      <c r="C715" s="21">
        <f>IF((ROUND(F714-ROUND($B$13-D715,2),2)&lt;=0),ROUND(D715+E715,2),$B$13)</f>
        <v/>
      </c>
      <c r="D715" s="21">
        <f>ROUND(F714*B5/100/B10,2)</f>
        <v/>
      </c>
      <c r="E715" s="21">
        <f>IF((ROUND(F714-ROUND($B$13-D715,2),2)&lt;=0),F714,ROUND($B$13-D715,2))</f>
        <v/>
      </c>
      <c r="F715" s="21">
        <f>IF((ROUND(F714-ROUND($B$13-D715,2),2)&lt;=0),0,ROUND(F714-E715,2))</f>
        <v/>
      </c>
    </row>
    <row r="716">
      <c r="A716" s="6" t="n">
        <v>700</v>
      </c>
      <c r="B716" s="19">
        <f>IF(B8="monthly",DATE(YEAR(B7)+INT((MONTH(B7)-1+699)/12),MOD(MONTH(B7)-1+699,12)+1,1)+(DAY(B7)-1),IF(B8="weekly",B7+4893,IF(B8="biweekly",B7+9786,B7+ROUND((699*365.25)/24,0))))</f>
        <v/>
      </c>
      <c r="C716" s="21">
        <f>IF((ROUND(F715-ROUND($B$13-D716,2),2)&lt;=0),ROUND(D716+E716,2),$B$13)</f>
        <v/>
      </c>
      <c r="D716" s="21">
        <f>ROUND(F715*B5/100/B10,2)</f>
        <v/>
      </c>
      <c r="E716" s="21">
        <f>IF((ROUND(F715-ROUND($B$13-D716,2),2)&lt;=0),F715,ROUND($B$13-D716,2))</f>
        <v/>
      </c>
      <c r="F716" s="21">
        <f>IF((ROUND(F715-ROUND($B$13-D716,2),2)&lt;=0),0,ROUND(F715-E716,2))</f>
        <v/>
      </c>
    </row>
    <row r="717">
      <c r="A717" s="6" t="n">
        <v>701</v>
      </c>
      <c r="B717" s="19">
        <f>IF(B8="monthly",DATE(YEAR(B7)+INT((MONTH(B7)-1+700)/12),MOD(MONTH(B7)-1+700,12)+1,1)+(DAY(B7)-1),IF(B8="weekly",B7+4900,IF(B8="biweekly",B7+9800,B7+ROUND((700*365.25)/24,0))))</f>
        <v/>
      </c>
      <c r="C717" s="21">
        <f>IF((ROUND(F716-ROUND($B$13-D717,2),2)&lt;=0),ROUND(D717+E717,2),$B$13)</f>
        <v/>
      </c>
      <c r="D717" s="21">
        <f>ROUND(F716*B5/100/B10,2)</f>
        <v/>
      </c>
      <c r="E717" s="21">
        <f>IF((ROUND(F716-ROUND($B$13-D717,2),2)&lt;=0),F716,ROUND($B$13-D717,2))</f>
        <v/>
      </c>
      <c r="F717" s="21">
        <f>IF((ROUND(F716-ROUND($B$13-D717,2),2)&lt;=0),0,ROUND(F716-E717,2))</f>
        <v/>
      </c>
    </row>
    <row r="718">
      <c r="A718" s="6" t="n">
        <v>702</v>
      </c>
      <c r="B718" s="19">
        <f>IF(B8="monthly",DATE(YEAR(B7)+INT((MONTH(B7)-1+701)/12),MOD(MONTH(B7)-1+701,12)+1,1)+(DAY(B7)-1),IF(B8="weekly",B7+4907,IF(B8="biweekly",B7+9814,B7+ROUND((701*365.25)/24,0))))</f>
        <v/>
      </c>
      <c r="C718" s="21">
        <f>IF((ROUND(F717-ROUND($B$13-D718,2),2)&lt;=0),ROUND(D718+E718,2),$B$13)</f>
        <v/>
      </c>
      <c r="D718" s="21">
        <f>ROUND(F717*B5/100/B10,2)</f>
        <v/>
      </c>
      <c r="E718" s="21">
        <f>IF((ROUND(F717-ROUND($B$13-D718,2),2)&lt;=0),F717,ROUND($B$13-D718,2))</f>
        <v/>
      </c>
      <c r="F718" s="21">
        <f>IF((ROUND(F717-ROUND($B$13-D718,2),2)&lt;=0),0,ROUND(F717-E718,2))</f>
        <v/>
      </c>
    </row>
    <row r="719">
      <c r="A719" s="6" t="n">
        <v>703</v>
      </c>
      <c r="B719" s="19">
        <f>IF(B8="monthly",DATE(YEAR(B7)+INT((MONTH(B7)-1+702)/12),MOD(MONTH(B7)-1+702,12)+1,1)+(DAY(B7)-1),IF(B8="weekly",B7+4914,IF(B8="biweekly",B7+9828,B7+ROUND((702*365.25)/24,0))))</f>
        <v/>
      </c>
      <c r="C719" s="21">
        <f>IF((ROUND(F718-ROUND($B$13-D719,2),2)&lt;=0),ROUND(D719+E719,2),$B$13)</f>
        <v/>
      </c>
      <c r="D719" s="21">
        <f>ROUND(F718*B5/100/B10,2)</f>
        <v/>
      </c>
      <c r="E719" s="21">
        <f>IF((ROUND(F718-ROUND($B$13-D719,2),2)&lt;=0),F718,ROUND($B$13-D719,2))</f>
        <v/>
      </c>
      <c r="F719" s="21">
        <f>IF((ROUND(F718-ROUND($B$13-D719,2),2)&lt;=0),0,ROUND(F718-E719,2))</f>
        <v/>
      </c>
    </row>
    <row r="720">
      <c r="A720" s="6" t="n">
        <v>704</v>
      </c>
      <c r="B720" s="19">
        <f>IF(B8="monthly",DATE(YEAR(B7)+INT((MONTH(B7)-1+703)/12),MOD(MONTH(B7)-1+703,12)+1,1)+(DAY(B7)-1),IF(B8="weekly",B7+4921,IF(B8="biweekly",B7+9842,B7+ROUND((703*365.25)/24,0))))</f>
        <v/>
      </c>
      <c r="C720" s="21">
        <f>IF((ROUND(F719-ROUND($B$13-D720,2),2)&lt;=0),ROUND(D720+E720,2),$B$13)</f>
        <v/>
      </c>
      <c r="D720" s="21">
        <f>ROUND(F719*B5/100/B10,2)</f>
        <v/>
      </c>
      <c r="E720" s="21">
        <f>IF((ROUND(F719-ROUND($B$13-D720,2),2)&lt;=0),F719,ROUND($B$13-D720,2))</f>
        <v/>
      </c>
      <c r="F720" s="21">
        <f>IF((ROUND(F719-ROUND($B$13-D720,2),2)&lt;=0),0,ROUND(F719-E720,2))</f>
        <v/>
      </c>
    </row>
    <row r="721">
      <c r="A721" s="6" t="n">
        <v>705</v>
      </c>
      <c r="B721" s="19">
        <f>IF(B8="monthly",DATE(YEAR(B7)+INT((MONTH(B7)-1+704)/12),MOD(MONTH(B7)-1+704,12)+1,1)+(DAY(B7)-1),IF(B8="weekly",B7+4928,IF(B8="biweekly",B7+9856,B7+ROUND((704*365.25)/24,0))))</f>
        <v/>
      </c>
      <c r="C721" s="21">
        <f>IF((ROUND(F720-ROUND($B$13-D721,2),2)&lt;=0),ROUND(D721+E721,2),$B$13)</f>
        <v/>
      </c>
      <c r="D721" s="21">
        <f>ROUND(F720*B5/100/B10,2)</f>
        <v/>
      </c>
      <c r="E721" s="21">
        <f>IF((ROUND(F720-ROUND($B$13-D721,2),2)&lt;=0),F720,ROUND($B$13-D721,2))</f>
        <v/>
      </c>
      <c r="F721" s="21">
        <f>IF((ROUND(F720-ROUND($B$13-D721,2),2)&lt;=0),0,ROUND(F720-E721,2))</f>
        <v/>
      </c>
    </row>
    <row r="722">
      <c r="A722" s="6" t="n">
        <v>706</v>
      </c>
      <c r="B722" s="19">
        <f>IF(B8="monthly",DATE(YEAR(B7)+INT((MONTH(B7)-1+705)/12),MOD(MONTH(B7)-1+705,12)+1,1)+(DAY(B7)-1),IF(B8="weekly",B7+4935,IF(B8="biweekly",B7+9870,B7+ROUND((705*365.25)/24,0))))</f>
        <v/>
      </c>
      <c r="C722" s="21">
        <f>IF((ROUND(F721-ROUND($B$13-D722,2),2)&lt;=0),ROUND(D722+E722,2),$B$13)</f>
        <v/>
      </c>
      <c r="D722" s="21">
        <f>ROUND(F721*B5/100/B10,2)</f>
        <v/>
      </c>
      <c r="E722" s="21">
        <f>IF((ROUND(F721-ROUND($B$13-D722,2),2)&lt;=0),F721,ROUND($B$13-D722,2))</f>
        <v/>
      </c>
      <c r="F722" s="21">
        <f>IF((ROUND(F721-ROUND($B$13-D722,2),2)&lt;=0),0,ROUND(F721-E722,2))</f>
        <v/>
      </c>
    </row>
    <row r="723">
      <c r="A723" s="6" t="n">
        <v>707</v>
      </c>
      <c r="B723" s="19">
        <f>IF(B8="monthly",DATE(YEAR(B7)+INT((MONTH(B7)-1+706)/12),MOD(MONTH(B7)-1+706,12)+1,1)+(DAY(B7)-1),IF(B8="weekly",B7+4942,IF(B8="biweekly",B7+9884,B7+ROUND((706*365.25)/24,0))))</f>
        <v/>
      </c>
      <c r="C723" s="21">
        <f>IF((ROUND(F722-ROUND($B$13-D723,2),2)&lt;=0),ROUND(D723+E723,2),$B$13)</f>
        <v/>
      </c>
      <c r="D723" s="21">
        <f>ROUND(F722*B5/100/B10,2)</f>
        <v/>
      </c>
      <c r="E723" s="21">
        <f>IF((ROUND(F722-ROUND($B$13-D723,2),2)&lt;=0),F722,ROUND($B$13-D723,2))</f>
        <v/>
      </c>
      <c r="F723" s="21">
        <f>IF((ROUND(F722-ROUND($B$13-D723,2),2)&lt;=0),0,ROUND(F722-E723,2))</f>
        <v/>
      </c>
    </row>
    <row r="724">
      <c r="A724" s="6" t="n">
        <v>708</v>
      </c>
      <c r="B724" s="19">
        <f>IF(B8="monthly",DATE(YEAR(B7)+INT((MONTH(B7)-1+707)/12),MOD(MONTH(B7)-1+707,12)+1,1)+(DAY(B7)-1),IF(B8="weekly",B7+4949,IF(B8="biweekly",B7+9898,B7+ROUND((707*365.25)/24,0))))</f>
        <v/>
      </c>
      <c r="C724" s="21">
        <f>IF((ROUND(F723-ROUND($B$13-D724,2),2)&lt;=0),ROUND(D724+E724,2),$B$13)</f>
        <v/>
      </c>
      <c r="D724" s="21">
        <f>ROUND(F723*B5/100/B10,2)</f>
        <v/>
      </c>
      <c r="E724" s="21">
        <f>IF((ROUND(F723-ROUND($B$13-D724,2),2)&lt;=0),F723,ROUND($B$13-D724,2))</f>
        <v/>
      </c>
      <c r="F724" s="21">
        <f>IF((ROUND(F723-ROUND($B$13-D724,2),2)&lt;=0),0,ROUND(F723-E724,2))</f>
        <v/>
      </c>
    </row>
    <row r="725">
      <c r="A725" s="6" t="n">
        <v>709</v>
      </c>
      <c r="B725" s="19">
        <f>IF(B8="monthly",DATE(YEAR(B7)+INT((MONTH(B7)-1+708)/12),MOD(MONTH(B7)-1+708,12)+1,1)+(DAY(B7)-1),IF(B8="weekly",B7+4956,IF(B8="biweekly",B7+9912,B7+ROUND((708*365.25)/24,0))))</f>
        <v/>
      </c>
      <c r="C725" s="21">
        <f>IF((ROUND(F724-ROUND($B$13-D725,2),2)&lt;=0),ROUND(D725+E725,2),$B$13)</f>
        <v/>
      </c>
      <c r="D725" s="21">
        <f>ROUND(F724*B5/100/B10,2)</f>
        <v/>
      </c>
      <c r="E725" s="21">
        <f>IF((ROUND(F724-ROUND($B$13-D725,2),2)&lt;=0),F724,ROUND($B$13-D725,2))</f>
        <v/>
      </c>
      <c r="F725" s="21">
        <f>IF((ROUND(F724-ROUND($B$13-D725,2),2)&lt;=0),0,ROUND(F724-E725,2))</f>
        <v/>
      </c>
    </row>
    <row r="726">
      <c r="A726" s="6" t="n">
        <v>710</v>
      </c>
      <c r="B726" s="19">
        <f>IF(B8="monthly",DATE(YEAR(B7)+INT((MONTH(B7)-1+709)/12),MOD(MONTH(B7)-1+709,12)+1,1)+(DAY(B7)-1),IF(B8="weekly",B7+4963,IF(B8="biweekly",B7+9926,B7+ROUND((709*365.25)/24,0))))</f>
        <v/>
      </c>
      <c r="C726" s="21">
        <f>IF((ROUND(F725-ROUND($B$13-D726,2),2)&lt;=0),ROUND(D726+E726,2),$B$13)</f>
        <v/>
      </c>
      <c r="D726" s="21">
        <f>ROUND(F725*B5/100/B10,2)</f>
        <v/>
      </c>
      <c r="E726" s="21">
        <f>IF((ROUND(F725-ROUND($B$13-D726,2),2)&lt;=0),F725,ROUND($B$13-D726,2))</f>
        <v/>
      </c>
      <c r="F726" s="21">
        <f>IF((ROUND(F725-ROUND($B$13-D726,2),2)&lt;=0),0,ROUND(F725-E726,2))</f>
        <v/>
      </c>
    </row>
    <row r="727">
      <c r="A727" s="6" t="n">
        <v>711</v>
      </c>
      <c r="B727" s="19">
        <f>IF(B8="monthly",DATE(YEAR(B7)+INT((MONTH(B7)-1+710)/12),MOD(MONTH(B7)-1+710,12)+1,1)+(DAY(B7)-1),IF(B8="weekly",B7+4970,IF(B8="biweekly",B7+9940,B7+ROUND((710*365.25)/24,0))))</f>
        <v/>
      </c>
      <c r="C727" s="21">
        <f>IF((ROUND(F726-ROUND($B$13-D727,2),2)&lt;=0),ROUND(D727+E727,2),$B$13)</f>
        <v/>
      </c>
      <c r="D727" s="21">
        <f>ROUND(F726*B5/100/B10,2)</f>
        <v/>
      </c>
      <c r="E727" s="21">
        <f>IF((ROUND(F726-ROUND($B$13-D727,2),2)&lt;=0),F726,ROUND($B$13-D727,2))</f>
        <v/>
      </c>
      <c r="F727" s="21">
        <f>IF((ROUND(F726-ROUND($B$13-D727,2),2)&lt;=0),0,ROUND(F726-E727,2))</f>
        <v/>
      </c>
    </row>
    <row r="728">
      <c r="A728" s="6" t="n">
        <v>712</v>
      </c>
      <c r="B728" s="19">
        <f>IF(B8="monthly",DATE(YEAR(B7)+INT((MONTH(B7)-1+711)/12),MOD(MONTH(B7)-1+711,12)+1,1)+(DAY(B7)-1),IF(B8="weekly",B7+4977,IF(B8="biweekly",B7+9954,B7+ROUND((711*365.25)/24,0))))</f>
        <v/>
      </c>
      <c r="C728" s="21">
        <f>IF((ROUND(F727-ROUND($B$13-D728,2),2)&lt;=0),ROUND(D728+E728,2),$B$13)</f>
        <v/>
      </c>
      <c r="D728" s="21">
        <f>ROUND(F727*B5/100/B10,2)</f>
        <v/>
      </c>
      <c r="E728" s="21">
        <f>IF((ROUND(F727-ROUND($B$13-D728,2),2)&lt;=0),F727,ROUND($B$13-D728,2))</f>
        <v/>
      </c>
      <c r="F728" s="21">
        <f>IF((ROUND(F727-ROUND($B$13-D728,2),2)&lt;=0),0,ROUND(F727-E728,2))</f>
        <v/>
      </c>
    </row>
    <row r="729">
      <c r="A729" s="6" t="n">
        <v>713</v>
      </c>
      <c r="B729" s="19">
        <f>IF(B8="monthly",DATE(YEAR(B7)+INT((MONTH(B7)-1+712)/12),MOD(MONTH(B7)-1+712,12)+1,1)+(DAY(B7)-1),IF(B8="weekly",B7+4984,IF(B8="biweekly",B7+9968,B7+ROUND((712*365.25)/24,0))))</f>
        <v/>
      </c>
      <c r="C729" s="21">
        <f>IF((ROUND(F728-ROUND($B$13-D729,2),2)&lt;=0),ROUND(D729+E729,2),$B$13)</f>
        <v/>
      </c>
      <c r="D729" s="21">
        <f>ROUND(F728*B5/100/B10,2)</f>
        <v/>
      </c>
      <c r="E729" s="21">
        <f>IF((ROUND(F728-ROUND($B$13-D729,2),2)&lt;=0),F728,ROUND($B$13-D729,2))</f>
        <v/>
      </c>
      <c r="F729" s="21">
        <f>IF((ROUND(F728-ROUND($B$13-D729,2),2)&lt;=0),0,ROUND(F728-E729,2))</f>
        <v/>
      </c>
    </row>
    <row r="730">
      <c r="A730" s="6" t="n">
        <v>714</v>
      </c>
      <c r="B730" s="19">
        <f>IF(B8="monthly",DATE(YEAR(B7)+INT((MONTH(B7)-1+713)/12),MOD(MONTH(B7)-1+713,12)+1,1)+(DAY(B7)-1),IF(B8="weekly",B7+4991,IF(B8="biweekly",B7+9982,B7+ROUND((713*365.25)/24,0))))</f>
        <v/>
      </c>
      <c r="C730" s="21">
        <f>IF((ROUND(F729-ROUND($B$13-D730,2),2)&lt;=0),ROUND(D730+E730,2),$B$13)</f>
        <v/>
      </c>
      <c r="D730" s="21">
        <f>ROUND(F729*B5/100/B10,2)</f>
        <v/>
      </c>
      <c r="E730" s="21">
        <f>IF((ROUND(F729-ROUND($B$13-D730,2),2)&lt;=0),F729,ROUND($B$13-D730,2))</f>
        <v/>
      </c>
      <c r="F730" s="21">
        <f>IF((ROUND(F729-ROUND($B$13-D730,2),2)&lt;=0),0,ROUND(F729-E730,2))</f>
        <v/>
      </c>
    </row>
    <row r="731">
      <c r="A731" s="6" t="n">
        <v>715</v>
      </c>
      <c r="B731" s="19">
        <f>IF(B8="monthly",DATE(YEAR(B7)+INT((MONTH(B7)-1+714)/12),MOD(MONTH(B7)-1+714,12)+1,1)+(DAY(B7)-1),IF(B8="weekly",B7+4998,IF(B8="biweekly",B7+9996,B7+ROUND((714*365.25)/24,0))))</f>
        <v/>
      </c>
      <c r="C731" s="21">
        <f>IF((ROUND(F730-ROUND($B$13-D731,2),2)&lt;=0),ROUND(D731+E731,2),$B$13)</f>
        <v/>
      </c>
      <c r="D731" s="21">
        <f>ROUND(F730*B5/100/B10,2)</f>
        <v/>
      </c>
      <c r="E731" s="21">
        <f>IF((ROUND(F730-ROUND($B$13-D731,2),2)&lt;=0),F730,ROUND($B$13-D731,2))</f>
        <v/>
      </c>
      <c r="F731" s="21">
        <f>IF((ROUND(F730-ROUND($B$13-D731,2),2)&lt;=0),0,ROUND(F730-E731,2))</f>
        <v/>
      </c>
    </row>
    <row r="732">
      <c r="A732" s="6" t="n">
        <v>716</v>
      </c>
      <c r="B732" s="19">
        <f>IF(B8="monthly",DATE(YEAR(B7)+INT((MONTH(B7)-1+715)/12),MOD(MONTH(B7)-1+715,12)+1,1)+(DAY(B7)-1),IF(B8="weekly",B7+5005,IF(B8="biweekly",B7+10010,B7+ROUND((715*365.25)/24,0))))</f>
        <v/>
      </c>
      <c r="C732" s="21">
        <f>IF((ROUND(F731-ROUND($B$13-D732,2),2)&lt;=0),ROUND(D732+E732,2),$B$13)</f>
        <v/>
      </c>
      <c r="D732" s="21">
        <f>ROUND(F731*B5/100/B10,2)</f>
        <v/>
      </c>
      <c r="E732" s="21">
        <f>IF((ROUND(F731-ROUND($B$13-D732,2),2)&lt;=0),F731,ROUND($B$13-D732,2))</f>
        <v/>
      </c>
      <c r="F732" s="21">
        <f>IF((ROUND(F731-ROUND($B$13-D732,2),2)&lt;=0),0,ROUND(F731-E732,2))</f>
        <v/>
      </c>
    </row>
    <row r="733">
      <c r="A733" s="6" t="n">
        <v>717</v>
      </c>
      <c r="B733" s="19">
        <f>IF(B8="monthly",DATE(YEAR(B7)+INT((MONTH(B7)-1+716)/12),MOD(MONTH(B7)-1+716,12)+1,1)+(DAY(B7)-1),IF(B8="weekly",B7+5012,IF(B8="biweekly",B7+10024,B7+ROUND((716*365.25)/24,0))))</f>
        <v/>
      </c>
      <c r="C733" s="21">
        <f>IF((ROUND(F732-ROUND($B$13-D733,2),2)&lt;=0),ROUND(D733+E733,2),$B$13)</f>
        <v/>
      </c>
      <c r="D733" s="21">
        <f>ROUND(F732*B5/100/B10,2)</f>
        <v/>
      </c>
      <c r="E733" s="21">
        <f>IF((ROUND(F732-ROUND($B$13-D733,2),2)&lt;=0),F732,ROUND($B$13-D733,2))</f>
        <v/>
      </c>
      <c r="F733" s="21">
        <f>IF((ROUND(F732-ROUND($B$13-D733,2),2)&lt;=0),0,ROUND(F732-E733,2))</f>
        <v/>
      </c>
    </row>
    <row r="734">
      <c r="A734" s="6" t="n">
        <v>718</v>
      </c>
      <c r="B734" s="19">
        <f>IF(B8="monthly",DATE(YEAR(B7)+INT((MONTH(B7)-1+717)/12),MOD(MONTH(B7)-1+717,12)+1,1)+(DAY(B7)-1),IF(B8="weekly",B7+5019,IF(B8="biweekly",B7+10038,B7+ROUND((717*365.25)/24,0))))</f>
        <v/>
      </c>
      <c r="C734" s="21">
        <f>IF((ROUND(F733-ROUND($B$13-D734,2),2)&lt;=0),ROUND(D734+E734,2),$B$13)</f>
        <v/>
      </c>
      <c r="D734" s="21">
        <f>ROUND(F733*B5/100/B10,2)</f>
        <v/>
      </c>
      <c r="E734" s="21">
        <f>IF((ROUND(F733-ROUND($B$13-D734,2),2)&lt;=0),F733,ROUND($B$13-D734,2))</f>
        <v/>
      </c>
      <c r="F734" s="21">
        <f>IF((ROUND(F733-ROUND($B$13-D734,2),2)&lt;=0),0,ROUND(F733-E734,2))</f>
        <v/>
      </c>
    </row>
    <row r="735">
      <c r="A735" s="6" t="n">
        <v>719</v>
      </c>
      <c r="B735" s="19">
        <f>IF(B8="monthly",DATE(YEAR(B7)+INT((MONTH(B7)-1+718)/12),MOD(MONTH(B7)-1+718,12)+1,1)+(DAY(B7)-1),IF(B8="weekly",B7+5026,IF(B8="biweekly",B7+10052,B7+ROUND((718*365.25)/24,0))))</f>
        <v/>
      </c>
      <c r="C735" s="21">
        <f>IF((ROUND(F734-ROUND($B$13-D735,2),2)&lt;=0),ROUND(D735+E735,2),$B$13)</f>
        <v/>
      </c>
      <c r="D735" s="21">
        <f>ROUND(F734*B5/100/B10,2)</f>
        <v/>
      </c>
      <c r="E735" s="21">
        <f>IF((ROUND(F734-ROUND($B$13-D735,2),2)&lt;=0),F734,ROUND($B$13-D735,2))</f>
        <v/>
      </c>
      <c r="F735" s="21">
        <f>IF((ROUND(F734-ROUND($B$13-D735,2),2)&lt;=0),0,ROUND(F734-E735,2))</f>
        <v/>
      </c>
    </row>
    <row r="736">
      <c r="A736" s="6" t="n">
        <v>720</v>
      </c>
      <c r="B736" s="19">
        <f>IF(B8="monthly",DATE(YEAR(B7)+INT((MONTH(B7)-1+719)/12),MOD(MONTH(B7)-1+719,12)+1,1)+(DAY(B7)-1),IF(B8="weekly",B7+5033,IF(B8="biweekly",B7+10066,B7+ROUND((719*365.25)/24,0))))</f>
        <v/>
      </c>
      <c r="C736" s="21">
        <f>IF((ROUND(F735-ROUND($B$13-D736,2),2)&lt;=0),ROUND(D736+E736,2),$B$13)</f>
        <v/>
      </c>
      <c r="D736" s="21">
        <f>ROUND(F735*B5/100/B10,2)</f>
        <v/>
      </c>
      <c r="E736" s="21">
        <f>IF((ROUND(F735-ROUND($B$13-D736,2),2)&lt;=0),F735,ROUND($B$13-D736,2))</f>
        <v/>
      </c>
      <c r="F736" s="21">
        <f>IF((ROUND(F735-ROUND($B$13-D736,2),2)&lt;=0),0,ROUND(F735-E736,2))</f>
        <v/>
      </c>
    </row>
    <row r="737">
      <c r="A737" s="6" t="n">
        <v>721</v>
      </c>
      <c r="B737" s="19">
        <f>IF(B8="monthly",DATE(YEAR(B7)+INT((MONTH(B7)-1+720)/12),MOD(MONTH(B7)-1+720,12)+1,1)+(DAY(B7)-1),IF(B8="weekly",B7+5040,IF(B8="biweekly",B7+10080,B7+ROUND((720*365.25)/24,0))))</f>
        <v/>
      </c>
      <c r="C737" s="21">
        <f>IF((ROUND(F736-ROUND($B$13-D737,2),2)&lt;=0),ROUND(D737+E737,2),$B$13)</f>
        <v/>
      </c>
      <c r="D737" s="21">
        <f>ROUND(F736*B5/100/B10,2)</f>
        <v/>
      </c>
      <c r="E737" s="21">
        <f>IF((ROUND(F736-ROUND($B$13-D737,2),2)&lt;=0),F736,ROUND($B$13-D737,2))</f>
        <v/>
      </c>
      <c r="F737" s="21">
        <f>IF((ROUND(F736-ROUND($B$13-D737,2),2)&lt;=0),0,ROUND(F736-E737,2))</f>
        <v/>
      </c>
    </row>
    <row r="738">
      <c r="A738" s="6" t="n">
        <v>722</v>
      </c>
      <c r="B738" s="19">
        <f>IF(B8="monthly",DATE(YEAR(B7)+INT((MONTH(B7)-1+721)/12),MOD(MONTH(B7)-1+721,12)+1,1)+(DAY(B7)-1),IF(B8="weekly",B7+5047,IF(B8="biweekly",B7+10094,B7+ROUND((721*365.25)/24,0))))</f>
        <v/>
      </c>
      <c r="C738" s="21">
        <f>IF((ROUND(F737-ROUND($B$13-D738,2),2)&lt;=0),ROUND(D738+E738,2),$B$13)</f>
        <v/>
      </c>
      <c r="D738" s="21">
        <f>ROUND(F737*B5/100/B10,2)</f>
        <v/>
      </c>
      <c r="E738" s="21">
        <f>IF((ROUND(F737-ROUND($B$13-D738,2),2)&lt;=0),F737,ROUND($B$13-D738,2))</f>
        <v/>
      </c>
      <c r="F738" s="21">
        <f>IF((ROUND(F737-ROUND($B$13-D738,2),2)&lt;=0),0,ROUND(F737-E738,2))</f>
        <v/>
      </c>
    </row>
    <row r="739">
      <c r="A739" s="6" t="n">
        <v>723</v>
      </c>
      <c r="B739" s="19">
        <f>IF(B8="monthly",DATE(YEAR(B7)+INT((MONTH(B7)-1+722)/12),MOD(MONTH(B7)-1+722,12)+1,1)+(DAY(B7)-1),IF(B8="weekly",B7+5054,IF(B8="biweekly",B7+10108,B7+ROUND((722*365.25)/24,0))))</f>
        <v/>
      </c>
      <c r="C739" s="21">
        <f>IF((ROUND(F738-ROUND($B$13-D739,2),2)&lt;=0),ROUND(D739+E739,2),$B$13)</f>
        <v/>
      </c>
      <c r="D739" s="21">
        <f>ROUND(F738*B5/100/B10,2)</f>
        <v/>
      </c>
      <c r="E739" s="21">
        <f>IF((ROUND(F738-ROUND($B$13-D739,2),2)&lt;=0),F738,ROUND($B$13-D739,2))</f>
        <v/>
      </c>
      <c r="F739" s="21">
        <f>IF((ROUND(F738-ROUND($B$13-D739,2),2)&lt;=0),0,ROUND(F738-E739,2))</f>
        <v/>
      </c>
    </row>
    <row r="740">
      <c r="A740" s="6" t="n">
        <v>724</v>
      </c>
      <c r="B740" s="19">
        <f>IF(B8="monthly",DATE(YEAR(B7)+INT((MONTH(B7)-1+723)/12),MOD(MONTH(B7)-1+723,12)+1,1)+(DAY(B7)-1),IF(B8="weekly",B7+5061,IF(B8="biweekly",B7+10122,B7+ROUND((723*365.25)/24,0))))</f>
        <v/>
      </c>
      <c r="C740" s="21">
        <f>IF((ROUND(F739-ROUND($B$13-D740,2),2)&lt;=0),ROUND(D740+E740,2),$B$13)</f>
        <v/>
      </c>
      <c r="D740" s="21">
        <f>ROUND(F739*B5/100/B10,2)</f>
        <v/>
      </c>
      <c r="E740" s="21">
        <f>IF((ROUND(F739-ROUND($B$13-D740,2),2)&lt;=0),F739,ROUND($B$13-D740,2))</f>
        <v/>
      </c>
      <c r="F740" s="21">
        <f>IF((ROUND(F739-ROUND($B$13-D740,2),2)&lt;=0),0,ROUND(F739-E740,2))</f>
        <v/>
      </c>
    </row>
    <row r="741">
      <c r="A741" s="6" t="n">
        <v>725</v>
      </c>
      <c r="B741" s="19">
        <f>IF(B8="monthly",DATE(YEAR(B7)+INT((MONTH(B7)-1+724)/12),MOD(MONTH(B7)-1+724,12)+1,1)+(DAY(B7)-1),IF(B8="weekly",B7+5068,IF(B8="biweekly",B7+10136,B7+ROUND((724*365.25)/24,0))))</f>
        <v/>
      </c>
      <c r="C741" s="21">
        <f>IF((ROUND(F740-ROUND($B$13-D741,2),2)&lt;=0),ROUND(D741+E741,2),$B$13)</f>
        <v/>
      </c>
      <c r="D741" s="21">
        <f>ROUND(F740*B5/100/B10,2)</f>
        <v/>
      </c>
      <c r="E741" s="21">
        <f>IF((ROUND(F740-ROUND($B$13-D741,2),2)&lt;=0),F740,ROUND($B$13-D741,2))</f>
        <v/>
      </c>
      <c r="F741" s="21">
        <f>IF((ROUND(F740-ROUND($B$13-D741,2),2)&lt;=0),0,ROUND(F740-E741,2))</f>
        <v/>
      </c>
    </row>
    <row r="742">
      <c r="A742" s="6" t="n">
        <v>726</v>
      </c>
      <c r="B742" s="19">
        <f>IF(B8="monthly",DATE(YEAR(B7)+INT((MONTH(B7)-1+725)/12),MOD(MONTH(B7)-1+725,12)+1,1)+(DAY(B7)-1),IF(B8="weekly",B7+5075,IF(B8="biweekly",B7+10150,B7+ROUND((725*365.25)/24,0))))</f>
        <v/>
      </c>
      <c r="C742" s="21">
        <f>IF((ROUND(F741-ROUND($B$13-D742,2),2)&lt;=0),ROUND(D742+E742,2),$B$13)</f>
        <v/>
      </c>
      <c r="D742" s="21">
        <f>ROUND(F741*B5/100/B10,2)</f>
        <v/>
      </c>
      <c r="E742" s="21">
        <f>IF((ROUND(F741-ROUND($B$13-D742,2),2)&lt;=0),F741,ROUND($B$13-D742,2))</f>
        <v/>
      </c>
      <c r="F742" s="21">
        <f>IF((ROUND(F741-ROUND($B$13-D742,2),2)&lt;=0),0,ROUND(F741-E742,2))</f>
        <v/>
      </c>
    </row>
    <row r="743">
      <c r="A743" s="6" t="n">
        <v>727</v>
      </c>
      <c r="B743" s="19">
        <f>IF(B8="monthly",DATE(YEAR(B7)+INT((MONTH(B7)-1+726)/12),MOD(MONTH(B7)-1+726,12)+1,1)+(DAY(B7)-1),IF(B8="weekly",B7+5082,IF(B8="biweekly",B7+10164,B7+ROUND((726*365.25)/24,0))))</f>
        <v/>
      </c>
      <c r="C743" s="21">
        <f>IF((ROUND(F742-ROUND($B$13-D743,2),2)&lt;=0),ROUND(D743+E743,2),$B$13)</f>
        <v/>
      </c>
      <c r="D743" s="21">
        <f>ROUND(F742*B5/100/B10,2)</f>
        <v/>
      </c>
      <c r="E743" s="21">
        <f>IF((ROUND(F742-ROUND($B$13-D743,2),2)&lt;=0),F742,ROUND($B$13-D743,2))</f>
        <v/>
      </c>
      <c r="F743" s="21">
        <f>IF((ROUND(F742-ROUND($B$13-D743,2),2)&lt;=0),0,ROUND(F742-E743,2))</f>
        <v/>
      </c>
    </row>
    <row r="744">
      <c r="A744" s="6" t="n">
        <v>728</v>
      </c>
      <c r="B744" s="19">
        <f>IF(B8="monthly",DATE(YEAR(B7)+INT((MONTH(B7)-1+727)/12),MOD(MONTH(B7)-1+727,12)+1,1)+(DAY(B7)-1),IF(B8="weekly",B7+5089,IF(B8="biweekly",B7+10178,B7+ROUND((727*365.25)/24,0))))</f>
        <v/>
      </c>
      <c r="C744" s="21">
        <f>IF((ROUND(F743-ROUND($B$13-D744,2),2)&lt;=0),ROUND(D744+E744,2),$B$13)</f>
        <v/>
      </c>
      <c r="D744" s="21">
        <f>ROUND(F743*B5/100/B10,2)</f>
        <v/>
      </c>
      <c r="E744" s="21">
        <f>IF((ROUND(F743-ROUND($B$13-D744,2),2)&lt;=0),F743,ROUND($B$13-D744,2))</f>
        <v/>
      </c>
      <c r="F744" s="21">
        <f>IF((ROUND(F743-ROUND($B$13-D744,2),2)&lt;=0),0,ROUND(F743-E744,2))</f>
        <v/>
      </c>
    </row>
    <row r="745">
      <c r="A745" s="6" t="n">
        <v>729</v>
      </c>
      <c r="B745" s="19">
        <f>IF(B8="monthly",DATE(YEAR(B7)+INT((MONTH(B7)-1+728)/12),MOD(MONTH(B7)-1+728,12)+1,1)+(DAY(B7)-1),IF(B8="weekly",B7+5096,IF(B8="biweekly",B7+10192,B7+ROUND((728*365.25)/24,0))))</f>
        <v/>
      </c>
      <c r="C745" s="21">
        <f>IF((ROUND(F744-ROUND($B$13-D745,2),2)&lt;=0),ROUND(D745+E745,2),$B$13)</f>
        <v/>
      </c>
      <c r="D745" s="21">
        <f>ROUND(F744*B5/100/B10,2)</f>
        <v/>
      </c>
      <c r="E745" s="21">
        <f>IF((ROUND(F744-ROUND($B$13-D745,2),2)&lt;=0),F744,ROUND($B$13-D745,2))</f>
        <v/>
      </c>
      <c r="F745" s="21">
        <f>IF((ROUND(F744-ROUND($B$13-D745,2),2)&lt;=0),0,ROUND(F744-E745,2))</f>
        <v/>
      </c>
    </row>
    <row r="746">
      <c r="A746" s="6" t="n">
        <v>730</v>
      </c>
      <c r="B746" s="19">
        <f>IF(B8="monthly",DATE(YEAR(B7)+INT((MONTH(B7)-1+729)/12),MOD(MONTH(B7)-1+729,12)+1,1)+(DAY(B7)-1),IF(B8="weekly",B7+5103,IF(B8="biweekly",B7+10206,B7+ROUND((729*365.25)/24,0))))</f>
        <v/>
      </c>
      <c r="C746" s="21">
        <f>IF((ROUND(F745-ROUND($B$13-D746,2),2)&lt;=0),ROUND(D746+E746,2),$B$13)</f>
        <v/>
      </c>
      <c r="D746" s="21">
        <f>ROUND(F745*B5/100/B10,2)</f>
        <v/>
      </c>
      <c r="E746" s="21">
        <f>IF((ROUND(F745-ROUND($B$13-D746,2),2)&lt;=0),F745,ROUND($B$13-D746,2))</f>
        <v/>
      </c>
      <c r="F746" s="21">
        <f>IF((ROUND(F745-ROUND($B$13-D746,2),2)&lt;=0),0,ROUND(F745-E746,2))</f>
        <v/>
      </c>
    </row>
    <row r="747">
      <c r="A747" s="6" t="n">
        <v>731</v>
      </c>
      <c r="B747" s="19">
        <f>IF(B8="monthly",DATE(YEAR(B7)+INT((MONTH(B7)-1+730)/12),MOD(MONTH(B7)-1+730,12)+1,1)+(DAY(B7)-1),IF(B8="weekly",B7+5110,IF(B8="biweekly",B7+10220,B7+ROUND((730*365.25)/24,0))))</f>
        <v/>
      </c>
      <c r="C747" s="21">
        <f>IF((ROUND(F746-ROUND($B$13-D747,2),2)&lt;=0),ROUND(D747+E747,2),$B$13)</f>
        <v/>
      </c>
      <c r="D747" s="21">
        <f>ROUND(F746*B5/100/B10,2)</f>
        <v/>
      </c>
      <c r="E747" s="21">
        <f>IF((ROUND(F746-ROUND($B$13-D747,2),2)&lt;=0),F746,ROUND($B$13-D747,2))</f>
        <v/>
      </c>
      <c r="F747" s="21">
        <f>IF((ROUND(F746-ROUND($B$13-D747,2),2)&lt;=0),0,ROUND(F746-E747,2))</f>
        <v/>
      </c>
    </row>
    <row r="748">
      <c r="A748" s="6" t="n">
        <v>732</v>
      </c>
      <c r="B748" s="19">
        <f>IF(B8="monthly",DATE(YEAR(B7)+INT((MONTH(B7)-1+731)/12),MOD(MONTH(B7)-1+731,12)+1,1)+(DAY(B7)-1),IF(B8="weekly",B7+5117,IF(B8="biweekly",B7+10234,B7+ROUND((731*365.25)/24,0))))</f>
        <v/>
      </c>
      <c r="C748" s="21">
        <f>IF((ROUND(F747-ROUND($B$13-D748,2),2)&lt;=0),ROUND(D748+E748,2),$B$13)</f>
        <v/>
      </c>
      <c r="D748" s="21">
        <f>ROUND(F747*B5/100/B10,2)</f>
        <v/>
      </c>
      <c r="E748" s="21">
        <f>IF((ROUND(F747-ROUND($B$13-D748,2),2)&lt;=0),F747,ROUND($B$13-D748,2))</f>
        <v/>
      </c>
      <c r="F748" s="21">
        <f>IF((ROUND(F747-ROUND($B$13-D748,2),2)&lt;=0),0,ROUND(F747-E748,2))</f>
        <v/>
      </c>
    </row>
    <row r="749">
      <c r="A749" s="6" t="n">
        <v>733</v>
      </c>
      <c r="B749" s="19">
        <f>IF(B8="monthly",DATE(YEAR(B7)+INT((MONTH(B7)-1+732)/12),MOD(MONTH(B7)-1+732,12)+1,1)+(DAY(B7)-1),IF(B8="weekly",B7+5124,IF(B8="biweekly",B7+10248,B7+ROUND((732*365.25)/24,0))))</f>
        <v/>
      </c>
      <c r="C749" s="21">
        <f>IF((ROUND(F748-ROUND($B$13-D749,2),2)&lt;=0),ROUND(D749+E749,2),$B$13)</f>
        <v/>
      </c>
      <c r="D749" s="21">
        <f>ROUND(F748*B5/100/B10,2)</f>
        <v/>
      </c>
      <c r="E749" s="21">
        <f>IF((ROUND(F748-ROUND($B$13-D749,2),2)&lt;=0),F748,ROUND($B$13-D749,2))</f>
        <v/>
      </c>
      <c r="F749" s="21">
        <f>IF((ROUND(F748-ROUND($B$13-D749,2),2)&lt;=0),0,ROUND(F748-E749,2))</f>
        <v/>
      </c>
    </row>
    <row r="750">
      <c r="A750" s="6" t="n">
        <v>734</v>
      </c>
      <c r="B750" s="19">
        <f>IF(B8="monthly",DATE(YEAR(B7)+INT((MONTH(B7)-1+733)/12),MOD(MONTH(B7)-1+733,12)+1,1)+(DAY(B7)-1),IF(B8="weekly",B7+5131,IF(B8="biweekly",B7+10262,B7+ROUND((733*365.25)/24,0))))</f>
        <v/>
      </c>
      <c r="C750" s="21">
        <f>IF((ROUND(F749-ROUND($B$13-D750,2),2)&lt;=0),ROUND(D750+E750,2),$B$13)</f>
        <v/>
      </c>
      <c r="D750" s="21">
        <f>ROUND(F749*B5/100/B10,2)</f>
        <v/>
      </c>
      <c r="E750" s="21">
        <f>IF((ROUND(F749-ROUND($B$13-D750,2),2)&lt;=0),F749,ROUND($B$13-D750,2))</f>
        <v/>
      </c>
      <c r="F750" s="21">
        <f>IF((ROUND(F749-ROUND($B$13-D750,2),2)&lt;=0),0,ROUND(F749-E750,2))</f>
        <v/>
      </c>
    </row>
    <row r="751">
      <c r="A751" s="6" t="n">
        <v>735</v>
      </c>
      <c r="B751" s="19">
        <f>IF(B8="monthly",DATE(YEAR(B7)+INT((MONTH(B7)-1+734)/12),MOD(MONTH(B7)-1+734,12)+1,1)+(DAY(B7)-1),IF(B8="weekly",B7+5138,IF(B8="biweekly",B7+10276,B7+ROUND((734*365.25)/24,0))))</f>
        <v/>
      </c>
      <c r="C751" s="21">
        <f>IF((ROUND(F750-ROUND($B$13-D751,2),2)&lt;=0),ROUND(D751+E751,2),$B$13)</f>
        <v/>
      </c>
      <c r="D751" s="21">
        <f>ROUND(F750*B5/100/B10,2)</f>
        <v/>
      </c>
      <c r="E751" s="21">
        <f>IF((ROUND(F750-ROUND($B$13-D751,2),2)&lt;=0),F750,ROUND($B$13-D751,2))</f>
        <v/>
      </c>
      <c r="F751" s="21">
        <f>IF((ROUND(F750-ROUND($B$13-D751,2),2)&lt;=0),0,ROUND(F750-E751,2))</f>
        <v/>
      </c>
    </row>
    <row r="752">
      <c r="A752" s="6" t="n">
        <v>736</v>
      </c>
      <c r="B752" s="19">
        <f>IF(B8="monthly",DATE(YEAR(B7)+INT((MONTH(B7)-1+735)/12),MOD(MONTH(B7)-1+735,12)+1,1)+(DAY(B7)-1),IF(B8="weekly",B7+5145,IF(B8="biweekly",B7+10290,B7+ROUND((735*365.25)/24,0))))</f>
        <v/>
      </c>
      <c r="C752" s="21">
        <f>IF((ROUND(F751-ROUND($B$13-D752,2),2)&lt;=0),ROUND(D752+E752,2),$B$13)</f>
        <v/>
      </c>
      <c r="D752" s="21">
        <f>ROUND(F751*B5/100/B10,2)</f>
        <v/>
      </c>
      <c r="E752" s="21">
        <f>IF((ROUND(F751-ROUND($B$13-D752,2),2)&lt;=0),F751,ROUND($B$13-D752,2))</f>
        <v/>
      </c>
      <c r="F752" s="21">
        <f>IF((ROUND(F751-ROUND($B$13-D752,2),2)&lt;=0),0,ROUND(F751-E752,2))</f>
        <v/>
      </c>
    </row>
    <row r="753">
      <c r="A753" s="6" t="n">
        <v>737</v>
      </c>
      <c r="B753" s="19">
        <f>IF(B8="monthly",DATE(YEAR(B7)+INT((MONTH(B7)-1+736)/12),MOD(MONTH(B7)-1+736,12)+1,1)+(DAY(B7)-1),IF(B8="weekly",B7+5152,IF(B8="biweekly",B7+10304,B7+ROUND((736*365.25)/24,0))))</f>
        <v/>
      </c>
      <c r="C753" s="21">
        <f>IF((ROUND(F752-ROUND($B$13-D753,2),2)&lt;=0),ROUND(D753+E753,2),$B$13)</f>
        <v/>
      </c>
      <c r="D753" s="21">
        <f>ROUND(F752*B5/100/B10,2)</f>
        <v/>
      </c>
      <c r="E753" s="21">
        <f>IF((ROUND(F752-ROUND($B$13-D753,2),2)&lt;=0),F752,ROUND($B$13-D753,2))</f>
        <v/>
      </c>
      <c r="F753" s="21">
        <f>IF((ROUND(F752-ROUND($B$13-D753,2),2)&lt;=0),0,ROUND(F752-E753,2))</f>
        <v/>
      </c>
    </row>
    <row r="754">
      <c r="A754" s="6" t="n">
        <v>738</v>
      </c>
      <c r="B754" s="19">
        <f>IF(B8="monthly",DATE(YEAR(B7)+INT((MONTH(B7)-1+737)/12),MOD(MONTH(B7)-1+737,12)+1,1)+(DAY(B7)-1),IF(B8="weekly",B7+5159,IF(B8="biweekly",B7+10318,B7+ROUND((737*365.25)/24,0))))</f>
        <v/>
      </c>
      <c r="C754" s="21">
        <f>IF((ROUND(F753-ROUND($B$13-D754,2),2)&lt;=0),ROUND(D754+E754,2),$B$13)</f>
        <v/>
      </c>
      <c r="D754" s="21">
        <f>ROUND(F753*B5/100/B10,2)</f>
        <v/>
      </c>
      <c r="E754" s="21">
        <f>IF((ROUND(F753-ROUND($B$13-D754,2),2)&lt;=0),F753,ROUND($B$13-D754,2))</f>
        <v/>
      </c>
      <c r="F754" s="21">
        <f>IF((ROUND(F753-ROUND($B$13-D754,2),2)&lt;=0),0,ROUND(F753-E754,2))</f>
        <v/>
      </c>
    </row>
    <row r="755">
      <c r="A755" s="6" t="n">
        <v>739</v>
      </c>
      <c r="B755" s="19">
        <f>IF(B8="monthly",DATE(YEAR(B7)+INT((MONTH(B7)-1+738)/12),MOD(MONTH(B7)-1+738,12)+1,1)+(DAY(B7)-1),IF(B8="weekly",B7+5166,IF(B8="biweekly",B7+10332,B7+ROUND((738*365.25)/24,0))))</f>
        <v/>
      </c>
      <c r="C755" s="21">
        <f>IF((ROUND(F754-ROUND($B$13-D755,2),2)&lt;=0),ROUND(D755+E755,2),$B$13)</f>
        <v/>
      </c>
      <c r="D755" s="21">
        <f>ROUND(F754*B5/100/B10,2)</f>
        <v/>
      </c>
      <c r="E755" s="21">
        <f>IF((ROUND(F754-ROUND($B$13-D755,2),2)&lt;=0),F754,ROUND($B$13-D755,2))</f>
        <v/>
      </c>
      <c r="F755" s="21">
        <f>IF((ROUND(F754-ROUND($B$13-D755,2),2)&lt;=0),0,ROUND(F754-E755,2))</f>
        <v/>
      </c>
    </row>
    <row r="756">
      <c r="A756" s="6" t="n">
        <v>740</v>
      </c>
      <c r="B756" s="19">
        <f>IF(B8="monthly",DATE(YEAR(B7)+INT((MONTH(B7)-1+739)/12),MOD(MONTH(B7)-1+739,12)+1,1)+(DAY(B7)-1),IF(B8="weekly",B7+5173,IF(B8="biweekly",B7+10346,B7+ROUND((739*365.25)/24,0))))</f>
        <v/>
      </c>
      <c r="C756" s="21">
        <f>IF((ROUND(F755-ROUND($B$13-D756,2),2)&lt;=0),ROUND(D756+E756,2),$B$13)</f>
        <v/>
      </c>
      <c r="D756" s="21">
        <f>ROUND(F755*B5/100/B10,2)</f>
        <v/>
      </c>
      <c r="E756" s="21">
        <f>IF((ROUND(F755-ROUND($B$13-D756,2),2)&lt;=0),F755,ROUND($B$13-D756,2))</f>
        <v/>
      </c>
      <c r="F756" s="21">
        <f>IF((ROUND(F755-ROUND($B$13-D756,2),2)&lt;=0),0,ROUND(F755-E756,2))</f>
        <v/>
      </c>
    </row>
    <row r="757">
      <c r="A757" s="6" t="n">
        <v>741</v>
      </c>
      <c r="B757" s="19">
        <f>IF(B8="monthly",DATE(YEAR(B7)+INT((MONTH(B7)-1+740)/12),MOD(MONTH(B7)-1+740,12)+1,1)+(DAY(B7)-1),IF(B8="weekly",B7+5180,IF(B8="biweekly",B7+10360,B7+ROUND((740*365.25)/24,0))))</f>
        <v/>
      </c>
      <c r="C757" s="21">
        <f>IF((ROUND(F756-ROUND($B$13-D757,2),2)&lt;=0),ROUND(D757+E757,2),$B$13)</f>
        <v/>
      </c>
      <c r="D757" s="21">
        <f>ROUND(F756*B5/100/B10,2)</f>
        <v/>
      </c>
      <c r="E757" s="21">
        <f>IF((ROUND(F756-ROUND($B$13-D757,2),2)&lt;=0),F756,ROUND($B$13-D757,2))</f>
        <v/>
      </c>
      <c r="F757" s="21">
        <f>IF((ROUND(F756-ROUND($B$13-D757,2),2)&lt;=0),0,ROUND(F756-E757,2))</f>
        <v/>
      </c>
    </row>
    <row r="758">
      <c r="A758" s="6" t="n">
        <v>742</v>
      </c>
      <c r="B758" s="19">
        <f>IF(B8="monthly",DATE(YEAR(B7)+INT((MONTH(B7)-1+741)/12),MOD(MONTH(B7)-1+741,12)+1,1)+(DAY(B7)-1),IF(B8="weekly",B7+5187,IF(B8="biweekly",B7+10374,B7+ROUND((741*365.25)/24,0))))</f>
        <v/>
      </c>
      <c r="C758" s="21">
        <f>IF((ROUND(F757-ROUND($B$13-D758,2),2)&lt;=0),ROUND(D758+E758,2),$B$13)</f>
        <v/>
      </c>
      <c r="D758" s="21">
        <f>ROUND(F757*B5/100/B10,2)</f>
        <v/>
      </c>
      <c r="E758" s="21">
        <f>IF((ROUND(F757-ROUND($B$13-D758,2),2)&lt;=0),F757,ROUND($B$13-D758,2))</f>
        <v/>
      </c>
      <c r="F758" s="21">
        <f>IF((ROUND(F757-ROUND($B$13-D758,2),2)&lt;=0),0,ROUND(F757-E758,2))</f>
        <v/>
      </c>
    </row>
    <row r="759">
      <c r="A759" s="6" t="n">
        <v>743</v>
      </c>
      <c r="B759" s="19">
        <f>IF(B8="monthly",DATE(YEAR(B7)+INT((MONTH(B7)-1+742)/12),MOD(MONTH(B7)-1+742,12)+1,1)+(DAY(B7)-1),IF(B8="weekly",B7+5194,IF(B8="biweekly",B7+10388,B7+ROUND((742*365.25)/24,0))))</f>
        <v/>
      </c>
      <c r="C759" s="21">
        <f>IF((ROUND(F758-ROUND($B$13-D759,2),2)&lt;=0),ROUND(D759+E759,2),$B$13)</f>
        <v/>
      </c>
      <c r="D759" s="21">
        <f>ROUND(F758*B5/100/B10,2)</f>
        <v/>
      </c>
      <c r="E759" s="21">
        <f>IF((ROUND(F758-ROUND($B$13-D759,2),2)&lt;=0),F758,ROUND($B$13-D759,2))</f>
        <v/>
      </c>
      <c r="F759" s="21">
        <f>IF((ROUND(F758-ROUND($B$13-D759,2),2)&lt;=0),0,ROUND(F758-E759,2))</f>
        <v/>
      </c>
    </row>
    <row r="760">
      <c r="A760" s="6" t="n">
        <v>744</v>
      </c>
      <c r="B760" s="19">
        <f>IF(B8="monthly",DATE(YEAR(B7)+INT((MONTH(B7)-1+743)/12),MOD(MONTH(B7)-1+743,12)+1,1)+(DAY(B7)-1),IF(B8="weekly",B7+5201,IF(B8="biweekly",B7+10402,B7+ROUND((743*365.25)/24,0))))</f>
        <v/>
      </c>
      <c r="C760" s="21">
        <f>IF((ROUND(F759-ROUND($B$13-D760,2),2)&lt;=0),ROUND(D760+E760,2),$B$13)</f>
        <v/>
      </c>
      <c r="D760" s="21">
        <f>ROUND(F759*B5/100/B10,2)</f>
        <v/>
      </c>
      <c r="E760" s="21">
        <f>IF((ROUND(F759-ROUND($B$13-D760,2),2)&lt;=0),F759,ROUND($B$13-D760,2))</f>
        <v/>
      </c>
      <c r="F760" s="21">
        <f>IF((ROUND(F759-ROUND($B$13-D760,2),2)&lt;=0),0,ROUND(F759-E760,2))</f>
        <v/>
      </c>
    </row>
    <row r="761">
      <c r="A761" s="6" t="n">
        <v>745</v>
      </c>
      <c r="B761" s="19">
        <f>IF(B8="monthly",DATE(YEAR(B7)+INT((MONTH(B7)-1+744)/12),MOD(MONTH(B7)-1+744,12)+1,1)+(DAY(B7)-1),IF(B8="weekly",B7+5208,IF(B8="biweekly",B7+10416,B7+ROUND((744*365.25)/24,0))))</f>
        <v/>
      </c>
      <c r="C761" s="21">
        <f>IF((ROUND(F760-ROUND($B$13-D761,2),2)&lt;=0),ROUND(D761+E761,2),$B$13)</f>
        <v/>
      </c>
      <c r="D761" s="21">
        <f>ROUND(F760*B5/100/B10,2)</f>
        <v/>
      </c>
      <c r="E761" s="21">
        <f>IF((ROUND(F760-ROUND($B$13-D761,2),2)&lt;=0),F760,ROUND($B$13-D761,2))</f>
        <v/>
      </c>
      <c r="F761" s="21">
        <f>IF((ROUND(F760-ROUND($B$13-D761,2),2)&lt;=0),0,ROUND(F760-E761,2))</f>
        <v/>
      </c>
    </row>
    <row r="762">
      <c r="A762" s="6" t="n">
        <v>746</v>
      </c>
      <c r="B762" s="19">
        <f>IF(B8="monthly",DATE(YEAR(B7)+INT((MONTH(B7)-1+745)/12),MOD(MONTH(B7)-1+745,12)+1,1)+(DAY(B7)-1),IF(B8="weekly",B7+5215,IF(B8="biweekly",B7+10430,B7+ROUND((745*365.25)/24,0))))</f>
        <v/>
      </c>
      <c r="C762" s="21">
        <f>IF((ROUND(F761-ROUND($B$13-D762,2),2)&lt;=0),ROUND(D762+E762,2),$B$13)</f>
        <v/>
      </c>
      <c r="D762" s="21">
        <f>ROUND(F761*B5/100/B10,2)</f>
        <v/>
      </c>
      <c r="E762" s="21">
        <f>IF((ROUND(F761-ROUND($B$13-D762,2),2)&lt;=0),F761,ROUND($B$13-D762,2))</f>
        <v/>
      </c>
      <c r="F762" s="21">
        <f>IF((ROUND(F761-ROUND($B$13-D762,2),2)&lt;=0),0,ROUND(F761-E762,2))</f>
        <v/>
      </c>
    </row>
    <row r="763">
      <c r="A763" s="6" t="n">
        <v>747</v>
      </c>
      <c r="B763" s="19">
        <f>IF(B8="monthly",DATE(YEAR(B7)+INT((MONTH(B7)-1+746)/12),MOD(MONTH(B7)-1+746,12)+1,1)+(DAY(B7)-1),IF(B8="weekly",B7+5222,IF(B8="biweekly",B7+10444,B7+ROUND((746*365.25)/24,0))))</f>
        <v/>
      </c>
      <c r="C763" s="21">
        <f>IF((ROUND(F762-ROUND($B$13-D763,2),2)&lt;=0),ROUND(D763+E763,2),$B$13)</f>
        <v/>
      </c>
      <c r="D763" s="21">
        <f>ROUND(F762*B5/100/B10,2)</f>
        <v/>
      </c>
      <c r="E763" s="21">
        <f>IF((ROUND(F762-ROUND($B$13-D763,2),2)&lt;=0),F762,ROUND($B$13-D763,2))</f>
        <v/>
      </c>
      <c r="F763" s="21">
        <f>IF((ROUND(F762-ROUND($B$13-D763,2),2)&lt;=0),0,ROUND(F762-E763,2))</f>
        <v/>
      </c>
    </row>
    <row r="764">
      <c r="A764" s="6" t="n">
        <v>748</v>
      </c>
      <c r="B764" s="19">
        <f>IF(B8="monthly",DATE(YEAR(B7)+INT((MONTH(B7)-1+747)/12),MOD(MONTH(B7)-1+747,12)+1,1)+(DAY(B7)-1),IF(B8="weekly",B7+5229,IF(B8="biweekly",B7+10458,B7+ROUND((747*365.25)/24,0))))</f>
        <v/>
      </c>
      <c r="C764" s="21">
        <f>IF((ROUND(F763-ROUND($B$13-D764,2),2)&lt;=0),ROUND(D764+E764,2),$B$13)</f>
        <v/>
      </c>
      <c r="D764" s="21">
        <f>ROUND(F763*B5/100/B10,2)</f>
        <v/>
      </c>
      <c r="E764" s="21">
        <f>IF((ROUND(F763-ROUND($B$13-D764,2),2)&lt;=0),F763,ROUND($B$13-D764,2))</f>
        <v/>
      </c>
      <c r="F764" s="21">
        <f>IF((ROUND(F763-ROUND($B$13-D764,2),2)&lt;=0),0,ROUND(F763-E764,2))</f>
        <v/>
      </c>
    </row>
    <row r="765">
      <c r="A765" s="6" t="n">
        <v>749</v>
      </c>
      <c r="B765" s="19">
        <f>IF(B8="monthly",DATE(YEAR(B7)+INT((MONTH(B7)-1+748)/12),MOD(MONTH(B7)-1+748,12)+1,1)+(DAY(B7)-1),IF(B8="weekly",B7+5236,IF(B8="biweekly",B7+10472,B7+ROUND((748*365.25)/24,0))))</f>
        <v/>
      </c>
      <c r="C765" s="21">
        <f>IF((ROUND(F764-ROUND($B$13-D765,2),2)&lt;=0),ROUND(D765+E765,2),$B$13)</f>
        <v/>
      </c>
      <c r="D765" s="21">
        <f>ROUND(F764*B5/100/B10,2)</f>
        <v/>
      </c>
      <c r="E765" s="21">
        <f>IF((ROUND(F764-ROUND($B$13-D765,2),2)&lt;=0),F764,ROUND($B$13-D765,2))</f>
        <v/>
      </c>
      <c r="F765" s="21">
        <f>IF((ROUND(F764-ROUND($B$13-D765,2),2)&lt;=0),0,ROUND(F764-E765,2))</f>
        <v/>
      </c>
    </row>
    <row r="766">
      <c r="A766" s="6" t="n">
        <v>750</v>
      </c>
      <c r="B766" s="19">
        <f>IF(B8="monthly",DATE(YEAR(B7)+INT((MONTH(B7)-1+749)/12),MOD(MONTH(B7)-1+749,12)+1,1)+(DAY(B7)-1),IF(B8="weekly",B7+5243,IF(B8="biweekly",B7+10486,B7+ROUND((749*365.25)/24,0))))</f>
        <v/>
      </c>
      <c r="C766" s="21">
        <f>IF((ROUND(F765-ROUND($B$13-D766,2),2)&lt;=0),ROUND(D766+E766,2),$B$13)</f>
        <v/>
      </c>
      <c r="D766" s="21">
        <f>ROUND(F765*B5/100/B10,2)</f>
        <v/>
      </c>
      <c r="E766" s="21">
        <f>IF((ROUND(F765-ROUND($B$13-D766,2),2)&lt;=0),F765,ROUND($B$13-D766,2))</f>
        <v/>
      </c>
      <c r="F766" s="21">
        <f>IF((ROUND(F765-ROUND($B$13-D766,2),2)&lt;=0),0,ROUND(F765-E766,2))</f>
        <v/>
      </c>
    </row>
    <row r="767">
      <c r="A767" s="6" t="n">
        <v>751</v>
      </c>
      <c r="B767" s="19">
        <f>IF(B8="monthly",DATE(YEAR(B7)+INT((MONTH(B7)-1+750)/12),MOD(MONTH(B7)-1+750,12)+1,1)+(DAY(B7)-1),IF(B8="weekly",B7+5250,IF(B8="biweekly",B7+10500,B7+ROUND((750*365.25)/24,0))))</f>
        <v/>
      </c>
      <c r="C767" s="21">
        <f>IF((ROUND(F766-ROUND($B$13-D767,2),2)&lt;=0),ROUND(D767+E767,2),$B$13)</f>
        <v/>
      </c>
      <c r="D767" s="21">
        <f>ROUND(F766*B5/100/B10,2)</f>
        <v/>
      </c>
      <c r="E767" s="21">
        <f>IF((ROUND(F766-ROUND($B$13-D767,2),2)&lt;=0),F766,ROUND($B$13-D767,2))</f>
        <v/>
      </c>
      <c r="F767" s="21">
        <f>IF((ROUND(F766-ROUND($B$13-D767,2),2)&lt;=0),0,ROUND(F766-E767,2))</f>
        <v/>
      </c>
    </row>
    <row r="768">
      <c r="A768" s="6" t="n">
        <v>752</v>
      </c>
      <c r="B768" s="19">
        <f>IF(B8="monthly",DATE(YEAR(B7)+INT((MONTH(B7)-1+751)/12),MOD(MONTH(B7)-1+751,12)+1,1)+(DAY(B7)-1),IF(B8="weekly",B7+5257,IF(B8="biweekly",B7+10514,B7+ROUND((751*365.25)/24,0))))</f>
        <v/>
      </c>
      <c r="C768" s="21">
        <f>IF((ROUND(F767-ROUND($B$13-D768,2),2)&lt;=0),ROUND(D768+E768,2),$B$13)</f>
        <v/>
      </c>
      <c r="D768" s="21">
        <f>ROUND(F767*B5/100/B10,2)</f>
        <v/>
      </c>
      <c r="E768" s="21">
        <f>IF((ROUND(F767-ROUND($B$13-D768,2),2)&lt;=0),F767,ROUND($B$13-D768,2))</f>
        <v/>
      </c>
      <c r="F768" s="21">
        <f>IF((ROUND(F767-ROUND($B$13-D768,2),2)&lt;=0),0,ROUND(F767-E768,2))</f>
        <v/>
      </c>
    </row>
    <row r="769">
      <c r="A769" s="6" t="n">
        <v>753</v>
      </c>
      <c r="B769" s="19">
        <f>IF(B8="monthly",DATE(YEAR(B7)+INT((MONTH(B7)-1+752)/12),MOD(MONTH(B7)-1+752,12)+1,1)+(DAY(B7)-1),IF(B8="weekly",B7+5264,IF(B8="biweekly",B7+10528,B7+ROUND((752*365.25)/24,0))))</f>
        <v/>
      </c>
      <c r="C769" s="21">
        <f>IF((ROUND(F768-ROUND($B$13-D769,2),2)&lt;=0),ROUND(D769+E769,2),$B$13)</f>
        <v/>
      </c>
      <c r="D769" s="21">
        <f>ROUND(F768*B5/100/B10,2)</f>
        <v/>
      </c>
      <c r="E769" s="21">
        <f>IF((ROUND(F768-ROUND($B$13-D769,2),2)&lt;=0),F768,ROUND($B$13-D769,2))</f>
        <v/>
      </c>
      <c r="F769" s="21">
        <f>IF((ROUND(F768-ROUND($B$13-D769,2),2)&lt;=0),0,ROUND(F768-E769,2))</f>
        <v/>
      </c>
    </row>
    <row r="770">
      <c r="A770" s="6" t="n">
        <v>754</v>
      </c>
      <c r="B770" s="19">
        <f>IF(B8="monthly",DATE(YEAR(B7)+INT((MONTH(B7)-1+753)/12),MOD(MONTH(B7)-1+753,12)+1,1)+(DAY(B7)-1),IF(B8="weekly",B7+5271,IF(B8="biweekly",B7+10542,B7+ROUND((753*365.25)/24,0))))</f>
        <v/>
      </c>
      <c r="C770" s="21">
        <f>IF((ROUND(F769-ROUND($B$13-D770,2),2)&lt;=0),ROUND(D770+E770,2),$B$13)</f>
        <v/>
      </c>
      <c r="D770" s="21">
        <f>ROUND(F769*B5/100/B10,2)</f>
        <v/>
      </c>
      <c r="E770" s="21">
        <f>IF((ROUND(F769-ROUND($B$13-D770,2),2)&lt;=0),F769,ROUND($B$13-D770,2))</f>
        <v/>
      </c>
      <c r="F770" s="21">
        <f>IF((ROUND(F769-ROUND($B$13-D770,2),2)&lt;=0),0,ROUND(F769-E770,2))</f>
        <v/>
      </c>
    </row>
    <row r="771">
      <c r="A771" s="6" t="n">
        <v>755</v>
      </c>
      <c r="B771" s="19">
        <f>IF(B8="monthly",DATE(YEAR(B7)+INT((MONTH(B7)-1+754)/12),MOD(MONTH(B7)-1+754,12)+1,1)+(DAY(B7)-1),IF(B8="weekly",B7+5278,IF(B8="biweekly",B7+10556,B7+ROUND((754*365.25)/24,0))))</f>
        <v/>
      </c>
      <c r="C771" s="21">
        <f>IF((ROUND(F770-ROUND($B$13-D771,2),2)&lt;=0),ROUND(D771+E771,2),$B$13)</f>
        <v/>
      </c>
      <c r="D771" s="21">
        <f>ROUND(F770*B5/100/B10,2)</f>
        <v/>
      </c>
      <c r="E771" s="21">
        <f>IF((ROUND(F770-ROUND($B$13-D771,2),2)&lt;=0),F770,ROUND($B$13-D771,2))</f>
        <v/>
      </c>
      <c r="F771" s="21">
        <f>IF((ROUND(F770-ROUND($B$13-D771,2),2)&lt;=0),0,ROUND(F770-E771,2))</f>
        <v/>
      </c>
    </row>
    <row r="772">
      <c r="A772" s="6" t="n">
        <v>756</v>
      </c>
      <c r="B772" s="19">
        <f>IF(B8="monthly",DATE(YEAR(B7)+INT((MONTH(B7)-1+755)/12),MOD(MONTH(B7)-1+755,12)+1,1)+(DAY(B7)-1),IF(B8="weekly",B7+5285,IF(B8="biweekly",B7+10570,B7+ROUND((755*365.25)/24,0))))</f>
        <v/>
      </c>
      <c r="C772" s="21">
        <f>IF((ROUND(F771-ROUND($B$13-D772,2),2)&lt;=0),ROUND(D772+E772,2),$B$13)</f>
        <v/>
      </c>
      <c r="D772" s="21">
        <f>ROUND(F771*B5/100/B10,2)</f>
        <v/>
      </c>
      <c r="E772" s="21">
        <f>IF((ROUND(F771-ROUND($B$13-D772,2),2)&lt;=0),F771,ROUND($B$13-D772,2))</f>
        <v/>
      </c>
      <c r="F772" s="21">
        <f>IF((ROUND(F771-ROUND($B$13-D772,2),2)&lt;=0),0,ROUND(F771-E772,2))</f>
        <v/>
      </c>
    </row>
    <row r="773">
      <c r="A773" s="6" t="n">
        <v>757</v>
      </c>
      <c r="B773" s="19">
        <f>IF(B8="monthly",DATE(YEAR(B7)+INT((MONTH(B7)-1+756)/12),MOD(MONTH(B7)-1+756,12)+1,1)+(DAY(B7)-1),IF(B8="weekly",B7+5292,IF(B8="biweekly",B7+10584,B7+ROUND((756*365.25)/24,0))))</f>
        <v/>
      </c>
      <c r="C773" s="21">
        <f>IF((ROUND(F772-ROUND($B$13-D773,2),2)&lt;=0),ROUND(D773+E773,2),$B$13)</f>
        <v/>
      </c>
      <c r="D773" s="21">
        <f>ROUND(F772*B5/100/B10,2)</f>
        <v/>
      </c>
      <c r="E773" s="21">
        <f>IF((ROUND(F772-ROUND($B$13-D773,2),2)&lt;=0),F772,ROUND($B$13-D773,2))</f>
        <v/>
      </c>
      <c r="F773" s="21">
        <f>IF((ROUND(F772-ROUND($B$13-D773,2),2)&lt;=0),0,ROUND(F772-E773,2))</f>
        <v/>
      </c>
    </row>
    <row r="774">
      <c r="A774" s="6" t="n">
        <v>758</v>
      </c>
      <c r="B774" s="19">
        <f>IF(B8="monthly",DATE(YEAR(B7)+INT((MONTH(B7)-1+757)/12),MOD(MONTH(B7)-1+757,12)+1,1)+(DAY(B7)-1),IF(B8="weekly",B7+5299,IF(B8="biweekly",B7+10598,B7+ROUND((757*365.25)/24,0))))</f>
        <v/>
      </c>
      <c r="C774" s="21">
        <f>IF((ROUND(F773-ROUND($B$13-D774,2),2)&lt;=0),ROUND(D774+E774,2),$B$13)</f>
        <v/>
      </c>
      <c r="D774" s="21">
        <f>ROUND(F773*B5/100/B10,2)</f>
        <v/>
      </c>
      <c r="E774" s="21">
        <f>IF((ROUND(F773-ROUND($B$13-D774,2),2)&lt;=0),F773,ROUND($B$13-D774,2))</f>
        <v/>
      </c>
      <c r="F774" s="21">
        <f>IF((ROUND(F773-ROUND($B$13-D774,2),2)&lt;=0),0,ROUND(F773-E774,2))</f>
        <v/>
      </c>
    </row>
    <row r="775">
      <c r="A775" s="6" t="n">
        <v>759</v>
      </c>
      <c r="B775" s="19">
        <f>IF(B8="monthly",DATE(YEAR(B7)+INT((MONTH(B7)-1+758)/12),MOD(MONTH(B7)-1+758,12)+1,1)+(DAY(B7)-1),IF(B8="weekly",B7+5306,IF(B8="biweekly",B7+10612,B7+ROUND((758*365.25)/24,0))))</f>
        <v/>
      </c>
      <c r="C775" s="21">
        <f>IF((ROUND(F774-ROUND($B$13-D775,2),2)&lt;=0),ROUND(D775+E775,2),$B$13)</f>
        <v/>
      </c>
      <c r="D775" s="21">
        <f>ROUND(F774*B5/100/B10,2)</f>
        <v/>
      </c>
      <c r="E775" s="21">
        <f>IF((ROUND(F774-ROUND($B$13-D775,2),2)&lt;=0),F774,ROUND($B$13-D775,2))</f>
        <v/>
      </c>
      <c r="F775" s="21">
        <f>IF((ROUND(F774-ROUND($B$13-D775,2),2)&lt;=0),0,ROUND(F774-E775,2))</f>
        <v/>
      </c>
    </row>
    <row r="776">
      <c r="A776" s="6" t="n">
        <v>760</v>
      </c>
      <c r="B776" s="19">
        <f>IF(B8="monthly",DATE(YEAR(B7)+INT((MONTH(B7)-1+759)/12),MOD(MONTH(B7)-1+759,12)+1,1)+(DAY(B7)-1),IF(B8="weekly",B7+5313,IF(B8="biweekly",B7+10626,B7+ROUND((759*365.25)/24,0))))</f>
        <v/>
      </c>
      <c r="C776" s="21">
        <f>IF((ROUND(F775-ROUND($B$13-D776,2),2)&lt;=0),ROUND(D776+E776,2),$B$13)</f>
        <v/>
      </c>
      <c r="D776" s="21">
        <f>ROUND(F775*B5/100/B10,2)</f>
        <v/>
      </c>
      <c r="E776" s="21">
        <f>IF((ROUND(F775-ROUND($B$13-D776,2),2)&lt;=0),F775,ROUND($B$13-D776,2))</f>
        <v/>
      </c>
      <c r="F776" s="21">
        <f>IF((ROUND(F775-ROUND($B$13-D776,2),2)&lt;=0),0,ROUND(F775-E776,2))</f>
        <v/>
      </c>
    </row>
    <row r="777">
      <c r="A777" s="6" t="n">
        <v>761</v>
      </c>
      <c r="B777" s="19">
        <f>IF(B8="monthly",DATE(YEAR(B7)+INT((MONTH(B7)-1+760)/12),MOD(MONTH(B7)-1+760,12)+1,1)+(DAY(B7)-1),IF(B8="weekly",B7+5320,IF(B8="biweekly",B7+10640,B7+ROUND((760*365.25)/24,0))))</f>
        <v/>
      </c>
      <c r="C777" s="21">
        <f>IF((ROUND(F776-ROUND($B$13-D777,2),2)&lt;=0),ROUND(D777+E777,2),$B$13)</f>
        <v/>
      </c>
      <c r="D777" s="21">
        <f>ROUND(F776*B5/100/B10,2)</f>
        <v/>
      </c>
      <c r="E777" s="21">
        <f>IF((ROUND(F776-ROUND($B$13-D777,2),2)&lt;=0),F776,ROUND($B$13-D777,2))</f>
        <v/>
      </c>
      <c r="F777" s="21">
        <f>IF((ROUND(F776-ROUND($B$13-D777,2),2)&lt;=0),0,ROUND(F776-E777,2))</f>
        <v/>
      </c>
    </row>
    <row r="778">
      <c r="A778" s="6" t="n">
        <v>762</v>
      </c>
      <c r="B778" s="19">
        <f>IF(B8="monthly",DATE(YEAR(B7)+INT((MONTH(B7)-1+761)/12),MOD(MONTH(B7)-1+761,12)+1,1)+(DAY(B7)-1),IF(B8="weekly",B7+5327,IF(B8="biweekly",B7+10654,B7+ROUND((761*365.25)/24,0))))</f>
        <v/>
      </c>
      <c r="C778" s="21">
        <f>IF((ROUND(F777-ROUND($B$13-D778,2),2)&lt;=0),ROUND(D778+E778,2),$B$13)</f>
        <v/>
      </c>
      <c r="D778" s="21">
        <f>ROUND(F777*B5/100/B10,2)</f>
        <v/>
      </c>
      <c r="E778" s="21">
        <f>IF((ROUND(F777-ROUND($B$13-D778,2),2)&lt;=0),F777,ROUND($B$13-D778,2))</f>
        <v/>
      </c>
      <c r="F778" s="21">
        <f>IF((ROUND(F777-ROUND($B$13-D778,2),2)&lt;=0),0,ROUND(F777-E778,2))</f>
        <v/>
      </c>
    </row>
    <row r="779">
      <c r="A779" s="6" t="n">
        <v>763</v>
      </c>
      <c r="B779" s="19">
        <f>IF(B8="monthly",DATE(YEAR(B7)+INT((MONTH(B7)-1+762)/12),MOD(MONTH(B7)-1+762,12)+1,1)+(DAY(B7)-1),IF(B8="weekly",B7+5334,IF(B8="biweekly",B7+10668,B7+ROUND((762*365.25)/24,0))))</f>
        <v/>
      </c>
      <c r="C779" s="21">
        <f>IF((ROUND(F778-ROUND($B$13-D779,2),2)&lt;=0),ROUND(D779+E779,2),$B$13)</f>
        <v/>
      </c>
      <c r="D779" s="21">
        <f>ROUND(F778*B5/100/B10,2)</f>
        <v/>
      </c>
      <c r="E779" s="21">
        <f>IF((ROUND(F778-ROUND($B$13-D779,2),2)&lt;=0),F778,ROUND($B$13-D779,2))</f>
        <v/>
      </c>
      <c r="F779" s="21">
        <f>IF((ROUND(F778-ROUND($B$13-D779,2),2)&lt;=0),0,ROUND(F778-E779,2))</f>
        <v/>
      </c>
    </row>
    <row r="780">
      <c r="A780" s="6" t="n">
        <v>764</v>
      </c>
      <c r="B780" s="19">
        <f>IF(B8="monthly",DATE(YEAR(B7)+INT((MONTH(B7)-1+763)/12),MOD(MONTH(B7)-1+763,12)+1,1)+(DAY(B7)-1),IF(B8="weekly",B7+5341,IF(B8="biweekly",B7+10682,B7+ROUND((763*365.25)/24,0))))</f>
        <v/>
      </c>
      <c r="C780" s="21">
        <f>IF((ROUND(F779-ROUND($B$13-D780,2),2)&lt;=0),ROUND(D780+E780,2),$B$13)</f>
        <v/>
      </c>
      <c r="D780" s="21">
        <f>ROUND(F779*B5/100/B10,2)</f>
        <v/>
      </c>
      <c r="E780" s="21">
        <f>IF((ROUND(F779-ROUND($B$13-D780,2),2)&lt;=0),F779,ROUND($B$13-D780,2))</f>
        <v/>
      </c>
      <c r="F780" s="21">
        <f>IF((ROUND(F779-ROUND($B$13-D780,2),2)&lt;=0),0,ROUND(F779-E780,2))</f>
        <v/>
      </c>
    </row>
    <row r="781">
      <c r="A781" s="6" t="n">
        <v>765</v>
      </c>
      <c r="B781" s="19">
        <f>IF(B8="monthly",DATE(YEAR(B7)+INT((MONTH(B7)-1+764)/12),MOD(MONTH(B7)-1+764,12)+1,1)+(DAY(B7)-1),IF(B8="weekly",B7+5348,IF(B8="biweekly",B7+10696,B7+ROUND((764*365.25)/24,0))))</f>
        <v/>
      </c>
      <c r="C781" s="21">
        <f>IF((ROUND(F780-ROUND($B$13-D781,2),2)&lt;=0),ROUND(D781+E781,2),$B$13)</f>
        <v/>
      </c>
      <c r="D781" s="21">
        <f>ROUND(F780*B5/100/B10,2)</f>
        <v/>
      </c>
      <c r="E781" s="21">
        <f>IF((ROUND(F780-ROUND($B$13-D781,2),2)&lt;=0),F780,ROUND($B$13-D781,2))</f>
        <v/>
      </c>
      <c r="F781" s="21">
        <f>IF((ROUND(F780-ROUND($B$13-D781,2),2)&lt;=0),0,ROUND(F780-E781,2))</f>
        <v/>
      </c>
    </row>
    <row r="782">
      <c r="A782" s="6" t="n">
        <v>766</v>
      </c>
      <c r="B782" s="19">
        <f>IF(B8="monthly",DATE(YEAR(B7)+INT((MONTH(B7)-1+765)/12),MOD(MONTH(B7)-1+765,12)+1,1)+(DAY(B7)-1),IF(B8="weekly",B7+5355,IF(B8="biweekly",B7+10710,B7+ROUND((765*365.25)/24,0))))</f>
        <v/>
      </c>
      <c r="C782" s="21">
        <f>IF((ROUND(F781-ROUND($B$13-D782,2),2)&lt;=0),ROUND(D782+E782,2),$B$13)</f>
        <v/>
      </c>
      <c r="D782" s="21">
        <f>ROUND(F781*B5/100/B10,2)</f>
        <v/>
      </c>
      <c r="E782" s="21">
        <f>IF((ROUND(F781-ROUND($B$13-D782,2),2)&lt;=0),F781,ROUND($B$13-D782,2))</f>
        <v/>
      </c>
      <c r="F782" s="21">
        <f>IF((ROUND(F781-ROUND($B$13-D782,2),2)&lt;=0),0,ROUND(F781-E782,2))</f>
        <v/>
      </c>
    </row>
    <row r="783">
      <c r="A783" s="6" t="n">
        <v>767</v>
      </c>
      <c r="B783" s="19">
        <f>IF(B8="monthly",DATE(YEAR(B7)+INT((MONTH(B7)-1+766)/12),MOD(MONTH(B7)-1+766,12)+1,1)+(DAY(B7)-1),IF(B8="weekly",B7+5362,IF(B8="biweekly",B7+10724,B7+ROUND((766*365.25)/24,0))))</f>
        <v/>
      </c>
      <c r="C783" s="21">
        <f>IF((ROUND(F782-ROUND($B$13-D783,2),2)&lt;=0),ROUND(D783+E783,2),$B$13)</f>
        <v/>
      </c>
      <c r="D783" s="21">
        <f>ROUND(F782*B5/100/B10,2)</f>
        <v/>
      </c>
      <c r="E783" s="21">
        <f>IF((ROUND(F782-ROUND($B$13-D783,2),2)&lt;=0),F782,ROUND($B$13-D783,2))</f>
        <v/>
      </c>
      <c r="F783" s="21">
        <f>IF((ROUND(F782-ROUND($B$13-D783,2),2)&lt;=0),0,ROUND(F782-E783,2))</f>
        <v/>
      </c>
    </row>
    <row r="784">
      <c r="A784" s="6" t="n">
        <v>768</v>
      </c>
      <c r="B784" s="19">
        <f>IF(B8="monthly",DATE(YEAR(B7)+INT((MONTH(B7)-1+767)/12),MOD(MONTH(B7)-1+767,12)+1,1)+(DAY(B7)-1),IF(B8="weekly",B7+5369,IF(B8="biweekly",B7+10738,B7+ROUND((767*365.25)/24,0))))</f>
        <v/>
      </c>
      <c r="C784" s="21">
        <f>IF((ROUND(F783-ROUND($B$13-D784,2),2)&lt;=0),ROUND(D784+E784,2),$B$13)</f>
        <v/>
      </c>
      <c r="D784" s="21">
        <f>ROUND(F783*B5/100/B10,2)</f>
        <v/>
      </c>
      <c r="E784" s="21">
        <f>IF((ROUND(F783-ROUND($B$13-D784,2),2)&lt;=0),F783,ROUND($B$13-D784,2))</f>
        <v/>
      </c>
      <c r="F784" s="21">
        <f>IF((ROUND(F783-ROUND($B$13-D784,2),2)&lt;=0),0,ROUND(F783-E784,2))</f>
        <v/>
      </c>
    </row>
    <row r="785">
      <c r="A785" s="6" t="n">
        <v>769</v>
      </c>
      <c r="B785" s="19">
        <f>IF(B8="monthly",DATE(YEAR(B7)+INT((MONTH(B7)-1+768)/12),MOD(MONTH(B7)-1+768,12)+1,1)+(DAY(B7)-1),IF(B8="weekly",B7+5376,IF(B8="biweekly",B7+10752,B7+ROUND((768*365.25)/24,0))))</f>
        <v/>
      </c>
      <c r="C785" s="21">
        <f>IF((ROUND(F784-ROUND($B$13-D785,2),2)&lt;=0),ROUND(D785+E785,2),$B$13)</f>
        <v/>
      </c>
      <c r="D785" s="21">
        <f>ROUND(F784*B5/100/B10,2)</f>
        <v/>
      </c>
      <c r="E785" s="21">
        <f>IF((ROUND(F784-ROUND($B$13-D785,2),2)&lt;=0),F784,ROUND($B$13-D785,2))</f>
        <v/>
      </c>
      <c r="F785" s="21">
        <f>IF((ROUND(F784-ROUND($B$13-D785,2),2)&lt;=0),0,ROUND(F784-E785,2))</f>
        <v/>
      </c>
    </row>
    <row r="786">
      <c r="A786" s="6" t="n">
        <v>770</v>
      </c>
      <c r="B786" s="19">
        <f>IF(B8="monthly",DATE(YEAR(B7)+INT((MONTH(B7)-1+769)/12),MOD(MONTH(B7)-1+769,12)+1,1)+(DAY(B7)-1),IF(B8="weekly",B7+5383,IF(B8="biweekly",B7+10766,B7+ROUND((769*365.25)/24,0))))</f>
        <v/>
      </c>
      <c r="C786" s="21">
        <f>IF((ROUND(F785-ROUND($B$13-D786,2),2)&lt;=0),ROUND(D786+E786,2),$B$13)</f>
        <v/>
      </c>
      <c r="D786" s="21">
        <f>ROUND(F785*B5/100/B10,2)</f>
        <v/>
      </c>
      <c r="E786" s="21">
        <f>IF((ROUND(F785-ROUND($B$13-D786,2),2)&lt;=0),F785,ROUND($B$13-D786,2))</f>
        <v/>
      </c>
      <c r="F786" s="21">
        <f>IF((ROUND(F785-ROUND($B$13-D786,2),2)&lt;=0),0,ROUND(F785-E786,2))</f>
        <v/>
      </c>
    </row>
    <row r="787">
      <c r="A787" s="6" t="n">
        <v>771</v>
      </c>
      <c r="B787" s="19">
        <f>IF(B8="monthly",DATE(YEAR(B7)+INT((MONTH(B7)-1+770)/12),MOD(MONTH(B7)-1+770,12)+1,1)+(DAY(B7)-1),IF(B8="weekly",B7+5390,IF(B8="biweekly",B7+10780,B7+ROUND((770*365.25)/24,0))))</f>
        <v/>
      </c>
      <c r="C787" s="21">
        <f>IF((ROUND(F786-ROUND($B$13-D787,2),2)&lt;=0),ROUND(D787+E787,2),$B$13)</f>
        <v/>
      </c>
      <c r="D787" s="21">
        <f>ROUND(F786*B5/100/B10,2)</f>
        <v/>
      </c>
      <c r="E787" s="21">
        <f>IF((ROUND(F786-ROUND($B$13-D787,2),2)&lt;=0),F786,ROUND($B$13-D787,2))</f>
        <v/>
      </c>
      <c r="F787" s="21">
        <f>IF((ROUND(F786-ROUND($B$13-D787,2),2)&lt;=0),0,ROUND(F786-E787,2))</f>
        <v/>
      </c>
    </row>
    <row r="788">
      <c r="A788" s="6" t="n">
        <v>772</v>
      </c>
      <c r="B788" s="19">
        <f>IF(B8="monthly",DATE(YEAR(B7)+INT((MONTH(B7)-1+771)/12),MOD(MONTH(B7)-1+771,12)+1,1)+(DAY(B7)-1),IF(B8="weekly",B7+5397,IF(B8="biweekly",B7+10794,B7+ROUND((771*365.25)/24,0))))</f>
        <v/>
      </c>
      <c r="C788" s="21">
        <f>IF((ROUND(F787-ROUND($B$13-D788,2),2)&lt;=0),ROUND(D788+E788,2),$B$13)</f>
        <v/>
      </c>
      <c r="D788" s="21">
        <f>ROUND(F787*B5/100/B10,2)</f>
        <v/>
      </c>
      <c r="E788" s="21">
        <f>IF((ROUND(F787-ROUND($B$13-D788,2),2)&lt;=0),F787,ROUND($B$13-D788,2))</f>
        <v/>
      </c>
      <c r="F788" s="21">
        <f>IF((ROUND(F787-ROUND($B$13-D788,2),2)&lt;=0),0,ROUND(F787-E788,2))</f>
        <v/>
      </c>
    </row>
    <row r="789">
      <c r="A789" s="6" t="n">
        <v>773</v>
      </c>
      <c r="B789" s="19">
        <f>IF(B8="monthly",DATE(YEAR(B7)+INT((MONTH(B7)-1+772)/12),MOD(MONTH(B7)-1+772,12)+1,1)+(DAY(B7)-1),IF(B8="weekly",B7+5404,IF(B8="biweekly",B7+10808,B7+ROUND((772*365.25)/24,0))))</f>
        <v/>
      </c>
      <c r="C789" s="21">
        <f>IF((ROUND(F788-ROUND($B$13-D789,2),2)&lt;=0),ROUND(D789+E789,2),$B$13)</f>
        <v/>
      </c>
      <c r="D789" s="21">
        <f>ROUND(F788*B5/100/B10,2)</f>
        <v/>
      </c>
      <c r="E789" s="21">
        <f>IF((ROUND(F788-ROUND($B$13-D789,2),2)&lt;=0),F788,ROUND($B$13-D789,2))</f>
        <v/>
      </c>
      <c r="F789" s="21">
        <f>IF((ROUND(F788-ROUND($B$13-D789,2),2)&lt;=0),0,ROUND(F788-E789,2))</f>
        <v/>
      </c>
    </row>
    <row r="790">
      <c r="A790" s="6" t="n">
        <v>774</v>
      </c>
      <c r="B790" s="19">
        <f>IF(B8="monthly",DATE(YEAR(B7)+INT((MONTH(B7)-1+773)/12),MOD(MONTH(B7)-1+773,12)+1,1)+(DAY(B7)-1),IF(B8="weekly",B7+5411,IF(B8="biweekly",B7+10822,B7+ROUND((773*365.25)/24,0))))</f>
        <v/>
      </c>
      <c r="C790" s="21">
        <f>IF((ROUND(F789-ROUND($B$13-D790,2),2)&lt;=0),ROUND(D790+E790,2),$B$13)</f>
        <v/>
      </c>
      <c r="D790" s="21">
        <f>ROUND(F789*B5/100/B10,2)</f>
        <v/>
      </c>
      <c r="E790" s="21">
        <f>IF((ROUND(F789-ROUND($B$13-D790,2),2)&lt;=0),F789,ROUND($B$13-D790,2))</f>
        <v/>
      </c>
      <c r="F790" s="21">
        <f>IF((ROUND(F789-ROUND($B$13-D790,2),2)&lt;=0),0,ROUND(F789-E790,2))</f>
        <v/>
      </c>
    </row>
    <row r="791">
      <c r="A791" s="6" t="n">
        <v>775</v>
      </c>
      <c r="B791" s="19">
        <f>IF(B8="monthly",DATE(YEAR(B7)+INT((MONTH(B7)-1+774)/12),MOD(MONTH(B7)-1+774,12)+1,1)+(DAY(B7)-1),IF(B8="weekly",B7+5418,IF(B8="biweekly",B7+10836,B7+ROUND((774*365.25)/24,0))))</f>
        <v/>
      </c>
      <c r="C791" s="21">
        <f>IF((ROUND(F790-ROUND($B$13-D791,2),2)&lt;=0),ROUND(D791+E791,2),$B$13)</f>
        <v/>
      </c>
      <c r="D791" s="21">
        <f>ROUND(F790*B5/100/B10,2)</f>
        <v/>
      </c>
      <c r="E791" s="21">
        <f>IF((ROUND(F790-ROUND($B$13-D791,2),2)&lt;=0),F790,ROUND($B$13-D791,2))</f>
        <v/>
      </c>
      <c r="F791" s="21">
        <f>IF((ROUND(F790-ROUND($B$13-D791,2),2)&lt;=0),0,ROUND(F790-E791,2))</f>
        <v/>
      </c>
    </row>
    <row r="792">
      <c r="A792" s="6" t="n">
        <v>776</v>
      </c>
      <c r="B792" s="19">
        <f>IF(B8="monthly",DATE(YEAR(B7)+INT((MONTH(B7)-1+775)/12),MOD(MONTH(B7)-1+775,12)+1,1)+(DAY(B7)-1),IF(B8="weekly",B7+5425,IF(B8="biweekly",B7+10850,B7+ROUND((775*365.25)/24,0))))</f>
        <v/>
      </c>
      <c r="C792" s="21">
        <f>IF((ROUND(F791-ROUND($B$13-D792,2),2)&lt;=0),ROUND(D792+E792,2),$B$13)</f>
        <v/>
      </c>
      <c r="D792" s="21">
        <f>ROUND(F791*B5/100/B10,2)</f>
        <v/>
      </c>
      <c r="E792" s="21">
        <f>IF((ROUND(F791-ROUND($B$13-D792,2),2)&lt;=0),F791,ROUND($B$13-D792,2))</f>
        <v/>
      </c>
      <c r="F792" s="21">
        <f>IF((ROUND(F791-ROUND($B$13-D792,2),2)&lt;=0),0,ROUND(F791-E792,2))</f>
        <v/>
      </c>
    </row>
    <row r="793">
      <c r="A793" s="6" t="n">
        <v>777</v>
      </c>
      <c r="B793" s="19">
        <f>IF(B8="monthly",DATE(YEAR(B7)+INT((MONTH(B7)-1+776)/12),MOD(MONTH(B7)-1+776,12)+1,1)+(DAY(B7)-1),IF(B8="weekly",B7+5432,IF(B8="biweekly",B7+10864,B7+ROUND((776*365.25)/24,0))))</f>
        <v/>
      </c>
      <c r="C793" s="21">
        <f>IF((ROUND(F792-ROUND($B$13-D793,2),2)&lt;=0),ROUND(D793+E793,2),$B$13)</f>
        <v/>
      </c>
      <c r="D793" s="21">
        <f>ROUND(F792*B5/100/B10,2)</f>
        <v/>
      </c>
      <c r="E793" s="21">
        <f>IF((ROUND(F792-ROUND($B$13-D793,2),2)&lt;=0),F792,ROUND($B$13-D793,2))</f>
        <v/>
      </c>
      <c r="F793" s="21">
        <f>IF((ROUND(F792-ROUND($B$13-D793,2),2)&lt;=0),0,ROUND(F792-E793,2))</f>
        <v/>
      </c>
    </row>
    <row r="794">
      <c r="A794" s="6" t="n">
        <v>778</v>
      </c>
      <c r="B794" s="19">
        <f>IF(B8="monthly",DATE(YEAR(B7)+INT((MONTH(B7)-1+777)/12),MOD(MONTH(B7)-1+777,12)+1,1)+(DAY(B7)-1),IF(B8="weekly",B7+5439,IF(B8="biweekly",B7+10878,B7+ROUND((777*365.25)/24,0))))</f>
        <v/>
      </c>
      <c r="C794" s="21">
        <f>IF((ROUND(F793-ROUND($B$13-D794,2),2)&lt;=0),ROUND(D794+E794,2),$B$13)</f>
        <v/>
      </c>
      <c r="D794" s="21">
        <f>ROUND(F793*B5/100/B10,2)</f>
        <v/>
      </c>
      <c r="E794" s="21">
        <f>IF((ROUND(F793-ROUND($B$13-D794,2),2)&lt;=0),F793,ROUND($B$13-D794,2))</f>
        <v/>
      </c>
      <c r="F794" s="21">
        <f>IF((ROUND(F793-ROUND($B$13-D794,2),2)&lt;=0),0,ROUND(F793-E794,2))</f>
        <v/>
      </c>
    </row>
    <row r="795">
      <c r="A795" s="6" t="n">
        <v>779</v>
      </c>
      <c r="B795" s="19">
        <f>IF(B8="monthly",DATE(YEAR(B7)+INT((MONTH(B7)-1+778)/12),MOD(MONTH(B7)-1+778,12)+1,1)+(DAY(B7)-1),IF(B8="weekly",B7+5446,IF(B8="biweekly",B7+10892,B7+ROUND((778*365.25)/24,0))))</f>
        <v/>
      </c>
      <c r="C795" s="21">
        <f>IF((ROUND(F794-ROUND($B$13-D795,2),2)&lt;=0),ROUND(D795+E795,2),$B$13)</f>
        <v/>
      </c>
      <c r="D795" s="21">
        <f>ROUND(F794*B5/100/B10,2)</f>
        <v/>
      </c>
      <c r="E795" s="21">
        <f>IF((ROUND(F794-ROUND($B$13-D795,2),2)&lt;=0),F794,ROUND($B$13-D795,2))</f>
        <v/>
      </c>
      <c r="F795" s="21">
        <f>IF((ROUND(F794-ROUND($B$13-D795,2),2)&lt;=0),0,ROUND(F794-E795,2))</f>
        <v/>
      </c>
    </row>
    <row r="796">
      <c r="A796" s="6" t="n">
        <v>780</v>
      </c>
      <c r="B796" s="19">
        <f>IF(B8="monthly",DATE(YEAR(B7)+INT((MONTH(B7)-1+779)/12),MOD(MONTH(B7)-1+779,12)+1,1)+(DAY(B7)-1),IF(B8="weekly",B7+5453,IF(B8="biweekly",B7+10906,B7+ROUND((779*365.25)/24,0))))</f>
        <v/>
      </c>
      <c r="C796" s="21">
        <f>IF((ROUND(F795-ROUND($B$13-D796,2),2)&lt;=0),ROUND(D796+E796,2),$B$13)</f>
        <v/>
      </c>
      <c r="D796" s="21">
        <f>ROUND(F795*B5/100/B10,2)</f>
        <v/>
      </c>
      <c r="E796" s="21">
        <f>IF((ROUND(F795-ROUND($B$13-D796,2),2)&lt;=0),F795,ROUND($B$13-D796,2))</f>
        <v/>
      </c>
      <c r="F796" s="21">
        <f>IF((ROUND(F795-ROUND($B$13-D796,2),2)&lt;=0),0,ROUND(F795-E796,2))</f>
        <v/>
      </c>
    </row>
    <row r="797">
      <c r="A797" s="6" t="n">
        <v>781</v>
      </c>
      <c r="B797" s="19">
        <f>IF(B8="monthly",DATE(YEAR(B7)+INT((MONTH(B7)-1+780)/12),MOD(MONTH(B7)-1+780,12)+1,1)+(DAY(B7)-1),IF(B8="weekly",B7+5460,IF(B8="biweekly",B7+10920,B7+ROUND((780*365.25)/24,0))))</f>
        <v/>
      </c>
      <c r="C797" s="21">
        <f>IF((ROUND(F796-ROUND($B$13-D797,2),2)&lt;=0),ROUND(D797+E797,2),$B$13)</f>
        <v/>
      </c>
      <c r="D797" s="21">
        <f>ROUND(F796*B5/100/B10,2)</f>
        <v/>
      </c>
      <c r="E797" s="21">
        <f>IF((ROUND(F796-ROUND($B$13-D797,2),2)&lt;=0),F796,ROUND($B$13-D797,2))</f>
        <v/>
      </c>
      <c r="F797" s="21">
        <f>IF((ROUND(F796-ROUND($B$13-D797,2),2)&lt;=0),0,ROUND(F796-E797,2))</f>
        <v/>
      </c>
    </row>
    <row r="798">
      <c r="A798" s="6" t="n">
        <v>782</v>
      </c>
      <c r="B798" s="19">
        <f>IF(B8="monthly",DATE(YEAR(B7)+INT((MONTH(B7)-1+781)/12),MOD(MONTH(B7)-1+781,12)+1,1)+(DAY(B7)-1),IF(B8="weekly",B7+5467,IF(B8="biweekly",B7+10934,B7+ROUND((781*365.25)/24,0))))</f>
        <v/>
      </c>
      <c r="C798" s="21">
        <f>IF((ROUND(F797-ROUND($B$13-D798,2),2)&lt;=0),ROUND(D798+E798,2),$B$13)</f>
        <v/>
      </c>
      <c r="D798" s="21">
        <f>ROUND(F797*B5/100/B10,2)</f>
        <v/>
      </c>
      <c r="E798" s="21">
        <f>IF((ROUND(F797-ROUND($B$13-D798,2),2)&lt;=0),F797,ROUND($B$13-D798,2))</f>
        <v/>
      </c>
      <c r="F798" s="21">
        <f>IF((ROUND(F797-ROUND($B$13-D798,2),2)&lt;=0),0,ROUND(F797-E798,2))</f>
        <v/>
      </c>
    </row>
    <row r="799">
      <c r="A799" s="6" t="n">
        <v>783</v>
      </c>
      <c r="B799" s="19">
        <f>IF(B8="monthly",DATE(YEAR(B7)+INT((MONTH(B7)-1+782)/12),MOD(MONTH(B7)-1+782,12)+1,1)+(DAY(B7)-1),IF(B8="weekly",B7+5474,IF(B8="biweekly",B7+10948,B7+ROUND((782*365.25)/24,0))))</f>
        <v/>
      </c>
      <c r="C799" s="21">
        <f>IF((ROUND(F798-ROUND($B$13-D799,2),2)&lt;=0),ROUND(D799+E799,2),$B$13)</f>
        <v/>
      </c>
      <c r="D799" s="21">
        <f>ROUND(F798*B5/100/B10,2)</f>
        <v/>
      </c>
      <c r="E799" s="21">
        <f>IF((ROUND(F798-ROUND($B$13-D799,2),2)&lt;=0),F798,ROUND($B$13-D799,2))</f>
        <v/>
      </c>
      <c r="F799" s="21">
        <f>IF((ROUND(F798-ROUND($B$13-D799,2),2)&lt;=0),0,ROUND(F798-E799,2))</f>
        <v/>
      </c>
    </row>
    <row r="800">
      <c r="A800" s="6" t="n">
        <v>784</v>
      </c>
      <c r="B800" s="19">
        <f>IF(B8="monthly",DATE(YEAR(B7)+INT((MONTH(B7)-1+783)/12),MOD(MONTH(B7)-1+783,12)+1,1)+(DAY(B7)-1),IF(B8="weekly",B7+5481,IF(B8="biweekly",B7+10962,B7+ROUND((783*365.25)/24,0))))</f>
        <v/>
      </c>
      <c r="C800" s="21">
        <f>IF((ROUND(F799-ROUND($B$13-D800,2),2)&lt;=0),ROUND(D800+E800,2),$B$13)</f>
        <v/>
      </c>
      <c r="D800" s="21">
        <f>ROUND(F799*B5/100/B10,2)</f>
        <v/>
      </c>
      <c r="E800" s="21">
        <f>IF((ROUND(F799-ROUND($B$13-D800,2),2)&lt;=0),F799,ROUND($B$13-D800,2))</f>
        <v/>
      </c>
      <c r="F800" s="21">
        <f>IF((ROUND(F799-ROUND($B$13-D800,2),2)&lt;=0),0,ROUND(F799-E800,2))</f>
        <v/>
      </c>
    </row>
    <row r="801">
      <c r="A801" s="6" t="n">
        <v>785</v>
      </c>
      <c r="B801" s="19">
        <f>IF(B8="monthly",DATE(YEAR(B7)+INT((MONTH(B7)-1+784)/12),MOD(MONTH(B7)-1+784,12)+1,1)+(DAY(B7)-1),IF(B8="weekly",B7+5488,IF(B8="biweekly",B7+10976,B7+ROUND((784*365.25)/24,0))))</f>
        <v/>
      </c>
      <c r="C801" s="21">
        <f>IF((ROUND(F800-ROUND($B$13-D801,2),2)&lt;=0),ROUND(D801+E801,2),$B$13)</f>
        <v/>
      </c>
      <c r="D801" s="21">
        <f>ROUND(F800*B5/100/B10,2)</f>
        <v/>
      </c>
      <c r="E801" s="21">
        <f>IF((ROUND(F800-ROUND($B$13-D801,2),2)&lt;=0),F800,ROUND($B$13-D801,2))</f>
        <v/>
      </c>
      <c r="F801" s="21">
        <f>IF((ROUND(F800-ROUND($B$13-D801,2),2)&lt;=0),0,ROUND(F800-E801,2))</f>
        <v/>
      </c>
    </row>
    <row r="802">
      <c r="A802" s="6" t="n">
        <v>786</v>
      </c>
      <c r="B802" s="19">
        <f>IF(B8="monthly",DATE(YEAR(B7)+INT((MONTH(B7)-1+785)/12),MOD(MONTH(B7)-1+785,12)+1,1)+(DAY(B7)-1),IF(B8="weekly",B7+5495,IF(B8="biweekly",B7+10990,B7+ROUND((785*365.25)/24,0))))</f>
        <v/>
      </c>
      <c r="C802" s="21">
        <f>IF((ROUND(F801-ROUND($B$13-D802,2),2)&lt;=0),ROUND(D802+E802,2),$B$13)</f>
        <v/>
      </c>
      <c r="D802" s="21">
        <f>ROUND(F801*B5/100/B10,2)</f>
        <v/>
      </c>
      <c r="E802" s="21">
        <f>IF((ROUND(F801-ROUND($B$13-D802,2),2)&lt;=0),F801,ROUND($B$13-D802,2))</f>
        <v/>
      </c>
      <c r="F802" s="21">
        <f>IF((ROUND(F801-ROUND($B$13-D802,2),2)&lt;=0),0,ROUND(F801-E802,2))</f>
        <v/>
      </c>
    </row>
    <row r="803">
      <c r="A803" s="6" t="n">
        <v>787</v>
      </c>
      <c r="B803" s="19">
        <f>IF(B8="monthly",DATE(YEAR(B7)+INT((MONTH(B7)-1+786)/12),MOD(MONTH(B7)-1+786,12)+1,1)+(DAY(B7)-1),IF(B8="weekly",B7+5502,IF(B8="biweekly",B7+11004,B7+ROUND((786*365.25)/24,0))))</f>
        <v/>
      </c>
      <c r="C803" s="21">
        <f>IF((ROUND(F802-ROUND($B$13-D803,2),2)&lt;=0),ROUND(D803+E803,2),$B$13)</f>
        <v/>
      </c>
      <c r="D803" s="21">
        <f>ROUND(F802*B5/100/B10,2)</f>
        <v/>
      </c>
      <c r="E803" s="21">
        <f>IF((ROUND(F802-ROUND($B$13-D803,2),2)&lt;=0),F802,ROUND($B$13-D803,2))</f>
        <v/>
      </c>
      <c r="F803" s="21">
        <f>IF((ROUND(F802-ROUND($B$13-D803,2),2)&lt;=0),0,ROUND(F802-E803,2))</f>
        <v/>
      </c>
    </row>
    <row r="804">
      <c r="A804" s="6" t="n">
        <v>788</v>
      </c>
      <c r="B804" s="19">
        <f>IF(B8="monthly",DATE(YEAR(B7)+INT((MONTH(B7)-1+787)/12),MOD(MONTH(B7)-1+787,12)+1,1)+(DAY(B7)-1),IF(B8="weekly",B7+5509,IF(B8="biweekly",B7+11018,B7+ROUND((787*365.25)/24,0))))</f>
        <v/>
      </c>
      <c r="C804" s="21">
        <f>IF((ROUND(F803-ROUND($B$13-D804,2),2)&lt;=0),ROUND(D804+E804,2),$B$13)</f>
        <v/>
      </c>
      <c r="D804" s="21">
        <f>ROUND(F803*B5/100/B10,2)</f>
        <v/>
      </c>
      <c r="E804" s="21">
        <f>IF((ROUND(F803-ROUND($B$13-D804,2),2)&lt;=0),F803,ROUND($B$13-D804,2))</f>
        <v/>
      </c>
      <c r="F804" s="21">
        <f>IF((ROUND(F803-ROUND($B$13-D804,2),2)&lt;=0),0,ROUND(F803-E804,2))</f>
        <v/>
      </c>
    </row>
    <row r="805">
      <c r="A805" s="6" t="n">
        <v>789</v>
      </c>
      <c r="B805" s="19">
        <f>IF(B8="monthly",DATE(YEAR(B7)+INT((MONTH(B7)-1+788)/12),MOD(MONTH(B7)-1+788,12)+1,1)+(DAY(B7)-1),IF(B8="weekly",B7+5516,IF(B8="biweekly",B7+11032,B7+ROUND((788*365.25)/24,0))))</f>
        <v/>
      </c>
      <c r="C805" s="21">
        <f>IF((ROUND(F804-ROUND($B$13-D805,2),2)&lt;=0),ROUND(D805+E805,2),$B$13)</f>
        <v/>
      </c>
      <c r="D805" s="21">
        <f>ROUND(F804*B5/100/B10,2)</f>
        <v/>
      </c>
      <c r="E805" s="21">
        <f>IF((ROUND(F804-ROUND($B$13-D805,2),2)&lt;=0),F804,ROUND($B$13-D805,2))</f>
        <v/>
      </c>
      <c r="F805" s="21">
        <f>IF((ROUND(F804-ROUND($B$13-D805,2),2)&lt;=0),0,ROUND(F804-E805,2))</f>
        <v/>
      </c>
    </row>
    <row r="806">
      <c r="A806" s="6" t="n">
        <v>790</v>
      </c>
      <c r="B806" s="19">
        <f>IF(B8="monthly",DATE(YEAR(B7)+INT((MONTH(B7)-1+789)/12),MOD(MONTH(B7)-1+789,12)+1,1)+(DAY(B7)-1),IF(B8="weekly",B7+5523,IF(B8="biweekly",B7+11046,B7+ROUND((789*365.25)/24,0))))</f>
        <v/>
      </c>
      <c r="C806" s="21">
        <f>IF((ROUND(F805-ROUND($B$13-D806,2),2)&lt;=0),ROUND(D806+E806,2),$B$13)</f>
        <v/>
      </c>
      <c r="D806" s="21">
        <f>ROUND(F805*B5/100/B10,2)</f>
        <v/>
      </c>
      <c r="E806" s="21">
        <f>IF((ROUND(F805-ROUND($B$13-D806,2),2)&lt;=0),F805,ROUND($B$13-D806,2))</f>
        <v/>
      </c>
      <c r="F806" s="21">
        <f>IF((ROUND(F805-ROUND($B$13-D806,2),2)&lt;=0),0,ROUND(F805-E806,2))</f>
        <v/>
      </c>
    </row>
    <row r="807">
      <c r="A807" s="6" t="n">
        <v>791</v>
      </c>
      <c r="B807" s="19">
        <f>IF(B8="monthly",DATE(YEAR(B7)+INT((MONTH(B7)-1+790)/12),MOD(MONTH(B7)-1+790,12)+1,1)+(DAY(B7)-1),IF(B8="weekly",B7+5530,IF(B8="biweekly",B7+11060,B7+ROUND((790*365.25)/24,0))))</f>
        <v/>
      </c>
      <c r="C807" s="21">
        <f>IF((ROUND(F806-ROUND($B$13-D807,2),2)&lt;=0),ROUND(D807+E807,2),$B$13)</f>
        <v/>
      </c>
      <c r="D807" s="21">
        <f>ROUND(F806*B5/100/B10,2)</f>
        <v/>
      </c>
      <c r="E807" s="21">
        <f>IF((ROUND(F806-ROUND($B$13-D807,2),2)&lt;=0),F806,ROUND($B$13-D807,2))</f>
        <v/>
      </c>
      <c r="F807" s="21">
        <f>IF((ROUND(F806-ROUND($B$13-D807,2),2)&lt;=0),0,ROUND(F806-E807,2))</f>
        <v/>
      </c>
    </row>
    <row r="808">
      <c r="A808" s="6" t="n">
        <v>792</v>
      </c>
      <c r="B808" s="19">
        <f>IF(B8="monthly",DATE(YEAR(B7)+INT((MONTH(B7)-1+791)/12),MOD(MONTH(B7)-1+791,12)+1,1)+(DAY(B7)-1),IF(B8="weekly",B7+5537,IF(B8="biweekly",B7+11074,B7+ROUND((791*365.25)/24,0))))</f>
        <v/>
      </c>
      <c r="C808" s="21">
        <f>IF((ROUND(F807-ROUND($B$13-D808,2),2)&lt;=0),ROUND(D808+E808,2),$B$13)</f>
        <v/>
      </c>
      <c r="D808" s="21">
        <f>ROUND(F807*B5/100/B10,2)</f>
        <v/>
      </c>
      <c r="E808" s="21">
        <f>IF((ROUND(F807-ROUND($B$13-D808,2),2)&lt;=0),F807,ROUND($B$13-D808,2))</f>
        <v/>
      </c>
      <c r="F808" s="21">
        <f>IF((ROUND(F807-ROUND($B$13-D808,2),2)&lt;=0),0,ROUND(F807-E808,2))</f>
        <v/>
      </c>
    </row>
    <row r="809">
      <c r="A809" s="6" t="n">
        <v>793</v>
      </c>
      <c r="B809" s="19">
        <f>IF(B8="monthly",DATE(YEAR(B7)+INT((MONTH(B7)-1+792)/12),MOD(MONTH(B7)-1+792,12)+1,1)+(DAY(B7)-1),IF(B8="weekly",B7+5544,IF(B8="biweekly",B7+11088,B7+ROUND((792*365.25)/24,0))))</f>
        <v/>
      </c>
      <c r="C809" s="21">
        <f>IF((ROUND(F808-ROUND($B$13-D809,2),2)&lt;=0),ROUND(D809+E809,2),$B$13)</f>
        <v/>
      </c>
      <c r="D809" s="21">
        <f>ROUND(F808*B5/100/B10,2)</f>
        <v/>
      </c>
      <c r="E809" s="21">
        <f>IF((ROUND(F808-ROUND($B$13-D809,2),2)&lt;=0),F808,ROUND($B$13-D809,2))</f>
        <v/>
      </c>
      <c r="F809" s="21">
        <f>IF((ROUND(F808-ROUND($B$13-D809,2),2)&lt;=0),0,ROUND(F808-E809,2))</f>
        <v/>
      </c>
    </row>
    <row r="810">
      <c r="A810" s="6" t="n">
        <v>794</v>
      </c>
      <c r="B810" s="19">
        <f>IF(B8="monthly",DATE(YEAR(B7)+INT((MONTH(B7)-1+793)/12),MOD(MONTH(B7)-1+793,12)+1,1)+(DAY(B7)-1),IF(B8="weekly",B7+5551,IF(B8="biweekly",B7+11102,B7+ROUND((793*365.25)/24,0))))</f>
        <v/>
      </c>
      <c r="C810" s="21">
        <f>IF((ROUND(F809-ROUND($B$13-D810,2),2)&lt;=0),ROUND(D810+E810,2),$B$13)</f>
        <v/>
      </c>
      <c r="D810" s="21">
        <f>ROUND(F809*B5/100/B10,2)</f>
        <v/>
      </c>
      <c r="E810" s="21">
        <f>IF((ROUND(F809-ROUND($B$13-D810,2),2)&lt;=0),F809,ROUND($B$13-D810,2))</f>
        <v/>
      </c>
      <c r="F810" s="21">
        <f>IF((ROUND(F809-ROUND($B$13-D810,2),2)&lt;=0),0,ROUND(F809-E810,2))</f>
        <v/>
      </c>
    </row>
    <row r="811">
      <c r="A811" s="6" t="n">
        <v>795</v>
      </c>
      <c r="B811" s="19">
        <f>IF(B8="monthly",DATE(YEAR(B7)+INT((MONTH(B7)-1+794)/12),MOD(MONTH(B7)-1+794,12)+1,1)+(DAY(B7)-1),IF(B8="weekly",B7+5558,IF(B8="biweekly",B7+11116,B7+ROUND((794*365.25)/24,0))))</f>
        <v/>
      </c>
      <c r="C811" s="21">
        <f>IF((ROUND(F810-ROUND($B$13-D811,2),2)&lt;=0),ROUND(D811+E811,2),$B$13)</f>
        <v/>
      </c>
      <c r="D811" s="21">
        <f>ROUND(F810*B5/100/B10,2)</f>
        <v/>
      </c>
      <c r="E811" s="21">
        <f>IF((ROUND(F810-ROUND($B$13-D811,2),2)&lt;=0),F810,ROUND($B$13-D811,2))</f>
        <v/>
      </c>
      <c r="F811" s="21">
        <f>IF((ROUND(F810-ROUND($B$13-D811,2),2)&lt;=0),0,ROUND(F810-E811,2))</f>
        <v/>
      </c>
    </row>
    <row r="812">
      <c r="A812" s="6" t="n">
        <v>796</v>
      </c>
      <c r="B812" s="19">
        <f>IF(B8="monthly",DATE(YEAR(B7)+INT((MONTH(B7)-1+795)/12),MOD(MONTH(B7)-1+795,12)+1,1)+(DAY(B7)-1),IF(B8="weekly",B7+5565,IF(B8="biweekly",B7+11130,B7+ROUND((795*365.25)/24,0))))</f>
        <v/>
      </c>
      <c r="C812" s="21">
        <f>IF((ROUND(F811-ROUND($B$13-D812,2),2)&lt;=0),ROUND(D812+E812,2),$B$13)</f>
        <v/>
      </c>
      <c r="D812" s="21">
        <f>ROUND(F811*B5/100/B10,2)</f>
        <v/>
      </c>
      <c r="E812" s="21">
        <f>IF((ROUND(F811-ROUND($B$13-D812,2),2)&lt;=0),F811,ROUND($B$13-D812,2))</f>
        <v/>
      </c>
      <c r="F812" s="21">
        <f>IF((ROUND(F811-ROUND($B$13-D812,2),2)&lt;=0),0,ROUND(F811-E812,2))</f>
        <v/>
      </c>
    </row>
    <row r="813">
      <c r="A813" s="6" t="n">
        <v>797</v>
      </c>
      <c r="B813" s="19">
        <f>IF(B8="monthly",DATE(YEAR(B7)+INT((MONTH(B7)-1+796)/12),MOD(MONTH(B7)-1+796,12)+1,1)+(DAY(B7)-1),IF(B8="weekly",B7+5572,IF(B8="biweekly",B7+11144,B7+ROUND((796*365.25)/24,0))))</f>
        <v/>
      </c>
      <c r="C813" s="21">
        <f>IF((ROUND(F812-ROUND($B$13-D813,2),2)&lt;=0),ROUND(D813+E813,2),$B$13)</f>
        <v/>
      </c>
      <c r="D813" s="21">
        <f>ROUND(F812*B5/100/B10,2)</f>
        <v/>
      </c>
      <c r="E813" s="21">
        <f>IF((ROUND(F812-ROUND($B$13-D813,2),2)&lt;=0),F812,ROUND($B$13-D813,2))</f>
        <v/>
      </c>
      <c r="F813" s="21">
        <f>IF((ROUND(F812-ROUND($B$13-D813,2),2)&lt;=0),0,ROUND(F812-E813,2))</f>
        <v/>
      </c>
    </row>
    <row r="814">
      <c r="A814" s="6" t="n">
        <v>798</v>
      </c>
      <c r="B814" s="19">
        <f>IF(B8="monthly",DATE(YEAR(B7)+INT((MONTH(B7)-1+797)/12),MOD(MONTH(B7)-1+797,12)+1,1)+(DAY(B7)-1),IF(B8="weekly",B7+5579,IF(B8="biweekly",B7+11158,B7+ROUND((797*365.25)/24,0))))</f>
        <v/>
      </c>
      <c r="C814" s="21">
        <f>IF((ROUND(F813-ROUND($B$13-D814,2),2)&lt;=0),ROUND(D814+E814,2),$B$13)</f>
        <v/>
      </c>
      <c r="D814" s="21">
        <f>ROUND(F813*B5/100/B10,2)</f>
        <v/>
      </c>
      <c r="E814" s="21">
        <f>IF((ROUND(F813-ROUND($B$13-D814,2),2)&lt;=0),F813,ROUND($B$13-D814,2))</f>
        <v/>
      </c>
      <c r="F814" s="21">
        <f>IF((ROUND(F813-ROUND($B$13-D814,2),2)&lt;=0),0,ROUND(F813-E814,2))</f>
        <v/>
      </c>
    </row>
    <row r="815">
      <c r="A815" s="6" t="n">
        <v>799</v>
      </c>
      <c r="B815" s="19">
        <f>IF(B8="monthly",DATE(YEAR(B7)+INT((MONTH(B7)-1+798)/12),MOD(MONTH(B7)-1+798,12)+1,1)+(DAY(B7)-1),IF(B8="weekly",B7+5586,IF(B8="biweekly",B7+11172,B7+ROUND((798*365.25)/24,0))))</f>
        <v/>
      </c>
      <c r="C815" s="21">
        <f>IF((ROUND(F814-ROUND($B$13-D815,2),2)&lt;=0),ROUND(D815+E815,2),$B$13)</f>
        <v/>
      </c>
      <c r="D815" s="21">
        <f>ROUND(F814*B5/100/B10,2)</f>
        <v/>
      </c>
      <c r="E815" s="21">
        <f>IF((ROUND(F814-ROUND($B$13-D815,2),2)&lt;=0),F814,ROUND($B$13-D815,2))</f>
        <v/>
      </c>
      <c r="F815" s="21">
        <f>IF((ROUND(F814-ROUND($B$13-D815,2),2)&lt;=0),0,ROUND(F814-E815,2))</f>
        <v/>
      </c>
    </row>
    <row r="816">
      <c r="A816" s="6" t="n">
        <v>800</v>
      </c>
      <c r="B816" s="19">
        <f>IF(B8="monthly",DATE(YEAR(B7)+INT((MONTH(B7)-1+799)/12),MOD(MONTH(B7)-1+799,12)+1,1)+(DAY(B7)-1),IF(B8="weekly",B7+5593,IF(B8="biweekly",B7+11186,B7+ROUND((799*365.25)/24,0))))</f>
        <v/>
      </c>
      <c r="C816" s="21">
        <f>IF((ROUND(F815-ROUND($B$13-D816,2),2)&lt;=0),ROUND(D816+E816,2),$B$13)</f>
        <v/>
      </c>
      <c r="D816" s="21">
        <f>ROUND(F815*B5/100/B10,2)</f>
        <v/>
      </c>
      <c r="E816" s="21">
        <f>IF((ROUND(F815-ROUND($B$13-D816,2),2)&lt;=0),F815,ROUND($B$13-D816,2))</f>
        <v/>
      </c>
      <c r="F816" s="21">
        <f>IF((ROUND(F815-ROUND($B$13-D816,2),2)&lt;=0),0,ROUND(F815-E816,2))</f>
        <v/>
      </c>
    </row>
    <row r="817">
      <c r="A817" s="6" t="n">
        <v>801</v>
      </c>
      <c r="B817" s="19">
        <f>IF(B8="monthly",DATE(YEAR(B7)+INT((MONTH(B7)-1+800)/12),MOD(MONTH(B7)-1+800,12)+1,1)+(DAY(B7)-1),IF(B8="weekly",B7+5600,IF(B8="biweekly",B7+11200,B7+ROUND((800*365.25)/24,0))))</f>
        <v/>
      </c>
      <c r="C817" s="21">
        <f>IF((ROUND(F816-ROUND($B$13-D817,2),2)&lt;=0),ROUND(D817+E817,2),$B$13)</f>
        <v/>
      </c>
      <c r="D817" s="21">
        <f>ROUND(F816*B5/100/B10,2)</f>
        <v/>
      </c>
      <c r="E817" s="21">
        <f>IF((ROUND(F816-ROUND($B$13-D817,2),2)&lt;=0),F816,ROUND($B$13-D817,2))</f>
        <v/>
      </c>
      <c r="F817" s="21">
        <f>IF((ROUND(F816-ROUND($B$13-D817,2),2)&lt;=0),0,ROUND(F816-E817,2))</f>
        <v/>
      </c>
    </row>
    <row r="818">
      <c r="A818" s="6" t="n">
        <v>802</v>
      </c>
      <c r="B818" s="19">
        <f>IF(B8="monthly",DATE(YEAR(B7)+INT((MONTH(B7)-1+801)/12),MOD(MONTH(B7)-1+801,12)+1,1)+(DAY(B7)-1),IF(B8="weekly",B7+5607,IF(B8="biweekly",B7+11214,B7+ROUND((801*365.25)/24,0))))</f>
        <v/>
      </c>
      <c r="C818" s="21">
        <f>IF((ROUND(F817-ROUND($B$13-D818,2),2)&lt;=0),ROUND(D818+E818,2),$B$13)</f>
        <v/>
      </c>
      <c r="D818" s="21">
        <f>ROUND(F817*B5/100/B10,2)</f>
        <v/>
      </c>
      <c r="E818" s="21">
        <f>IF((ROUND(F817-ROUND($B$13-D818,2),2)&lt;=0),F817,ROUND($B$13-D818,2))</f>
        <v/>
      </c>
      <c r="F818" s="21">
        <f>IF((ROUND(F817-ROUND($B$13-D818,2),2)&lt;=0),0,ROUND(F817-E818,2))</f>
        <v/>
      </c>
    </row>
    <row r="819">
      <c r="A819" s="6" t="n">
        <v>803</v>
      </c>
      <c r="B819" s="19">
        <f>IF(B8="monthly",DATE(YEAR(B7)+INT((MONTH(B7)-1+802)/12),MOD(MONTH(B7)-1+802,12)+1,1)+(DAY(B7)-1),IF(B8="weekly",B7+5614,IF(B8="biweekly",B7+11228,B7+ROUND((802*365.25)/24,0))))</f>
        <v/>
      </c>
      <c r="C819" s="21">
        <f>IF((ROUND(F818-ROUND($B$13-D819,2),2)&lt;=0),ROUND(D819+E819,2),$B$13)</f>
        <v/>
      </c>
      <c r="D819" s="21">
        <f>ROUND(F818*B5/100/B10,2)</f>
        <v/>
      </c>
      <c r="E819" s="21">
        <f>IF((ROUND(F818-ROUND($B$13-D819,2),2)&lt;=0),F818,ROUND($B$13-D819,2))</f>
        <v/>
      </c>
      <c r="F819" s="21">
        <f>IF((ROUND(F818-ROUND($B$13-D819,2),2)&lt;=0),0,ROUND(F818-E819,2))</f>
        <v/>
      </c>
    </row>
    <row r="820">
      <c r="A820" s="6" t="n">
        <v>804</v>
      </c>
      <c r="B820" s="19">
        <f>IF(B8="monthly",DATE(YEAR(B7)+INT((MONTH(B7)-1+803)/12),MOD(MONTH(B7)-1+803,12)+1,1)+(DAY(B7)-1),IF(B8="weekly",B7+5621,IF(B8="biweekly",B7+11242,B7+ROUND((803*365.25)/24,0))))</f>
        <v/>
      </c>
      <c r="C820" s="21">
        <f>IF((ROUND(F819-ROUND($B$13-D820,2),2)&lt;=0),ROUND(D820+E820,2),$B$13)</f>
        <v/>
      </c>
      <c r="D820" s="21">
        <f>ROUND(F819*B5/100/B10,2)</f>
        <v/>
      </c>
      <c r="E820" s="21">
        <f>IF((ROUND(F819-ROUND($B$13-D820,2),2)&lt;=0),F819,ROUND($B$13-D820,2))</f>
        <v/>
      </c>
      <c r="F820" s="21">
        <f>IF((ROUND(F819-ROUND($B$13-D820,2),2)&lt;=0),0,ROUND(F819-E820,2))</f>
        <v/>
      </c>
    </row>
    <row r="821">
      <c r="A821" s="6" t="n">
        <v>805</v>
      </c>
      <c r="B821" s="19">
        <f>IF(B8="monthly",DATE(YEAR(B7)+INT((MONTH(B7)-1+804)/12),MOD(MONTH(B7)-1+804,12)+1,1)+(DAY(B7)-1),IF(B8="weekly",B7+5628,IF(B8="biweekly",B7+11256,B7+ROUND((804*365.25)/24,0))))</f>
        <v/>
      </c>
      <c r="C821" s="21">
        <f>IF((ROUND(F820-ROUND($B$13-D821,2),2)&lt;=0),ROUND(D821+E821,2),$B$13)</f>
        <v/>
      </c>
      <c r="D821" s="21">
        <f>ROUND(F820*B5/100/B10,2)</f>
        <v/>
      </c>
      <c r="E821" s="21">
        <f>IF((ROUND(F820-ROUND($B$13-D821,2),2)&lt;=0),F820,ROUND($B$13-D821,2))</f>
        <v/>
      </c>
      <c r="F821" s="21">
        <f>IF((ROUND(F820-ROUND($B$13-D821,2),2)&lt;=0),0,ROUND(F820-E821,2))</f>
        <v/>
      </c>
    </row>
    <row r="822">
      <c r="A822" s="6" t="n">
        <v>806</v>
      </c>
      <c r="B822" s="19">
        <f>IF(B8="monthly",DATE(YEAR(B7)+INT((MONTH(B7)-1+805)/12),MOD(MONTH(B7)-1+805,12)+1,1)+(DAY(B7)-1),IF(B8="weekly",B7+5635,IF(B8="biweekly",B7+11270,B7+ROUND((805*365.25)/24,0))))</f>
        <v/>
      </c>
      <c r="C822" s="21">
        <f>IF((ROUND(F821-ROUND($B$13-D822,2),2)&lt;=0),ROUND(D822+E822,2),$B$13)</f>
        <v/>
      </c>
      <c r="D822" s="21">
        <f>ROUND(F821*B5/100/B10,2)</f>
        <v/>
      </c>
      <c r="E822" s="21">
        <f>IF((ROUND(F821-ROUND($B$13-D822,2),2)&lt;=0),F821,ROUND($B$13-D822,2))</f>
        <v/>
      </c>
      <c r="F822" s="21">
        <f>IF((ROUND(F821-ROUND($B$13-D822,2),2)&lt;=0),0,ROUND(F821-E822,2))</f>
        <v/>
      </c>
    </row>
    <row r="823">
      <c r="A823" s="6" t="n">
        <v>807</v>
      </c>
      <c r="B823" s="19">
        <f>IF(B8="monthly",DATE(YEAR(B7)+INT((MONTH(B7)-1+806)/12),MOD(MONTH(B7)-1+806,12)+1,1)+(DAY(B7)-1),IF(B8="weekly",B7+5642,IF(B8="biweekly",B7+11284,B7+ROUND((806*365.25)/24,0))))</f>
        <v/>
      </c>
      <c r="C823" s="21">
        <f>IF((ROUND(F822-ROUND($B$13-D823,2),2)&lt;=0),ROUND(D823+E823,2),$B$13)</f>
        <v/>
      </c>
      <c r="D823" s="21">
        <f>ROUND(F822*B5/100/B10,2)</f>
        <v/>
      </c>
      <c r="E823" s="21">
        <f>IF((ROUND(F822-ROUND($B$13-D823,2),2)&lt;=0),F822,ROUND($B$13-D823,2))</f>
        <v/>
      </c>
      <c r="F823" s="21">
        <f>IF((ROUND(F822-ROUND($B$13-D823,2),2)&lt;=0),0,ROUND(F822-E823,2))</f>
        <v/>
      </c>
    </row>
    <row r="824">
      <c r="A824" s="6" t="n">
        <v>808</v>
      </c>
      <c r="B824" s="19">
        <f>IF(B8="monthly",DATE(YEAR(B7)+INT((MONTH(B7)-1+807)/12),MOD(MONTH(B7)-1+807,12)+1,1)+(DAY(B7)-1),IF(B8="weekly",B7+5649,IF(B8="biweekly",B7+11298,B7+ROUND((807*365.25)/24,0))))</f>
        <v/>
      </c>
      <c r="C824" s="21">
        <f>IF((ROUND(F823-ROUND($B$13-D824,2),2)&lt;=0),ROUND(D824+E824,2),$B$13)</f>
        <v/>
      </c>
      <c r="D824" s="21">
        <f>ROUND(F823*B5/100/B10,2)</f>
        <v/>
      </c>
      <c r="E824" s="21">
        <f>IF((ROUND(F823-ROUND($B$13-D824,2),2)&lt;=0),F823,ROUND($B$13-D824,2))</f>
        <v/>
      </c>
      <c r="F824" s="21">
        <f>IF((ROUND(F823-ROUND($B$13-D824,2),2)&lt;=0),0,ROUND(F823-E824,2))</f>
        <v/>
      </c>
    </row>
    <row r="825">
      <c r="A825" s="6" t="n">
        <v>809</v>
      </c>
      <c r="B825" s="19">
        <f>IF(B8="monthly",DATE(YEAR(B7)+INT((MONTH(B7)-1+808)/12),MOD(MONTH(B7)-1+808,12)+1,1)+(DAY(B7)-1),IF(B8="weekly",B7+5656,IF(B8="biweekly",B7+11312,B7+ROUND((808*365.25)/24,0))))</f>
        <v/>
      </c>
      <c r="C825" s="21">
        <f>IF((ROUND(F824-ROUND($B$13-D825,2),2)&lt;=0),ROUND(D825+E825,2),$B$13)</f>
        <v/>
      </c>
      <c r="D825" s="21">
        <f>ROUND(F824*B5/100/B10,2)</f>
        <v/>
      </c>
      <c r="E825" s="21">
        <f>IF((ROUND(F824-ROUND($B$13-D825,2),2)&lt;=0),F824,ROUND($B$13-D825,2))</f>
        <v/>
      </c>
      <c r="F825" s="21">
        <f>IF((ROUND(F824-ROUND($B$13-D825,2),2)&lt;=0),0,ROUND(F824-E825,2))</f>
        <v/>
      </c>
    </row>
    <row r="826">
      <c r="A826" s="6" t="n">
        <v>810</v>
      </c>
      <c r="B826" s="19">
        <f>IF(B8="monthly",DATE(YEAR(B7)+INT((MONTH(B7)-1+809)/12),MOD(MONTH(B7)-1+809,12)+1,1)+(DAY(B7)-1),IF(B8="weekly",B7+5663,IF(B8="biweekly",B7+11326,B7+ROUND((809*365.25)/24,0))))</f>
        <v/>
      </c>
      <c r="C826" s="21">
        <f>IF((ROUND(F825-ROUND($B$13-D826,2),2)&lt;=0),ROUND(D826+E826,2),$B$13)</f>
        <v/>
      </c>
      <c r="D826" s="21">
        <f>ROUND(F825*B5/100/B10,2)</f>
        <v/>
      </c>
      <c r="E826" s="21">
        <f>IF((ROUND(F825-ROUND($B$13-D826,2),2)&lt;=0),F825,ROUND($B$13-D826,2))</f>
        <v/>
      </c>
      <c r="F826" s="21">
        <f>IF((ROUND(F825-ROUND($B$13-D826,2),2)&lt;=0),0,ROUND(F825-E826,2))</f>
        <v/>
      </c>
    </row>
    <row r="827">
      <c r="A827" s="6" t="n">
        <v>811</v>
      </c>
      <c r="B827" s="19">
        <f>IF(B8="monthly",DATE(YEAR(B7)+INT((MONTH(B7)-1+810)/12),MOD(MONTH(B7)-1+810,12)+1,1)+(DAY(B7)-1),IF(B8="weekly",B7+5670,IF(B8="biweekly",B7+11340,B7+ROUND((810*365.25)/24,0))))</f>
        <v/>
      </c>
      <c r="C827" s="21">
        <f>IF((ROUND(F826-ROUND($B$13-D827,2),2)&lt;=0),ROUND(D827+E827,2),$B$13)</f>
        <v/>
      </c>
      <c r="D827" s="21">
        <f>ROUND(F826*B5/100/B10,2)</f>
        <v/>
      </c>
      <c r="E827" s="21">
        <f>IF((ROUND(F826-ROUND($B$13-D827,2),2)&lt;=0),F826,ROUND($B$13-D827,2))</f>
        <v/>
      </c>
      <c r="F827" s="21">
        <f>IF((ROUND(F826-ROUND($B$13-D827,2),2)&lt;=0),0,ROUND(F826-E827,2))</f>
        <v/>
      </c>
    </row>
    <row r="828">
      <c r="A828" s="6" t="n">
        <v>812</v>
      </c>
      <c r="B828" s="19">
        <f>IF(B8="monthly",DATE(YEAR(B7)+INT((MONTH(B7)-1+811)/12),MOD(MONTH(B7)-1+811,12)+1,1)+(DAY(B7)-1),IF(B8="weekly",B7+5677,IF(B8="biweekly",B7+11354,B7+ROUND((811*365.25)/24,0))))</f>
        <v/>
      </c>
      <c r="C828" s="21">
        <f>IF((ROUND(F827-ROUND($B$13-D828,2),2)&lt;=0),ROUND(D828+E828,2),$B$13)</f>
        <v/>
      </c>
      <c r="D828" s="21">
        <f>ROUND(F827*B5/100/B10,2)</f>
        <v/>
      </c>
      <c r="E828" s="21">
        <f>IF((ROUND(F827-ROUND($B$13-D828,2),2)&lt;=0),F827,ROUND($B$13-D828,2))</f>
        <v/>
      </c>
      <c r="F828" s="21">
        <f>IF((ROUND(F827-ROUND($B$13-D828,2),2)&lt;=0),0,ROUND(F827-E828,2))</f>
        <v/>
      </c>
    </row>
    <row r="829">
      <c r="A829" s="6" t="n">
        <v>813</v>
      </c>
      <c r="B829" s="19">
        <f>IF(B8="monthly",DATE(YEAR(B7)+INT((MONTH(B7)-1+812)/12),MOD(MONTH(B7)-1+812,12)+1,1)+(DAY(B7)-1),IF(B8="weekly",B7+5684,IF(B8="biweekly",B7+11368,B7+ROUND((812*365.25)/24,0))))</f>
        <v/>
      </c>
      <c r="C829" s="21">
        <f>IF((ROUND(F828-ROUND($B$13-D829,2),2)&lt;=0),ROUND(D829+E829,2),$B$13)</f>
        <v/>
      </c>
      <c r="D829" s="21">
        <f>ROUND(F828*B5/100/B10,2)</f>
        <v/>
      </c>
      <c r="E829" s="21">
        <f>IF((ROUND(F828-ROUND($B$13-D829,2),2)&lt;=0),F828,ROUND($B$13-D829,2))</f>
        <v/>
      </c>
      <c r="F829" s="21">
        <f>IF((ROUND(F828-ROUND($B$13-D829,2),2)&lt;=0),0,ROUND(F828-E829,2))</f>
        <v/>
      </c>
    </row>
    <row r="830">
      <c r="A830" s="6" t="n">
        <v>814</v>
      </c>
      <c r="B830" s="19">
        <f>IF(B8="monthly",DATE(YEAR(B7)+INT((MONTH(B7)-1+813)/12),MOD(MONTH(B7)-1+813,12)+1,1)+(DAY(B7)-1),IF(B8="weekly",B7+5691,IF(B8="biweekly",B7+11382,B7+ROUND((813*365.25)/24,0))))</f>
        <v/>
      </c>
      <c r="C830" s="21">
        <f>IF((ROUND(F829-ROUND($B$13-D830,2),2)&lt;=0),ROUND(D830+E830,2),$B$13)</f>
        <v/>
      </c>
      <c r="D830" s="21">
        <f>ROUND(F829*B5/100/B10,2)</f>
        <v/>
      </c>
      <c r="E830" s="21">
        <f>IF((ROUND(F829-ROUND($B$13-D830,2),2)&lt;=0),F829,ROUND($B$13-D830,2))</f>
        <v/>
      </c>
      <c r="F830" s="21">
        <f>IF((ROUND(F829-ROUND($B$13-D830,2),2)&lt;=0),0,ROUND(F829-E830,2))</f>
        <v/>
      </c>
    </row>
    <row r="831">
      <c r="A831" s="6" t="n">
        <v>815</v>
      </c>
      <c r="B831" s="19">
        <f>IF(B8="monthly",DATE(YEAR(B7)+INT((MONTH(B7)-1+814)/12),MOD(MONTH(B7)-1+814,12)+1,1)+(DAY(B7)-1),IF(B8="weekly",B7+5698,IF(B8="biweekly",B7+11396,B7+ROUND((814*365.25)/24,0))))</f>
        <v/>
      </c>
      <c r="C831" s="21">
        <f>IF((ROUND(F830-ROUND($B$13-D831,2),2)&lt;=0),ROUND(D831+E831,2),$B$13)</f>
        <v/>
      </c>
      <c r="D831" s="21">
        <f>ROUND(F830*B5/100/B10,2)</f>
        <v/>
      </c>
      <c r="E831" s="21">
        <f>IF((ROUND(F830-ROUND($B$13-D831,2),2)&lt;=0),F830,ROUND($B$13-D831,2))</f>
        <v/>
      </c>
      <c r="F831" s="21">
        <f>IF((ROUND(F830-ROUND($B$13-D831,2),2)&lt;=0),0,ROUND(F830-E831,2))</f>
        <v/>
      </c>
    </row>
    <row r="832">
      <c r="A832" s="6" t="n">
        <v>816</v>
      </c>
      <c r="B832" s="19">
        <f>IF(B8="monthly",DATE(YEAR(B7)+INT((MONTH(B7)-1+815)/12),MOD(MONTH(B7)-1+815,12)+1,1)+(DAY(B7)-1),IF(B8="weekly",B7+5705,IF(B8="biweekly",B7+11410,B7+ROUND((815*365.25)/24,0))))</f>
        <v/>
      </c>
      <c r="C832" s="21">
        <f>IF((ROUND(F831-ROUND($B$13-D832,2),2)&lt;=0),ROUND(D832+E832,2),$B$13)</f>
        <v/>
      </c>
      <c r="D832" s="21">
        <f>ROUND(F831*B5/100/B10,2)</f>
        <v/>
      </c>
      <c r="E832" s="21">
        <f>IF((ROUND(F831-ROUND($B$13-D832,2),2)&lt;=0),F831,ROUND($B$13-D832,2))</f>
        <v/>
      </c>
      <c r="F832" s="21">
        <f>IF((ROUND(F831-ROUND($B$13-D832,2),2)&lt;=0),0,ROUND(F831-E832,2))</f>
        <v/>
      </c>
    </row>
    <row r="833">
      <c r="A833" s="6" t="n">
        <v>817</v>
      </c>
      <c r="B833" s="19">
        <f>IF(B8="monthly",DATE(YEAR(B7)+INT((MONTH(B7)-1+816)/12),MOD(MONTH(B7)-1+816,12)+1,1)+(DAY(B7)-1),IF(B8="weekly",B7+5712,IF(B8="biweekly",B7+11424,B7+ROUND((816*365.25)/24,0))))</f>
        <v/>
      </c>
      <c r="C833" s="21">
        <f>IF((ROUND(F832-ROUND($B$13-D833,2),2)&lt;=0),ROUND(D833+E833,2),$B$13)</f>
        <v/>
      </c>
      <c r="D833" s="21">
        <f>ROUND(F832*B5/100/B10,2)</f>
        <v/>
      </c>
      <c r="E833" s="21">
        <f>IF((ROUND(F832-ROUND($B$13-D833,2),2)&lt;=0),F832,ROUND($B$13-D833,2))</f>
        <v/>
      </c>
      <c r="F833" s="21">
        <f>IF((ROUND(F832-ROUND($B$13-D833,2),2)&lt;=0),0,ROUND(F832-E833,2))</f>
        <v/>
      </c>
    </row>
    <row r="834">
      <c r="A834" s="6" t="n">
        <v>818</v>
      </c>
      <c r="B834" s="19">
        <f>IF(B8="monthly",DATE(YEAR(B7)+INT((MONTH(B7)-1+817)/12),MOD(MONTH(B7)-1+817,12)+1,1)+(DAY(B7)-1),IF(B8="weekly",B7+5719,IF(B8="biweekly",B7+11438,B7+ROUND((817*365.25)/24,0))))</f>
        <v/>
      </c>
      <c r="C834" s="21">
        <f>IF((ROUND(F833-ROUND($B$13-D834,2),2)&lt;=0),ROUND(D834+E834,2),$B$13)</f>
        <v/>
      </c>
      <c r="D834" s="21">
        <f>ROUND(F833*B5/100/B10,2)</f>
        <v/>
      </c>
      <c r="E834" s="21">
        <f>IF((ROUND(F833-ROUND($B$13-D834,2),2)&lt;=0),F833,ROUND($B$13-D834,2))</f>
        <v/>
      </c>
      <c r="F834" s="21">
        <f>IF((ROUND(F833-ROUND($B$13-D834,2),2)&lt;=0),0,ROUND(F833-E834,2))</f>
        <v/>
      </c>
    </row>
    <row r="835">
      <c r="A835" s="6" t="n">
        <v>819</v>
      </c>
      <c r="B835" s="19">
        <f>IF(B8="monthly",DATE(YEAR(B7)+INT((MONTH(B7)-1+818)/12),MOD(MONTH(B7)-1+818,12)+1,1)+(DAY(B7)-1),IF(B8="weekly",B7+5726,IF(B8="biweekly",B7+11452,B7+ROUND((818*365.25)/24,0))))</f>
        <v/>
      </c>
      <c r="C835" s="21">
        <f>IF((ROUND(F834-ROUND($B$13-D835,2),2)&lt;=0),ROUND(D835+E835,2),$B$13)</f>
        <v/>
      </c>
      <c r="D835" s="21">
        <f>ROUND(F834*B5/100/B10,2)</f>
        <v/>
      </c>
      <c r="E835" s="21">
        <f>IF((ROUND(F834-ROUND($B$13-D835,2),2)&lt;=0),F834,ROUND($B$13-D835,2))</f>
        <v/>
      </c>
      <c r="F835" s="21">
        <f>IF((ROUND(F834-ROUND($B$13-D835,2),2)&lt;=0),0,ROUND(F834-E835,2))</f>
        <v/>
      </c>
    </row>
    <row r="836">
      <c r="A836" s="6" t="n">
        <v>820</v>
      </c>
      <c r="B836" s="19">
        <f>IF(B8="monthly",DATE(YEAR(B7)+INT((MONTH(B7)-1+819)/12),MOD(MONTH(B7)-1+819,12)+1,1)+(DAY(B7)-1),IF(B8="weekly",B7+5733,IF(B8="biweekly",B7+11466,B7+ROUND((819*365.25)/24,0))))</f>
        <v/>
      </c>
      <c r="C836" s="21">
        <f>IF((ROUND(F835-ROUND($B$13-D836,2),2)&lt;=0),ROUND(D836+E836,2),$B$13)</f>
        <v/>
      </c>
      <c r="D836" s="21">
        <f>ROUND(F835*B5/100/B10,2)</f>
        <v/>
      </c>
      <c r="E836" s="21">
        <f>IF((ROUND(F835-ROUND($B$13-D836,2),2)&lt;=0),F835,ROUND($B$13-D836,2))</f>
        <v/>
      </c>
      <c r="F836" s="21">
        <f>IF((ROUND(F835-ROUND($B$13-D836,2),2)&lt;=0),0,ROUND(F835-E836,2))</f>
        <v/>
      </c>
    </row>
    <row r="837">
      <c r="A837" s="6" t="n">
        <v>821</v>
      </c>
      <c r="B837" s="19">
        <f>IF(B8="monthly",DATE(YEAR(B7)+INT((MONTH(B7)-1+820)/12),MOD(MONTH(B7)-1+820,12)+1,1)+(DAY(B7)-1),IF(B8="weekly",B7+5740,IF(B8="biweekly",B7+11480,B7+ROUND((820*365.25)/24,0))))</f>
        <v/>
      </c>
      <c r="C837" s="21">
        <f>IF((ROUND(F836-ROUND($B$13-D837,2),2)&lt;=0),ROUND(D837+E837,2),$B$13)</f>
        <v/>
      </c>
      <c r="D837" s="21">
        <f>ROUND(F836*B5/100/B10,2)</f>
        <v/>
      </c>
      <c r="E837" s="21">
        <f>IF((ROUND(F836-ROUND($B$13-D837,2),2)&lt;=0),F836,ROUND($B$13-D837,2))</f>
        <v/>
      </c>
      <c r="F837" s="21">
        <f>IF((ROUND(F836-ROUND($B$13-D837,2),2)&lt;=0),0,ROUND(F836-E837,2))</f>
        <v/>
      </c>
    </row>
    <row r="838">
      <c r="A838" s="6" t="n">
        <v>822</v>
      </c>
      <c r="B838" s="19">
        <f>IF(B8="monthly",DATE(YEAR(B7)+INT((MONTH(B7)-1+821)/12),MOD(MONTH(B7)-1+821,12)+1,1)+(DAY(B7)-1),IF(B8="weekly",B7+5747,IF(B8="biweekly",B7+11494,B7+ROUND((821*365.25)/24,0))))</f>
        <v/>
      </c>
      <c r="C838" s="21">
        <f>IF((ROUND(F837-ROUND($B$13-D838,2),2)&lt;=0),ROUND(D838+E838,2),$B$13)</f>
        <v/>
      </c>
      <c r="D838" s="21">
        <f>ROUND(F837*B5/100/B10,2)</f>
        <v/>
      </c>
      <c r="E838" s="21">
        <f>IF((ROUND(F837-ROUND($B$13-D838,2),2)&lt;=0),F837,ROUND($B$13-D838,2))</f>
        <v/>
      </c>
      <c r="F838" s="21">
        <f>IF((ROUND(F837-ROUND($B$13-D838,2),2)&lt;=0),0,ROUND(F837-E838,2))</f>
        <v/>
      </c>
    </row>
    <row r="839">
      <c r="A839" s="6" t="n">
        <v>823</v>
      </c>
      <c r="B839" s="19">
        <f>IF(B8="monthly",DATE(YEAR(B7)+INT((MONTH(B7)-1+822)/12),MOD(MONTH(B7)-1+822,12)+1,1)+(DAY(B7)-1),IF(B8="weekly",B7+5754,IF(B8="biweekly",B7+11508,B7+ROUND((822*365.25)/24,0))))</f>
        <v/>
      </c>
      <c r="C839" s="21">
        <f>IF((ROUND(F838-ROUND($B$13-D839,2),2)&lt;=0),ROUND(D839+E839,2),$B$13)</f>
        <v/>
      </c>
      <c r="D839" s="21">
        <f>ROUND(F838*B5/100/B10,2)</f>
        <v/>
      </c>
      <c r="E839" s="21">
        <f>IF((ROUND(F838-ROUND($B$13-D839,2),2)&lt;=0),F838,ROUND($B$13-D839,2))</f>
        <v/>
      </c>
      <c r="F839" s="21">
        <f>IF((ROUND(F838-ROUND($B$13-D839,2),2)&lt;=0),0,ROUND(F838-E839,2))</f>
        <v/>
      </c>
    </row>
    <row r="840">
      <c r="A840" s="6" t="n">
        <v>824</v>
      </c>
      <c r="B840" s="19">
        <f>IF(B8="monthly",DATE(YEAR(B7)+INT((MONTH(B7)-1+823)/12),MOD(MONTH(B7)-1+823,12)+1,1)+(DAY(B7)-1),IF(B8="weekly",B7+5761,IF(B8="biweekly",B7+11522,B7+ROUND((823*365.25)/24,0))))</f>
        <v/>
      </c>
      <c r="C840" s="21">
        <f>IF((ROUND(F839-ROUND($B$13-D840,2),2)&lt;=0),ROUND(D840+E840,2),$B$13)</f>
        <v/>
      </c>
      <c r="D840" s="21">
        <f>ROUND(F839*B5/100/B10,2)</f>
        <v/>
      </c>
      <c r="E840" s="21">
        <f>IF((ROUND(F839-ROUND($B$13-D840,2),2)&lt;=0),F839,ROUND($B$13-D840,2))</f>
        <v/>
      </c>
      <c r="F840" s="21">
        <f>IF((ROUND(F839-ROUND($B$13-D840,2),2)&lt;=0),0,ROUND(F839-E840,2))</f>
        <v/>
      </c>
    </row>
    <row r="841">
      <c r="A841" s="6" t="n">
        <v>825</v>
      </c>
      <c r="B841" s="19">
        <f>IF(B8="monthly",DATE(YEAR(B7)+INT((MONTH(B7)-1+824)/12),MOD(MONTH(B7)-1+824,12)+1,1)+(DAY(B7)-1),IF(B8="weekly",B7+5768,IF(B8="biweekly",B7+11536,B7+ROUND((824*365.25)/24,0))))</f>
        <v/>
      </c>
      <c r="C841" s="21">
        <f>IF((ROUND(F840-ROUND($B$13-D841,2),2)&lt;=0),ROUND(D841+E841,2),$B$13)</f>
        <v/>
      </c>
      <c r="D841" s="21">
        <f>ROUND(F840*B5/100/B10,2)</f>
        <v/>
      </c>
      <c r="E841" s="21">
        <f>IF((ROUND(F840-ROUND($B$13-D841,2),2)&lt;=0),F840,ROUND($B$13-D841,2))</f>
        <v/>
      </c>
      <c r="F841" s="21">
        <f>IF((ROUND(F840-ROUND($B$13-D841,2),2)&lt;=0),0,ROUND(F840-E841,2))</f>
        <v/>
      </c>
    </row>
    <row r="842">
      <c r="A842" s="6" t="n">
        <v>826</v>
      </c>
      <c r="B842" s="19">
        <f>IF(B8="monthly",DATE(YEAR(B7)+INT((MONTH(B7)-1+825)/12),MOD(MONTH(B7)-1+825,12)+1,1)+(DAY(B7)-1),IF(B8="weekly",B7+5775,IF(B8="biweekly",B7+11550,B7+ROUND((825*365.25)/24,0))))</f>
        <v/>
      </c>
      <c r="C842" s="21">
        <f>IF((ROUND(F841-ROUND($B$13-D842,2),2)&lt;=0),ROUND(D842+E842,2),$B$13)</f>
        <v/>
      </c>
      <c r="D842" s="21">
        <f>ROUND(F841*B5/100/B10,2)</f>
        <v/>
      </c>
      <c r="E842" s="21">
        <f>IF((ROUND(F841-ROUND($B$13-D842,2),2)&lt;=0),F841,ROUND($B$13-D842,2))</f>
        <v/>
      </c>
      <c r="F842" s="21">
        <f>IF((ROUND(F841-ROUND($B$13-D842,2),2)&lt;=0),0,ROUND(F841-E842,2))</f>
        <v/>
      </c>
    </row>
    <row r="843">
      <c r="A843" s="6" t="n">
        <v>827</v>
      </c>
      <c r="B843" s="19">
        <f>IF(B8="monthly",DATE(YEAR(B7)+INT((MONTH(B7)-1+826)/12),MOD(MONTH(B7)-1+826,12)+1,1)+(DAY(B7)-1),IF(B8="weekly",B7+5782,IF(B8="biweekly",B7+11564,B7+ROUND((826*365.25)/24,0))))</f>
        <v/>
      </c>
      <c r="C843" s="21">
        <f>IF((ROUND(F842-ROUND($B$13-D843,2),2)&lt;=0),ROUND(D843+E843,2),$B$13)</f>
        <v/>
      </c>
      <c r="D843" s="21">
        <f>ROUND(F842*B5/100/B10,2)</f>
        <v/>
      </c>
      <c r="E843" s="21">
        <f>IF((ROUND(F842-ROUND($B$13-D843,2),2)&lt;=0),F842,ROUND($B$13-D843,2))</f>
        <v/>
      </c>
      <c r="F843" s="21">
        <f>IF((ROUND(F842-ROUND($B$13-D843,2),2)&lt;=0),0,ROUND(F842-E843,2))</f>
        <v/>
      </c>
    </row>
    <row r="844">
      <c r="A844" s="6" t="n">
        <v>828</v>
      </c>
      <c r="B844" s="19">
        <f>IF(B8="monthly",DATE(YEAR(B7)+INT((MONTH(B7)-1+827)/12),MOD(MONTH(B7)-1+827,12)+1,1)+(DAY(B7)-1),IF(B8="weekly",B7+5789,IF(B8="biweekly",B7+11578,B7+ROUND((827*365.25)/24,0))))</f>
        <v/>
      </c>
      <c r="C844" s="21">
        <f>IF((ROUND(F843-ROUND($B$13-D844,2),2)&lt;=0),ROUND(D844+E844,2),$B$13)</f>
        <v/>
      </c>
      <c r="D844" s="21">
        <f>ROUND(F843*B5/100/B10,2)</f>
        <v/>
      </c>
      <c r="E844" s="21">
        <f>IF((ROUND(F843-ROUND($B$13-D844,2),2)&lt;=0),F843,ROUND($B$13-D844,2))</f>
        <v/>
      </c>
      <c r="F844" s="21">
        <f>IF((ROUND(F843-ROUND($B$13-D844,2),2)&lt;=0),0,ROUND(F843-E844,2))</f>
        <v/>
      </c>
    </row>
    <row r="845">
      <c r="A845" s="6" t="n">
        <v>829</v>
      </c>
      <c r="B845" s="19">
        <f>IF(B8="monthly",DATE(YEAR(B7)+INT((MONTH(B7)-1+828)/12),MOD(MONTH(B7)-1+828,12)+1,1)+(DAY(B7)-1),IF(B8="weekly",B7+5796,IF(B8="biweekly",B7+11592,B7+ROUND((828*365.25)/24,0))))</f>
        <v/>
      </c>
      <c r="C845" s="21">
        <f>IF((ROUND(F844-ROUND($B$13-D845,2),2)&lt;=0),ROUND(D845+E845,2),$B$13)</f>
        <v/>
      </c>
      <c r="D845" s="21">
        <f>ROUND(F844*B5/100/B10,2)</f>
        <v/>
      </c>
      <c r="E845" s="21">
        <f>IF((ROUND(F844-ROUND($B$13-D845,2),2)&lt;=0),F844,ROUND($B$13-D845,2))</f>
        <v/>
      </c>
      <c r="F845" s="21">
        <f>IF((ROUND(F844-ROUND($B$13-D845,2),2)&lt;=0),0,ROUND(F844-E845,2))</f>
        <v/>
      </c>
    </row>
    <row r="846">
      <c r="A846" s="6" t="n">
        <v>830</v>
      </c>
      <c r="B846" s="19">
        <f>IF(B8="monthly",DATE(YEAR(B7)+INT((MONTH(B7)-1+829)/12),MOD(MONTH(B7)-1+829,12)+1,1)+(DAY(B7)-1),IF(B8="weekly",B7+5803,IF(B8="biweekly",B7+11606,B7+ROUND((829*365.25)/24,0))))</f>
        <v/>
      </c>
      <c r="C846" s="21">
        <f>IF((ROUND(F845-ROUND($B$13-D846,2),2)&lt;=0),ROUND(D846+E846,2),$B$13)</f>
        <v/>
      </c>
      <c r="D846" s="21">
        <f>ROUND(F845*B5/100/B10,2)</f>
        <v/>
      </c>
      <c r="E846" s="21">
        <f>IF((ROUND(F845-ROUND($B$13-D846,2),2)&lt;=0),F845,ROUND($B$13-D846,2))</f>
        <v/>
      </c>
      <c r="F846" s="21">
        <f>IF((ROUND(F845-ROUND($B$13-D846,2),2)&lt;=0),0,ROUND(F845-E846,2))</f>
        <v/>
      </c>
    </row>
    <row r="847">
      <c r="A847" s="6" t="n">
        <v>831</v>
      </c>
      <c r="B847" s="19">
        <f>IF(B8="monthly",DATE(YEAR(B7)+INT((MONTH(B7)-1+830)/12),MOD(MONTH(B7)-1+830,12)+1,1)+(DAY(B7)-1),IF(B8="weekly",B7+5810,IF(B8="biweekly",B7+11620,B7+ROUND((830*365.25)/24,0))))</f>
        <v/>
      </c>
      <c r="C847" s="21">
        <f>IF((ROUND(F846-ROUND($B$13-D847,2),2)&lt;=0),ROUND(D847+E847,2),$B$13)</f>
        <v/>
      </c>
      <c r="D847" s="21">
        <f>ROUND(F846*B5/100/B10,2)</f>
        <v/>
      </c>
      <c r="E847" s="21">
        <f>IF((ROUND(F846-ROUND($B$13-D847,2),2)&lt;=0),F846,ROUND($B$13-D847,2))</f>
        <v/>
      </c>
      <c r="F847" s="21">
        <f>IF((ROUND(F846-ROUND($B$13-D847,2),2)&lt;=0),0,ROUND(F846-E847,2))</f>
        <v/>
      </c>
    </row>
    <row r="848">
      <c r="A848" s="6" t="n">
        <v>832</v>
      </c>
      <c r="B848" s="19">
        <f>IF(B8="monthly",DATE(YEAR(B7)+INT((MONTH(B7)-1+831)/12),MOD(MONTH(B7)-1+831,12)+1,1)+(DAY(B7)-1),IF(B8="weekly",B7+5817,IF(B8="biweekly",B7+11634,B7+ROUND((831*365.25)/24,0))))</f>
        <v/>
      </c>
      <c r="C848" s="21">
        <f>IF((ROUND(F847-ROUND($B$13-D848,2),2)&lt;=0),ROUND(D848+E848,2),$B$13)</f>
        <v/>
      </c>
      <c r="D848" s="21">
        <f>ROUND(F847*B5/100/B10,2)</f>
        <v/>
      </c>
      <c r="E848" s="21">
        <f>IF((ROUND(F847-ROUND($B$13-D848,2),2)&lt;=0),F847,ROUND($B$13-D848,2))</f>
        <v/>
      </c>
      <c r="F848" s="21">
        <f>IF((ROUND(F847-ROUND($B$13-D848,2),2)&lt;=0),0,ROUND(F847-E848,2))</f>
        <v/>
      </c>
    </row>
    <row r="849">
      <c r="A849" s="6" t="n">
        <v>833</v>
      </c>
      <c r="B849" s="19">
        <f>IF(B8="monthly",DATE(YEAR(B7)+INT((MONTH(B7)-1+832)/12),MOD(MONTH(B7)-1+832,12)+1,1)+(DAY(B7)-1),IF(B8="weekly",B7+5824,IF(B8="biweekly",B7+11648,B7+ROUND((832*365.25)/24,0))))</f>
        <v/>
      </c>
      <c r="C849" s="21">
        <f>IF((ROUND(F848-ROUND($B$13-D849,2),2)&lt;=0),ROUND(D849+E849,2),$B$13)</f>
        <v/>
      </c>
      <c r="D849" s="21">
        <f>ROUND(F848*B5/100/B10,2)</f>
        <v/>
      </c>
      <c r="E849" s="21">
        <f>IF((ROUND(F848-ROUND($B$13-D849,2),2)&lt;=0),F848,ROUND($B$13-D849,2))</f>
        <v/>
      </c>
      <c r="F849" s="21">
        <f>IF((ROUND(F848-ROUND($B$13-D849,2),2)&lt;=0),0,ROUND(F848-E849,2))</f>
        <v/>
      </c>
    </row>
    <row r="850">
      <c r="A850" s="6" t="n">
        <v>834</v>
      </c>
      <c r="B850" s="19">
        <f>IF(B8="monthly",DATE(YEAR(B7)+INT((MONTH(B7)-1+833)/12),MOD(MONTH(B7)-1+833,12)+1,1)+(DAY(B7)-1),IF(B8="weekly",B7+5831,IF(B8="biweekly",B7+11662,B7+ROUND((833*365.25)/24,0))))</f>
        <v/>
      </c>
      <c r="C850" s="21">
        <f>IF((ROUND(F849-ROUND($B$13-D850,2),2)&lt;=0),ROUND(D850+E850,2),$B$13)</f>
        <v/>
      </c>
      <c r="D850" s="21">
        <f>ROUND(F849*B5/100/B10,2)</f>
        <v/>
      </c>
      <c r="E850" s="21">
        <f>IF((ROUND(F849-ROUND($B$13-D850,2),2)&lt;=0),F849,ROUND($B$13-D850,2))</f>
        <v/>
      </c>
      <c r="F850" s="21">
        <f>IF((ROUND(F849-ROUND($B$13-D850,2),2)&lt;=0),0,ROUND(F849-E850,2))</f>
        <v/>
      </c>
    </row>
    <row r="851">
      <c r="A851" s="6" t="n">
        <v>835</v>
      </c>
      <c r="B851" s="19">
        <f>IF(B8="monthly",DATE(YEAR(B7)+INT((MONTH(B7)-1+834)/12),MOD(MONTH(B7)-1+834,12)+1,1)+(DAY(B7)-1),IF(B8="weekly",B7+5838,IF(B8="biweekly",B7+11676,B7+ROUND((834*365.25)/24,0))))</f>
        <v/>
      </c>
      <c r="C851" s="21">
        <f>IF((ROUND(F850-ROUND($B$13-D851,2),2)&lt;=0),ROUND(D851+E851,2),$B$13)</f>
        <v/>
      </c>
      <c r="D851" s="21">
        <f>ROUND(F850*B5/100/B10,2)</f>
        <v/>
      </c>
      <c r="E851" s="21">
        <f>IF((ROUND(F850-ROUND($B$13-D851,2),2)&lt;=0),F850,ROUND($B$13-D851,2))</f>
        <v/>
      </c>
      <c r="F851" s="21">
        <f>IF((ROUND(F850-ROUND($B$13-D851,2),2)&lt;=0),0,ROUND(F850-E851,2))</f>
        <v/>
      </c>
    </row>
    <row r="852">
      <c r="A852" s="6" t="n">
        <v>836</v>
      </c>
      <c r="B852" s="19">
        <f>IF(B8="monthly",DATE(YEAR(B7)+INT((MONTH(B7)-1+835)/12),MOD(MONTH(B7)-1+835,12)+1,1)+(DAY(B7)-1),IF(B8="weekly",B7+5845,IF(B8="biweekly",B7+11690,B7+ROUND((835*365.25)/24,0))))</f>
        <v/>
      </c>
      <c r="C852" s="21">
        <f>IF((ROUND(F851-ROUND($B$13-D852,2),2)&lt;=0),ROUND(D852+E852,2),$B$13)</f>
        <v/>
      </c>
      <c r="D852" s="21">
        <f>ROUND(F851*B5/100/B10,2)</f>
        <v/>
      </c>
      <c r="E852" s="21">
        <f>IF((ROUND(F851-ROUND($B$13-D852,2),2)&lt;=0),F851,ROUND($B$13-D852,2))</f>
        <v/>
      </c>
      <c r="F852" s="21">
        <f>IF((ROUND(F851-ROUND($B$13-D852,2),2)&lt;=0),0,ROUND(F851-E852,2))</f>
        <v/>
      </c>
    </row>
    <row r="853">
      <c r="A853" s="6" t="n">
        <v>837</v>
      </c>
      <c r="B853" s="19">
        <f>IF(B8="monthly",DATE(YEAR(B7)+INT((MONTH(B7)-1+836)/12),MOD(MONTH(B7)-1+836,12)+1,1)+(DAY(B7)-1),IF(B8="weekly",B7+5852,IF(B8="biweekly",B7+11704,B7+ROUND((836*365.25)/24,0))))</f>
        <v/>
      </c>
      <c r="C853" s="21">
        <f>IF((ROUND(F852-ROUND($B$13-D853,2),2)&lt;=0),ROUND(D853+E853,2),$B$13)</f>
        <v/>
      </c>
      <c r="D853" s="21">
        <f>ROUND(F852*B5/100/B10,2)</f>
        <v/>
      </c>
      <c r="E853" s="21">
        <f>IF((ROUND(F852-ROUND($B$13-D853,2),2)&lt;=0),F852,ROUND($B$13-D853,2))</f>
        <v/>
      </c>
      <c r="F853" s="21">
        <f>IF((ROUND(F852-ROUND($B$13-D853,2),2)&lt;=0),0,ROUND(F852-E853,2))</f>
        <v/>
      </c>
    </row>
    <row r="854">
      <c r="A854" s="6" t="n">
        <v>838</v>
      </c>
      <c r="B854" s="19">
        <f>IF(B8="monthly",DATE(YEAR(B7)+INT((MONTH(B7)-1+837)/12),MOD(MONTH(B7)-1+837,12)+1,1)+(DAY(B7)-1),IF(B8="weekly",B7+5859,IF(B8="biweekly",B7+11718,B7+ROUND((837*365.25)/24,0))))</f>
        <v/>
      </c>
      <c r="C854" s="21">
        <f>IF((ROUND(F853-ROUND($B$13-D854,2),2)&lt;=0),ROUND(D854+E854,2),$B$13)</f>
        <v/>
      </c>
      <c r="D854" s="21">
        <f>ROUND(F853*B5/100/B10,2)</f>
        <v/>
      </c>
      <c r="E854" s="21">
        <f>IF((ROUND(F853-ROUND($B$13-D854,2),2)&lt;=0),F853,ROUND($B$13-D854,2))</f>
        <v/>
      </c>
      <c r="F854" s="21">
        <f>IF((ROUND(F853-ROUND($B$13-D854,2),2)&lt;=0),0,ROUND(F853-E854,2))</f>
        <v/>
      </c>
    </row>
    <row r="855">
      <c r="A855" s="6" t="n">
        <v>839</v>
      </c>
      <c r="B855" s="19">
        <f>IF(B8="monthly",DATE(YEAR(B7)+INT((MONTH(B7)-1+838)/12),MOD(MONTH(B7)-1+838,12)+1,1)+(DAY(B7)-1),IF(B8="weekly",B7+5866,IF(B8="biweekly",B7+11732,B7+ROUND((838*365.25)/24,0))))</f>
        <v/>
      </c>
      <c r="C855" s="21">
        <f>IF((ROUND(F854-ROUND($B$13-D855,2),2)&lt;=0),ROUND(D855+E855,2),$B$13)</f>
        <v/>
      </c>
      <c r="D855" s="21">
        <f>ROUND(F854*B5/100/B10,2)</f>
        <v/>
      </c>
      <c r="E855" s="21">
        <f>IF((ROUND(F854-ROUND($B$13-D855,2),2)&lt;=0),F854,ROUND($B$13-D855,2))</f>
        <v/>
      </c>
      <c r="F855" s="21">
        <f>IF((ROUND(F854-ROUND($B$13-D855,2),2)&lt;=0),0,ROUND(F854-E855,2))</f>
        <v/>
      </c>
    </row>
    <row r="856">
      <c r="A856" s="6" t="n">
        <v>840</v>
      </c>
      <c r="B856" s="19">
        <f>IF(B8="monthly",DATE(YEAR(B7)+INT((MONTH(B7)-1+839)/12),MOD(MONTH(B7)-1+839,12)+1,1)+(DAY(B7)-1),IF(B8="weekly",B7+5873,IF(B8="biweekly",B7+11746,B7+ROUND((839*365.25)/24,0))))</f>
        <v/>
      </c>
      <c r="C856" s="21">
        <f>IF((ROUND(F855-ROUND($B$13-D856,2),2)&lt;=0),ROUND(D856+E856,2),$B$13)</f>
        <v/>
      </c>
      <c r="D856" s="21">
        <f>ROUND(F855*B5/100/B10,2)</f>
        <v/>
      </c>
      <c r="E856" s="21">
        <f>IF((ROUND(F855-ROUND($B$13-D856,2),2)&lt;=0),F855,ROUND($B$13-D856,2))</f>
        <v/>
      </c>
      <c r="F856" s="21">
        <f>IF((ROUND(F855-ROUND($B$13-D856,2),2)&lt;=0),0,ROUND(F855-E856,2))</f>
        <v/>
      </c>
    </row>
    <row r="857">
      <c r="A857" s="6" t="n">
        <v>841</v>
      </c>
      <c r="B857" s="19">
        <f>IF(B8="monthly",DATE(YEAR(B7)+INT((MONTH(B7)-1+840)/12),MOD(MONTH(B7)-1+840,12)+1,1)+(DAY(B7)-1),IF(B8="weekly",B7+5880,IF(B8="biweekly",B7+11760,B7+ROUND((840*365.25)/24,0))))</f>
        <v/>
      </c>
      <c r="C857" s="21">
        <f>IF((ROUND(F856-ROUND($B$13-D857,2),2)&lt;=0),ROUND(D857+E857,2),$B$13)</f>
        <v/>
      </c>
      <c r="D857" s="21">
        <f>ROUND(F856*B5/100/B10,2)</f>
        <v/>
      </c>
      <c r="E857" s="21">
        <f>IF((ROUND(F856-ROUND($B$13-D857,2),2)&lt;=0),F856,ROUND($B$13-D857,2))</f>
        <v/>
      </c>
      <c r="F857" s="21">
        <f>IF((ROUND(F856-ROUND($B$13-D857,2),2)&lt;=0),0,ROUND(F856-E857,2))</f>
        <v/>
      </c>
    </row>
    <row r="858">
      <c r="A858" s="6" t="n">
        <v>842</v>
      </c>
      <c r="B858" s="19">
        <f>IF(B8="monthly",DATE(YEAR(B7)+INT((MONTH(B7)-1+841)/12),MOD(MONTH(B7)-1+841,12)+1,1)+(DAY(B7)-1),IF(B8="weekly",B7+5887,IF(B8="biweekly",B7+11774,B7+ROUND((841*365.25)/24,0))))</f>
        <v/>
      </c>
      <c r="C858" s="21">
        <f>IF((ROUND(F857-ROUND($B$13-D858,2),2)&lt;=0),ROUND(D858+E858,2),$B$13)</f>
        <v/>
      </c>
      <c r="D858" s="21">
        <f>ROUND(F857*B5/100/B10,2)</f>
        <v/>
      </c>
      <c r="E858" s="21">
        <f>IF((ROUND(F857-ROUND($B$13-D858,2),2)&lt;=0),F857,ROUND($B$13-D858,2))</f>
        <v/>
      </c>
      <c r="F858" s="21">
        <f>IF((ROUND(F857-ROUND($B$13-D858,2),2)&lt;=0),0,ROUND(F857-E858,2))</f>
        <v/>
      </c>
    </row>
    <row r="859">
      <c r="A859" s="6" t="n">
        <v>843</v>
      </c>
      <c r="B859" s="19">
        <f>IF(B8="monthly",DATE(YEAR(B7)+INT((MONTH(B7)-1+842)/12),MOD(MONTH(B7)-1+842,12)+1,1)+(DAY(B7)-1),IF(B8="weekly",B7+5894,IF(B8="biweekly",B7+11788,B7+ROUND((842*365.25)/24,0))))</f>
        <v/>
      </c>
      <c r="C859" s="21">
        <f>IF((ROUND(F858-ROUND($B$13-D859,2),2)&lt;=0),ROUND(D859+E859,2),$B$13)</f>
        <v/>
      </c>
      <c r="D859" s="21">
        <f>ROUND(F858*B5/100/B10,2)</f>
        <v/>
      </c>
      <c r="E859" s="21">
        <f>IF((ROUND(F858-ROUND($B$13-D859,2),2)&lt;=0),F858,ROUND($B$13-D859,2))</f>
        <v/>
      </c>
      <c r="F859" s="21">
        <f>IF((ROUND(F858-ROUND($B$13-D859,2),2)&lt;=0),0,ROUND(F858-E859,2))</f>
        <v/>
      </c>
    </row>
    <row r="860">
      <c r="A860" s="6" t="n">
        <v>844</v>
      </c>
      <c r="B860" s="19">
        <f>IF(B8="monthly",DATE(YEAR(B7)+INT((MONTH(B7)-1+843)/12),MOD(MONTH(B7)-1+843,12)+1,1)+(DAY(B7)-1),IF(B8="weekly",B7+5901,IF(B8="biweekly",B7+11802,B7+ROUND((843*365.25)/24,0))))</f>
        <v/>
      </c>
      <c r="C860" s="21">
        <f>IF((ROUND(F859-ROUND($B$13-D860,2),2)&lt;=0),ROUND(D860+E860,2),$B$13)</f>
        <v/>
      </c>
      <c r="D860" s="21">
        <f>ROUND(F859*B5/100/B10,2)</f>
        <v/>
      </c>
      <c r="E860" s="21">
        <f>IF((ROUND(F859-ROUND($B$13-D860,2),2)&lt;=0),F859,ROUND($B$13-D860,2))</f>
        <v/>
      </c>
      <c r="F860" s="21">
        <f>IF((ROUND(F859-ROUND($B$13-D860,2),2)&lt;=0),0,ROUND(F859-E860,2))</f>
        <v/>
      </c>
    </row>
    <row r="861">
      <c r="A861" s="6" t="n">
        <v>845</v>
      </c>
      <c r="B861" s="19">
        <f>IF(B8="monthly",DATE(YEAR(B7)+INT((MONTH(B7)-1+844)/12),MOD(MONTH(B7)-1+844,12)+1,1)+(DAY(B7)-1),IF(B8="weekly",B7+5908,IF(B8="biweekly",B7+11816,B7+ROUND((844*365.25)/24,0))))</f>
        <v/>
      </c>
      <c r="C861" s="21">
        <f>IF((ROUND(F860-ROUND($B$13-D861,2),2)&lt;=0),ROUND(D861+E861,2),$B$13)</f>
        <v/>
      </c>
      <c r="D861" s="21">
        <f>ROUND(F860*B5/100/B10,2)</f>
        <v/>
      </c>
      <c r="E861" s="21">
        <f>IF((ROUND(F860-ROUND($B$13-D861,2),2)&lt;=0),F860,ROUND($B$13-D861,2))</f>
        <v/>
      </c>
      <c r="F861" s="21">
        <f>IF((ROUND(F860-ROUND($B$13-D861,2),2)&lt;=0),0,ROUND(F860-E861,2))</f>
        <v/>
      </c>
    </row>
    <row r="862">
      <c r="A862" s="6" t="n">
        <v>846</v>
      </c>
      <c r="B862" s="19">
        <f>IF(B8="monthly",DATE(YEAR(B7)+INT((MONTH(B7)-1+845)/12),MOD(MONTH(B7)-1+845,12)+1,1)+(DAY(B7)-1),IF(B8="weekly",B7+5915,IF(B8="biweekly",B7+11830,B7+ROUND((845*365.25)/24,0))))</f>
        <v/>
      </c>
      <c r="C862" s="21">
        <f>IF((ROUND(F861-ROUND($B$13-D862,2),2)&lt;=0),ROUND(D862+E862,2),$B$13)</f>
        <v/>
      </c>
      <c r="D862" s="21">
        <f>ROUND(F861*B5/100/B10,2)</f>
        <v/>
      </c>
      <c r="E862" s="21">
        <f>IF((ROUND(F861-ROUND($B$13-D862,2),2)&lt;=0),F861,ROUND($B$13-D862,2))</f>
        <v/>
      </c>
      <c r="F862" s="21">
        <f>IF((ROUND(F861-ROUND($B$13-D862,2),2)&lt;=0),0,ROUND(F861-E862,2))</f>
        <v/>
      </c>
    </row>
    <row r="863">
      <c r="A863" s="6" t="n">
        <v>847</v>
      </c>
      <c r="B863" s="19">
        <f>IF(B8="monthly",DATE(YEAR(B7)+INT((MONTH(B7)-1+846)/12),MOD(MONTH(B7)-1+846,12)+1,1)+(DAY(B7)-1),IF(B8="weekly",B7+5922,IF(B8="biweekly",B7+11844,B7+ROUND((846*365.25)/24,0))))</f>
        <v/>
      </c>
      <c r="C863" s="21">
        <f>IF((ROUND(F862-ROUND($B$13-D863,2),2)&lt;=0),ROUND(D863+E863,2),$B$13)</f>
        <v/>
      </c>
      <c r="D863" s="21">
        <f>ROUND(F862*B5/100/B10,2)</f>
        <v/>
      </c>
      <c r="E863" s="21">
        <f>IF((ROUND(F862-ROUND($B$13-D863,2),2)&lt;=0),F862,ROUND($B$13-D863,2))</f>
        <v/>
      </c>
      <c r="F863" s="21">
        <f>IF((ROUND(F862-ROUND($B$13-D863,2),2)&lt;=0),0,ROUND(F862-E863,2))</f>
        <v/>
      </c>
    </row>
    <row r="864">
      <c r="A864" s="6" t="n">
        <v>848</v>
      </c>
      <c r="B864" s="19">
        <f>IF(B8="monthly",DATE(YEAR(B7)+INT((MONTH(B7)-1+847)/12),MOD(MONTH(B7)-1+847,12)+1,1)+(DAY(B7)-1),IF(B8="weekly",B7+5929,IF(B8="biweekly",B7+11858,B7+ROUND((847*365.25)/24,0))))</f>
        <v/>
      </c>
      <c r="C864" s="21">
        <f>IF((ROUND(F863-ROUND($B$13-D864,2),2)&lt;=0),ROUND(D864+E864,2),$B$13)</f>
        <v/>
      </c>
      <c r="D864" s="21">
        <f>ROUND(F863*B5/100/B10,2)</f>
        <v/>
      </c>
      <c r="E864" s="21">
        <f>IF((ROUND(F863-ROUND($B$13-D864,2),2)&lt;=0),F863,ROUND($B$13-D864,2))</f>
        <v/>
      </c>
      <c r="F864" s="21">
        <f>IF((ROUND(F863-ROUND($B$13-D864,2),2)&lt;=0),0,ROUND(F863-E864,2))</f>
        <v/>
      </c>
    </row>
    <row r="865">
      <c r="A865" s="6" t="n">
        <v>849</v>
      </c>
      <c r="B865" s="19">
        <f>IF(B8="monthly",DATE(YEAR(B7)+INT((MONTH(B7)-1+848)/12),MOD(MONTH(B7)-1+848,12)+1,1)+(DAY(B7)-1),IF(B8="weekly",B7+5936,IF(B8="biweekly",B7+11872,B7+ROUND((848*365.25)/24,0))))</f>
        <v/>
      </c>
      <c r="C865" s="21">
        <f>IF((ROUND(F864-ROUND($B$13-D865,2),2)&lt;=0),ROUND(D865+E865,2),$B$13)</f>
        <v/>
      </c>
      <c r="D865" s="21">
        <f>ROUND(F864*B5/100/B10,2)</f>
        <v/>
      </c>
      <c r="E865" s="21">
        <f>IF((ROUND(F864-ROUND($B$13-D865,2),2)&lt;=0),F864,ROUND($B$13-D865,2))</f>
        <v/>
      </c>
      <c r="F865" s="21">
        <f>IF((ROUND(F864-ROUND($B$13-D865,2),2)&lt;=0),0,ROUND(F864-E865,2))</f>
        <v/>
      </c>
    </row>
    <row r="866">
      <c r="A866" s="6" t="n">
        <v>850</v>
      </c>
      <c r="B866" s="19">
        <f>IF(B8="monthly",DATE(YEAR(B7)+INT((MONTH(B7)-1+849)/12),MOD(MONTH(B7)-1+849,12)+1,1)+(DAY(B7)-1),IF(B8="weekly",B7+5943,IF(B8="biweekly",B7+11886,B7+ROUND((849*365.25)/24,0))))</f>
        <v/>
      </c>
      <c r="C866" s="21">
        <f>IF((ROUND(F865-ROUND($B$13-D866,2),2)&lt;=0),ROUND(D866+E866,2),$B$13)</f>
        <v/>
      </c>
      <c r="D866" s="21">
        <f>ROUND(F865*B5/100/B10,2)</f>
        <v/>
      </c>
      <c r="E866" s="21">
        <f>IF((ROUND(F865-ROUND($B$13-D866,2),2)&lt;=0),F865,ROUND($B$13-D866,2))</f>
        <v/>
      </c>
      <c r="F866" s="21">
        <f>IF((ROUND(F865-ROUND($B$13-D866,2),2)&lt;=0),0,ROUND(F865-E866,2))</f>
        <v/>
      </c>
    </row>
    <row r="867">
      <c r="A867" s="6" t="n">
        <v>851</v>
      </c>
      <c r="B867" s="19">
        <f>IF(B8="monthly",DATE(YEAR(B7)+INT((MONTH(B7)-1+850)/12),MOD(MONTH(B7)-1+850,12)+1,1)+(DAY(B7)-1),IF(B8="weekly",B7+5950,IF(B8="biweekly",B7+11900,B7+ROUND((850*365.25)/24,0))))</f>
        <v/>
      </c>
      <c r="C867" s="21">
        <f>IF((ROUND(F866-ROUND($B$13-D867,2),2)&lt;=0),ROUND(D867+E867,2),$B$13)</f>
        <v/>
      </c>
      <c r="D867" s="21">
        <f>ROUND(F866*B5/100/B10,2)</f>
        <v/>
      </c>
      <c r="E867" s="21">
        <f>IF((ROUND(F866-ROUND($B$13-D867,2),2)&lt;=0),F866,ROUND($B$13-D867,2))</f>
        <v/>
      </c>
      <c r="F867" s="21">
        <f>IF((ROUND(F866-ROUND($B$13-D867,2),2)&lt;=0),0,ROUND(F866-E867,2))</f>
        <v/>
      </c>
    </row>
    <row r="868">
      <c r="A868" s="6" t="n">
        <v>852</v>
      </c>
      <c r="B868" s="19">
        <f>IF(B8="monthly",DATE(YEAR(B7)+INT((MONTH(B7)-1+851)/12),MOD(MONTH(B7)-1+851,12)+1,1)+(DAY(B7)-1),IF(B8="weekly",B7+5957,IF(B8="biweekly",B7+11914,B7+ROUND((851*365.25)/24,0))))</f>
        <v/>
      </c>
      <c r="C868" s="21">
        <f>IF((ROUND(F867-ROUND($B$13-D868,2),2)&lt;=0),ROUND(D868+E868,2),$B$13)</f>
        <v/>
      </c>
      <c r="D868" s="21">
        <f>ROUND(F867*B5/100/B10,2)</f>
        <v/>
      </c>
      <c r="E868" s="21">
        <f>IF((ROUND(F867-ROUND($B$13-D868,2),2)&lt;=0),F867,ROUND($B$13-D868,2))</f>
        <v/>
      </c>
      <c r="F868" s="21">
        <f>IF((ROUND(F867-ROUND($B$13-D868,2),2)&lt;=0),0,ROUND(F867-E868,2))</f>
        <v/>
      </c>
    </row>
    <row r="869">
      <c r="A869" s="6" t="n">
        <v>853</v>
      </c>
      <c r="B869" s="19">
        <f>IF(B8="monthly",DATE(YEAR(B7)+INT((MONTH(B7)-1+852)/12),MOD(MONTH(B7)-1+852,12)+1,1)+(DAY(B7)-1),IF(B8="weekly",B7+5964,IF(B8="biweekly",B7+11928,B7+ROUND((852*365.25)/24,0))))</f>
        <v/>
      </c>
      <c r="C869" s="21">
        <f>IF((ROUND(F868-ROUND($B$13-D869,2),2)&lt;=0),ROUND(D869+E869,2),$B$13)</f>
        <v/>
      </c>
      <c r="D869" s="21">
        <f>ROUND(F868*B5/100/B10,2)</f>
        <v/>
      </c>
      <c r="E869" s="21">
        <f>IF((ROUND(F868-ROUND($B$13-D869,2),2)&lt;=0),F868,ROUND($B$13-D869,2))</f>
        <v/>
      </c>
      <c r="F869" s="21">
        <f>IF((ROUND(F868-ROUND($B$13-D869,2),2)&lt;=0),0,ROUND(F868-E869,2))</f>
        <v/>
      </c>
    </row>
    <row r="870">
      <c r="A870" s="6" t="n">
        <v>854</v>
      </c>
      <c r="B870" s="19">
        <f>IF(B8="monthly",DATE(YEAR(B7)+INT((MONTH(B7)-1+853)/12),MOD(MONTH(B7)-1+853,12)+1,1)+(DAY(B7)-1),IF(B8="weekly",B7+5971,IF(B8="biweekly",B7+11942,B7+ROUND((853*365.25)/24,0))))</f>
        <v/>
      </c>
      <c r="C870" s="21">
        <f>IF((ROUND(F869-ROUND($B$13-D870,2),2)&lt;=0),ROUND(D870+E870,2),$B$13)</f>
        <v/>
      </c>
      <c r="D870" s="21">
        <f>ROUND(F869*B5/100/B10,2)</f>
        <v/>
      </c>
      <c r="E870" s="21">
        <f>IF((ROUND(F869-ROUND($B$13-D870,2),2)&lt;=0),F869,ROUND($B$13-D870,2))</f>
        <v/>
      </c>
      <c r="F870" s="21">
        <f>IF((ROUND(F869-ROUND($B$13-D870,2),2)&lt;=0),0,ROUND(F869-E870,2))</f>
        <v/>
      </c>
    </row>
    <row r="871">
      <c r="A871" s="6" t="n">
        <v>855</v>
      </c>
      <c r="B871" s="19">
        <f>IF(B8="monthly",DATE(YEAR(B7)+INT((MONTH(B7)-1+854)/12),MOD(MONTH(B7)-1+854,12)+1,1)+(DAY(B7)-1),IF(B8="weekly",B7+5978,IF(B8="biweekly",B7+11956,B7+ROUND((854*365.25)/24,0))))</f>
        <v/>
      </c>
      <c r="C871" s="21">
        <f>IF((ROUND(F870-ROUND($B$13-D871,2),2)&lt;=0),ROUND(D871+E871,2),$B$13)</f>
        <v/>
      </c>
      <c r="D871" s="21">
        <f>ROUND(F870*B5/100/B10,2)</f>
        <v/>
      </c>
      <c r="E871" s="21">
        <f>IF((ROUND(F870-ROUND($B$13-D871,2),2)&lt;=0),F870,ROUND($B$13-D871,2))</f>
        <v/>
      </c>
      <c r="F871" s="21">
        <f>IF((ROUND(F870-ROUND($B$13-D871,2),2)&lt;=0),0,ROUND(F870-E871,2))</f>
        <v/>
      </c>
    </row>
    <row r="872">
      <c r="A872" s="6" t="n">
        <v>856</v>
      </c>
      <c r="B872" s="19">
        <f>IF(B8="monthly",DATE(YEAR(B7)+INT((MONTH(B7)-1+855)/12),MOD(MONTH(B7)-1+855,12)+1,1)+(DAY(B7)-1),IF(B8="weekly",B7+5985,IF(B8="biweekly",B7+11970,B7+ROUND((855*365.25)/24,0))))</f>
        <v/>
      </c>
      <c r="C872" s="21">
        <f>IF((ROUND(F871-ROUND($B$13-D872,2),2)&lt;=0),ROUND(D872+E872,2),$B$13)</f>
        <v/>
      </c>
      <c r="D872" s="21">
        <f>ROUND(F871*B5/100/B10,2)</f>
        <v/>
      </c>
      <c r="E872" s="21">
        <f>IF((ROUND(F871-ROUND($B$13-D872,2),2)&lt;=0),F871,ROUND($B$13-D872,2))</f>
        <v/>
      </c>
      <c r="F872" s="21">
        <f>IF((ROUND(F871-ROUND($B$13-D872,2),2)&lt;=0),0,ROUND(F871-E872,2))</f>
        <v/>
      </c>
    </row>
    <row r="873">
      <c r="A873" s="6" t="n">
        <v>857</v>
      </c>
      <c r="B873" s="19">
        <f>IF(B8="monthly",DATE(YEAR(B7)+INT((MONTH(B7)-1+856)/12),MOD(MONTH(B7)-1+856,12)+1,1)+(DAY(B7)-1),IF(B8="weekly",B7+5992,IF(B8="biweekly",B7+11984,B7+ROUND((856*365.25)/24,0))))</f>
        <v/>
      </c>
      <c r="C873" s="21">
        <f>IF((ROUND(F872-ROUND($B$13-D873,2),2)&lt;=0),ROUND(D873+E873,2),$B$13)</f>
        <v/>
      </c>
      <c r="D873" s="21">
        <f>ROUND(F872*B5/100/B10,2)</f>
        <v/>
      </c>
      <c r="E873" s="21">
        <f>IF((ROUND(F872-ROUND($B$13-D873,2),2)&lt;=0),F872,ROUND($B$13-D873,2))</f>
        <v/>
      </c>
      <c r="F873" s="21">
        <f>IF((ROUND(F872-ROUND($B$13-D873,2),2)&lt;=0),0,ROUND(F872-E873,2))</f>
        <v/>
      </c>
    </row>
    <row r="874">
      <c r="A874" s="6" t="n">
        <v>858</v>
      </c>
      <c r="B874" s="19">
        <f>IF(B8="monthly",DATE(YEAR(B7)+INT((MONTH(B7)-1+857)/12),MOD(MONTH(B7)-1+857,12)+1,1)+(DAY(B7)-1),IF(B8="weekly",B7+5999,IF(B8="biweekly",B7+11998,B7+ROUND((857*365.25)/24,0))))</f>
        <v/>
      </c>
      <c r="C874" s="21">
        <f>IF((ROUND(F873-ROUND($B$13-D874,2),2)&lt;=0),ROUND(D874+E874,2),$B$13)</f>
        <v/>
      </c>
      <c r="D874" s="21">
        <f>ROUND(F873*B5/100/B10,2)</f>
        <v/>
      </c>
      <c r="E874" s="21">
        <f>IF((ROUND(F873-ROUND($B$13-D874,2),2)&lt;=0),F873,ROUND($B$13-D874,2))</f>
        <v/>
      </c>
      <c r="F874" s="21">
        <f>IF((ROUND(F873-ROUND($B$13-D874,2),2)&lt;=0),0,ROUND(F873-E874,2))</f>
        <v/>
      </c>
    </row>
    <row r="875">
      <c r="A875" s="6" t="n">
        <v>859</v>
      </c>
      <c r="B875" s="19">
        <f>IF(B8="monthly",DATE(YEAR(B7)+INT((MONTH(B7)-1+858)/12),MOD(MONTH(B7)-1+858,12)+1,1)+(DAY(B7)-1),IF(B8="weekly",B7+6006,IF(B8="biweekly",B7+12012,B7+ROUND((858*365.25)/24,0))))</f>
        <v/>
      </c>
      <c r="C875" s="21">
        <f>IF((ROUND(F874-ROUND($B$13-D875,2),2)&lt;=0),ROUND(D875+E875,2),$B$13)</f>
        <v/>
      </c>
      <c r="D875" s="21">
        <f>ROUND(F874*B5/100/B10,2)</f>
        <v/>
      </c>
      <c r="E875" s="21">
        <f>IF((ROUND(F874-ROUND($B$13-D875,2),2)&lt;=0),F874,ROUND($B$13-D875,2))</f>
        <v/>
      </c>
      <c r="F875" s="21">
        <f>IF((ROUND(F874-ROUND($B$13-D875,2),2)&lt;=0),0,ROUND(F874-E875,2))</f>
        <v/>
      </c>
    </row>
    <row r="876">
      <c r="A876" s="6" t="n">
        <v>860</v>
      </c>
      <c r="B876" s="19">
        <f>IF(B8="monthly",DATE(YEAR(B7)+INT((MONTH(B7)-1+859)/12),MOD(MONTH(B7)-1+859,12)+1,1)+(DAY(B7)-1),IF(B8="weekly",B7+6013,IF(B8="biweekly",B7+12026,B7+ROUND((859*365.25)/24,0))))</f>
        <v/>
      </c>
      <c r="C876" s="21">
        <f>IF((ROUND(F875-ROUND($B$13-D876,2),2)&lt;=0),ROUND(D876+E876,2),$B$13)</f>
        <v/>
      </c>
      <c r="D876" s="21">
        <f>ROUND(F875*B5/100/B10,2)</f>
        <v/>
      </c>
      <c r="E876" s="21">
        <f>IF((ROUND(F875-ROUND($B$13-D876,2),2)&lt;=0),F875,ROUND($B$13-D876,2))</f>
        <v/>
      </c>
      <c r="F876" s="21">
        <f>IF((ROUND(F875-ROUND($B$13-D876,2),2)&lt;=0),0,ROUND(F875-E876,2))</f>
        <v/>
      </c>
    </row>
    <row r="877">
      <c r="A877" s="6" t="n">
        <v>861</v>
      </c>
      <c r="B877" s="19">
        <f>IF(B8="monthly",DATE(YEAR(B7)+INT((MONTH(B7)-1+860)/12),MOD(MONTH(B7)-1+860,12)+1,1)+(DAY(B7)-1),IF(B8="weekly",B7+6020,IF(B8="biweekly",B7+12040,B7+ROUND((860*365.25)/24,0))))</f>
        <v/>
      </c>
      <c r="C877" s="21">
        <f>IF((ROUND(F876-ROUND($B$13-D877,2),2)&lt;=0),ROUND(D877+E877,2),$B$13)</f>
        <v/>
      </c>
      <c r="D877" s="21">
        <f>ROUND(F876*B5/100/B10,2)</f>
        <v/>
      </c>
      <c r="E877" s="21">
        <f>IF((ROUND(F876-ROUND($B$13-D877,2),2)&lt;=0),F876,ROUND($B$13-D877,2))</f>
        <v/>
      </c>
      <c r="F877" s="21">
        <f>IF((ROUND(F876-ROUND($B$13-D877,2),2)&lt;=0),0,ROUND(F876-E877,2))</f>
        <v/>
      </c>
    </row>
    <row r="878">
      <c r="A878" s="6" t="n">
        <v>862</v>
      </c>
      <c r="B878" s="19">
        <f>IF(B8="monthly",DATE(YEAR(B7)+INT((MONTH(B7)-1+861)/12),MOD(MONTH(B7)-1+861,12)+1,1)+(DAY(B7)-1),IF(B8="weekly",B7+6027,IF(B8="biweekly",B7+12054,B7+ROUND((861*365.25)/24,0))))</f>
        <v/>
      </c>
      <c r="C878" s="21">
        <f>IF((ROUND(F877-ROUND($B$13-D878,2),2)&lt;=0),ROUND(D878+E878,2),$B$13)</f>
        <v/>
      </c>
      <c r="D878" s="21">
        <f>ROUND(F877*B5/100/B10,2)</f>
        <v/>
      </c>
      <c r="E878" s="21">
        <f>IF((ROUND(F877-ROUND($B$13-D878,2),2)&lt;=0),F877,ROUND($B$13-D878,2))</f>
        <v/>
      </c>
      <c r="F878" s="21">
        <f>IF((ROUND(F877-ROUND($B$13-D878,2),2)&lt;=0),0,ROUND(F877-E878,2))</f>
        <v/>
      </c>
    </row>
    <row r="879">
      <c r="A879" s="6" t="n">
        <v>863</v>
      </c>
      <c r="B879" s="19">
        <f>IF(B8="monthly",DATE(YEAR(B7)+INT((MONTH(B7)-1+862)/12),MOD(MONTH(B7)-1+862,12)+1,1)+(DAY(B7)-1),IF(B8="weekly",B7+6034,IF(B8="biweekly",B7+12068,B7+ROUND((862*365.25)/24,0))))</f>
        <v/>
      </c>
      <c r="C879" s="21">
        <f>IF((ROUND(F878-ROUND($B$13-D879,2),2)&lt;=0),ROUND(D879+E879,2),$B$13)</f>
        <v/>
      </c>
      <c r="D879" s="21">
        <f>ROUND(F878*B5/100/B10,2)</f>
        <v/>
      </c>
      <c r="E879" s="21">
        <f>IF((ROUND(F878-ROUND($B$13-D879,2),2)&lt;=0),F878,ROUND($B$13-D879,2))</f>
        <v/>
      </c>
      <c r="F879" s="21">
        <f>IF((ROUND(F878-ROUND($B$13-D879,2),2)&lt;=0),0,ROUND(F878-E879,2))</f>
        <v/>
      </c>
    </row>
    <row r="880">
      <c r="A880" s="6" t="n">
        <v>864</v>
      </c>
      <c r="B880" s="19">
        <f>IF(B8="monthly",DATE(YEAR(B7)+INT((MONTH(B7)-1+863)/12),MOD(MONTH(B7)-1+863,12)+1,1)+(DAY(B7)-1),IF(B8="weekly",B7+6041,IF(B8="biweekly",B7+12082,B7+ROUND((863*365.25)/24,0))))</f>
        <v/>
      </c>
      <c r="C880" s="21">
        <f>IF((ROUND(F879-ROUND($B$13-D880,2),2)&lt;=0),ROUND(D880+E880,2),$B$13)</f>
        <v/>
      </c>
      <c r="D880" s="21">
        <f>ROUND(F879*B5/100/B10,2)</f>
        <v/>
      </c>
      <c r="E880" s="21">
        <f>IF((ROUND(F879-ROUND($B$13-D880,2),2)&lt;=0),F879,ROUND($B$13-D880,2))</f>
        <v/>
      </c>
      <c r="F880" s="21">
        <f>IF((ROUND(F879-ROUND($B$13-D880,2),2)&lt;=0),0,ROUND(F879-E880,2))</f>
        <v/>
      </c>
    </row>
    <row r="881">
      <c r="A881" s="6" t="n">
        <v>865</v>
      </c>
      <c r="B881" s="19">
        <f>IF(B8="monthly",DATE(YEAR(B7)+INT((MONTH(B7)-1+864)/12),MOD(MONTH(B7)-1+864,12)+1,1)+(DAY(B7)-1),IF(B8="weekly",B7+6048,IF(B8="biweekly",B7+12096,B7+ROUND((864*365.25)/24,0))))</f>
        <v/>
      </c>
      <c r="C881" s="21">
        <f>IF((ROUND(F880-ROUND($B$13-D881,2),2)&lt;=0),ROUND(D881+E881,2),$B$13)</f>
        <v/>
      </c>
      <c r="D881" s="21">
        <f>ROUND(F880*B5/100/B10,2)</f>
        <v/>
      </c>
      <c r="E881" s="21">
        <f>IF((ROUND(F880-ROUND($B$13-D881,2),2)&lt;=0),F880,ROUND($B$13-D881,2))</f>
        <v/>
      </c>
      <c r="F881" s="21">
        <f>IF((ROUND(F880-ROUND($B$13-D881,2),2)&lt;=0),0,ROUND(F880-E881,2))</f>
        <v/>
      </c>
    </row>
    <row r="882">
      <c r="A882" s="6" t="n">
        <v>866</v>
      </c>
      <c r="B882" s="19">
        <f>IF(B8="monthly",DATE(YEAR(B7)+INT((MONTH(B7)-1+865)/12),MOD(MONTH(B7)-1+865,12)+1,1)+(DAY(B7)-1),IF(B8="weekly",B7+6055,IF(B8="biweekly",B7+12110,B7+ROUND((865*365.25)/24,0))))</f>
        <v/>
      </c>
      <c r="C882" s="21">
        <f>IF((ROUND(F881-ROUND($B$13-D882,2),2)&lt;=0),ROUND(D882+E882,2),$B$13)</f>
        <v/>
      </c>
      <c r="D882" s="21">
        <f>ROUND(F881*B5/100/B10,2)</f>
        <v/>
      </c>
      <c r="E882" s="21">
        <f>IF((ROUND(F881-ROUND($B$13-D882,2),2)&lt;=0),F881,ROUND($B$13-D882,2))</f>
        <v/>
      </c>
      <c r="F882" s="21">
        <f>IF((ROUND(F881-ROUND($B$13-D882,2),2)&lt;=0),0,ROUND(F881-E882,2))</f>
        <v/>
      </c>
    </row>
    <row r="883">
      <c r="A883" s="6" t="n">
        <v>867</v>
      </c>
      <c r="B883" s="19">
        <f>IF(B8="monthly",DATE(YEAR(B7)+INT((MONTH(B7)-1+866)/12),MOD(MONTH(B7)-1+866,12)+1,1)+(DAY(B7)-1),IF(B8="weekly",B7+6062,IF(B8="biweekly",B7+12124,B7+ROUND((866*365.25)/24,0))))</f>
        <v/>
      </c>
      <c r="C883" s="21">
        <f>IF((ROUND(F882-ROUND($B$13-D883,2),2)&lt;=0),ROUND(D883+E883,2),$B$13)</f>
        <v/>
      </c>
      <c r="D883" s="21">
        <f>ROUND(F882*B5/100/B10,2)</f>
        <v/>
      </c>
      <c r="E883" s="21">
        <f>IF((ROUND(F882-ROUND($B$13-D883,2),2)&lt;=0),F882,ROUND($B$13-D883,2))</f>
        <v/>
      </c>
      <c r="F883" s="21">
        <f>IF((ROUND(F882-ROUND($B$13-D883,2),2)&lt;=0),0,ROUND(F882-E883,2))</f>
        <v/>
      </c>
    </row>
    <row r="884">
      <c r="A884" s="6" t="n">
        <v>868</v>
      </c>
      <c r="B884" s="19">
        <f>IF(B8="monthly",DATE(YEAR(B7)+INT((MONTH(B7)-1+867)/12),MOD(MONTH(B7)-1+867,12)+1,1)+(DAY(B7)-1),IF(B8="weekly",B7+6069,IF(B8="biweekly",B7+12138,B7+ROUND((867*365.25)/24,0))))</f>
        <v/>
      </c>
      <c r="C884" s="21">
        <f>IF((ROUND(F883-ROUND($B$13-D884,2),2)&lt;=0),ROUND(D884+E884,2),$B$13)</f>
        <v/>
      </c>
      <c r="D884" s="21">
        <f>ROUND(F883*B5/100/B10,2)</f>
        <v/>
      </c>
      <c r="E884" s="21">
        <f>IF((ROUND(F883-ROUND($B$13-D884,2),2)&lt;=0),F883,ROUND($B$13-D884,2))</f>
        <v/>
      </c>
      <c r="F884" s="21">
        <f>IF((ROUND(F883-ROUND($B$13-D884,2),2)&lt;=0),0,ROUND(F883-E884,2))</f>
        <v/>
      </c>
    </row>
    <row r="885">
      <c r="A885" s="6" t="n">
        <v>869</v>
      </c>
      <c r="B885" s="19">
        <f>IF(B8="monthly",DATE(YEAR(B7)+INT((MONTH(B7)-1+868)/12),MOD(MONTH(B7)-1+868,12)+1,1)+(DAY(B7)-1),IF(B8="weekly",B7+6076,IF(B8="biweekly",B7+12152,B7+ROUND((868*365.25)/24,0))))</f>
        <v/>
      </c>
      <c r="C885" s="21">
        <f>IF((ROUND(F884-ROUND($B$13-D885,2),2)&lt;=0),ROUND(D885+E885,2),$B$13)</f>
        <v/>
      </c>
      <c r="D885" s="21">
        <f>ROUND(F884*B5/100/B10,2)</f>
        <v/>
      </c>
      <c r="E885" s="21">
        <f>IF((ROUND(F884-ROUND($B$13-D885,2),2)&lt;=0),F884,ROUND($B$13-D885,2))</f>
        <v/>
      </c>
      <c r="F885" s="21">
        <f>IF((ROUND(F884-ROUND($B$13-D885,2),2)&lt;=0),0,ROUND(F884-E885,2))</f>
        <v/>
      </c>
    </row>
    <row r="886">
      <c r="A886" s="6" t="n">
        <v>870</v>
      </c>
      <c r="B886" s="19">
        <f>IF(B8="monthly",DATE(YEAR(B7)+INT((MONTH(B7)-1+869)/12),MOD(MONTH(B7)-1+869,12)+1,1)+(DAY(B7)-1),IF(B8="weekly",B7+6083,IF(B8="biweekly",B7+12166,B7+ROUND((869*365.25)/24,0))))</f>
        <v/>
      </c>
      <c r="C886" s="21">
        <f>IF((ROUND(F885-ROUND($B$13-D886,2),2)&lt;=0),ROUND(D886+E886,2),$B$13)</f>
        <v/>
      </c>
      <c r="D886" s="21">
        <f>ROUND(F885*B5/100/B10,2)</f>
        <v/>
      </c>
      <c r="E886" s="21">
        <f>IF((ROUND(F885-ROUND($B$13-D886,2),2)&lt;=0),F885,ROUND($B$13-D886,2))</f>
        <v/>
      </c>
      <c r="F886" s="21">
        <f>IF((ROUND(F885-ROUND($B$13-D886,2),2)&lt;=0),0,ROUND(F885-E886,2))</f>
        <v/>
      </c>
    </row>
    <row r="887">
      <c r="A887" s="6" t="n">
        <v>871</v>
      </c>
      <c r="B887" s="19">
        <f>IF(B8="monthly",DATE(YEAR(B7)+INT((MONTH(B7)-1+870)/12),MOD(MONTH(B7)-1+870,12)+1,1)+(DAY(B7)-1),IF(B8="weekly",B7+6090,IF(B8="biweekly",B7+12180,B7+ROUND((870*365.25)/24,0))))</f>
        <v/>
      </c>
      <c r="C887" s="21">
        <f>IF((ROUND(F886-ROUND($B$13-D887,2),2)&lt;=0),ROUND(D887+E887,2),$B$13)</f>
        <v/>
      </c>
      <c r="D887" s="21">
        <f>ROUND(F886*B5/100/B10,2)</f>
        <v/>
      </c>
      <c r="E887" s="21">
        <f>IF((ROUND(F886-ROUND($B$13-D887,2),2)&lt;=0),F886,ROUND($B$13-D887,2))</f>
        <v/>
      </c>
      <c r="F887" s="21">
        <f>IF((ROUND(F886-ROUND($B$13-D887,2),2)&lt;=0),0,ROUND(F886-E887,2))</f>
        <v/>
      </c>
    </row>
    <row r="888">
      <c r="A888" s="6" t="n">
        <v>872</v>
      </c>
      <c r="B888" s="19">
        <f>IF(B8="monthly",DATE(YEAR(B7)+INT((MONTH(B7)-1+871)/12),MOD(MONTH(B7)-1+871,12)+1,1)+(DAY(B7)-1),IF(B8="weekly",B7+6097,IF(B8="biweekly",B7+12194,B7+ROUND((871*365.25)/24,0))))</f>
        <v/>
      </c>
      <c r="C888" s="21">
        <f>IF((ROUND(F887-ROUND($B$13-D888,2),2)&lt;=0),ROUND(D888+E888,2),$B$13)</f>
        <v/>
      </c>
      <c r="D888" s="21">
        <f>ROUND(F887*B5/100/B10,2)</f>
        <v/>
      </c>
      <c r="E888" s="21">
        <f>IF((ROUND(F887-ROUND($B$13-D888,2),2)&lt;=0),F887,ROUND($B$13-D888,2))</f>
        <v/>
      </c>
      <c r="F888" s="21">
        <f>IF((ROUND(F887-ROUND($B$13-D888,2),2)&lt;=0),0,ROUND(F887-E888,2))</f>
        <v/>
      </c>
    </row>
    <row r="889">
      <c r="A889" s="6" t="n">
        <v>873</v>
      </c>
      <c r="B889" s="19">
        <f>IF(B8="monthly",DATE(YEAR(B7)+INT((MONTH(B7)-1+872)/12),MOD(MONTH(B7)-1+872,12)+1,1)+(DAY(B7)-1),IF(B8="weekly",B7+6104,IF(B8="biweekly",B7+12208,B7+ROUND((872*365.25)/24,0))))</f>
        <v/>
      </c>
      <c r="C889" s="21">
        <f>IF((ROUND(F888-ROUND($B$13-D889,2),2)&lt;=0),ROUND(D889+E889,2),$B$13)</f>
        <v/>
      </c>
      <c r="D889" s="21">
        <f>ROUND(F888*B5/100/B10,2)</f>
        <v/>
      </c>
      <c r="E889" s="21">
        <f>IF((ROUND(F888-ROUND($B$13-D889,2),2)&lt;=0),F888,ROUND($B$13-D889,2))</f>
        <v/>
      </c>
      <c r="F889" s="21">
        <f>IF((ROUND(F888-ROUND($B$13-D889,2),2)&lt;=0),0,ROUND(F888-E889,2))</f>
        <v/>
      </c>
    </row>
    <row r="890">
      <c r="A890" s="6" t="n">
        <v>874</v>
      </c>
      <c r="B890" s="19">
        <f>IF(B8="monthly",DATE(YEAR(B7)+INT((MONTH(B7)-1+873)/12),MOD(MONTH(B7)-1+873,12)+1,1)+(DAY(B7)-1),IF(B8="weekly",B7+6111,IF(B8="biweekly",B7+12222,B7+ROUND((873*365.25)/24,0))))</f>
        <v/>
      </c>
      <c r="C890" s="21">
        <f>IF((ROUND(F889-ROUND($B$13-D890,2),2)&lt;=0),ROUND(D890+E890,2),$B$13)</f>
        <v/>
      </c>
      <c r="D890" s="21">
        <f>ROUND(F889*B5/100/B10,2)</f>
        <v/>
      </c>
      <c r="E890" s="21">
        <f>IF((ROUND(F889-ROUND($B$13-D890,2),2)&lt;=0),F889,ROUND($B$13-D890,2))</f>
        <v/>
      </c>
      <c r="F890" s="21">
        <f>IF((ROUND(F889-ROUND($B$13-D890,2),2)&lt;=0),0,ROUND(F889-E890,2))</f>
        <v/>
      </c>
    </row>
    <row r="891">
      <c r="A891" s="6" t="n">
        <v>875</v>
      </c>
      <c r="B891" s="19">
        <f>IF(B8="monthly",DATE(YEAR(B7)+INT((MONTH(B7)-1+874)/12),MOD(MONTH(B7)-1+874,12)+1,1)+(DAY(B7)-1),IF(B8="weekly",B7+6118,IF(B8="biweekly",B7+12236,B7+ROUND((874*365.25)/24,0))))</f>
        <v/>
      </c>
      <c r="C891" s="21">
        <f>IF((ROUND(F890-ROUND($B$13-D891,2),2)&lt;=0),ROUND(D891+E891,2),$B$13)</f>
        <v/>
      </c>
      <c r="D891" s="21">
        <f>ROUND(F890*B5/100/B10,2)</f>
        <v/>
      </c>
      <c r="E891" s="21">
        <f>IF((ROUND(F890-ROUND($B$13-D891,2),2)&lt;=0),F890,ROUND($B$13-D891,2))</f>
        <v/>
      </c>
      <c r="F891" s="21">
        <f>IF((ROUND(F890-ROUND($B$13-D891,2),2)&lt;=0),0,ROUND(F890-E891,2))</f>
        <v/>
      </c>
    </row>
    <row r="892">
      <c r="A892" s="6" t="n">
        <v>876</v>
      </c>
      <c r="B892" s="19">
        <f>IF(B8="monthly",DATE(YEAR(B7)+INT((MONTH(B7)-1+875)/12),MOD(MONTH(B7)-1+875,12)+1,1)+(DAY(B7)-1),IF(B8="weekly",B7+6125,IF(B8="biweekly",B7+12250,B7+ROUND((875*365.25)/24,0))))</f>
        <v/>
      </c>
      <c r="C892" s="21">
        <f>IF((ROUND(F891-ROUND($B$13-D892,2),2)&lt;=0),ROUND(D892+E892,2),$B$13)</f>
        <v/>
      </c>
      <c r="D892" s="21">
        <f>ROUND(F891*B5/100/B10,2)</f>
        <v/>
      </c>
      <c r="E892" s="21">
        <f>IF((ROUND(F891-ROUND($B$13-D892,2),2)&lt;=0),F891,ROUND($B$13-D892,2))</f>
        <v/>
      </c>
      <c r="F892" s="21">
        <f>IF((ROUND(F891-ROUND($B$13-D892,2),2)&lt;=0),0,ROUND(F891-E892,2))</f>
        <v/>
      </c>
    </row>
    <row r="893">
      <c r="A893" s="6" t="n">
        <v>877</v>
      </c>
      <c r="B893" s="19">
        <f>IF(B8="monthly",DATE(YEAR(B7)+INT((MONTH(B7)-1+876)/12),MOD(MONTH(B7)-1+876,12)+1,1)+(DAY(B7)-1),IF(B8="weekly",B7+6132,IF(B8="biweekly",B7+12264,B7+ROUND((876*365.25)/24,0))))</f>
        <v/>
      </c>
      <c r="C893" s="21">
        <f>IF((ROUND(F892-ROUND($B$13-D893,2),2)&lt;=0),ROUND(D893+E893,2),$B$13)</f>
        <v/>
      </c>
      <c r="D893" s="21">
        <f>ROUND(F892*B5/100/B10,2)</f>
        <v/>
      </c>
      <c r="E893" s="21">
        <f>IF((ROUND(F892-ROUND($B$13-D893,2),2)&lt;=0),F892,ROUND($B$13-D893,2))</f>
        <v/>
      </c>
      <c r="F893" s="21">
        <f>IF((ROUND(F892-ROUND($B$13-D893,2),2)&lt;=0),0,ROUND(F892-E893,2))</f>
        <v/>
      </c>
    </row>
    <row r="894">
      <c r="A894" s="6" t="n">
        <v>878</v>
      </c>
      <c r="B894" s="19">
        <f>IF(B8="monthly",DATE(YEAR(B7)+INT((MONTH(B7)-1+877)/12),MOD(MONTH(B7)-1+877,12)+1,1)+(DAY(B7)-1),IF(B8="weekly",B7+6139,IF(B8="biweekly",B7+12278,B7+ROUND((877*365.25)/24,0))))</f>
        <v/>
      </c>
      <c r="C894" s="21">
        <f>IF((ROUND(F893-ROUND($B$13-D894,2),2)&lt;=0),ROUND(D894+E894,2),$B$13)</f>
        <v/>
      </c>
      <c r="D894" s="21">
        <f>ROUND(F893*B5/100/B10,2)</f>
        <v/>
      </c>
      <c r="E894" s="21">
        <f>IF((ROUND(F893-ROUND($B$13-D894,2),2)&lt;=0),F893,ROUND($B$13-D894,2))</f>
        <v/>
      </c>
      <c r="F894" s="21">
        <f>IF((ROUND(F893-ROUND($B$13-D894,2),2)&lt;=0),0,ROUND(F893-E894,2))</f>
        <v/>
      </c>
    </row>
    <row r="895">
      <c r="A895" s="6" t="n">
        <v>879</v>
      </c>
      <c r="B895" s="19">
        <f>IF(B8="monthly",DATE(YEAR(B7)+INT((MONTH(B7)-1+878)/12),MOD(MONTH(B7)-1+878,12)+1,1)+(DAY(B7)-1),IF(B8="weekly",B7+6146,IF(B8="biweekly",B7+12292,B7+ROUND((878*365.25)/24,0))))</f>
        <v/>
      </c>
      <c r="C895" s="21">
        <f>IF((ROUND(F894-ROUND($B$13-D895,2),2)&lt;=0),ROUND(D895+E895,2),$B$13)</f>
        <v/>
      </c>
      <c r="D895" s="21">
        <f>ROUND(F894*B5/100/B10,2)</f>
        <v/>
      </c>
      <c r="E895" s="21">
        <f>IF((ROUND(F894-ROUND($B$13-D895,2),2)&lt;=0),F894,ROUND($B$13-D895,2))</f>
        <v/>
      </c>
      <c r="F895" s="21">
        <f>IF((ROUND(F894-ROUND($B$13-D895,2),2)&lt;=0),0,ROUND(F894-E895,2))</f>
        <v/>
      </c>
    </row>
    <row r="896">
      <c r="A896" s="6" t="n">
        <v>880</v>
      </c>
      <c r="B896" s="19">
        <f>IF(B8="monthly",DATE(YEAR(B7)+INT((MONTH(B7)-1+879)/12),MOD(MONTH(B7)-1+879,12)+1,1)+(DAY(B7)-1),IF(B8="weekly",B7+6153,IF(B8="biweekly",B7+12306,B7+ROUND((879*365.25)/24,0))))</f>
        <v/>
      </c>
      <c r="C896" s="21">
        <f>IF((ROUND(F895-ROUND($B$13-D896,2),2)&lt;=0),ROUND(D896+E896,2),$B$13)</f>
        <v/>
      </c>
      <c r="D896" s="21">
        <f>ROUND(F895*B5/100/B10,2)</f>
        <v/>
      </c>
      <c r="E896" s="21">
        <f>IF((ROUND(F895-ROUND($B$13-D896,2),2)&lt;=0),F895,ROUND($B$13-D896,2))</f>
        <v/>
      </c>
      <c r="F896" s="21">
        <f>IF((ROUND(F895-ROUND($B$13-D896,2),2)&lt;=0),0,ROUND(F895-E896,2))</f>
        <v/>
      </c>
    </row>
    <row r="897">
      <c r="A897" s="6" t="n">
        <v>881</v>
      </c>
      <c r="B897" s="19">
        <f>IF(B8="monthly",DATE(YEAR(B7)+INT((MONTH(B7)-1+880)/12),MOD(MONTH(B7)-1+880,12)+1,1)+(DAY(B7)-1),IF(B8="weekly",B7+6160,IF(B8="biweekly",B7+12320,B7+ROUND((880*365.25)/24,0))))</f>
        <v/>
      </c>
      <c r="C897" s="21">
        <f>IF((ROUND(F896-ROUND($B$13-D897,2),2)&lt;=0),ROUND(D897+E897,2),$B$13)</f>
        <v/>
      </c>
      <c r="D897" s="21">
        <f>ROUND(F896*B5/100/B10,2)</f>
        <v/>
      </c>
      <c r="E897" s="21">
        <f>IF((ROUND(F896-ROUND($B$13-D897,2),2)&lt;=0),F896,ROUND($B$13-D897,2))</f>
        <v/>
      </c>
      <c r="F897" s="21">
        <f>IF((ROUND(F896-ROUND($B$13-D897,2),2)&lt;=0),0,ROUND(F896-E897,2))</f>
        <v/>
      </c>
    </row>
    <row r="898">
      <c r="A898" s="6" t="n">
        <v>882</v>
      </c>
      <c r="B898" s="19">
        <f>IF(B8="monthly",DATE(YEAR(B7)+INT((MONTH(B7)-1+881)/12),MOD(MONTH(B7)-1+881,12)+1,1)+(DAY(B7)-1),IF(B8="weekly",B7+6167,IF(B8="biweekly",B7+12334,B7+ROUND((881*365.25)/24,0))))</f>
        <v/>
      </c>
      <c r="C898" s="21">
        <f>IF((ROUND(F897-ROUND($B$13-D898,2),2)&lt;=0),ROUND(D898+E898,2),$B$13)</f>
        <v/>
      </c>
      <c r="D898" s="21">
        <f>ROUND(F897*B5/100/B10,2)</f>
        <v/>
      </c>
      <c r="E898" s="21">
        <f>IF((ROUND(F897-ROUND($B$13-D898,2),2)&lt;=0),F897,ROUND($B$13-D898,2))</f>
        <v/>
      </c>
      <c r="F898" s="21">
        <f>IF((ROUND(F897-ROUND($B$13-D898,2),2)&lt;=0),0,ROUND(F897-E898,2))</f>
        <v/>
      </c>
    </row>
    <row r="899">
      <c r="A899" s="6" t="n">
        <v>883</v>
      </c>
      <c r="B899" s="19">
        <f>IF(B8="monthly",DATE(YEAR(B7)+INT((MONTH(B7)-1+882)/12),MOD(MONTH(B7)-1+882,12)+1,1)+(DAY(B7)-1),IF(B8="weekly",B7+6174,IF(B8="biweekly",B7+12348,B7+ROUND((882*365.25)/24,0))))</f>
        <v/>
      </c>
      <c r="C899" s="21">
        <f>IF((ROUND(F898-ROUND($B$13-D899,2),2)&lt;=0),ROUND(D899+E899,2),$B$13)</f>
        <v/>
      </c>
      <c r="D899" s="21">
        <f>ROUND(F898*B5/100/B10,2)</f>
        <v/>
      </c>
      <c r="E899" s="21">
        <f>IF((ROUND(F898-ROUND($B$13-D899,2),2)&lt;=0),F898,ROUND($B$13-D899,2))</f>
        <v/>
      </c>
      <c r="F899" s="21">
        <f>IF((ROUND(F898-ROUND($B$13-D899,2),2)&lt;=0),0,ROUND(F898-E899,2))</f>
        <v/>
      </c>
    </row>
    <row r="900">
      <c r="A900" s="6" t="n">
        <v>884</v>
      </c>
      <c r="B900" s="19">
        <f>IF(B8="monthly",DATE(YEAR(B7)+INT((MONTH(B7)-1+883)/12),MOD(MONTH(B7)-1+883,12)+1,1)+(DAY(B7)-1),IF(B8="weekly",B7+6181,IF(B8="biweekly",B7+12362,B7+ROUND((883*365.25)/24,0))))</f>
        <v/>
      </c>
      <c r="C900" s="21">
        <f>IF((ROUND(F899-ROUND($B$13-D900,2),2)&lt;=0),ROUND(D900+E900,2),$B$13)</f>
        <v/>
      </c>
      <c r="D900" s="21">
        <f>ROUND(F899*B5/100/B10,2)</f>
        <v/>
      </c>
      <c r="E900" s="21">
        <f>IF((ROUND(F899-ROUND($B$13-D900,2),2)&lt;=0),F899,ROUND($B$13-D900,2))</f>
        <v/>
      </c>
      <c r="F900" s="21">
        <f>IF((ROUND(F899-ROUND($B$13-D900,2),2)&lt;=0),0,ROUND(F899-E900,2))</f>
        <v/>
      </c>
    </row>
    <row r="901">
      <c r="A901" s="6" t="n">
        <v>885</v>
      </c>
      <c r="B901" s="19">
        <f>IF(B8="monthly",DATE(YEAR(B7)+INT((MONTH(B7)-1+884)/12),MOD(MONTH(B7)-1+884,12)+1,1)+(DAY(B7)-1),IF(B8="weekly",B7+6188,IF(B8="biweekly",B7+12376,B7+ROUND((884*365.25)/24,0))))</f>
        <v/>
      </c>
      <c r="C901" s="21">
        <f>IF((ROUND(F900-ROUND($B$13-D901,2),2)&lt;=0),ROUND(D901+E901,2),$B$13)</f>
        <v/>
      </c>
      <c r="D901" s="21">
        <f>ROUND(F900*B5/100/B10,2)</f>
        <v/>
      </c>
      <c r="E901" s="21">
        <f>IF((ROUND(F900-ROUND($B$13-D901,2),2)&lt;=0),F900,ROUND($B$13-D901,2))</f>
        <v/>
      </c>
      <c r="F901" s="21">
        <f>IF((ROUND(F900-ROUND($B$13-D901,2),2)&lt;=0),0,ROUND(F900-E901,2))</f>
        <v/>
      </c>
    </row>
    <row r="902">
      <c r="A902" s="6" t="n">
        <v>886</v>
      </c>
      <c r="B902" s="19">
        <f>IF(B8="monthly",DATE(YEAR(B7)+INT((MONTH(B7)-1+885)/12),MOD(MONTH(B7)-1+885,12)+1,1)+(DAY(B7)-1),IF(B8="weekly",B7+6195,IF(B8="biweekly",B7+12390,B7+ROUND((885*365.25)/24,0))))</f>
        <v/>
      </c>
      <c r="C902" s="21">
        <f>IF((ROUND(F901-ROUND($B$13-D902,2),2)&lt;=0),ROUND(D902+E902,2),$B$13)</f>
        <v/>
      </c>
      <c r="D902" s="21">
        <f>ROUND(F901*B5/100/B10,2)</f>
        <v/>
      </c>
      <c r="E902" s="21">
        <f>IF((ROUND(F901-ROUND($B$13-D902,2),2)&lt;=0),F901,ROUND($B$13-D902,2))</f>
        <v/>
      </c>
      <c r="F902" s="21">
        <f>IF((ROUND(F901-ROUND($B$13-D902,2),2)&lt;=0),0,ROUND(F901-E902,2))</f>
        <v/>
      </c>
    </row>
    <row r="903">
      <c r="A903" s="6" t="n">
        <v>887</v>
      </c>
      <c r="B903" s="19">
        <f>IF(B8="monthly",DATE(YEAR(B7)+INT((MONTH(B7)-1+886)/12),MOD(MONTH(B7)-1+886,12)+1,1)+(DAY(B7)-1),IF(B8="weekly",B7+6202,IF(B8="biweekly",B7+12404,B7+ROUND((886*365.25)/24,0))))</f>
        <v/>
      </c>
      <c r="C903" s="21">
        <f>IF((ROUND(F902-ROUND($B$13-D903,2),2)&lt;=0),ROUND(D903+E903,2),$B$13)</f>
        <v/>
      </c>
      <c r="D903" s="21">
        <f>ROUND(F902*B5/100/B10,2)</f>
        <v/>
      </c>
      <c r="E903" s="21">
        <f>IF((ROUND(F902-ROUND($B$13-D903,2),2)&lt;=0),F902,ROUND($B$13-D903,2))</f>
        <v/>
      </c>
      <c r="F903" s="21">
        <f>IF((ROUND(F902-ROUND($B$13-D903,2),2)&lt;=0),0,ROUND(F902-E903,2))</f>
        <v/>
      </c>
    </row>
    <row r="904">
      <c r="A904" s="6" t="n">
        <v>888</v>
      </c>
      <c r="B904" s="19">
        <f>IF(B8="monthly",DATE(YEAR(B7)+INT((MONTH(B7)-1+887)/12),MOD(MONTH(B7)-1+887,12)+1,1)+(DAY(B7)-1),IF(B8="weekly",B7+6209,IF(B8="biweekly",B7+12418,B7+ROUND((887*365.25)/24,0))))</f>
        <v/>
      </c>
      <c r="C904" s="21">
        <f>IF((ROUND(F903-ROUND($B$13-D904,2),2)&lt;=0),ROUND(D904+E904,2),$B$13)</f>
        <v/>
      </c>
      <c r="D904" s="21">
        <f>ROUND(F903*B5/100/B10,2)</f>
        <v/>
      </c>
      <c r="E904" s="21">
        <f>IF((ROUND(F903-ROUND($B$13-D904,2),2)&lt;=0),F903,ROUND($B$13-D904,2))</f>
        <v/>
      </c>
      <c r="F904" s="21">
        <f>IF((ROUND(F903-ROUND($B$13-D904,2),2)&lt;=0),0,ROUND(F903-E904,2))</f>
        <v/>
      </c>
    </row>
    <row r="905">
      <c r="A905" s="6" t="n">
        <v>889</v>
      </c>
      <c r="B905" s="19">
        <f>IF(B8="monthly",DATE(YEAR(B7)+INT((MONTH(B7)-1+888)/12),MOD(MONTH(B7)-1+888,12)+1,1)+(DAY(B7)-1),IF(B8="weekly",B7+6216,IF(B8="biweekly",B7+12432,B7+ROUND((888*365.25)/24,0))))</f>
        <v/>
      </c>
      <c r="C905" s="21">
        <f>IF((ROUND(F904-ROUND($B$13-D905,2),2)&lt;=0),ROUND(D905+E905,2),$B$13)</f>
        <v/>
      </c>
      <c r="D905" s="21">
        <f>ROUND(F904*B5/100/B10,2)</f>
        <v/>
      </c>
      <c r="E905" s="21">
        <f>IF((ROUND(F904-ROUND($B$13-D905,2),2)&lt;=0),F904,ROUND($B$13-D905,2))</f>
        <v/>
      </c>
      <c r="F905" s="21">
        <f>IF((ROUND(F904-ROUND($B$13-D905,2),2)&lt;=0),0,ROUND(F904-E905,2))</f>
        <v/>
      </c>
    </row>
    <row r="906">
      <c r="A906" s="6" t="n">
        <v>890</v>
      </c>
      <c r="B906" s="19">
        <f>IF(B8="monthly",DATE(YEAR(B7)+INT((MONTH(B7)-1+889)/12),MOD(MONTH(B7)-1+889,12)+1,1)+(DAY(B7)-1),IF(B8="weekly",B7+6223,IF(B8="biweekly",B7+12446,B7+ROUND((889*365.25)/24,0))))</f>
        <v/>
      </c>
      <c r="C906" s="21">
        <f>IF((ROUND(F905-ROUND($B$13-D906,2),2)&lt;=0),ROUND(D906+E906,2),$B$13)</f>
        <v/>
      </c>
      <c r="D906" s="21">
        <f>ROUND(F905*B5/100/B10,2)</f>
        <v/>
      </c>
      <c r="E906" s="21">
        <f>IF((ROUND(F905-ROUND($B$13-D906,2),2)&lt;=0),F905,ROUND($B$13-D906,2))</f>
        <v/>
      </c>
      <c r="F906" s="21">
        <f>IF((ROUND(F905-ROUND($B$13-D906,2),2)&lt;=0),0,ROUND(F905-E906,2))</f>
        <v/>
      </c>
    </row>
    <row r="907">
      <c r="A907" s="6" t="n">
        <v>891</v>
      </c>
      <c r="B907" s="19">
        <f>IF(B8="monthly",DATE(YEAR(B7)+INT((MONTH(B7)-1+890)/12),MOD(MONTH(B7)-1+890,12)+1,1)+(DAY(B7)-1),IF(B8="weekly",B7+6230,IF(B8="biweekly",B7+12460,B7+ROUND((890*365.25)/24,0))))</f>
        <v/>
      </c>
      <c r="C907" s="21">
        <f>IF((ROUND(F906-ROUND($B$13-D907,2),2)&lt;=0),ROUND(D907+E907,2),$B$13)</f>
        <v/>
      </c>
      <c r="D907" s="21">
        <f>ROUND(F906*B5/100/B10,2)</f>
        <v/>
      </c>
      <c r="E907" s="21">
        <f>IF((ROUND(F906-ROUND($B$13-D907,2),2)&lt;=0),F906,ROUND($B$13-D907,2))</f>
        <v/>
      </c>
      <c r="F907" s="21">
        <f>IF((ROUND(F906-ROUND($B$13-D907,2),2)&lt;=0),0,ROUND(F906-E907,2))</f>
        <v/>
      </c>
    </row>
    <row r="908">
      <c r="A908" s="6" t="n">
        <v>892</v>
      </c>
      <c r="B908" s="19">
        <f>IF(B8="monthly",DATE(YEAR(B7)+INT((MONTH(B7)-1+891)/12),MOD(MONTH(B7)-1+891,12)+1,1)+(DAY(B7)-1),IF(B8="weekly",B7+6237,IF(B8="biweekly",B7+12474,B7+ROUND((891*365.25)/24,0))))</f>
        <v/>
      </c>
      <c r="C908" s="21">
        <f>IF((ROUND(F907-ROUND($B$13-D908,2),2)&lt;=0),ROUND(D908+E908,2),$B$13)</f>
        <v/>
      </c>
      <c r="D908" s="21">
        <f>ROUND(F907*B5/100/B10,2)</f>
        <v/>
      </c>
      <c r="E908" s="21">
        <f>IF((ROUND(F907-ROUND($B$13-D908,2),2)&lt;=0),F907,ROUND($B$13-D908,2))</f>
        <v/>
      </c>
      <c r="F908" s="21">
        <f>IF((ROUND(F907-ROUND($B$13-D908,2),2)&lt;=0),0,ROUND(F907-E908,2))</f>
        <v/>
      </c>
    </row>
    <row r="909">
      <c r="A909" s="6" t="n">
        <v>893</v>
      </c>
      <c r="B909" s="19">
        <f>IF(B8="monthly",DATE(YEAR(B7)+INT((MONTH(B7)-1+892)/12),MOD(MONTH(B7)-1+892,12)+1,1)+(DAY(B7)-1),IF(B8="weekly",B7+6244,IF(B8="biweekly",B7+12488,B7+ROUND((892*365.25)/24,0))))</f>
        <v/>
      </c>
      <c r="C909" s="21">
        <f>IF((ROUND(F908-ROUND($B$13-D909,2),2)&lt;=0),ROUND(D909+E909,2),$B$13)</f>
        <v/>
      </c>
      <c r="D909" s="21">
        <f>ROUND(F908*B5/100/B10,2)</f>
        <v/>
      </c>
      <c r="E909" s="21">
        <f>IF((ROUND(F908-ROUND($B$13-D909,2),2)&lt;=0),F908,ROUND($B$13-D909,2))</f>
        <v/>
      </c>
      <c r="F909" s="21">
        <f>IF((ROUND(F908-ROUND($B$13-D909,2),2)&lt;=0),0,ROUND(F908-E909,2))</f>
        <v/>
      </c>
    </row>
    <row r="910">
      <c r="A910" s="6" t="n">
        <v>894</v>
      </c>
      <c r="B910" s="19">
        <f>IF(B8="monthly",DATE(YEAR(B7)+INT((MONTH(B7)-1+893)/12),MOD(MONTH(B7)-1+893,12)+1,1)+(DAY(B7)-1),IF(B8="weekly",B7+6251,IF(B8="biweekly",B7+12502,B7+ROUND((893*365.25)/24,0))))</f>
        <v/>
      </c>
      <c r="C910" s="21">
        <f>IF((ROUND(F909-ROUND($B$13-D910,2),2)&lt;=0),ROUND(D910+E910,2),$B$13)</f>
        <v/>
      </c>
      <c r="D910" s="21">
        <f>ROUND(F909*B5/100/B10,2)</f>
        <v/>
      </c>
      <c r="E910" s="21">
        <f>IF((ROUND(F909-ROUND($B$13-D910,2),2)&lt;=0),F909,ROUND($B$13-D910,2))</f>
        <v/>
      </c>
      <c r="F910" s="21">
        <f>IF((ROUND(F909-ROUND($B$13-D910,2),2)&lt;=0),0,ROUND(F909-E910,2))</f>
        <v/>
      </c>
    </row>
    <row r="911">
      <c r="A911" s="6" t="n">
        <v>895</v>
      </c>
      <c r="B911" s="19">
        <f>IF(B8="monthly",DATE(YEAR(B7)+INT((MONTH(B7)-1+894)/12),MOD(MONTH(B7)-1+894,12)+1,1)+(DAY(B7)-1),IF(B8="weekly",B7+6258,IF(B8="biweekly",B7+12516,B7+ROUND((894*365.25)/24,0))))</f>
        <v/>
      </c>
      <c r="C911" s="21">
        <f>IF((ROUND(F910-ROUND($B$13-D911,2),2)&lt;=0),ROUND(D911+E911,2),$B$13)</f>
        <v/>
      </c>
      <c r="D911" s="21">
        <f>ROUND(F910*B5/100/B10,2)</f>
        <v/>
      </c>
      <c r="E911" s="21">
        <f>IF((ROUND(F910-ROUND($B$13-D911,2),2)&lt;=0),F910,ROUND($B$13-D911,2))</f>
        <v/>
      </c>
      <c r="F911" s="21">
        <f>IF((ROUND(F910-ROUND($B$13-D911,2),2)&lt;=0),0,ROUND(F910-E911,2))</f>
        <v/>
      </c>
    </row>
    <row r="912">
      <c r="A912" s="6" t="n">
        <v>896</v>
      </c>
      <c r="B912" s="19">
        <f>IF(B8="monthly",DATE(YEAR(B7)+INT((MONTH(B7)-1+895)/12),MOD(MONTH(B7)-1+895,12)+1,1)+(DAY(B7)-1),IF(B8="weekly",B7+6265,IF(B8="biweekly",B7+12530,B7+ROUND((895*365.25)/24,0))))</f>
        <v/>
      </c>
      <c r="C912" s="21">
        <f>IF((ROUND(F911-ROUND($B$13-D912,2),2)&lt;=0),ROUND(D912+E912,2),$B$13)</f>
        <v/>
      </c>
      <c r="D912" s="21">
        <f>ROUND(F911*B5/100/B10,2)</f>
        <v/>
      </c>
      <c r="E912" s="21">
        <f>IF((ROUND(F911-ROUND($B$13-D912,2),2)&lt;=0),F911,ROUND($B$13-D912,2))</f>
        <v/>
      </c>
      <c r="F912" s="21">
        <f>IF((ROUND(F911-ROUND($B$13-D912,2),2)&lt;=0),0,ROUND(F911-E912,2))</f>
        <v/>
      </c>
    </row>
    <row r="913">
      <c r="A913" s="6" t="n">
        <v>897</v>
      </c>
      <c r="B913" s="19">
        <f>IF(B8="monthly",DATE(YEAR(B7)+INT((MONTH(B7)-1+896)/12),MOD(MONTH(B7)-1+896,12)+1,1)+(DAY(B7)-1),IF(B8="weekly",B7+6272,IF(B8="biweekly",B7+12544,B7+ROUND((896*365.25)/24,0))))</f>
        <v/>
      </c>
      <c r="C913" s="21">
        <f>IF((ROUND(F912-ROUND($B$13-D913,2),2)&lt;=0),ROUND(D913+E913,2),$B$13)</f>
        <v/>
      </c>
      <c r="D913" s="21">
        <f>ROUND(F912*B5/100/B10,2)</f>
        <v/>
      </c>
      <c r="E913" s="21">
        <f>IF((ROUND(F912-ROUND($B$13-D913,2),2)&lt;=0),F912,ROUND($B$13-D913,2))</f>
        <v/>
      </c>
      <c r="F913" s="21">
        <f>IF((ROUND(F912-ROUND($B$13-D913,2),2)&lt;=0),0,ROUND(F912-E913,2))</f>
        <v/>
      </c>
    </row>
    <row r="914">
      <c r="A914" s="6" t="n">
        <v>898</v>
      </c>
      <c r="B914" s="19">
        <f>IF(B8="monthly",DATE(YEAR(B7)+INT((MONTH(B7)-1+897)/12),MOD(MONTH(B7)-1+897,12)+1,1)+(DAY(B7)-1),IF(B8="weekly",B7+6279,IF(B8="biweekly",B7+12558,B7+ROUND((897*365.25)/24,0))))</f>
        <v/>
      </c>
      <c r="C914" s="21">
        <f>IF((ROUND(F913-ROUND($B$13-D914,2),2)&lt;=0),ROUND(D914+E914,2),$B$13)</f>
        <v/>
      </c>
      <c r="D914" s="21">
        <f>ROUND(F913*B5/100/B10,2)</f>
        <v/>
      </c>
      <c r="E914" s="21">
        <f>IF((ROUND(F913-ROUND($B$13-D914,2),2)&lt;=0),F913,ROUND($B$13-D914,2))</f>
        <v/>
      </c>
      <c r="F914" s="21">
        <f>IF((ROUND(F913-ROUND($B$13-D914,2),2)&lt;=0),0,ROUND(F913-E914,2))</f>
        <v/>
      </c>
    </row>
    <row r="915">
      <c r="A915" s="6" t="n">
        <v>899</v>
      </c>
      <c r="B915" s="19">
        <f>IF(B8="monthly",DATE(YEAR(B7)+INT((MONTH(B7)-1+898)/12),MOD(MONTH(B7)-1+898,12)+1,1)+(DAY(B7)-1),IF(B8="weekly",B7+6286,IF(B8="biweekly",B7+12572,B7+ROUND((898*365.25)/24,0))))</f>
        <v/>
      </c>
      <c r="C915" s="21">
        <f>IF((ROUND(F914-ROUND($B$13-D915,2),2)&lt;=0),ROUND(D915+E915,2),$B$13)</f>
        <v/>
      </c>
      <c r="D915" s="21">
        <f>ROUND(F914*B5/100/B10,2)</f>
        <v/>
      </c>
      <c r="E915" s="21">
        <f>IF((ROUND(F914-ROUND($B$13-D915,2),2)&lt;=0),F914,ROUND($B$13-D915,2))</f>
        <v/>
      </c>
      <c r="F915" s="21">
        <f>IF((ROUND(F914-ROUND($B$13-D915,2),2)&lt;=0),0,ROUND(F914-E915,2))</f>
        <v/>
      </c>
    </row>
    <row r="916">
      <c r="A916" s="6" t="n">
        <v>900</v>
      </c>
      <c r="B916" s="19">
        <f>IF(B8="monthly",DATE(YEAR(B7)+INT((MONTH(B7)-1+899)/12),MOD(MONTH(B7)-1+899,12)+1,1)+(DAY(B7)-1),IF(B8="weekly",B7+6293,IF(B8="biweekly",B7+12586,B7+ROUND((899*365.25)/24,0))))</f>
        <v/>
      </c>
      <c r="C916" s="21">
        <f>IF((ROUND(F915-ROUND($B$13-D916,2),2)&lt;=0),ROUND(D916+E916,2),$B$13)</f>
        <v/>
      </c>
      <c r="D916" s="21">
        <f>ROUND(F915*B5/100/B10,2)</f>
        <v/>
      </c>
      <c r="E916" s="21">
        <f>IF((ROUND(F915-ROUND($B$13-D916,2),2)&lt;=0),F915,ROUND($B$13-D916,2))</f>
        <v/>
      </c>
      <c r="F916" s="21">
        <f>IF((ROUND(F915-ROUND($B$13-D916,2),2)&lt;=0),0,ROUND(F915-E916,2))</f>
        <v/>
      </c>
    </row>
    <row r="917">
      <c r="A917" s="6" t="n">
        <v>901</v>
      </c>
      <c r="B917" s="19">
        <f>IF(B8="monthly",DATE(YEAR(B7)+INT((MONTH(B7)-1+900)/12),MOD(MONTH(B7)-1+900,12)+1,1)+(DAY(B7)-1),IF(B8="weekly",B7+6300,IF(B8="biweekly",B7+12600,B7+ROUND((900*365.25)/24,0))))</f>
        <v/>
      </c>
      <c r="C917" s="21">
        <f>IF((ROUND(F916-ROUND($B$13-D917,2),2)&lt;=0),ROUND(D917+E917,2),$B$13)</f>
        <v/>
      </c>
      <c r="D917" s="21">
        <f>ROUND(F916*B5/100/B10,2)</f>
        <v/>
      </c>
      <c r="E917" s="21">
        <f>IF((ROUND(F916-ROUND($B$13-D917,2),2)&lt;=0),F916,ROUND($B$13-D917,2))</f>
        <v/>
      </c>
      <c r="F917" s="21">
        <f>IF((ROUND(F916-ROUND($B$13-D917,2),2)&lt;=0),0,ROUND(F916-E917,2))</f>
        <v/>
      </c>
    </row>
    <row r="918">
      <c r="A918" s="6" t="n">
        <v>902</v>
      </c>
      <c r="B918" s="19">
        <f>IF(B8="monthly",DATE(YEAR(B7)+INT((MONTH(B7)-1+901)/12),MOD(MONTH(B7)-1+901,12)+1,1)+(DAY(B7)-1),IF(B8="weekly",B7+6307,IF(B8="biweekly",B7+12614,B7+ROUND((901*365.25)/24,0))))</f>
        <v/>
      </c>
      <c r="C918" s="21">
        <f>IF((ROUND(F917-ROUND($B$13-D918,2),2)&lt;=0),ROUND(D918+E918,2),$B$13)</f>
        <v/>
      </c>
      <c r="D918" s="21">
        <f>ROUND(F917*B5/100/B10,2)</f>
        <v/>
      </c>
      <c r="E918" s="21">
        <f>IF((ROUND(F917-ROUND($B$13-D918,2),2)&lt;=0),F917,ROUND($B$13-D918,2))</f>
        <v/>
      </c>
      <c r="F918" s="21">
        <f>IF((ROUND(F917-ROUND($B$13-D918,2),2)&lt;=0),0,ROUND(F917-E918,2))</f>
        <v/>
      </c>
    </row>
    <row r="919">
      <c r="A919" s="6" t="n">
        <v>903</v>
      </c>
      <c r="B919" s="19">
        <f>IF(B8="monthly",DATE(YEAR(B7)+INT((MONTH(B7)-1+902)/12),MOD(MONTH(B7)-1+902,12)+1,1)+(DAY(B7)-1),IF(B8="weekly",B7+6314,IF(B8="biweekly",B7+12628,B7+ROUND((902*365.25)/24,0))))</f>
        <v/>
      </c>
      <c r="C919" s="21">
        <f>IF((ROUND(F918-ROUND($B$13-D919,2),2)&lt;=0),ROUND(D919+E919,2),$B$13)</f>
        <v/>
      </c>
      <c r="D919" s="21">
        <f>ROUND(F918*B5/100/B10,2)</f>
        <v/>
      </c>
      <c r="E919" s="21">
        <f>IF((ROUND(F918-ROUND($B$13-D919,2),2)&lt;=0),F918,ROUND($B$13-D919,2))</f>
        <v/>
      </c>
      <c r="F919" s="21">
        <f>IF((ROUND(F918-ROUND($B$13-D919,2),2)&lt;=0),0,ROUND(F918-E919,2))</f>
        <v/>
      </c>
    </row>
    <row r="920">
      <c r="A920" s="6" t="n">
        <v>904</v>
      </c>
      <c r="B920" s="19">
        <f>IF(B8="monthly",DATE(YEAR(B7)+INT((MONTH(B7)-1+903)/12),MOD(MONTH(B7)-1+903,12)+1,1)+(DAY(B7)-1),IF(B8="weekly",B7+6321,IF(B8="biweekly",B7+12642,B7+ROUND((903*365.25)/24,0))))</f>
        <v/>
      </c>
      <c r="C920" s="21">
        <f>IF((ROUND(F919-ROUND($B$13-D920,2),2)&lt;=0),ROUND(D920+E920,2),$B$13)</f>
        <v/>
      </c>
      <c r="D920" s="21">
        <f>ROUND(F919*B5/100/B10,2)</f>
        <v/>
      </c>
      <c r="E920" s="21">
        <f>IF((ROUND(F919-ROUND($B$13-D920,2),2)&lt;=0),F919,ROUND($B$13-D920,2))</f>
        <v/>
      </c>
      <c r="F920" s="21">
        <f>IF((ROUND(F919-ROUND($B$13-D920,2),2)&lt;=0),0,ROUND(F919-E920,2))</f>
        <v/>
      </c>
    </row>
    <row r="921">
      <c r="A921" s="6" t="n">
        <v>905</v>
      </c>
      <c r="B921" s="19">
        <f>IF(B8="monthly",DATE(YEAR(B7)+INT((MONTH(B7)-1+904)/12),MOD(MONTH(B7)-1+904,12)+1,1)+(DAY(B7)-1),IF(B8="weekly",B7+6328,IF(B8="biweekly",B7+12656,B7+ROUND((904*365.25)/24,0))))</f>
        <v/>
      </c>
      <c r="C921" s="21">
        <f>IF((ROUND(F920-ROUND($B$13-D921,2),2)&lt;=0),ROUND(D921+E921,2),$B$13)</f>
        <v/>
      </c>
      <c r="D921" s="21">
        <f>ROUND(F920*B5/100/B10,2)</f>
        <v/>
      </c>
      <c r="E921" s="21">
        <f>IF((ROUND(F920-ROUND($B$13-D921,2),2)&lt;=0),F920,ROUND($B$13-D921,2))</f>
        <v/>
      </c>
      <c r="F921" s="21">
        <f>IF((ROUND(F920-ROUND($B$13-D921,2),2)&lt;=0),0,ROUND(F920-E921,2))</f>
        <v/>
      </c>
    </row>
    <row r="922">
      <c r="A922" s="6" t="n">
        <v>906</v>
      </c>
      <c r="B922" s="19">
        <f>IF(B8="monthly",DATE(YEAR(B7)+INT((MONTH(B7)-1+905)/12),MOD(MONTH(B7)-1+905,12)+1,1)+(DAY(B7)-1),IF(B8="weekly",B7+6335,IF(B8="biweekly",B7+12670,B7+ROUND((905*365.25)/24,0))))</f>
        <v/>
      </c>
      <c r="C922" s="21">
        <f>IF((ROUND(F921-ROUND($B$13-D922,2),2)&lt;=0),ROUND(D922+E922,2),$B$13)</f>
        <v/>
      </c>
      <c r="D922" s="21">
        <f>ROUND(F921*B5/100/B10,2)</f>
        <v/>
      </c>
      <c r="E922" s="21">
        <f>IF((ROUND(F921-ROUND($B$13-D922,2),2)&lt;=0),F921,ROUND($B$13-D922,2))</f>
        <v/>
      </c>
      <c r="F922" s="21">
        <f>IF((ROUND(F921-ROUND($B$13-D922,2),2)&lt;=0),0,ROUND(F921-E922,2))</f>
        <v/>
      </c>
    </row>
    <row r="923">
      <c r="A923" s="6" t="n">
        <v>907</v>
      </c>
      <c r="B923" s="19">
        <f>IF(B8="monthly",DATE(YEAR(B7)+INT((MONTH(B7)-1+906)/12),MOD(MONTH(B7)-1+906,12)+1,1)+(DAY(B7)-1),IF(B8="weekly",B7+6342,IF(B8="biweekly",B7+12684,B7+ROUND((906*365.25)/24,0))))</f>
        <v/>
      </c>
      <c r="C923" s="21">
        <f>IF((ROUND(F922-ROUND($B$13-D923,2),2)&lt;=0),ROUND(D923+E923,2),$B$13)</f>
        <v/>
      </c>
      <c r="D923" s="21">
        <f>ROUND(F922*B5/100/B10,2)</f>
        <v/>
      </c>
      <c r="E923" s="21">
        <f>IF((ROUND(F922-ROUND($B$13-D923,2),2)&lt;=0),F922,ROUND($B$13-D923,2))</f>
        <v/>
      </c>
      <c r="F923" s="21">
        <f>IF((ROUND(F922-ROUND($B$13-D923,2),2)&lt;=0),0,ROUND(F922-E923,2))</f>
        <v/>
      </c>
    </row>
    <row r="924">
      <c r="A924" s="6" t="n">
        <v>908</v>
      </c>
      <c r="B924" s="19">
        <f>IF(B8="monthly",DATE(YEAR(B7)+INT((MONTH(B7)-1+907)/12),MOD(MONTH(B7)-1+907,12)+1,1)+(DAY(B7)-1),IF(B8="weekly",B7+6349,IF(B8="biweekly",B7+12698,B7+ROUND((907*365.25)/24,0))))</f>
        <v/>
      </c>
      <c r="C924" s="21">
        <f>IF((ROUND(F923-ROUND($B$13-D924,2),2)&lt;=0),ROUND(D924+E924,2),$B$13)</f>
        <v/>
      </c>
      <c r="D924" s="21">
        <f>ROUND(F923*B5/100/B10,2)</f>
        <v/>
      </c>
      <c r="E924" s="21">
        <f>IF((ROUND(F923-ROUND($B$13-D924,2),2)&lt;=0),F923,ROUND($B$13-D924,2))</f>
        <v/>
      </c>
      <c r="F924" s="21">
        <f>IF((ROUND(F923-ROUND($B$13-D924,2),2)&lt;=0),0,ROUND(F923-E924,2))</f>
        <v/>
      </c>
    </row>
    <row r="925">
      <c r="A925" s="6" t="n">
        <v>909</v>
      </c>
      <c r="B925" s="19">
        <f>IF(B8="monthly",DATE(YEAR(B7)+INT((MONTH(B7)-1+908)/12),MOD(MONTH(B7)-1+908,12)+1,1)+(DAY(B7)-1),IF(B8="weekly",B7+6356,IF(B8="biweekly",B7+12712,B7+ROUND((908*365.25)/24,0))))</f>
        <v/>
      </c>
      <c r="C925" s="21">
        <f>IF((ROUND(F924-ROUND($B$13-D925,2),2)&lt;=0),ROUND(D925+E925,2),$B$13)</f>
        <v/>
      </c>
      <c r="D925" s="21">
        <f>ROUND(F924*B5/100/B10,2)</f>
        <v/>
      </c>
      <c r="E925" s="21">
        <f>IF((ROUND(F924-ROUND($B$13-D925,2),2)&lt;=0),F924,ROUND($B$13-D925,2))</f>
        <v/>
      </c>
      <c r="F925" s="21">
        <f>IF((ROUND(F924-ROUND($B$13-D925,2),2)&lt;=0),0,ROUND(F924-E925,2))</f>
        <v/>
      </c>
    </row>
    <row r="926">
      <c r="A926" s="6" t="n">
        <v>910</v>
      </c>
      <c r="B926" s="19">
        <f>IF(B8="monthly",DATE(YEAR(B7)+INT((MONTH(B7)-1+909)/12),MOD(MONTH(B7)-1+909,12)+1,1)+(DAY(B7)-1),IF(B8="weekly",B7+6363,IF(B8="biweekly",B7+12726,B7+ROUND((909*365.25)/24,0))))</f>
        <v/>
      </c>
      <c r="C926" s="21">
        <f>IF((ROUND(F925-ROUND($B$13-D926,2),2)&lt;=0),ROUND(D926+E926,2),$B$13)</f>
        <v/>
      </c>
      <c r="D926" s="21">
        <f>ROUND(F925*B5/100/B10,2)</f>
        <v/>
      </c>
      <c r="E926" s="21">
        <f>IF((ROUND(F925-ROUND($B$13-D926,2),2)&lt;=0),F925,ROUND($B$13-D926,2))</f>
        <v/>
      </c>
      <c r="F926" s="21">
        <f>IF((ROUND(F925-ROUND($B$13-D926,2),2)&lt;=0),0,ROUND(F925-E926,2))</f>
        <v/>
      </c>
    </row>
    <row r="927">
      <c r="A927" s="6" t="n">
        <v>911</v>
      </c>
      <c r="B927" s="19">
        <f>IF(B8="monthly",DATE(YEAR(B7)+INT((MONTH(B7)-1+910)/12),MOD(MONTH(B7)-1+910,12)+1,1)+(DAY(B7)-1),IF(B8="weekly",B7+6370,IF(B8="biweekly",B7+12740,B7+ROUND((910*365.25)/24,0))))</f>
        <v/>
      </c>
      <c r="C927" s="21">
        <f>IF((ROUND(F926-ROUND($B$13-D927,2),2)&lt;=0),ROUND(D927+E927,2),$B$13)</f>
        <v/>
      </c>
      <c r="D927" s="21">
        <f>ROUND(F926*B5/100/B10,2)</f>
        <v/>
      </c>
      <c r="E927" s="21">
        <f>IF((ROUND(F926-ROUND($B$13-D927,2),2)&lt;=0),F926,ROUND($B$13-D927,2))</f>
        <v/>
      </c>
      <c r="F927" s="21">
        <f>IF((ROUND(F926-ROUND($B$13-D927,2),2)&lt;=0),0,ROUND(F926-E927,2))</f>
        <v/>
      </c>
    </row>
    <row r="928">
      <c r="A928" s="6" t="n">
        <v>912</v>
      </c>
      <c r="B928" s="19">
        <f>IF(B8="monthly",DATE(YEAR(B7)+INT((MONTH(B7)-1+911)/12),MOD(MONTH(B7)-1+911,12)+1,1)+(DAY(B7)-1),IF(B8="weekly",B7+6377,IF(B8="biweekly",B7+12754,B7+ROUND((911*365.25)/24,0))))</f>
        <v/>
      </c>
      <c r="C928" s="21">
        <f>IF((ROUND(F927-ROUND($B$13-D928,2),2)&lt;=0),ROUND(D928+E928,2),$B$13)</f>
        <v/>
      </c>
      <c r="D928" s="21">
        <f>ROUND(F927*B5/100/B10,2)</f>
        <v/>
      </c>
      <c r="E928" s="21">
        <f>IF((ROUND(F927-ROUND($B$13-D928,2),2)&lt;=0),F927,ROUND($B$13-D928,2))</f>
        <v/>
      </c>
      <c r="F928" s="21">
        <f>IF((ROUND(F927-ROUND($B$13-D928,2),2)&lt;=0),0,ROUND(F927-E928,2))</f>
        <v/>
      </c>
    </row>
    <row r="929">
      <c r="A929" s="6" t="n">
        <v>913</v>
      </c>
      <c r="B929" s="19">
        <f>IF(B8="monthly",DATE(YEAR(B7)+INT((MONTH(B7)-1+912)/12),MOD(MONTH(B7)-1+912,12)+1,1)+(DAY(B7)-1),IF(B8="weekly",B7+6384,IF(B8="biweekly",B7+12768,B7+ROUND((912*365.25)/24,0))))</f>
        <v/>
      </c>
      <c r="C929" s="21">
        <f>IF((ROUND(F928-ROUND($B$13-D929,2),2)&lt;=0),ROUND(D929+E929,2),$B$13)</f>
        <v/>
      </c>
      <c r="D929" s="21">
        <f>ROUND(F928*B5/100/B10,2)</f>
        <v/>
      </c>
      <c r="E929" s="21">
        <f>IF((ROUND(F928-ROUND($B$13-D929,2),2)&lt;=0),F928,ROUND($B$13-D929,2))</f>
        <v/>
      </c>
      <c r="F929" s="21">
        <f>IF((ROUND(F928-ROUND($B$13-D929,2),2)&lt;=0),0,ROUND(F928-E929,2))</f>
        <v/>
      </c>
    </row>
    <row r="930">
      <c r="A930" s="6" t="n">
        <v>914</v>
      </c>
      <c r="B930" s="19">
        <f>IF(B8="monthly",DATE(YEAR(B7)+INT((MONTH(B7)-1+913)/12),MOD(MONTH(B7)-1+913,12)+1,1)+(DAY(B7)-1),IF(B8="weekly",B7+6391,IF(B8="biweekly",B7+12782,B7+ROUND((913*365.25)/24,0))))</f>
        <v/>
      </c>
      <c r="C930" s="21">
        <f>IF((ROUND(F929-ROUND($B$13-D930,2),2)&lt;=0),ROUND(D930+E930,2),$B$13)</f>
        <v/>
      </c>
      <c r="D930" s="21">
        <f>ROUND(F929*B5/100/B10,2)</f>
        <v/>
      </c>
      <c r="E930" s="21">
        <f>IF((ROUND(F929-ROUND($B$13-D930,2),2)&lt;=0),F929,ROUND($B$13-D930,2))</f>
        <v/>
      </c>
      <c r="F930" s="21">
        <f>IF((ROUND(F929-ROUND($B$13-D930,2),2)&lt;=0),0,ROUND(F929-E930,2))</f>
        <v/>
      </c>
    </row>
    <row r="931">
      <c r="A931" s="6" t="n">
        <v>915</v>
      </c>
      <c r="B931" s="19">
        <f>IF(B8="monthly",DATE(YEAR(B7)+INT((MONTH(B7)-1+914)/12),MOD(MONTH(B7)-1+914,12)+1,1)+(DAY(B7)-1),IF(B8="weekly",B7+6398,IF(B8="biweekly",B7+12796,B7+ROUND((914*365.25)/24,0))))</f>
        <v/>
      </c>
      <c r="C931" s="21">
        <f>IF((ROUND(F930-ROUND($B$13-D931,2),2)&lt;=0),ROUND(D931+E931,2),$B$13)</f>
        <v/>
      </c>
      <c r="D931" s="21">
        <f>ROUND(F930*B5/100/B10,2)</f>
        <v/>
      </c>
      <c r="E931" s="21">
        <f>IF((ROUND(F930-ROUND($B$13-D931,2),2)&lt;=0),F930,ROUND($B$13-D931,2))</f>
        <v/>
      </c>
      <c r="F931" s="21">
        <f>IF((ROUND(F930-ROUND($B$13-D931,2),2)&lt;=0),0,ROUND(F930-E931,2))</f>
        <v/>
      </c>
    </row>
    <row r="932">
      <c r="A932" s="6" t="n">
        <v>916</v>
      </c>
      <c r="B932" s="19">
        <f>IF(B8="monthly",DATE(YEAR(B7)+INT((MONTH(B7)-1+915)/12),MOD(MONTH(B7)-1+915,12)+1,1)+(DAY(B7)-1),IF(B8="weekly",B7+6405,IF(B8="biweekly",B7+12810,B7+ROUND((915*365.25)/24,0))))</f>
        <v/>
      </c>
      <c r="C932" s="21">
        <f>IF((ROUND(F931-ROUND($B$13-D932,2),2)&lt;=0),ROUND(D932+E932,2),$B$13)</f>
        <v/>
      </c>
      <c r="D932" s="21">
        <f>ROUND(F931*B5/100/B10,2)</f>
        <v/>
      </c>
      <c r="E932" s="21">
        <f>IF((ROUND(F931-ROUND($B$13-D932,2),2)&lt;=0),F931,ROUND($B$13-D932,2))</f>
        <v/>
      </c>
      <c r="F932" s="21">
        <f>IF((ROUND(F931-ROUND($B$13-D932,2),2)&lt;=0),0,ROUND(F931-E932,2))</f>
        <v/>
      </c>
    </row>
    <row r="933">
      <c r="A933" s="6" t="n">
        <v>917</v>
      </c>
      <c r="B933" s="19">
        <f>IF(B8="monthly",DATE(YEAR(B7)+INT((MONTH(B7)-1+916)/12),MOD(MONTH(B7)-1+916,12)+1,1)+(DAY(B7)-1),IF(B8="weekly",B7+6412,IF(B8="biweekly",B7+12824,B7+ROUND((916*365.25)/24,0))))</f>
        <v/>
      </c>
      <c r="C933" s="21">
        <f>IF((ROUND(F932-ROUND($B$13-D933,2),2)&lt;=0),ROUND(D933+E933,2),$B$13)</f>
        <v/>
      </c>
      <c r="D933" s="21">
        <f>ROUND(F932*B5/100/B10,2)</f>
        <v/>
      </c>
      <c r="E933" s="21">
        <f>IF((ROUND(F932-ROUND($B$13-D933,2),2)&lt;=0),F932,ROUND($B$13-D933,2))</f>
        <v/>
      </c>
      <c r="F933" s="21">
        <f>IF((ROUND(F932-ROUND($B$13-D933,2),2)&lt;=0),0,ROUND(F932-E933,2))</f>
        <v/>
      </c>
    </row>
    <row r="934">
      <c r="A934" s="6" t="n">
        <v>918</v>
      </c>
      <c r="B934" s="19">
        <f>IF(B8="monthly",DATE(YEAR(B7)+INT((MONTH(B7)-1+917)/12),MOD(MONTH(B7)-1+917,12)+1,1)+(DAY(B7)-1),IF(B8="weekly",B7+6419,IF(B8="biweekly",B7+12838,B7+ROUND((917*365.25)/24,0))))</f>
        <v/>
      </c>
      <c r="C934" s="21">
        <f>IF((ROUND(F933-ROUND($B$13-D934,2),2)&lt;=0),ROUND(D934+E934,2),$B$13)</f>
        <v/>
      </c>
      <c r="D934" s="21">
        <f>ROUND(F933*B5/100/B10,2)</f>
        <v/>
      </c>
      <c r="E934" s="21">
        <f>IF((ROUND(F933-ROUND($B$13-D934,2),2)&lt;=0),F933,ROUND($B$13-D934,2))</f>
        <v/>
      </c>
      <c r="F934" s="21">
        <f>IF((ROUND(F933-ROUND($B$13-D934,2),2)&lt;=0),0,ROUND(F933-E934,2))</f>
        <v/>
      </c>
    </row>
    <row r="935">
      <c r="A935" s="6" t="n">
        <v>919</v>
      </c>
      <c r="B935" s="19">
        <f>IF(B8="monthly",DATE(YEAR(B7)+INT((MONTH(B7)-1+918)/12),MOD(MONTH(B7)-1+918,12)+1,1)+(DAY(B7)-1),IF(B8="weekly",B7+6426,IF(B8="biweekly",B7+12852,B7+ROUND((918*365.25)/24,0))))</f>
        <v/>
      </c>
      <c r="C935" s="21">
        <f>IF((ROUND(F934-ROUND($B$13-D935,2),2)&lt;=0),ROUND(D935+E935,2),$B$13)</f>
        <v/>
      </c>
      <c r="D935" s="21">
        <f>ROUND(F934*B5/100/B10,2)</f>
        <v/>
      </c>
      <c r="E935" s="21">
        <f>IF((ROUND(F934-ROUND($B$13-D935,2),2)&lt;=0),F934,ROUND($B$13-D935,2))</f>
        <v/>
      </c>
      <c r="F935" s="21">
        <f>IF((ROUND(F934-ROUND($B$13-D935,2),2)&lt;=0),0,ROUND(F934-E935,2))</f>
        <v/>
      </c>
    </row>
    <row r="936">
      <c r="A936" s="6" t="n">
        <v>920</v>
      </c>
      <c r="B936" s="19">
        <f>IF(B8="monthly",DATE(YEAR(B7)+INT((MONTH(B7)-1+919)/12),MOD(MONTH(B7)-1+919,12)+1,1)+(DAY(B7)-1),IF(B8="weekly",B7+6433,IF(B8="biweekly",B7+12866,B7+ROUND((919*365.25)/24,0))))</f>
        <v/>
      </c>
      <c r="C936" s="21">
        <f>IF((ROUND(F935-ROUND($B$13-D936,2),2)&lt;=0),ROUND(D936+E936,2),$B$13)</f>
        <v/>
      </c>
      <c r="D936" s="21">
        <f>ROUND(F935*B5/100/B10,2)</f>
        <v/>
      </c>
      <c r="E936" s="21">
        <f>IF((ROUND(F935-ROUND($B$13-D936,2),2)&lt;=0),F935,ROUND($B$13-D936,2))</f>
        <v/>
      </c>
      <c r="F936" s="21">
        <f>IF((ROUND(F935-ROUND($B$13-D936,2),2)&lt;=0),0,ROUND(F935-E936,2))</f>
        <v/>
      </c>
    </row>
    <row r="937">
      <c r="A937" s="6" t="n">
        <v>921</v>
      </c>
      <c r="B937" s="19">
        <f>IF(B8="monthly",DATE(YEAR(B7)+INT((MONTH(B7)-1+920)/12),MOD(MONTH(B7)-1+920,12)+1,1)+(DAY(B7)-1),IF(B8="weekly",B7+6440,IF(B8="biweekly",B7+12880,B7+ROUND((920*365.25)/24,0))))</f>
        <v/>
      </c>
      <c r="C937" s="21">
        <f>IF((ROUND(F936-ROUND($B$13-D937,2),2)&lt;=0),ROUND(D937+E937,2),$B$13)</f>
        <v/>
      </c>
      <c r="D937" s="21">
        <f>ROUND(F936*B5/100/B10,2)</f>
        <v/>
      </c>
      <c r="E937" s="21">
        <f>IF((ROUND(F936-ROUND($B$13-D937,2),2)&lt;=0),F936,ROUND($B$13-D937,2))</f>
        <v/>
      </c>
      <c r="F937" s="21">
        <f>IF((ROUND(F936-ROUND($B$13-D937,2),2)&lt;=0),0,ROUND(F936-E937,2))</f>
        <v/>
      </c>
    </row>
    <row r="938">
      <c r="A938" s="6" t="n">
        <v>922</v>
      </c>
      <c r="B938" s="19">
        <f>IF(B8="monthly",DATE(YEAR(B7)+INT((MONTH(B7)-1+921)/12),MOD(MONTH(B7)-1+921,12)+1,1)+(DAY(B7)-1),IF(B8="weekly",B7+6447,IF(B8="biweekly",B7+12894,B7+ROUND((921*365.25)/24,0))))</f>
        <v/>
      </c>
      <c r="C938" s="21">
        <f>IF((ROUND(F937-ROUND($B$13-D938,2),2)&lt;=0),ROUND(D938+E938,2),$B$13)</f>
        <v/>
      </c>
      <c r="D938" s="21">
        <f>ROUND(F937*B5/100/B10,2)</f>
        <v/>
      </c>
      <c r="E938" s="21">
        <f>IF((ROUND(F937-ROUND($B$13-D938,2),2)&lt;=0),F937,ROUND($B$13-D938,2))</f>
        <v/>
      </c>
      <c r="F938" s="21">
        <f>IF((ROUND(F937-ROUND($B$13-D938,2),2)&lt;=0),0,ROUND(F937-E938,2))</f>
        <v/>
      </c>
    </row>
    <row r="939">
      <c r="A939" s="6" t="n">
        <v>923</v>
      </c>
      <c r="B939" s="19">
        <f>IF(B8="monthly",DATE(YEAR(B7)+INT((MONTH(B7)-1+922)/12),MOD(MONTH(B7)-1+922,12)+1,1)+(DAY(B7)-1),IF(B8="weekly",B7+6454,IF(B8="biweekly",B7+12908,B7+ROUND((922*365.25)/24,0))))</f>
        <v/>
      </c>
      <c r="C939" s="21">
        <f>IF((ROUND(F938-ROUND($B$13-D939,2),2)&lt;=0),ROUND(D939+E939,2),$B$13)</f>
        <v/>
      </c>
      <c r="D939" s="21">
        <f>ROUND(F938*B5/100/B10,2)</f>
        <v/>
      </c>
      <c r="E939" s="21">
        <f>IF((ROUND(F938-ROUND($B$13-D939,2),2)&lt;=0),F938,ROUND($B$13-D939,2))</f>
        <v/>
      </c>
      <c r="F939" s="21">
        <f>IF((ROUND(F938-ROUND($B$13-D939,2),2)&lt;=0),0,ROUND(F938-E939,2))</f>
        <v/>
      </c>
    </row>
    <row r="940">
      <c r="A940" s="6" t="n">
        <v>924</v>
      </c>
      <c r="B940" s="19">
        <f>IF(B8="monthly",DATE(YEAR(B7)+INT((MONTH(B7)-1+923)/12),MOD(MONTH(B7)-1+923,12)+1,1)+(DAY(B7)-1),IF(B8="weekly",B7+6461,IF(B8="biweekly",B7+12922,B7+ROUND((923*365.25)/24,0))))</f>
        <v/>
      </c>
      <c r="C940" s="21">
        <f>IF((ROUND(F939-ROUND($B$13-D940,2),2)&lt;=0),ROUND(D940+E940,2),$B$13)</f>
        <v/>
      </c>
      <c r="D940" s="21">
        <f>ROUND(F939*B5/100/B10,2)</f>
        <v/>
      </c>
      <c r="E940" s="21">
        <f>IF((ROUND(F939-ROUND($B$13-D940,2),2)&lt;=0),F939,ROUND($B$13-D940,2))</f>
        <v/>
      </c>
      <c r="F940" s="21">
        <f>IF((ROUND(F939-ROUND($B$13-D940,2),2)&lt;=0),0,ROUND(F939-E940,2))</f>
        <v/>
      </c>
    </row>
    <row r="941">
      <c r="A941" s="6" t="n">
        <v>925</v>
      </c>
      <c r="B941" s="19">
        <f>IF(B8="monthly",DATE(YEAR(B7)+INT((MONTH(B7)-1+924)/12),MOD(MONTH(B7)-1+924,12)+1,1)+(DAY(B7)-1),IF(B8="weekly",B7+6468,IF(B8="biweekly",B7+12936,B7+ROUND((924*365.25)/24,0))))</f>
        <v/>
      </c>
      <c r="C941" s="21">
        <f>IF((ROUND(F940-ROUND($B$13-D941,2),2)&lt;=0),ROUND(D941+E941,2),$B$13)</f>
        <v/>
      </c>
      <c r="D941" s="21">
        <f>ROUND(F940*B5/100/B10,2)</f>
        <v/>
      </c>
      <c r="E941" s="21">
        <f>IF((ROUND(F940-ROUND($B$13-D941,2),2)&lt;=0),F940,ROUND($B$13-D941,2))</f>
        <v/>
      </c>
      <c r="F941" s="21">
        <f>IF((ROUND(F940-ROUND($B$13-D941,2),2)&lt;=0),0,ROUND(F940-E941,2))</f>
        <v/>
      </c>
    </row>
    <row r="942">
      <c r="A942" s="6" t="n">
        <v>926</v>
      </c>
      <c r="B942" s="19">
        <f>IF(B8="monthly",DATE(YEAR(B7)+INT((MONTH(B7)-1+925)/12),MOD(MONTH(B7)-1+925,12)+1,1)+(DAY(B7)-1),IF(B8="weekly",B7+6475,IF(B8="biweekly",B7+12950,B7+ROUND((925*365.25)/24,0))))</f>
        <v/>
      </c>
      <c r="C942" s="21">
        <f>IF((ROUND(F941-ROUND($B$13-D942,2),2)&lt;=0),ROUND(D942+E942,2),$B$13)</f>
        <v/>
      </c>
      <c r="D942" s="21">
        <f>ROUND(F941*B5/100/B10,2)</f>
        <v/>
      </c>
      <c r="E942" s="21">
        <f>IF((ROUND(F941-ROUND($B$13-D942,2),2)&lt;=0),F941,ROUND($B$13-D942,2))</f>
        <v/>
      </c>
      <c r="F942" s="21">
        <f>IF((ROUND(F941-ROUND($B$13-D942,2),2)&lt;=0),0,ROUND(F941-E942,2))</f>
        <v/>
      </c>
    </row>
    <row r="943">
      <c r="A943" s="6" t="n">
        <v>927</v>
      </c>
      <c r="B943" s="19">
        <f>IF(B8="monthly",DATE(YEAR(B7)+INT((MONTH(B7)-1+926)/12),MOD(MONTH(B7)-1+926,12)+1,1)+(DAY(B7)-1),IF(B8="weekly",B7+6482,IF(B8="biweekly",B7+12964,B7+ROUND((926*365.25)/24,0))))</f>
        <v/>
      </c>
      <c r="C943" s="21">
        <f>IF((ROUND(F942-ROUND($B$13-D943,2),2)&lt;=0),ROUND(D943+E943,2),$B$13)</f>
        <v/>
      </c>
      <c r="D943" s="21">
        <f>ROUND(F942*B5/100/B10,2)</f>
        <v/>
      </c>
      <c r="E943" s="21">
        <f>IF((ROUND(F942-ROUND($B$13-D943,2),2)&lt;=0),F942,ROUND($B$13-D943,2))</f>
        <v/>
      </c>
      <c r="F943" s="21">
        <f>IF((ROUND(F942-ROUND($B$13-D943,2),2)&lt;=0),0,ROUND(F942-E943,2))</f>
        <v/>
      </c>
    </row>
    <row r="944">
      <c r="A944" s="6" t="n">
        <v>928</v>
      </c>
      <c r="B944" s="19">
        <f>IF(B8="monthly",DATE(YEAR(B7)+INT((MONTH(B7)-1+927)/12),MOD(MONTH(B7)-1+927,12)+1,1)+(DAY(B7)-1),IF(B8="weekly",B7+6489,IF(B8="biweekly",B7+12978,B7+ROUND((927*365.25)/24,0))))</f>
        <v/>
      </c>
      <c r="C944" s="21">
        <f>IF((ROUND(F943-ROUND($B$13-D944,2),2)&lt;=0),ROUND(D944+E944,2),$B$13)</f>
        <v/>
      </c>
      <c r="D944" s="21">
        <f>ROUND(F943*B5/100/B10,2)</f>
        <v/>
      </c>
      <c r="E944" s="21">
        <f>IF((ROUND(F943-ROUND($B$13-D944,2),2)&lt;=0),F943,ROUND($B$13-D944,2))</f>
        <v/>
      </c>
      <c r="F944" s="21">
        <f>IF((ROUND(F943-ROUND($B$13-D944,2),2)&lt;=0),0,ROUND(F943-E944,2))</f>
        <v/>
      </c>
    </row>
    <row r="945">
      <c r="A945" s="6" t="n">
        <v>929</v>
      </c>
      <c r="B945" s="19">
        <f>IF(B8="monthly",DATE(YEAR(B7)+INT((MONTH(B7)-1+928)/12),MOD(MONTH(B7)-1+928,12)+1,1)+(DAY(B7)-1),IF(B8="weekly",B7+6496,IF(B8="biweekly",B7+12992,B7+ROUND((928*365.25)/24,0))))</f>
        <v/>
      </c>
      <c r="C945" s="21">
        <f>IF((ROUND(F944-ROUND($B$13-D945,2),2)&lt;=0),ROUND(D945+E945,2),$B$13)</f>
        <v/>
      </c>
      <c r="D945" s="21">
        <f>ROUND(F944*B5/100/B10,2)</f>
        <v/>
      </c>
      <c r="E945" s="21">
        <f>IF((ROUND(F944-ROUND($B$13-D945,2),2)&lt;=0),F944,ROUND($B$13-D945,2))</f>
        <v/>
      </c>
      <c r="F945" s="21">
        <f>IF((ROUND(F944-ROUND($B$13-D945,2),2)&lt;=0),0,ROUND(F944-E945,2))</f>
        <v/>
      </c>
    </row>
    <row r="946">
      <c r="A946" s="6" t="n">
        <v>930</v>
      </c>
      <c r="B946" s="19">
        <f>IF(B8="monthly",DATE(YEAR(B7)+INT((MONTH(B7)-1+929)/12),MOD(MONTH(B7)-1+929,12)+1,1)+(DAY(B7)-1),IF(B8="weekly",B7+6503,IF(B8="biweekly",B7+13006,B7+ROUND((929*365.25)/24,0))))</f>
        <v/>
      </c>
      <c r="C946" s="21">
        <f>IF((ROUND(F945-ROUND($B$13-D946,2),2)&lt;=0),ROUND(D946+E946,2),$B$13)</f>
        <v/>
      </c>
      <c r="D946" s="21">
        <f>ROUND(F945*B5/100/B10,2)</f>
        <v/>
      </c>
      <c r="E946" s="21">
        <f>IF((ROUND(F945-ROUND($B$13-D946,2),2)&lt;=0),F945,ROUND($B$13-D946,2))</f>
        <v/>
      </c>
      <c r="F946" s="21">
        <f>IF((ROUND(F945-ROUND($B$13-D946,2),2)&lt;=0),0,ROUND(F945-E946,2))</f>
        <v/>
      </c>
    </row>
    <row r="947">
      <c r="A947" s="6" t="n">
        <v>931</v>
      </c>
      <c r="B947" s="19">
        <f>IF(B8="monthly",DATE(YEAR(B7)+INT((MONTH(B7)-1+930)/12),MOD(MONTH(B7)-1+930,12)+1,1)+(DAY(B7)-1),IF(B8="weekly",B7+6510,IF(B8="biweekly",B7+13020,B7+ROUND((930*365.25)/24,0))))</f>
        <v/>
      </c>
      <c r="C947" s="21">
        <f>IF((ROUND(F946-ROUND($B$13-D947,2),2)&lt;=0),ROUND(D947+E947,2),$B$13)</f>
        <v/>
      </c>
      <c r="D947" s="21">
        <f>ROUND(F946*B5/100/B10,2)</f>
        <v/>
      </c>
      <c r="E947" s="21">
        <f>IF((ROUND(F946-ROUND($B$13-D947,2),2)&lt;=0),F946,ROUND($B$13-D947,2))</f>
        <v/>
      </c>
      <c r="F947" s="21">
        <f>IF((ROUND(F946-ROUND($B$13-D947,2),2)&lt;=0),0,ROUND(F946-E947,2))</f>
        <v/>
      </c>
    </row>
    <row r="948">
      <c r="A948" s="6" t="n">
        <v>932</v>
      </c>
      <c r="B948" s="19">
        <f>IF(B8="monthly",DATE(YEAR(B7)+INT((MONTH(B7)-1+931)/12),MOD(MONTH(B7)-1+931,12)+1,1)+(DAY(B7)-1),IF(B8="weekly",B7+6517,IF(B8="biweekly",B7+13034,B7+ROUND((931*365.25)/24,0))))</f>
        <v/>
      </c>
      <c r="C948" s="21">
        <f>IF((ROUND(F947-ROUND($B$13-D948,2),2)&lt;=0),ROUND(D948+E948,2),$B$13)</f>
        <v/>
      </c>
      <c r="D948" s="21">
        <f>ROUND(F947*B5/100/B10,2)</f>
        <v/>
      </c>
      <c r="E948" s="21">
        <f>IF((ROUND(F947-ROUND($B$13-D948,2),2)&lt;=0),F947,ROUND($B$13-D948,2))</f>
        <v/>
      </c>
      <c r="F948" s="21">
        <f>IF((ROUND(F947-ROUND($B$13-D948,2),2)&lt;=0),0,ROUND(F947-E948,2))</f>
        <v/>
      </c>
    </row>
    <row r="949">
      <c r="A949" s="6" t="n">
        <v>933</v>
      </c>
      <c r="B949" s="19">
        <f>IF(B8="monthly",DATE(YEAR(B7)+INT((MONTH(B7)-1+932)/12),MOD(MONTH(B7)-1+932,12)+1,1)+(DAY(B7)-1),IF(B8="weekly",B7+6524,IF(B8="biweekly",B7+13048,B7+ROUND((932*365.25)/24,0))))</f>
        <v/>
      </c>
      <c r="C949" s="21">
        <f>IF((ROUND(F948-ROUND($B$13-D949,2),2)&lt;=0),ROUND(D949+E949,2),$B$13)</f>
        <v/>
      </c>
      <c r="D949" s="21">
        <f>ROUND(F948*B5/100/B10,2)</f>
        <v/>
      </c>
      <c r="E949" s="21">
        <f>IF((ROUND(F948-ROUND($B$13-D949,2),2)&lt;=0),F948,ROUND($B$13-D949,2))</f>
        <v/>
      </c>
      <c r="F949" s="21">
        <f>IF((ROUND(F948-ROUND($B$13-D949,2),2)&lt;=0),0,ROUND(F948-E949,2))</f>
        <v/>
      </c>
    </row>
    <row r="950">
      <c r="A950" s="6" t="n">
        <v>934</v>
      </c>
      <c r="B950" s="19">
        <f>IF(B8="monthly",DATE(YEAR(B7)+INT((MONTH(B7)-1+933)/12),MOD(MONTH(B7)-1+933,12)+1,1)+(DAY(B7)-1),IF(B8="weekly",B7+6531,IF(B8="biweekly",B7+13062,B7+ROUND((933*365.25)/24,0))))</f>
        <v/>
      </c>
      <c r="C950" s="21">
        <f>IF((ROUND(F949-ROUND($B$13-D950,2),2)&lt;=0),ROUND(D950+E950,2),$B$13)</f>
        <v/>
      </c>
      <c r="D950" s="21">
        <f>ROUND(F949*B5/100/B10,2)</f>
        <v/>
      </c>
      <c r="E950" s="21">
        <f>IF((ROUND(F949-ROUND($B$13-D950,2),2)&lt;=0),F949,ROUND($B$13-D950,2))</f>
        <v/>
      </c>
      <c r="F950" s="21">
        <f>IF((ROUND(F949-ROUND($B$13-D950,2),2)&lt;=0),0,ROUND(F949-E950,2))</f>
        <v/>
      </c>
    </row>
    <row r="951">
      <c r="A951" s="6" t="n">
        <v>935</v>
      </c>
      <c r="B951" s="19">
        <f>IF(B8="monthly",DATE(YEAR(B7)+INT((MONTH(B7)-1+934)/12),MOD(MONTH(B7)-1+934,12)+1,1)+(DAY(B7)-1),IF(B8="weekly",B7+6538,IF(B8="biweekly",B7+13076,B7+ROUND((934*365.25)/24,0))))</f>
        <v/>
      </c>
      <c r="C951" s="21">
        <f>IF((ROUND(F950-ROUND($B$13-D951,2),2)&lt;=0),ROUND(D951+E951,2),$B$13)</f>
        <v/>
      </c>
      <c r="D951" s="21">
        <f>ROUND(F950*B5/100/B10,2)</f>
        <v/>
      </c>
      <c r="E951" s="21">
        <f>IF((ROUND(F950-ROUND($B$13-D951,2),2)&lt;=0),F950,ROUND($B$13-D951,2))</f>
        <v/>
      </c>
      <c r="F951" s="21">
        <f>IF((ROUND(F950-ROUND($B$13-D951,2),2)&lt;=0),0,ROUND(F950-E951,2))</f>
        <v/>
      </c>
    </row>
    <row r="952">
      <c r="A952" s="6" t="n">
        <v>936</v>
      </c>
      <c r="B952" s="19">
        <f>IF(B8="monthly",DATE(YEAR(B7)+INT((MONTH(B7)-1+935)/12),MOD(MONTH(B7)-1+935,12)+1,1)+(DAY(B7)-1),IF(B8="weekly",B7+6545,IF(B8="biweekly",B7+13090,B7+ROUND((935*365.25)/24,0))))</f>
        <v/>
      </c>
      <c r="C952" s="21">
        <f>IF((ROUND(F951-ROUND($B$13-D952,2),2)&lt;=0),ROUND(D952+E952,2),$B$13)</f>
        <v/>
      </c>
      <c r="D952" s="21">
        <f>ROUND(F951*B5/100/B10,2)</f>
        <v/>
      </c>
      <c r="E952" s="21">
        <f>IF((ROUND(F951-ROUND($B$13-D952,2),2)&lt;=0),F951,ROUND($B$13-D952,2))</f>
        <v/>
      </c>
      <c r="F952" s="21">
        <f>IF((ROUND(F951-ROUND($B$13-D952,2),2)&lt;=0),0,ROUND(F951-E952,2))</f>
        <v/>
      </c>
    </row>
    <row r="953">
      <c r="A953" s="6" t="n">
        <v>937</v>
      </c>
      <c r="B953" s="19">
        <f>IF(B8="monthly",DATE(YEAR(B7)+INT((MONTH(B7)-1+936)/12),MOD(MONTH(B7)-1+936,12)+1,1)+(DAY(B7)-1),IF(B8="weekly",B7+6552,IF(B8="biweekly",B7+13104,B7+ROUND((936*365.25)/24,0))))</f>
        <v/>
      </c>
      <c r="C953" s="21">
        <f>IF((ROUND(F952-ROUND($B$13-D953,2),2)&lt;=0),ROUND(D953+E953,2),$B$13)</f>
        <v/>
      </c>
      <c r="D953" s="21">
        <f>ROUND(F952*B5/100/B10,2)</f>
        <v/>
      </c>
      <c r="E953" s="21">
        <f>IF((ROUND(F952-ROUND($B$13-D953,2),2)&lt;=0),F952,ROUND($B$13-D953,2))</f>
        <v/>
      </c>
      <c r="F953" s="21">
        <f>IF((ROUND(F952-ROUND($B$13-D953,2),2)&lt;=0),0,ROUND(F952-E953,2))</f>
        <v/>
      </c>
    </row>
    <row r="954">
      <c r="A954" s="6" t="n">
        <v>938</v>
      </c>
      <c r="B954" s="19">
        <f>IF(B8="monthly",DATE(YEAR(B7)+INT((MONTH(B7)-1+937)/12),MOD(MONTH(B7)-1+937,12)+1,1)+(DAY(B7)-1),IF(B8="weekly",B7+6559,IF(B8="biweekly",B7+13118,B7+ROUND((937*365.25)/24,0))))</f>
        <v/>
      </c>
      <c r="C954" s="21">
        <f>IF((ROUND(F953-ROUND($B$13-D954,2),2)&lt;=0),ROUND(D954+E954,2),$B$13)</f>
        <v/>
      </c>
      <c r="D954" s="21">
        <f>ROUND(F953*B5/100/B10,2)</f>
        <v/>
      </c>
      <c r="E954" s="21">
        <f>IF((ROUND(F953-ROUND($B$13-D954,2),2)&lt;=0),F953,ROUND($B$13-D954,2))</f>
        <v/>
      </c>
      <c r="F954" s="21">
        <f>IF((ROUND(F953-ROUND($B$13-D954,2),2)&lt;=0),0,ROUND(F953-E954,2))</f>
        <v/>
      </c>
    </row>
    <row r="955">
      <c r="A955" s="6" t="n">
        <v>939</v>
      </c>
      <c r="B955" s="19">
        <f>IF(B8="monthly",DATE(YEAR(B7)+INT((MONTH(B7)-1+938)/12),MOD(MONTH(B7)-1+938,12)+1,1)+(DAY(B7)-1),IF(B8="weekly",B7+6566,IF(B8="biweekly",B7+13132,B7+ROUND((938*365.25)/24,0))))</f>
        <v/>
      </c>
      <c r="C955" s="21">
        <f>IF((ROUND(F954-ROUND($B$13-D955,2),2)&lt;=0),ROUND(D955+E955,2),$B$13)</f>
        <v/>
      </c>
      <c r="D955" s="21">
        <f>ROUND(F954*B5/100/B10,2)</f>
        <v/>
      </c>
      <c r="E955" s="21">
        <f>IF((ROUND(F954-ROUND($B$13-D955,2),2)&lt;=0),F954,ROUND($B$13-D955,2))</f>
        <v/>
      </c>
      <c r="F955" s="21">
        <f>IF((ROUND(F954-ROUND($B$13-D955,2),2)&lt;=0),0,ROUND(F954-E955,2))</f>
        <v/>
      </c>
    </row>
    <row r="956">
      <c r="A956" s="6" t="n">
        <v>940</v>
      </c>
      <c r="B956" s="19">
        <f>IF(B8="monthly",DATE(YEAR(B7)+INT((MONTH(B7)-1+939)/12),MOD(MONTH(B7)-1+939,12)+1,1)+(DAY(B7)-1),IF(B8="weekly",B7+6573,IF(B8="biweekly",B7+13146,B7+ROUND((939*365.25)/24,0))))</f>
        <v/>
      </c>
      <c r="C956" s="21">
        <f>IF((ROUND(F955-ROUND($B$13-D956,2),2)&lt;=0),ROUND(D956+E956,2),$B$13)</f>
        <v/>
      </c>
      <c r="D956" s="21">
        <f>ROUND(F955*B5/100/B10,2)</f>
        <v/>
      </c>
      <c r="E956" s="21">
        <f>IF((ROUND(F955-ROUND($B$13-D956,2),2)&lt;=0),F955,ROUND($B$13-D956,2))</f>
        <v/>
      </c>
      <c r="F956" s="21">
        <f>IF((ROUND(F955-ROUND($B$13-D956,2),2)&lt;=0),0,ROUND(F955-E956,2))</f>
        <v/>
      </c>
    </row>
    <row r="957">
      <c r="A957" s="6" t="n">
        <v>941</v>
      </c>
      <c r="B957" s="19">
        <f>IF(B8="monthly",DATE(YEAR(B7)+INT((MONTH(B7)-1+940)/12),MOD(MONTH(B7)-1+940,12)+1,1)+(DAY(B7)-1),IF(B8="weekly",B7+6580,IF(B8="biweekly",B7+13160,B7+ROUND((940*365.25)/24,0))))</f>
        <v/>
      </c>
      <c r="C957" s="21">
        <f>IF((ROUND(F956-ROUND($B$13-D957,2),2)&lt;=0),ROUND(D957+E957,2),$B$13)</f>
        <v/>
      </c>
      <c r="D957" s="21">
        <f>ROUND(F956*B5/100/B10,2)</f>
        <v/>
      </c>
      <c r="E957" s="21">
        <f>IF((ROUND(F956-ROUND($B$13-D957,2),2)&lt;=0),F956,ROUND($B$13-D957,2))</f>
        <v/>
      </c>
      <c r="F957" s="21">
        <f>IF((ROUND(F956-ROUND($B$13-D957,2),2)&lt;=0),0,ROUND(F956-E957,2))</f>
        <v/>
      </c>
    </row>
    <row r="958">
      <c r="A958" s="6" t="n">
        <v>942</v>
      </c>
      <c r="B958" s="19">
        <f>IF(B8="monthly",DATE(YEAR(B7)+INT((MONTH(B7)-1+941)/12),MOD(MONTH(B7)-1+941,12)+1,1)+(DAY(B7)-1),IF(B8="weekly",B7+6587,IF(B8="biweekly",B7+13174,B7+ROUND((941*365.25)/24,0))))</f>
        <v/>
      </c>
      <c r="C958" s="21">
        <f>IF((ROUND(F957-ROUND($B$13-D958,2),2)&lt;=0),ROUND(D958+E958,2),$B$13)</f>
        <v/>
      </c>
      <c r="D958" s="21">
        <f>ROUND(F957*B5/100/B10,2)</f>
        <v/>
      </c>
      <c r="E958" s="21">
        <f>IF((ROUND(F957-ROUND($B$13-D958,2),2)&lt;=0),F957,ROUND($B$13-D958,2))</f>
        <v/>
      </c>
      <c r="F958" s="21">
        <f>IF((ROUND(F957-ROUND($B$13-D958,2),2)&lt;=0),0,ROUND(F957-E958,2))</f>
        <v/>
      </c>
    </row>
    <row r="959">
      <c r="A959" s="6" t="n">
        <v>943</v>
      </c>
      <c r="B959" s="19">
        <f>IF(B8="monthly",DATE(YEAR(B7)+INT((MONTH(B7)-1+942)/12),MOD(MONTH(B7)-1+942,12)+1,1)+(DAY(B7)-1),IF(B8="weekly",B7+6594,IF(B8="biweekly",B7+13188,B7+ROUND((942*365.25)/24,0))))</f>
        <v/>
      </c>
      <c r="C959" s="21">
        <f>IF((ROUND(F958-ROUND($B$13-D959,2),2)&lt;=0),ROUND(D959+E959,2),$B$13)</f>
        <v/>
      </c>
      <c r="D959" s="21">
        <f>ROUND(F958*B5/100/B10,2)</f>
        <v/>
      </c>
      <c r="E959" s="21">
        <f>IF((ROUND(F958-ROUND($B$13-D959,2),2)&lt;=0),F958,ROUND($B$13-D959,2))</f>
        <v/>
      </c>
      <c r="F959" s="21">
        <f>IF((ROUND(F958-ROUND($B$13-D959,2),2)&lt;=0),0,ROUND(F958-E959,2))</f>
        <v/>
      </c>
    </row>
    <row r="960">
      <c r="A960" s="6" t="n">
        <v>944</v>
      </c>
      <c r="B960" s="19">
        <f>IF(B8="monthly",DATE(YEAR(B7)+INT((MONTH(B7)-1+943)/12),MOD(MONTH(B7)-1+943,12)+1,1)+(DAY(B7)-1),IF(B8="weekly",B7+6601,IF(B8="biweekly",B7+13202,B7+ROUND((943*365.25)/24,0))))</f>
        <v/>
      </c>
      <c r="C960" s="21">
        <f>IF((ROUND(F959-ROUND($B$13-D960,2),2)&lt;=0),ROUND(D960+E960,2),$B$13)</f>
        <v/>
      </c>
      <c r="D960" s="21">
        <f>ROUND(F959*B5/100/B10,2)</f>
        <v/>
      </c>
      <c r="E960" s="21">
        <f>IF((ROUND(F959-ROUND($B$13-D960,2),2)&lt;=0),F959,ROUND($B$13-D960,2))</f>
        <v/>
      </c>
      <c r="F960" s="21">
        <f>IF((ROUND(F959-ROUND($B$13-D960,2),2)&lt;=0),0,ROUND(F959-E960,2))</f>
        <v/>
      </c>
    </row>
    <row r="961">
      <c r="A961" s="6" t="n">
        <v>945</v>
      </c>
      <c r="B961" s="19">
        <f>IF(B8="monthly",DATE(YEAR(B7)+INT((MONTH(B7)-1+944)/12),MOD(MONTH(B7)-1+944,12)+1,1)+(DAY(B7)-1),IF(B8="weekly",B7+6608,IF(B8="biweekly",B7+13216,B7+ROUND((944*365.25)/24,0))))</f>
        <v/>
      </c>
      <c r="C961" s="21">
        <f>IF((ROUND(F960-ROUND($B$13-D961,2),2)&lt;=0),ROUND(D961+E961,2),$B$13)</f>
        <v/>
      </c>
      <c r="D961" s="21">
        <f>ROUND(F960*B5/100/B10,2)</f>
        <v/>
      </c>
      <c r="E961" s="21">
        <f>IF((ROUND(F960-ROUND($B$13-D961,2),2)&lt;=0),F960,ROUND($B$13-D961,2))</f>
        <v/>
      </c>
      <c r="F961" s="21">
        <f>IF((ROUND(F960-ROUND($B$13-D961,2),2)&lt;=0),0,ROUND(F960-E961,2))</f>
        <v/>
      </c>
    </row>
    <row r="962">
      <c r="A962" s="6" t="n">
        <v>946</v>
      </c>
      <c r="B962" s="19">
        <f>IF(B8="monthly",DATE(YEAR(B7)+INT((MONTH(B7)-1+945)/12),MOD(MONTH(B7)-1+945,12)+1,1)+(DAY(B7)-1),IF(B8="weekly",B7+6615,IF(B8="biweekly",B7+13230,B7+ROUND((945*365.25)/24,0))))</f>
        <v/>
      </c>
      <c r="C962" s="21">
        <f>IF((ROUND(F961-ROUND($B$13-D962,2),2)&lt;=0),ROUND(D962+E962,2),$B$13)</f>
        <v/>
      </c>
      <c r="D962" s="21">
        <f>ROUND(F961*B5/100/B10,2)</f>
        <v/>
      </c>
      <c r="E962" s="21">
        <f>IF((ROUND(F961-ROUND($B$13-D962,2),2)&lt;=0),F961,ROUND($B$13-D962,2))</f>
        <v/>
      </c>
      <c r="F962" s="21">
        <f>IF((ROUND(F961-ROUND($B$13-D962,2),2)&lt;=0),0,ROUND(F961-E962,2))</f>
        <v/>
      </c>
    </row>
    <row r="963">
      <c r="A963" s="6" t="n">
        <v>947</v>
      </c>
      <c r="B963" s="19">
        <f>IF(B8="monthly",DATE(YEAR(B7)+INT((MONTH(B7)-1+946)/12),MOD(MONTH(B7)-1+946,12)+1,1)+(DAY(B7)-1),IF(B8="weekly",B7+6622,IF(B8="biweekly",B7+13244,B7+ROUND((946*365.25)/24,0))))</f>
        <v/>
      </c>
      <c r="C963" s="21">
        <f>IF((ROUND(F962-ROUND($B$13-D963,2),2)&lt;=0),ROUND(D963+E963,2),$B$13)</f>
        <v/>
      </c>
      <c r="D963" s="21">
        <f>ROUND(F962*B5/100/B10,2)</f>
        <v/>
      </c>
      <c r="E963" s="21">
        <f>IF((ROUND(F962-ROUND($B$13-D963,2),2)&lt;=0),F962,ROUND($B$13-D963,2))</f>
        <v/>
      </c>
      <c r="F963" s="21">
        <f>IF((ROUND(F962-ROUND($B$13-D963,2),2)&lt;=0),0,ROUND(F962-E963,2))</f>
        <v/>
      </c>
    </row>
    <row r="964">
      <c r="A964" s="6" t="n">
        <v>948</v>
      </c>
      <c r="B964" s="19">
        <f>IF(B8="monthly",DATE(YEAR(B7)+INT((MONTH(B7)-1+947)/12),MOD(MONTH(B7)-1+947,12)+1,1)+(DAY(B7)-1),IF(B8="weekly",B7+6629,IF(B8="biweekly",B7+13258,B7+ROUND((947*365.25)/24,0))))</f>
        <v/>
      </c>
      <c r="C964" s="21">
        <f>IF((ROUND(F963-ROUND($B$13-D964,2),2)&lt;=0),ROUND(D964+E964,2),$B$13)</f>
        <v/>
      </c>
      <c r="D964" s="21">
        <f>ROUND(F963*B5/100/B10,2)</f>
        <v/>
      </c>
      <c r="E964" s="21">
        <f>IF((ROUND(F963-ROUND($B$13-D964,2),2)&lt;=0),F963,ROUND($B$13-D964,2))</f>
        <v/>
      </c>
      <c r="F964" s="21">
        <f>IF((ROUND(F963-ROUND($B$13-D964,2),2)&lt;=0),0,ROUND(F963-E964,2))</f>
        <v/>
      </c>
    </row>
    <row r="965">
      <c r="A965" s="6" t="n">
        <v>949</v>
      </c>
      <c r="B965" s="19">
        <f>IF(B8="monthly",DATE(YEAR(B7)+INT((MONTH(B7)-1+948)/12),MOD(MONTH(B7)-1+948,12)+1,1)+(DAY(B7)-1),IF(B8="weekly",B7+6636,IF(B8="biweekly",B7+13272,B7+ROUND((948*365.25)/24,0))))</f>
        <v/>
      </c>
      <c r="C965" s="21">
        <f>IF((ROUND(F964-ROUND($B$13-D965,2),2)&lt;=0),ROUND(D965+E965,2),$B$13)</f>
        <v/>
      </c>
      <c r="D965" s="21">
        <f>ROUND(F964*B5/100/B10,2)</f>
        <v/>
      </c>
      <c r="E965" s="21">
        <f>IF((ROUND(F964-ROUND($B$13-D965,2),2)&lt;=0),F964,ROUND($B$13-D965,2))</f>
        <v/>
      </c>
      <c r="F965" s="21">
        <f>IF((ROUND(F964-ROUND($B$13-D965,2),2)&lt;=0),0,ROUND(F964-E965,2))</f>
        <v/>
      </c>
    </row>
    <row r="966">
      <c r="A966" s="6" t="n">
        <v>950</v>
      </c>
      <c r="B966" s="19">
        <f>IF(B8="monthly",DATE(YEAR(B7)+INT((MONTH(B7)-1+949)/12),MOD(MONTH(B7)-1+949,12)+1,1)+(DAY(B7)-1),IF(B8="weekly",B7+6643,IF(B8="biweekly",B7+13286,B7+ROUND((949*365.25)/24,0))))</f>
        <v/>
      </c>
      <c r="C966" s="21">
        <f>IF((ROUND(F965-ROUND($B$13-D966,2),2)&lt;=0),ROUND(D966+E966,2),$B$13)</f>
        <v/>
      </c>
      <c r="D966" s="21">
        <f>ROUND(F965*B5/100/B10,2)</f>
        <v/>
      </c>
      <c r="E966" s="21">
        <f>IF((ROUND(F965-ROUND($B$13-D966,2),2)&lt;=0),F965,ROUND($B$13-D966,2))</f>
        <v/>
      </c>
      <c r="F966" s="21">
        <f>IF((ROUND(F965-ROUND($B$13-D966,2),2)&lt;=0),0,ROUND(F965-E966,2))</f>
        <v/>
      </c>
    </row>
    <row r="967">
      <c r="A967" s="6" t="n">
        <v>951</v>
      </c>
      <c r="B967" s="19">
        <f>IF(B8="monthly",DATE(YEAR(B7)+INT((MONTH(B7)-1+950)/12),MOD(MONTH(B7)-1+950,12)+1,1)+(DAY(B7)-1),IF(B8="weekly",B7+6650,IF(B8="biweekly",B7+13300,B7+ROUND((950*365.25)/24,0))))</f>
        <v/>
      </c>
      <c r="C967" s="21">
        <f>IF((ROUND(F966-ROUND($B$13-D967,2),2)&lt;=0),ROUND(D967+E967,2),$B$13)</f>
        <v/>
      </c>
      <c r="D967" s="21">
        <f>ROUND(F966*B5/100/B10,2)</f>
        <v/>
      </c>
      <c r="E967" s="21">
        <f>IF((ROUND(F966-ROUND($B$13-D967,2),2)&lt;=0),F966,ROUND($B$13-D967,2))</f>
        <v/>
      </c>
      <c r="F967" s="21">
        <f>IF((ROUND(F966-ROUND($B$13-D967,2),2)&lt;=0),0,ROUND(F966-E967,2))</f>
        <v/>
      </c>
    </row>
    <row r="968">
      <c r="A968" s="6" t="n">
        <v>952</v>
      </c>
      <c r="B968" s="19">
        <f>IF(B8="monthly",DATE(YEAR(B7)+INT((MONTH(B7)-1+951)/12),MOD(MONTH(B7)-1+951,12)+1,1)+(DAY(B7)-1),IF(B8="weekly",B7+6657,IF(B8="biweekly",B7+13314,B7+ROUND((951*365.25)/24,0))))</f>
        <v/>
      </c>
      <c r="C968" s="21">
        <f>IF((ROUND(F967-ROUND($B$13-D968,2),2)&lt;=0),ROUND(D968+E968,2),$B$13)</f>
        <v/>
      </c>
      <c r="D968" s="21">
        <f>ROUND(F967*B5/100/B10,2)</f>
        <v/>
      </c>
      <c r="E968" s="21">
        <f>IF((ROUND(F967-ROUND($B$13-D968,2),2)&lt;=0),F967,ROUND($B$13-D968,2))</f>
        <v/>
      </c>
      <c r="F968" s="21">
        <f>IF((ROUND(F967-ROUND($B$13-D968,2),2)&lt;=0),0,ROUND(F967-E968,2))</f>
        <v/>
      </c>
    </row>
    <row r="969">
      <c r="A969" s="6" t="n">
        <v>953</v>
      </c>
      <c r="B969" s="19">
        <f>IF(B8="monthly",DATE(YEAR(B7)+INT((MONTH(B7)-1+952)/12),MOD(MONTH(B7)-1+952,12)+1,1)+(DAY(B7)-1),IF(B8="weekly",B7+6664,IF(B8="biweekly",B7+13328,B7+ROUND((952*365.25)/24,0))))</f>
        <v/>
      </c>
      <c r="C969" s="21">
        <f>IF((ROUND(F968-ROUND($B$13-D969,2),2)&lt;=0),ROUND(D969+E969,2),$B$13)</f>
        <v/>
      </c>
      <c r="D969" s="21">
        <f>ROUND(F968*B5/100/B10,2)</f>
        <v/>
      </c>
      <c r="E969" s="21">
        <f>IF((ROUND(F968-ROUND($B$13-D969,2),2)&lt;=0),F968,ROUND($B$13-D969,2))</f>
        <v/>
      </c>
      <c r="F969" s="21">
        <f>IF((ROUND(F968-ROUND($B$13-D969,2),2)&lt;=0),0,ROUND(F968-E969,2))</f>
        <v/>
      </c>
    </row>
    <row r="970">
      <c r="A970" s="6" t="n">
        <v>954</v>
      </c>
      <c r="B970" s="19">
        <f>IF(B8="monthly",DATE(YEAR(B7)+INT((MONTH(B7)-1+953)/12),MOD(MONTH(B7)-1+953,12)+1,1)+(DAY(B7)-1),IF(B8="weekly",B7+6671,IF(B8="biweekly",B7+13342,B7+ROUND((953*365.25)/24,0))))</f>
        <v/>
      </c>
      <c r="C970" s="21">
        <f>IF((ROUND(F969-ROUND($B$13-D970,2),2)&lt;=0),ROUND(D970+E970,2),$B$13)</f>
        <v/>
      </c>
      <c r="D970" s="21">
        <f>ROUND(F969*B5/100/B10,2)</f>
        <v/>
      </c>
      <c r="E970" s="21">
        <f>IF((ROUND(F969-ROUND($B$13-D970,2),2)&lt;=0),F969,ROUND($B$13-D970,2))</f>
        <v/>
      </c>
      <c r="F970" s="21">
        <f>IF((ROUND(F969-ROUND($B$13-D970,2),2)&lt;=0),0,ROUND(F969-E970,2))</f>
        <v/>
      </c>
    </row>
    <row r="971">
      <c r="A971" s="6" t="n">
        <v>955</v>
      </c>
      <c r="B971" s="19">
        <f>IF(B8="monthly",DATE(YEAR(B7)+INT((MONTH(B7)-1+954)/12),MOD(MONTH(B7)-1+954,12)+1,1)+(DAY(B7)-1),IF(B8="weekly",B7+6678,IF(B8="biweekly",B7+13356,B7+ROUND((954*365.25)/24,0))))</f>
        <v/>
      </c>
      <c r="C971" s="21">
        <f>IF((ROUND(F970-ROUND($B$13-D971,2),2)&lt;=0),ROUND(D971+E971,2),$B$13)</f>
        <v/>
      </c>
      <c r="D971" s="21">
        <f>ROUND(F970*B5/100/B10,2)</f>
        <v/>
      </c>
      <c r="E971" s="21">
        <f>IF((ROUND(F970-ROUND($B$13-D971,2),2)&lt;=0),F970,ROUND($B$13-D971,2))</f>
        <v/>
      </c>
      <c r="F971" s="21">
        <f>IF((ROUND(F970-ROUND($B$13-D971,2),2)&lt;=0),0,ROUND(F970-E971,2))</f>
        <v/>
      </c>
    </row>
    <row r="972">
      <c r="A972" s="6" t="n">
        <v>956</v>
      </c>
      <c r="B972" s="19">
        <f>IF(B8="monthly",DATE(YEAR(B7)+INT((MONTH(B7)-1+955)/12),MOD(MONTH(B7)-1+955,12)+1,1)+(DAY(B7)-1),IF(B8="weekly",B7+6685,IF(B8="biweekly",B7+13370,B7+ROUND((955*365.25)/24,0))))</f>
        <v/>
      </c>
      <c r="C972" s="21">
        <f>IF((ROUND(F971-ROUND($B$13-D972,2),2)&lt;=0),ROUND(D972+E972,2),$B$13)</f>
        <v/>
      </c>
      <c r="D972" s="21">
        <f>ROUND(F971*B5/100/B10,2)</f>
        <v/>
      </c>
      <c r="E972" s="21">
        <f>IF((ROUND(F971-ROUND($B$13-D972,2),2)&lt;=0),F971,ROUND($B$13-D972,2))</f>
        <v/>
      </c>
      <c r="F972" s="21">
        <f>IF((ROUND(F971-ROUND($B$13-D972,2),2)&lt;=0),0,ROUND(F971-E972,2))</f>
        <v/>
      </c>
    </row>
    <row r="973">
      <c r="A973" s="6" t="n">
        <v>957</v>
      </c>
      <c r="B973" s="19">
        <f>IF(B8="monthly",DATE(YEAR(B7)+INT((MONTH(B7)-1+956)/12),MOD(MONTH(B7)-1+956,12)+1,1)+(DAY(B7)-1),IF(B8="weekly",B7+6692,IF(B8="biweekly",B7+13384,B7+ROUND((956*365.25)/24,0))))</f>
        <v/>
      </c>
      <c r="C973" s="21">
        <f>IF((ROUND(F972-ROUND($B$13-D973,2),2)&lt;=0),ROUND(D973+E973,2),$B$13)</f>
        <v/>
      </c>
      <c r="D973" s="21">
        <f>ROUND(F972*B5/100/B10,2)</f>
        <v/>
      </c>
      <c r="E973" s="21">
        <f>IF((ROUND(F972-ROUND($B$13-D973,2),2)&lt;=0),F972,ROUND($B$13-D973,2))</f>
        <v/>
      </c>
      <c r="F973" s="21">
        <f>IF((ROUND(F972-ROUND($B$13-D973,2),2)&lt;=0),0,ROUND(F972-E973,2))</f>
        <v/>
      </c>
    </row>
    <row r="974">
      <c r="A974" s="6" t="n">
        <v>958</v>
      </c>
      <c r="B974" s="19">
        <f>IF(B8="monthly",DATE(YEAR(B7)+INT((MONTH(B7)-1+957)/12),MOD(MONTH(B7)-1+957,12)+1,1)+(DAY(B7)-1),IF(B8="weekly",B7+6699,IF(B8="biweekly",B7+13398,B7+ROUND((957*365.25)/24,0))))</f>
        <v/>
      </c>
      <c r="C974" s="21">
        <f>IF((ROUND(F973-ROUND($B$13-D974,2),2)&lt;=0),ROUND(D974+E974,2),$B$13)</f>
        <v/>
      </c>
      <c r="D974" s="21">
        <f>ROUND(F973*B5/100/B10,2)</f>
        <v/>
      </c>
      <c r="E974" s="21">
        <f>IF((ROUND(F973-ROUND($B$13-D974,2),2)&lt;=0),F973,ROUND($B$13-D974,2))</f>
        <v/>
      </c>
      <c r="F974" s="21">
        <f>IF((ROUND(F973-ROUND($B$13-D974,2),2)&lt;=0),0,ROUND(F973-E974,2))</f>
        <v/>
      </c>
    </row>
    <row r="975">
      <c r="A975" s="6" t="n">
        <v>959</v>
      </c>
      <c r="B975" s="19">
        <f>IF(B8="monthly",DATE(YEAR(B7)+INT((MONTH(B7)-1+958)/12),MOD(MONTH(B7)-1+958,12)+1,1)+(DAY(B7)-1),IF(B8="weekly",B7+6706,IF(B8="biweekly",B7+13412,B7+ROUND((958*365.25)/24,0))))</f>
        <v/>
      </c>
      <c r="C975" s="21">
        <f>IF((ROUND(F974-ROUND($B$13-D975,2),2)&lt;=0),ROUND(D975+E975,2),$B$13)</f>
        <v/>
      </c>
      <c r="D975" s="21">
        <f>ROUND(F974*B5/100/B10,2)</f>
        <v/>
      </c>
      <c r="E975" s="21">
        <f>IF((ROUND(F974-ROUND($B$13-D975,2),2)&lt;=0),F974,ROUND($B$13-D975,2))</f>
        <v/>
      </c>
      <c r="F975" s="21">
        <f>IF((ROUND(F974-ROUND($B$13-D975,2),2)&lt;=0),0,ROUND(F974-E975,2))</f>
        <v/>
      </c>
    </row>
    <row r="976">
      <c r="A976" s="6" t="n">
        <v>960</v>
      </c>
      <c r="B976" s="19">
        <f>IF(B8="monthly",DATE(YEAR(B7)+INT((MONTH(B7)-1+959)/12),MOD(MONTH(B7)-1+959,12)+1,1)+(DAY(B7)-1),IF(B8="weekly",B7+6713,IF(B8="biweekly",B7+13426,B7+ROUND((959*365.25)/24,0))))</f>
        <v/>
      </c>
      <c r="C976" s="21">
        <f>IF((ROUND(F975-ROUND($B$13-D976,2),2)&lt;=0),ROUND(D976+E976,2),$B$13)</f>
        <v/>
      </c>
      <c r="D976" s="21">
        <f>ROUND(F975*B5/100/B10,2)</f>
        <v/>
      </c>
      <c r="E976" s="21">
        <f>IF((ROUND(F975-ROUND($B$13-D976,2),2)&lt;=0),F975,ROUND($B$13-D976,2))</f>
        <v/>
      </c>
      <c r="F976" s="21">
        <f>IF((ROUND(F975-ROUND($B$13-D976,2),2)&lt;=0),0,ROUND(F975-E976,2))</f>
        <v/>
      </c>
    </row>
    <row r="977">
      <c r="A977" s="6" t="n">
        <v>961</v>
      </c>
      <c r="B977" s="19">
        <f>IF(B8="monthly",DATE(YEAR(B7)+INT((MONTH(B7)-1+960)/12),MOD(MONTH(B7)-1+960,12)+1,1)+(DAY(B7)-1),IF(B8="weekly",B7+6720,IF(B8="biweekly",B7+13440,B7+ROUND((960*365.25)/24,0))))</f>
        <v/>
      </c>
      <c r="C977" s="21">
        <f>IF((ROUND(F976-ROUND($B$13-D977,2),2)&lt;=0),ROUND(D977+E977,2),$B$13)</f>
        <v/>
      </c>
      <c r="D977" s="21">
        <f>ROUND(F976*B5/100/B10,2)</f>
        <v/>
      </c>
      <c r="E977" s="21">
        <f>IF((ROUND(F976-ROUND($B$13-D977,2),2)&lt;=0),F976,ROUND($B$13-D977,2))</f>
        <v/>
      </c>
      <c r="F977" s="21">
        <f>IF((ROUND(F976-ROUND($B$13-D977,2),2)&lt;=0),0,ROUND(F976-E977,2))</f>
        <v/>
      </c>
    </row>
    <row r="978">
      <c r="A978" s="6" t="n">
        <v>962</v>
      </c>
      <c r="B978" s="19">
        <f>IF(B8="monthly",DATE(YEAR(B7)+INT((MONTH(B7)-1+961)/12),MOD(MONTH(B7)-1+961,12)+1,1)+(DAY(B7)-1),IF(B8="weekly",B7+6727,IF(B8="biweekly",B7+13454,B7+ROUND((961*365.25)/24,0))))</f>
        <v/>
      </c>
      <c r="C978" s="21">
        <f>IF((ROUND(F977-ROUND($B$13-D978,2),2)&lt;=0),ROUND(D978+E978,2),$B$13)</f>
        <v/>
      </c>
      <c r="D978" s="21">
        <f>ROUND(F977*B5/100/B10,2)</f>
        <v/>
      </c>
      <c r="E978" s="21">
        <f>IF((ROUND(F977-ROUND($B$13-D978,2),2)&lt;=0),F977,ROUND($B$13-D978,2))</f>
        <v/>
      </c>
      <c r="F978" s="21">
        <f>IF((ROUND(F977-ROUND($B$13-D978,2),2)&lt;=0),0,ROUND(F977-E978,2))</f>
        <v/>
      </c>
    </row>
    <row r="979">
      <c r="A979" s="6" t="n">
        <v>963</v>
      </c>
      <c r="B979" s="19">
        <f>IF(B8="monthly",DATE(YEAR(B7)+INT((MONTH(B7)-1+962)/12),MOD(MONTH(B7)-1+962,12)+1,1)+(DAY(B7)-1),IF(B8="weekly",B7+6734,IF(B8="biweekly",B7+13468,B7+ROUND((962*365.25)/24,0))))</f>
        <v/>
      </c>
      <c r="C979" s="21">
        <f>IF((ROUND(F978-ROUND($B$13-D979,2),2)&lt;=0),ROUND(D979+E979,2),$B$13)</f>
        <v/>
      </c>
      <c r="D979" s="21">
        <f>ROUND(F978*B5/100/B10,2)</f>
        <v/>
      </c>
      <c r="E979" s="21">
        <f>IF((ROUND(F978-ROUND($B$13-D979,2),2)&lt;=0),F978,ROUND($B$13-D979,2))</f>
        <v/>
      </c>
      <c r="F979" s="21">
        <f>IF((ROUND(F978-ROUND($B$13-D979,2),2)&lt;=0),0,ROUND(F978-E979,2))</f>
        <v/>
      </c>
    </row>
    <row r="980">
      <c r="A980" s="6" t="n">
        <v>964</v>
      </c>
      <c r="B980" s="19">
        <f>IF(B8="monthly",DATE(YEAR(B7)+INT((MONTH(B7)-1+963)/12),MOD(MONTH(B7)-1+963,12)+1,1)+(DAY(B7)-1),IF(B8="weekly",B7+6741,IF(B8="biweekly",B7+13482,B7+ROUND((963*365.25)/24,0))))</f>
        <v/>
      </c>
      <c r="C980" s="21">
        <f>IF((ROUND(F979-ROUND($B$13-D980,2),2)&lt;=0),ROUND(D980+E980,2),$B$13)</f>
        <v/>
      </c>
      <c r="D980" s="21">
        <f>ROUND(F979*B5/100/B10,2)</f>
        <v/>
      </c>
      <c r="E980" s="21">
        <f>IF((ROUND(F979-ROUND($B$13-D980,2),2)&lt;=0),F979,ROUND($B$13-D980,2))</f>
        <v/>
      </c>
      <c r="F980" s="21">
        <f>IF((ROUND(F979-ROUND($B$13-D980,2),2)&lt;=0),0,ROUND(F979-E980,2))</f>
        <v/>
      </c>
    </row>
    <row r="981">
      <c r="A981" s="6" t="n">
        <v>965</v>
      </c>
      <c r="B981" s="19">
        <f>IF(B8="monthly",DATE(YEAR(B7)+INT((MONTH(B7)-1+964)/12),MOD(MONTH(B7)-1+964,12)+1,1)+(DAY(B7)-1),IF(B8="weekly",B7+6748,IF(B8="biweekly",B7+13496,B7+ROUND((964*365.25)/24,0))))</f>
        <v/>
      </c>
      <c r="C981" s="21">
        <f>IF((ROUND(F980-ROUND($B$13-D981,2),2)&lt;=0),ROUND(D981+E981,2),$B$13)</f>
        <v/>
      </c>
      <c r="D981" s="21">
        <f>ROUND(F980*B5/100/B10,2)</f>
        <v/>
      </c>
      <c r="E981" s="21">
        <f>IF((ROUND(F980-ROUND($B$13-D981,2),2)&lt;=0),F980,ROUND($B$13-D981,2))</f>
        <v/>
      </c>
      <c r="F981" s="21">
        <f>IF((ROUND(F980-ROUND($B$13-D981,2),2)&lt;=0),0,ROUND(F980-E981,2))</f>
        <v/>
      </c>
    </row>
    <row r="982">
      <c r="A982" s="6" t="n">
        <v>966</v>
      </c>
      <c r="B982" s="19">
        <f>IF(B8="monthly",DATE(YEAR(B7)+INT((MONTH(B7)-1+965)/12),MOD(MONTH(B7)-1+965,12)+1,1)+(DAY(B7)-1),IF(B8="weekly",B7+6755,IF(B8="biweekly",B7+13510,B7+ROUND((965*365.25)/24,0))))</f>
        <v/>
      </c>
      <c r="C982" s="21">
        <f>IF((ROUND(F981-ROUND($B$13-D982,2),2)&lt;=0),ROUND(D982+E982,2),$B$13)</f>
        <v/>
      </c>
      <c r="D982" s="21">
        <f>ROUND(F981*B5/100/B10,2)</f>
        <v/>
      </c>
      <c r="E982" s="21">
        <f>IF((ROUND(F981-ROUND($B$13-D982,2),2)&lt;=0),F981,ROUND($B$13-D982,2))</f>
        <v/>
      </c>
      <c r="F982" s="21">
        <f>IF((ROUND(F981-ROUND($B$13-D982,2),2)&lt;=0),0,ROUND(F981-E982,2))</f>
        <v/>
      </c>
    </row>
    <row r="983">
      <c r="A983" s="6" t="n">
        <v>967</v>
      </c>
      <c r="B983" s="19">
        <f>IF(B8="monthly",DATE(YEAR(B7)+INT((MONTH(B7)-1+966)/12),MOD(MONTH(B7)-1+966,12)+1,1)+(DAY(B7)-1),IF(B8="weekly",B7+6762,IF(B8="biweekly",B7+13524,B7+ROUND((966*365.25)/24,0))))</f>
        <v/>
      </c>
      <c r="C983" s="21">
        <f>IF((ROUND(F982-ROUND($B$13-D983,2),2)&lt;=0),ROUND(D983+E983,2),$B$13)</f>
        <v/>
      </c>
      <c r="D983" s="21">
        <f>ROUND(F982*B5/100/B10,2)</f>
        <v/>
      </c>
      <c r="E983" s="21">
        <f>IF((ROUND(F982-ROUND($B$13-D983,2),2)&lt;=0),F982,ROUND($B$13-D983,2))</f>
        <v/>
      </c>
      <c r="F983" s="21">
        <f>IF((ROUND(F982-ROUND($B$13-D983,2),2)&lt;=0),0,ROUND(F982-E983,2))</f>
        <v/>
      </c>
    </row>
    <row r="984">
      <c r="A984" s="6" t="n">
        <v>968</v>
      </c>
      <c r="B984" s="19">
        <f>IF(B8="monthly",DATE(YEAR(B7)+INT((MONTH(B7)-1+967)/12),MOD(MONTH(B7)-1+967,12)+1,1)+(DAY(B7)-1),IF(B8="weekly",B7+6769,IF(B8="biweekly",B7+13538,B7+ROUND((967*365.25)/24,0))))</f>
        <v/>
      </c>
      <c r="C984" s="21">
        <f>IF((ROUND(F983-ROUND($B$13-D984,2),2)&lt;=0),ROUND(D984+E984,2),$B$13)</f>
        <v/>
      </c>
      <c r="D984" s="21">
        <f>ROUND(F983*B5/100/B10,2)</f>
        <v/>
      </c>
      <c r="E984" s="21">
        <f>IF((ROUND(F983-ROUND($B$13-D984,2),2)&lt;=0),F983,ROUND($B$13-D984,2))</f>
        <v/>
      </c>
      <c r="F984" s="21">
        <f>IF((ROUND(F983-ROUND($B$13-D984,2),2)&lt;=0),0,ROUND(F983-E984,2))</f>
        <v/>
      </c>
    </row>
    <row r="985">
      <c r="A985" s="6" t="n">
        <v>969</v>
      </c>
      <c r="B985" s="19">
        <f>IF(B8="monthly",DATE(YEAR(B7)+INT((MONTH(B7)-1+968)/12),MOD(MONTH(B7)-1+968,12)+1,1)+(DAY(B7)-1),IF(B8="weekly",B7+6776,IF(B8="biweekly",B7+13552,B7+ROUND((968*365.25)/24,0))))</f>
        <v/>
      </c>
      <c r="C985" s="21">
        <f>IF((ROUND(F984-ROUND($B$13-D985,2),2)&lt;=0),ROUND(D985+E985,2),$B$13)</f>
        <v/>
      </c>
      <c r="D985" s="21">
        <f>ROUND(F984*B5/100/B10,2)</f>
        <v/>
      </c>
      <c r="E985" s="21">
        <f>IF((ROUND(F984-ROUND($B$13-D985,2),2)&lt;=0),F984,ROUND($B$13-D985,2))</f>
        <v/>
      </c>
      <c r="F985" s="21">
        <f>IF((ROUND(F984-ROUND($B$13-D985,2),2)&lt;=0),0,ROUND(F984-E985,2))</f>
        <v/>
      </c>
    </row>
    <row r="986">
      <c r="A986" s="6" t="n">
        <v>970</v>
      </c>
      <c r="B986" s="19">
        <f>IF(B8="monthly",DATE(YEAR(B7)+INT((MONTH(B7)-1+969)/12),MOD(MONTH(B7)-1+969,12)+1,1)+(DAY(B7)-1),IF(B8="weekly",B7+6783,IF(B8="biweekly",B7+13566,B7+ROUND((969*365.25)/24,0))))</f>
        <v/>
      </c>
      <c r="C986" s="21">
        <f>IF((ROUND(F985-ROUND($B$13-D986,2),2)&lt;=0),ROUND(D986+E986,2),$B$13)</f>
        <v/>
      </c>
      <c r="D986" s="21">
        <f>ROUND(F985*B5/100/B10,2)</f>
        <v/>
      </c>
      <c r="E986" s="21">
        <f>IF((ROUND(F985-ROUND($B$13-D986,2),2)&lt;=0),F985,ROUND($B$13-D986,2))</f>
        <v/>
      </c>
      <c r="F986" s="21">
        <f>IF((ROUND(F985-ROUND($B$13-D986,2),2)&lt;=0),0,ROUND(F985-E986,2))</f>
        <v/>
      </c>
    </row>
    <row r="987">
      <c r="A987" s="6" t="n">
        <v>971</v>
      </c>
      <c r="B987" s="19">
        <f>IF(B8="monthly",DATE(YEAR(B7)+INT((MONTH(B7)-1+970)/12),MOD(MONTH(B7)-1+970,12)+1,1)+(DAY(B7)-1),IF(B8="weekly",B7+6790,IF(B8="biweekly",B7+13580,B7+ROUND((970*365.25)/24,0))))</f>
        <v/>
      </c>
      <c r="C987" s="21">
        <f>IF((ROUND(F986-ROUND($B$13-D987,2),2)&lt;=0),ROUND(D987+E987,2),$B$13)</f>
        <v/>
      </c>
      <c r="D987" s="21">
        <f>ROUND(F986*B5/100/B10,2)</f>
        <v/>
      </c>
      <c r="E987" s="21">
        <f>IF((ROUND(F986-ROUND($B$13-D987,2),2)&lt;=0),F986,ROUND($B$13-D987,2))</f>
        <v/>
      </c>
      <c r="F987" s="21">
        <f>IF((ROUND(F986-ROUND($B$13-D987,2),2)&lt;=0),0,ROUND(F986-E987,2))</f>
        <v/>
      </c>
    </row>
    <row r="988">
      <c r="A988" s="6" t="n">
        <v>972</v>
      </c>
      <c r="B988" s="19">
        <f>IF(B8="monthly",DATE(YEAR(B7)+INT((MONTH(B7)-1+971)/12),MOD(MONTH(B7)-1+971,12)+1,1)+(DAY(B7)-1),IF(B8="weekly",B7+6797,IF(B8="biweekly",B7+13594,B7+ROUND((971*365.25)/24,0))))</f>
        <v/>
      </c>
      <c r="C988" s="21">
        <f>IF((ROUND(F987-ROUND($B$13-D988,2),2)&lt;=0),ROUND(D988+E988,2),$B$13)</f>
        <v/>
      </c>
      <c r="D988" s="21">
        <f>ROUND(F987*B5/100/B10,2)</f>
        <v/>
      </c>
      <c r="E988" s="21">
        <f>IF((ROUND(F987-ROUND($B$13-D988,2),2)&lt;=0),F987,ROUND($B$13-D988,2))</f>
        <v/>
      </c>
      <c r="F988" s="21">
        <f>IF((ROUND(F987-ROUND($B$13-D988,2),2)&lt;=0),0,ROUND(F987-E988,2))</f>
        <v/>
      </c>
    </row>
    <row r="989">
      <c r="A989" s="6" t="n">
        <v>973</v>
      </c>
      <c r="B989" s="19">
        <f>IF(B8="monthly",DATE(YEAR(B7)+INT((MONTH(B7)-1+972)/12),MOD(MONTH(B7)-1+972,12)+1,1)+(DAY(B7)-1),IF(B8="weekly",B7+6804,IF(B8="biweekly",B7+13608,B7+ROUND((972*365.25)/24,0))))</f>
        <v/>
      </c>
      <c r="C989" s="21">
        <f>IF((ROUND(F988-ROUND($B$13-D989,2),2)&lt;=0),ROUND(D989+E989,2),$B$13)</f>
        <v/>
      </c>
      <c r="D989" s="21">
        <f>ROUND(F988*B5/100/B10,2)</f>
        <v/>
      </c>
      <c r="E989" s="21">
        <f>IF((ROUND(F988-ROUND($B$13-D989,2),2)&lt;=0),F988,ROUND($B$13-D989,2))</f>
        <v/>
      </c>
      <c r="F989" s="21">
        <f>IF((ROUND(F988-ROUND($B$13-D989,2),2)&lt;=0),0,ROUND(F988-E989,2))</f>
        <v/>
      </c>
    </row>
    <row r="990">
      <c r="A990" s="6" t="n">
        <v>974</v>
      </c>
      <c r="B990" s="19">
        <f>IF(B8="monthly",DATE(YEAR(B7)+INT((MONTH(B7)-1+973)/12),MOD(MONTH(B7)-1+973,12)+1,1)+(DAY(B7)-1),IF(B8="weekly",B7+6811,IF(B8="biweekly",B7+13622,B7+ROUND((973*365.25)/24,0))))</f>
        <v/>
      </c>
      <c r="C990" s="21">
        <f>IF((ROUND(F989-ROUND($B$13-D990,2),2)&lt;=0),ROUND(D990+E990,2),$B$13)</f>
        <v/>
      </c>
      <c r="D990" s="21">
        <f>ROUND(F989*B5/100/B10,2)</f>
        <v/>
      </c>
      <c r="E990" s="21">
        <f>IF((ROUND(F989-ROUND($B$13-D990,2),2)&lt;=0),F989,ROUND($B$13-D990,2))</f>
        <v/>
      </c>
      <c r="F990" s="21">
        <f>IF((ROUND(F989-ROUND($B$13-D990,2),2)&lt;=0),0,ROUND(F989-E990,2))</f>
        <v/>
      </c>
    </row>
    <row r="991">
      <c r="A991" s="6" t="n">
        <v>975</v>
      </c>
      <c r="B991" s="19">
        <f>IF(B8="monthly",DATE(YEAR(B7)+INT((MONTH(B7)-1+974)/12),MOD(MONTH(B7)-1+974,12)+1,1)+(DAY(B7)-1),IF(B8="weekly",B7+6818,IF(B8="biweekly",B7+13636,B7+ROUND((974*365.25)/24,0))))</f>
        <v/>
      </c>
      <c r="C991" s="21">
        <f>IF((ROUND(F990-ROUND($B$13-D991,2),2)&lt;=0),ROUND(D991+E991,2),$B$13)</f>
        <v/>
      </c>
      <c r="D991" s="21">
        <f>ROUND(F990*B5/100/B10,2)</f>
        <v/>
      </c>
      <c r="E991" s="21">
        <f>IF((ROUND(F990-ROUND($B$13-D991,2),2)&lt;=0),F990,ROUND($B$13-D991,2))</f>
        <v/>
      </c>
      <c r="F991" s="21">
        <f>IF((ROUND(F990-ROUND($B$13-D991,2),2)&lt;=0),0,ROUND(F990-E991,2))</f>
        <v/>
      </c>
    </row>
    <row r="992">
      <c r="A992" s="6" t="n">
        <v>976</v>
      </c>
      <c r="B992" s="19">
        <f>IF(B8="monthly",DATE(YEAR(B7)+INT((MONTH(B7)-1+975)/12),MOD(MONTH(B7)-1+975,12)+1,1)+(DAY(B7)-1),IF(B8="weekly",B7+6825,IF(B8="biweekly",B7+13650,B7+ROUND((975*365.25)/24,0))))</f>
        <v/>
      </c>
      <c r="C992" s="21">
        <f>IF((ROUND(F991-ROUND($B$13-D992,2),2)&lt;=0),ROUND(D992+E992,2),$B$13)</f>
        <v/>
      </c>
      <c r="D992" s="21">
        <f>ROUND(F991*B5/100/B10,2)</f>
        <v/>
      </c>
      <c r="E992" s="21">
        <f>IF((ROUND(F991-ROUND($B$13-D992,2),2)&lt;=0),F991,ROUND($B$13-D992,2))</f>
        <v/>
      </c>
      <c r="F992" s="21">
        <f>IF((ROUND(F991-ROUND($B$13-D992,2),2)&lt;=0),0,ROUND(F991-E992,2))</f>
        <v/>
      </c>
    </row>
    <row r="993">
      <c r="A993" s="6" t="n">
        <v>977</v>
      </c>
      <c r="B993" s="19">
        <f>IF(B8="monthly",DATE(YEAR(B7)+INT((MONTH(B7)-1+976)/12),MOD(MONTH(B7)-1+976,12)+1,1)+(DAY(B7)-1),IF(B8="weekly",B7+6832,IF(B8="biweekly",B7+13664,B7+ROUND((976*365.25)/24,0))))</f>
        <v/>
      </c>
      <c r="C993" s="21">
        <f>IF((ROUND(F992-ROUND($B$13-D993,2),2)&lt;=0),ROUND(D993+E993,2),$B$13)</f>
        <v/>
      </c>
      <c r="D993" s="21">
        <f>ROUND(F992*B5/100/B10,2)</f>
        <v/>
      </c>
      <c r="E993" s="21">
        <f>IF((ROUND(F992-ROUND($B$13-D993,2),2)&lt;=0),F992,ROUND($B$13-D993,2))</f>
        <v/>
      </c>
      <c r="F993" s="21">
        <f>IF((ROUND(F992-ROUND($B$13-D993,2),2)&lt;=0),0,ROUND(F992-E993,2))</f>
        <v/>
      </c>
    </row>
    <row r="994">
      <c r="A994" s="6" t="n">
        <v>978</v>
      </c>
      <c r="B994" s="19">
        <f>IF(B8="monthly",DATE(YEAR(B7)+INT((MONTH(B7)-1+977)/12),MOD(MONTH(B7)-1+977,12)+1,1)+(DAY(B7)-1),IF(B8="weekly",B7+6839,IF(B8="biweekly",B7+13678,B7+ROUND((977*365.25)/24,0))))</f>
        <v/>
      </c>
      <c r="C994" s="21">
        <f>IF((ROUND(F993-ROUND($B$13-D994,2),2)&lt;=0),ROUND(D994+E994,2),$B$13)</f>
        <v/>
      </c>
      <c r="D994" s="21">
        <f>ROUND(F993*B5/100/B10,2)</f>
        <v/>
      </c>
      <c r="E994" s="21">
        <f>IF((ROUND(F993-ROUND($B$13-D994,2),2)&lt;=0),F993,ROUND($B$13-D994,2))</f>
        <v/>
      </c>
      <c r="F994" s="21">
        <f>IF((ROUND(F993-ROUND($B$13-D994,2),2)&lt;=0),0,ROUND(F993-E994,2))</f>
        <v/>
      </c>
    </row>
    <row r="995">
      <c r="A995" s="6" t="n">
        <v>979</v>
      </c>
      <c r="B995" s="19">
        <f>IF(B8="monthly",DATE(YEAR(B7)+INT((MONTH(B7)-1+978)/12),MOD(MONTH(B7)-1+978,12)+1,1)+(DAY(B7)-1),IF(B8="weekly",B7+6846,IF(B8="biweekly",B7+13692,B7+ROUND((978*365.25)/24,0))))</f>
        <v/>
      </c>
      <c r="C995" s="21">
        <f>IF((ROUND(F994-ROUND($B$13-D995,2),2)&lt;=0),ROUND(D995+E995,2),$B$13)</f>
        <v/>
      </c>
      <c r="D995" s="21">
        <f>ROUND(F994*B5/100/B10,2)</f>
        <v/>
      </c>
      <c r="E995" s="21">
        <f>IF((ROUND(F994-ROUND($B$13-D995,2),2)&lt;=0),F994,ROUND($B$13-D995,2))</f>
        <v/>
      </c>
      <c r="F995" s="21">
        <f>IF((ROUND(F994-ROUND($B$13-D995,2),2)&lt;=0),0,ROUND(F994-E995,2))</f>
        <v/>
      </c>
    </row>
    <row r="996">
      <c r="A996" s="6" t="n">
        <v>980</v>
      </c>
      <c r="B996" s="19">
        <f>IF(B8="monthly",DATE(YEAR(B7)+INT((MONTH(B7)-1+979)/12),MOD(MONTH(B7)-1+979,12)+1,1)+(DAY(B7)-1),IF(B8="weekly",B7+6853,IF(B8="biweekly",B7+13706,B7+ROUND((979*365.25)/24,0))))</f>
        <v/>
      </c>
      <c r="C996" s="21">
        <f>IF((ROUND(F995-ROUND($B$13-D996,2),2)&lt;=0),ROUND(D996+E996,2),$B$13)</f>
        <v/>
      </c>
      <c r="D996" s="21">
        <f>ROUND(F995*B5/100/B10,2)</f>
        <v/>
      </c>
      <c r="E996" s="21">
        <f>IF((ROUND(F995-ROUND($B$13-D996,2),2)&lt;=0),F995,ROUND($B$13-D996,2))</f>
        <v/>
      </c>
      <c r="F996" s="21">
        <f>IF((ROUND(F995-ROUND($B$13-D996,2),2)&lt;=0),0,ROUND(F995-E996,2))</f>
        <v/>
      </c>
    </row>
    <row r="997">
      <c r="A997" s="6" t="n">
        <v>981</v>
      </c>
      <c r="B997" s="19">
        <f>IF(B8="monthly",DATE(YEAR(B7)+INT((MONTH(B7)-1+980)/12),MOD(MONTH(B7)-1+980,12)+1,1)+(DAY(B7)-1),IF(B8="weekly",B7+6860,IF(B8="biweekly",B7+13720,B7+ROUND((980*365.25)/24,0))))</f>
        <v/>
      </c>
      <c r="C997" s="21">
        <f>IF((ROUND(F996-ROUND($B$13-D997,2),2)&lt;=0),ROUND(D997+E997,2),$B$13)</f>
        <v/>
      </c>
      <c r="D997" s="21">
        <f>ROUND(F996*B5/100/B10,2)</f>
        <v/>
      </c>
      <c r="E997" s="21">
        <f>IF((ROUND(F996-ROUND($B$13-D997,2),2)&lt;=0),F996,ROUND($B$13-D997,2))</f>
        <v/>
      </c>
      <c r="F997" s="21">
        <f>IF((ROUND(F996-ROUND($B$13-D997,2),2)&lt;=0),0,ROUND(F996-E997,2))</f>
        <v/>
      </c>
    </row>
    <row r="998">
      <c r="A998" s="6" t="n">
        <v>982</v>
      </c>
      <c r="B998" s="19">
        <f>IF(B8="monthly",DATE(YEAR(B7)+INT((MONTH(B7)-1+981)/12),MOD(MONTH(B7)-1+981,12)+1,1)+(DAY(B7)-1),IF(B8="weekly",B7+6867,IF(B8="biweekly",B7+13734,B7+ROUND((981*365.25)/24,0))))</f>
        <v/>
      </c>
      <c r="C998" s="21">
        <f>IF((ROUND(F997-ROUND($B$13-D998,2),2)&lt;=0),ROUND(D998+E998,2),$B$13)</f>
        <v/>
      </c>
      <c r="D998" s="21">
        <f>ROUND(F997*B5/100/B10,2)</f>
        <v/>
      </c>
      <c r="E998" s="21">
        <f>IF((ROUND(F997-ROUND($B$13-D998,2),2)&lt;=0),F997,ROUND($B$13-D998,2))</f>
        <v/>
      </c>
      <c r="F998" s="21">
        <f>IF((ROUND(F997-ROUND($B$13-D998,2),2)&lt;=0),0,ROUND(F997-E998,2))</f>
        <v/>
      </c>
    </row>
    <row r="999">
      <c r="A999" s="6" t="n">
        <v>983</v>
      </c>
      <c r="B999" s="19">
        <f>IF(B8="monthly",DATE(YEAR(B7)+INT((MONTH(B7)-1+982)/12),MOD(MONTH(B7)-1+982,12)+1,1)+(DAY(B7)-1),IF(B8="weekly",B7+6874,IF(B8="biweekly",B7+13748,B7+ROUND((982*365.25)/24,0))))</f>
        <v/>
      </c>
      <c r="C999" s="21">
        <f>IF((ROUND(F998-ROUND($B$13-D999,2),2)&lt;=0),ROUND(D999+E999,2),$B$13)</f>
        <v/>
      </c>
      <c r="D999" s="21">
        <f>ROUND(F998*B5/100/B10,2)</f>
        <v/>
      </c>
      <c r="E999" s="21">
        <f>IF((ROUND(F998-ROUND($B$13-D999,2),2)&lt;=0),F998,ROUND($B$13-D999,2))</f>
        <v/>
      </c>
      <c r="F999" s="21">
        <f>IF((ROUND(F998-ROUND($B$13-D999,2),2)&lt;=0),0,ROUND(F998-E999,2))</f>
        <v/>
      </c>
    </row>
    <row r="1000">
      <c r="A1000" s="6" t="n">
        <v>984</v>
      </c>
      <c r="B1000" s="19">
        <f>IF(B8="monthly",DATE(YEAR(B7)+INT((MONTH(B7)-1+983)/12),MOD(MONTH(B7)-1+983,12)+1,1)+(DAY(B7)-1),IF(B8="weekly",B7+6881,IF(B8="biweekly",B7+13762,B7+ROUND((983*365.25)/24,0))))</f>
        <v/>
      </c>
      <c r="C1000" s="21">
        <f>IF((ROUND(F999-ROUND($B$13-D1000,2),2)&lt;=0),ROUND(D1000+E1000,2),$B$13)</f>
        <v/>
      </c>
      <c r="D1000" s="21">
        <f>ROUND(F999*B5/100/B10,2)</f>
        <v/>
      </c>
      <c r="E1000" s="21">
        <f>IF((ROUND(F999-ROUND($B$13-D1000,2),2)&lt;=0),F999,ROUND($B$13-D1000,2))</f>
        <v/>
      </c>
      <c r="F1000" s="21">
        <f>IF((ROUND(F999-ROUND($B$13-D1000,2),2)&lt;=0),0,ROUND(F999-E1000,2))</f>
        <v/>
      </c>
    </row>
    <row r="1001">
      <c r="A1001" s="6" t="n">
        <v>985</v>
      </c>
      <c r="B1001" s="19">
        <f>IF(B8="monthly",DATE(YEAR(B7)+INT((MONTH(B7)-1+984)/12),MOD(MONTH(B7)-1+984,12)+1,1)+(DAY(B7)-1),IF(B8="weekly",B7+6888,IF(B8="biweekly",B7+13776,B7+ROUND((984*365.25)/24,0))))</f>
        <v/>
      </c>
      <c r="C1001" s="21">
        <f>IF((ROUND(F1000-ROUND($B$13-D1001,2),2)&lt;=0),ROUND(D1001+E1001,2),$B$13)</f>
        <v/>
      </c>
      <c r="D1001" s="21">
        <f>ROUND(F1000*B5/100/B10,2)</f>
        <v/>
      </c>
      <c r="E1001" s="21">
        <f>IF((ROUND(F1000-ROUND($B$13-D1001,2),2)&lt;=0),F1000,ROUND($B$13-D1001,2))</f>
        <v/>
      </c>
      <c r="F1001" s="21">
        <f>IF((ROUND(F1000-ROUND($B$13-D1001,2),2)&lt;=0),0,ROUND(F1000-E1001,2))</f>
        <v/>
      </c>
    </row>
    <row r="1002">
      <c r="A1002" s="6" t="n">
        <v>986</v>
      </c>
      <c r="B1002" s="19">
        <f>IF(B8="monthly",DATE(YEAR(B7)+INT((MONTH(B7)-1+985)/12),MOD(MONTH(B7)-1+985,12)+1,1)+(DAY(B7)-1),IF(B8="weekly",B7+6895,IF(B8="biweekly",B7+13790,B7+ROUND((985*365.25)/24,0))))</f>
        <v/>
      </c>
      <c r="C1002" s="21">
        <f>IF((ROUND(F1001-ROUND($B$13-D1002,2),2)&lt;=0),ROUND(D1002+E1002,2),$B$13)</f>
        <v/>
      </c>
      <c r="D1002" s="21">
        <f>ROUND(F1001*B5/100/B10,2)</f>
        <v/>
      </c>
      <c r="E1002" s="21">
        <f>IF((ROUND(F1001-ROUND($B$13-D1002,2),2)&lt;=0),F1001,ROUND($B$13-D1002,2))</f>
        <v/>
      </c>
      <c r="F1002" s="21">
        <f>IF((ROUND(F1001-ROUND($B$13-D1002,2),2)&lt;=0),0,ROUND(F1001-E1002,2))</f>
        <v/>
      </c>
    </row>
    <row r="1003">
      <c r="A1003" s="6" t="n">
        <v>987</v>
      </c>
      <c r="B1003" s="19">
        <f>IF(B8="monthly",DATE(YEAR(B7)+INT((MONTH(B7)-1+986)/12),MOD(MONTH(B7)-1+986,12)+1,1)+(DAY(B7)-1),IF(B8="weekly",B7+6902,IF(B8="biweekly",B7+13804,B7+ROUND((986*365.25)/24,0))))</f>
        <v/>
      </c>
      <c r="C1003" s="21">
        <f>IF((ROUND(F1002-ROUND($B$13-D1003,2),2)&lt;=0),ROUND(D1003+E1003,2),$B$13)</f>
        <v/>
      </c>
      <c r="D1003" s="21">
        <f>ROUND(F1002*B5/100/B10,2)</f>
        <v/>
      </c>
      <c r="E1003" s="21">
        <f>IF((ROUND(F1002-ROUND($B$13-D1003,2),2)&lt;=0),F1002,ROUND($B$13-D1003,2))</f>
        <v/>
      </c>
      <c r="F1003" s="21">
        <f>IF((ROUND(F1002-ROUND($B$13-D1003,2),2)&lt;=0),0,ROUND(F1002-E1003,2))</f>
        <v/>
      </c>
    </row>
    <row r="1004">
      <c r="A1004" s="6" t="n">
        <v>988</v>
      </c>
      <c r="B1004" s="19">
        <f>IF(B8="monthly",DATE(YEAR(B7)+INT((MONTH(B7)-1+987)/12),MOD(MONTH(B7)-1+987,12)+1,1)+(DAY(B7)-1),IF(B8="weekly",B7+6909,IF(B8="biweekly",B7+13818,B7+ROUND((987*365.25)/24,0))))</f>
        <v/>
      </c>
      <c r="C1004" s="21">
        <f>IF((ROUND(F1003-ROUND($B$13-D1004,2),2)&lt;=0),ROUND(D1004+E1004,2),$B$13)</f>
        <v/>
      </c>
      <c r="D1004" s="21">
        <f>ROUND(F1003*B5/100/B10,2)</f>
        <v/>
      </c>
      <c r="E1004" s="21">
        <f>IF((ROUND(F1003-ROUND($B$13-D1004,2),2)&lt;=0),F1003,ROUND($B$13-D1004,2))</f>
        <v/>
      </c>
      <c r="F1004" s="21">
        <f>IF((ROUND(F1003-ROUND($B$13-D1004,2),2)&lt;=0),0,ROUND(F1003-E1004,2))</f>
        <v/>
      </c>
    </row>
    <row r="1005">
      <c r="A1005" s="6" t="n">
        <v>989</v>
      </c>
      <c r="B1005" s="19">
        <f>IF(B8="monthly",DATE(YEAR(B7)+INT((MONTH(B7)-1+988)/12),MOD(MONTH(B7)-1+988,12)+1,1)+(DAY(B7)-1),IF(B8="weekly",B7+6916,IF(B8="biweekly",B7+13832,B7+ROUND((988*365.25)/24,0))))</f>
        <v/>
      </c>
      <c r="C1005" s="21">
        <f>IF((ROUND(F1004-ROUND($B$13-D1005,2),2)&lt;=0),ROUND(D1005+E1005,2),$B$13)</f>
        <v/>
      </c>
      <c r="D1005" s="21">
        <f>ROUND(F1004*B5/100/B10,2)</f>
        <v/>
      </c>
      <c r="E1005" s="21">
        <f>IF((ROUND(F1004-ROUND($B$13-D1005,2),2)&lt;=0),F1004,ROUND($B$13-D1005,2))</f>
        <v/>
      </c>
      <c r="F1005" s="21">
        <f>IF((ROUND(F1004-ROUND($B$13-D1005,2),2)&lt;=0),0,ROUND(F1004-E1005,2))</f>
        <v/>
      </c>
    </row>
    <row r="1006">
      <c r="A1006" s="6" t="n">
        <v>990</v>
      </c>
      <c r="B1006" s="19">
        <f>IF(B8="monthly",DATE(YEAR(B7)+INT((MONTH(B7)-1+989)/12),MOD(MONTH(B7)-1+989,12)+1,1)+(DAY(B7)-1),IF(B8="weekly",B7+6923,IF(B8="biweekly",B7+13846,B7+ROUND((989*365.25)/24,0))))</f>
        <v/>
      </c>
      <c r="C1006" s="21">
        <f>IF((ROUND(F1005-ROUND($B$13-D1006,2),2)&lt;=0),ROUND(D1006+E1006,2),$B$13)</f>
        <v/>
      </c>
      <c r="D1006" s="21">
        <f>ROUND(F1005*B5/100/B10,2)</f>
        <v/>
      </c>
      <c r="E1006" s="21">
        <f>IF((ROUND(F1005-ROUND($B$13-D1006,2),2)&lt;=0),F1005,ROUND($B$13-D1006,2))</f>
        <v/>
      </c>
      <c r="F1006" s="21">
        <f>IF((ROUND(F1005-ROUND($B$13-D1006,2),2)&lt;=0),0,ROUND(F1005-E1006,2))</f>
        <v/>
      </c>
    </row>
    <row r="1007">
      <c r="A1007" s="6" t="n">
        <v>991</v>
      </c>
      <c r="B1007" s="19">
        <f>IF(B8="monthly",DATE(YEAR(B7)+INT((MONTH(B7)-1+990)/12),MOD(MONTH(B7)-1+990,12)+1,1)+(DAY(B7)-1),IF(B8="weekly",B7+6930,IF(B8="biweekly",B7+13860,B7+ROUND((990*365.25)/24,0))))</f>
        <v/>
      </c>
      <c r="C1007" s="21">
        <f>IF((ROUND(F1006-ROUND($B$13-D1007,2),2)&lt;=0),ROUND(D1007+E1007,2),$B$13)</f>
        <v/>
      </c>
      <c r="D1007" s="21">
        <f>ROUND(F1006*B5/100/B10,2)</f>
        <v/>
      </c>
      <c r="E1007" s="21">
        <f>IF((ROUND(F1006-ROUND($B$13-D1007,2),2)&lt;=0),F1006,ROUND($B$13-D1007,2))</f>
        <v/>
      </c>
      <c r="F1007" s="21">
        <f>IF((ROUND(F1006-ROUND($B$13-D1007,2),2)&lt;=0),0,ROUND(F1006-E1007,2))</f>
        <v/>
      </c>
    </row>
    <row r="1008">
      <c r="A1008" s="6" t="n">
        <v>992</v>
      </c>
      <c r="B1008" s="19">
        <f>IF(B8="monthly",DATE(YEAR(B7)+INT((MONTH(B7)-1+991)/12),MOD(MONTH(B7)-1+991,12)+1,1)+(DAY(B7)-1),IF(B8="weekly",B7+6937,IF(B8="biweekly",B7+13874,B7+ROUND((991*365.25)/24,0))))</f>
        <v/>
      </c>
      <c r="C1008" s="21">
        <f>IF((ROUND(F1007-ROUND($B$13-D1008,2),2)&lt;=0),ROUND(D1008+E1008,2),$B$13)</f>
        <v/>
      </c>
      <c r="D1008" s="21">
        <f>ROUND(F1007*B5/100/B10,2)</f>
        <v/>
      </c>
      <c r="E1008" s="21">
        <f>IF((ROUND(F1007-ROUND($B$13-D1008,2),2)&lt;=0),F1007,ROUND($B$13-D1008,2))</f>
        <v/>
      </c>
      <c r="F1008" s="21">
        <f>IF((ROUND(F1007-ROUND($B$13-D1008,2),2)&lt;=0),0,ROUND(F1007-E1008,2))</f>
        <v/>
      </c>
    </row>
    <row r="1009">
      <c r="A1009" s="6" t="n">
        <v>993</v>
      </c>
      <c r="B1009" s="19">
        <f>IF(B8="monthly",DATE(YEAR(B7)+INT((MONTH(B7)-1+992)/12),MOD(MONTH(B7)-1+992,12)+1,1)+(DAY(B7)-1),IF(B8="weekly",B7+6944,IF(B8="biweekly",B7+13888,B7+ROUND((992*365.25)/24,0))))</f>
        <v/>
      </c>
      <c r="C1009" s="21">
        <f>IF((ROUND(F1008-ROUND($B$13-D1009,2),2)&lt;=0),ROUND(D1009+E1009,2),$B$13)</f>
        <v/>
      </c>
      <c r="D1009" s="21">
        <f>ROUND(F1008*B5/100/B10,2)</f>
        <v/>
      </c>
      <c r="E1009" s="21">
        <f>IF((ROUND(F1008-ROUND($B$13-D1009,2),2)&lt;=0),F1008,ROUND($B$13-D1009,2))</f>
        <v/>
      </c>
      <c r="F1009" s="21">
        <f>IF((ROUND(F1008-ROUND($B$13-D1009,2),2)&lt;=0),0,ROUND(F1008-E1009,2))</f>
        <v/>
      </c>
    </row>
    <row r="1010">
      <c r="A1010" s="6" t="n">
        <v>994</v>
      </c>
      <c r="B1010" s="19">
        <f>IF(B8="monthly",DATE(YEAR(B7)+INT((MONTH(B7)-1+993)/12),MOD(MONTH(B7)-1+993,12)+1,1)+(DAY(B7)-1),IF(B8="weekly",B7+6951,IF(B8="biweekly",B7+13902,B7+ROUND((993*365.25)/24,0))))</f>
        <v/>
      </c>
      <c r="C1010" s="21">
        <f>IF((ROUND(F1009-ROUND($B$13-D1010,2),2)&lt;=0),ROUND(D1010+E1010,2),$B$13)</f>
        <v/>
      </c>
      <c r="D1010" s="21">
        <f>ROUND(F1009*B5/100/B10,2)</f>
        <v/>
      </c>
      <c r="E1010" s="21">
        <f>IF((ROUND(F1009-ROUND($B$13-D1010,2),2)&lt;=0),F1009,ROUND($B$13-D1010,2))</f>
        <v/>
      </c>
      <c r="F1010" s="21">
        <f>IF((ROUND(F1009-ROUND($B$13-D1010,2),2)&lt;=0),0,ROUND(F1009-E1010,2))</f>
        <v/>
      </c>
    </row>
    <row r="1011">
      <c r="A1011" s="6" t="n">
        <v>995</v>
      </c>
      <c r="B1011" s="19">
        <f>IF(B8="monthly",DATE(YEAR(B7)+INT((MONTH(B7)-1+994)/12),MOD(MONTH(B7)-1+994,12)+1,1)+(DAY(B7)-1),IF(B8="weekly",B7+6958,IF(B8="biweekly",B7+13916,B7+ROUND((994*365.25)/24,0))))</f>
        <v/>
      </c>
      <c r="C1011" s="21">
        <f>IF((ROUND(F1010-ROUND($B$13-D1011,2),2)&lt;=0),ROUND(D1011+E1011,2),$B$13)</f>
        <v/>
      </c>
      <c r="D1011" s="21">
        <f>ROUND(F1010*B5/100/B10,2)</f>
        <v/>
      </c>
      <c r="E1011" s="21">
        <f>IF((ROUND(F1010-ROUND($B$13-D1011,2),2)&lt;=0),F1010,ROUND($B$13-D1011,2))</f>
        <v/>
      </c>
      <c r="F1011" s="21">
        <f>IF((ROUND(F1010-ROUND($B$13-D1011,2),2)&lt;=0),0,ROUND(F1010-E1011,2))</f>
        <v/>
      </c>
    </row>
    <row r="1012">
      <c r="A1012" s="6" t="n">
        <v>996</v>
      </c>
      <c r="B1012" s="19">
        <f>IF(B8="monthly",DATE(YEAR(B7)+INT((MONTH(B7)-1+995)/12),MOD(MONTH(B7)-1+995,12)+1,1)+(DAY(B7)-1),IF(B8="weekly",B7+6965,IF(B8="biweekly",B7+13930,B7+ROUND((995*365.25)/24,0))))</f>
        <v/>
      </c>
      <c r="C1012" s="21">
        <f>IF((ROUND(F1011-ROUND($B$13-D1012,2),2)&lt;=0),ROUND(D1012+E1012,2),$B$13)</f>
        <v/>
      </c>
      <c r="D1012" s="21">
        <f>ROUND(F1011*B5/100/B10,2)</f>
        <v/>
      </c>
      <c r="E1012" s="21">
        <f>IF((ROUND(F1011-ROUND($B$13-D1012,2),2)&lt;=0),F1011,ROUND($B$13-D1012,2))</f>
        <v/>
      </c>
      <c r="F1012" s="21">
        <f>IF((ROUND(F1011-ROUND($B$13-D1012,2),2)&lt;=0),0,ROUND(F1011-E1012,2))</f>
        <v/>
      </c>
    </row>
    <row r="1013">
      <c r="A1013" s="6" t="n">
        <v>997</v>
      </c>
      <c r="B1013" s="19">
        <f>IF(B8="monthly",DATE(YEAR(B7)+INT((MONTH(B7)-1+996)/12),MOD(MONTH(B7)-1+996,12)+1,1)+(DAY(B7)-1),IF(B8="weekly",B7+6972,IF(B8="biweekly",B7+13944,B7+ROUND((996*365.25)/24,0))))</f>
        <v/>
      </c>
      <c r="C1013" s="21">
        <f>IF((ROUND(F1012-ROUND($B$13-D1013,2),2)&lt;=0),ROUND(D1013+E1013,2),$B$13)</f>
        <v/>
      </c>
      <c r="D1013" s="21">
        <f>ROUND(F1012*B5/100/B10,2)</f>
        <v/>
      </c>
      <c r="E1013" s="21">
        <f>IF((ROUND(F1012-ROUND($B$13-D1013,2),2)&lt;=0),F1012,ROUND($B$13-D1013,2))</f>
        <v/>
      </c>
      <c r="F1013" s="21">
        <f>IF((ROUND(F1012-ROUND($B$13-D1013,2),2)&lt;=0),0,ROUND(F1012-E1013,2))</f>
        <v/>
      </c>
    </row>
    <row r="1014">
      <c r="A1014" s="6" t="n">
        <v>998</v>
      </c>
      <c r="B1014" s="19">
        <f>IF(B8="monthly",DATE(YEAR(B7)+INT((MONTH(B7)-1+997)/12),MOD(MONTH(B7)-1+997,12)+1,1)+(DAY(B7)-1),IF(B8="weekly",B7+6979,IF(B8="biweekly",B7+13958,B7+ROUND((997*365.25)/24,0))))</f>
        <v/>
      </c>
      <c r="C1014" s="21">
        <f>IF((ROUND(F1013-ROUND($B$13-D1014,2),2)&lt;=0),ROUND(D1014+E1014,2),$B$13)</f>
        <v/>
      </c>
      <c r="D1014" s="21">
        <f>ROUND(F1013*B5/100/B10,2)</f>
        <v/>
      </c>
      <c r="E1014" s="21">
        <f>IF((ROUND(F1013-ROUND($B$13-D1014,2),2)&lt;=0),F1013,ROUND($B$13-D1014,2))</f>
        <v/>
      </c>
      <c r="F1014" s="21">
        <f>IF((ROUND(F1013-ROUND($B$13-D1014,2),2)&lt;=0),0,ROUND(F1013-E1014,2))</f>
        <v/>
      </c>
    </row>
    <row r="1015">
      <c r="A1015" s="6" t="n">
        <v>999</v>
      </c>
      <c r="B1015" s="19">
        <f>IF(B8="monthly",DATE(YEAR(B7)+INT((MONTH(B7)-1+998)/12),MOD(MONTH(B7)-1+998,12)+1,1)+(DAY(B7)-1),IF(B8="weekly",B7+6986,IF(B8="biweekly",B7+13972,B7+ROUND((998*365.25)/24,0))))</f>
        <v/>
      </c>
      <c r="C1015" s="21">
        <f>IF((ROUND(F1014-ROUND($B$13-D1015,2),2)&lt;=0),ROUND(D1015+E1015,2),$B$13)</f>
        <v/>
      </c>
      <c r="D1015" s="21">
        <f>ROUND(F1014*B5/100/B10,2)</f>
        <v/>
      </c>
      <c r="E1015" s="21">
        <f>IF((ROUND(F1014-ROUND($B$13-D1015,2),2)&lt;=0),F1014,ROUND($B$13-D1015,2))</f>
        <v/>
      </c>
      <c r="F1015" s="21">
        <f>IF((ROUND(F1014-ROUND($B$13-D1015,2),2)&lt;=0),0,ROUND(F1014-E1015,2))</f>
        <v/>
      </c>
    </row>
    <row r="1016">
      <c r="A1016" s="6" t="n">
        <v>1000</v>
      </c>
      <c r="B1016" s="19">
        <f>IF(B8="monthly",DATE(YEAR(B7)+INT((MONTH(B7)-1+999)/12),MOD(MONTH(B7)-1+999,12)+1,1)+(DAY(B7)-1),IF(B8="weekly",B7+6993,IF(B8="biweekly",B7+13986,B7+ROUND((999*365.25)/24,0))))</f>
        <v/>
      </c>
      <c r="C1016" s="21">
        <f>IF((ROUND(F1015-ROUND($B$13-D1016,2),2)&lt;=0),ROUND(D1016+E1016,2),$B$13)</f>
        <v/>
      </c>
      <c r="D1016" s="21">
        <f>ROUND(F1015*B5/100/B10,2)</f>
        <v/>
      </c>
      <c r="E1016" s="21">
        <f>IF((ROUND(F1015-ROUND($B$13-D1016,2),2)&lt;=0),F1015,ROUND($B$13-D1016,2))</f>
        <v/>
      </c>
      <c r="F1016" s="21">
        <f>IF((ROUND(F1015-ROUND($B$13-D1016,2),2)&lt;=0),0,ROUND(F1015-E1016,2))</f>
        <v/>
      </c>
    </row>
    <row r="1017">
      <c r="A1017" s="6" t="n">
        <v>1001</v>
      </c>
      <c r="B1017" s="19">
        <f>IF(B8="monthly",DATE(YEAR(B7)+INT((MONTH(B7)-1+1000)/12),MOD(MONTH(B7)-1+1000,12)+1,1)+(DAY(B7)-1),IF(B8="weekly",B7+7000,IF(B8="biweekly",B7+14000,B7+ROUND((1000*365.25)/24,0))))</f>
        <v/>
      </c>
      <c r="C1017" s="21">
        <f>IF((ROUND(F1016-ROUND($B$13-D1017,2),2)&lt;=0),ROUND(D1017+E1017,2),$B$13)</f>
        <v/>
      </c>
      <c r="D1017" s="21">
        <f>ROUND(F1016*B5/100/B10,2)</f>
        <v/>
      </c>
      <c r="E1017" s="21">
        <f>IF((ROUND(F1016-ROUND($B$13-D1017,2),2)&lt;=0),F1016,ROUND($B$13-D1017,2))</f>
        <v/>
      </c>
      <c r="F1017" s="21">
        <f>IF((ROUND(F1016-ROUND($B$13-D1017,2),2)&lt;=0),0,ROUND(F1016-E1017,2))</f>
        <v/>
      </c>
    </row>
    <row r="1018">
      <c r="A1018" s="6" t="n">
        <v>1002</v>
      </c>
      <c r="B1018" s="19">
        <f>IF(B8="monthly",DATE(YEAR(B7)+INT((MONTH(B7)-1+1001)/12),MOD(MONTH(B7)-1+1001,12)+1,1)+(DAY(B7)-1),IF(B8="weekly",B7+7007,IF(B8="biweekly",B7+14014,B7+ROUND((1001*365.25)/24,0))))</f>
        <v/>
      </c>
      <c r="C1018" s="21">
        <f>IF((ROUND(F1017-ROUND($B$13-D1018,2),2)&lt;=0),ROUND(D1018+E1018,2),$B$13)</f>
        <v/>
      </c>
      <c r="D1018" s="21">
        <f>ROUND(F1017*B5/100/B10,2)</f>
        <v/>
      </c>
      <c r="E1018" s="21">
        <f>IF((ROUND(F1017-ROUND($B$13-D1018,2),2)&lt;=0),F1017,ROUND($B$13-D1018,2))</f>
        <v/>
      </c>
      <c r="F1018" s="21">
        <f>IF((ROUND(F1017-ROUND($B$13-D1018,2),2)&lt;=0),0,ROUND(F1017-E1018,2))</f>
        <v/>
      </c>
    </row>
    <row r="1019">
      <c r="A1019" s="6" t="n">
        <v>1003</v>
      </c>
      <c r="B1019" s="19">
        <f>IF(B8="monthly",DATE(YEAR(B7)+INT((MONTH(B7)-1+1002)/12),MOD(MONTH(B7)-1+1002,12)+1,1)+(DAY(B7)-1),IF(B8="weekly",B7+7014,IF(B8="biweekly",B7+14028,B7+ROUND((1002*365.25)/24,0))))</f>
        <v/>
      </c>
      <c r="C1019" s="21">
        <f>IF((ROUND(F1018-ROUND($B$13-D1019,2),2)&lt;=0),ROUND(D1019+E1019,2),$B$13)</f>
        <v/>
      </c>
      <c r="D1019" s="21">
        <f>ROUND(F1018*B5/100/B10,2)</f>
        <v/>
      </c>
      <c r="E1019" s="21">
        <f>IF((ROUND(F1018-ROUND($B$13-D1019,2),2)&lt;=0),F1018,ROUND($B$13-D1019,2))</f>
        <v/>
      </c>
      <c r="F1019" s="21">
        <f>IF((ROUND(F1018-ROUND($B$13-D1019,2),2)&lt;=0),0,ROUND(F1018-E1019,2))</f>
        <v/>
      </c>
    </row>
    <row r="1020">
      <c r="A1020" s="6" t="n">
        <v>1004</v>
      </c>
      <c r="B1020" s="19">
        <f>IF(B8="monthly",DATE(YEAR(B7)+INT((MONTH(B7)-1+1003)/12),MOD(MONTH(B7)-1+1003,12)+1,1)+(DAY(B7)-1),IF(B8="weekly",B7+7021,IF(B8="biweekly",B7+14042,B7+ROUND((1003*365.25)/24,0))))</f>
        <v/>
      </c>
      <c r="C1020" s="21">
        <f>IF((ROUND(F1019-ROUND($B$13-D1020,2),2)&lt;=0),ROUND(D1020+E1020,2),$B$13)</f>
        <v/>
      </c>
      <c r="D1020" s="21">
        <f>ROUND(F1019*B5/100/B10,2)</f>
        <v/>
      </c>
      <c r="E1020" s="21">
        <f>IF((ROUND(F1019-ROUND($B$13-D1020,2),2)&lt;=0),F1019,ROUND($B$13-D1020,2))</f>
        <v/>
      </c>
      <c r="F1020" s="21">
        <f>IF((ROUND(F1019-ROUND($B$13-D1020,2),2)&lt;=0),0,ROUND(F1019-E1020,2))</f>
        <v/>
      </c>
    </row>
    <row r="1021">
      <c r="A1021" s="6" t="n">
        <v>1005</v>
      </c>
      <c r="B1021" s="19">
        <f>IF(B8="monthly",DATE(YEAR(B7)+INT((MONTH(B7)-1+1004)/12),MOD(MONTH(B7)-1+1004,12)+1,1)+(DAY(B7)-1),IF(B8="weekly",B7+7028,IF(B8="biweekly",B7+14056,B7+ROUND((1004*365.25)/24,0))))</f>
        <v/>
      </c>
      <c r="C1021" s="21">
        <f>IF((ROUND(F1020-ROUND($B$13-D1021,2),2)&lt;=0),ROUND(D1021+E1021,2),$B$13)</f>
        <v/>
      </c>
      <c r="D1021" s="21">
        <f>ROUND(F1020*B5/100/B10,2)</f>
        <v/>
      </c>
      <c r="E1021" s="21">
        <f>IF((ROUND(F1020-ROUND($B$13-D1021,2),2)&lt;=0),F1020,ROUND($B$13-D1021,2))</f>
        <v/>
      </c>
      <c r="F1021" s="21">
        <f>IF((ROUND(F1020-ROUND($B$13-D1021,2),2)&lt;=0),0,ROUND(F1020-E1021,2))</f>
        <v/>
      </c>
    </row>
    <row r="1022">
      <c r="A1022" s="6" t="n">
        <v>1006</v>
      </c>
      <c r="B1022" s="19">
        <f>IF(B8="monthly",DATE(YEAR(B7)+INT((MONTH(B7)-1+1005)/12),MOD(MONTH(B7)-1+1005,12)+1,1)+(DAY(B7)-1),IF(B8="weekly",B7+7035,IF(B8="biweekly",B7+14070,B7+ROUND((1005*365.25)/24,0))))</f>
        <v/>
      </c>
      <c r="C1022" s="21">
        <f>IF((ROUND(F1021-ROUND($B$13-D1022,2),2)&lt;=0),ROUND(D1022+E1022,2),$B$13)</f>
        <v/>
      </c>
      <c r="D1022" s="21">
        <f>ROUND(F1021*B5/100/B10,2)</f>
        <v/>
      </c>
      <c r="E1022" s="21">
        <f>IF((ROUND(F1021-ROUND($B$13-D1022,2),2)&lt;=0),F1021,ROUND($B$13-D1022,2))</f>
        <v/>
      </c>
      <c r="F1022" s="21">
        <f>IF((ROUND(F1021-ROUND($B$13-D1022,2),2)&lt;=0),0,ROUND(F1021-E1022,2))</f>
        <v/>
      </c>
    </row>
    <row r="1023">
      <c r="A1023" s="6" t="n">
        <v>1007</v>
      </c>
      <c r="B1023" s="19">
        <f>IF(B8="monthly",DATE(YEAR(B7)+INT((MONTH(B7)-1+1006)/12),MOD(MONTH(B7)-1+1006,12)+1,1)+(DAY(B7)-1),IF(B8="weekly",B7+7042,IF(B8="biweekly",B7+14084,B7+ROUND((1006*365.25)/24,0))))</f>
        <v/>
      </c>
      <c r="C1023" s="21">
        <f>IF((ROUND(F1022-ROUND($B$13-D1023,2),2)&lt;=0),ROUND(D1023+E1023,2),$B$13)</f>
        <v/>
      </c>
      <c r="D1023" s="21">
        <f>ROUND(F1022*B5/100/B10,2)</f>
        <v/>
      </c>
      <c r="E1023" s="21">
        <f>IF((ROUND(F1022-ROUND($B$13-D1023,2),2)&lt;=0),F1022,ROUND($B$13-D1023,2))</f>
        <v/>
      </c>
      <c r="F1023" s="21">
        <f>IF((ROUND(F1022-ROUND($B$13-D1023,2),2)&lt;=0),0,ROUND(F1022-E1023,2))</f>
        <v/>
      </c>
    </row>
    <row r="1024">
      <c r="A1024" s="6" t="n">
        <v>1008</v>
      </c>
      <c r="B1024" s="19">
        <f>IF(B8="monthly",DATE(YEAR(B7)+INT((MONTH(B7)-1+1007)/12),MOD(MONTH(B7)-1+1007,12)+1,1)+(DAY(B7)-1),IF(B8="weekly",B7+7049,IF(B8="biweekly",B7+14098,B7+ROUND((1007*365.25)/24,0))))</f>
        <v/>
      </c>
      <c r="C1024" s="21">
        <f>IF((ROUND(F1023-ROUND($B$13-D1024,2),2)&lt;=0),ROUND(D1024+E1024,2),$B$13)</f>
        <v/>
      </c>
      <c r="D1024" s="21">
        <f>ROUND(F1023*B5/100/B10,2)</f>
        <v/>
      </c>
      <c r="E1024" s="21">
        <f>IF((ROUND(F1023-ROUND($B$13-D1024,2),2)&lt;=0),F1023,ROUND($B$13-D1024,2))</f>
        <v/>
      </c>
      <c r="F1024" s="21">
        <f>IF((ROUND(F1023-ROUND($B$13-D1024,2),2)&lt;=0),0,ROUND(F1023-E1024,2))</f>
        <v/>
      </c>
    </row>
    <row r="1025">
      <c r="A1025" s="6" t="n">
        <v>1009</v>
      </c>
      <c r="B1025" s="19">
        <f>IF(B8="monthly",DATE(YEAR(B7)+INT((MONTH(B7)-1+1008)/12),MOD(MONTH(B7)-1+1008,12)+1,1)+(DAY(B7)-1),IF(B8="weekly",B7+7056,IF(B8="biweekly",B7+14112,B7+ROUND((1008*365.25)/24,0))))</f>
        <v/>
      </c>
      <c r="C1025" s="21">
        <f>IF((ROUND(F1024-ROUND($B$13-D1025,2),2)&lt;=0),ROUND(D1025+E1025,2),$B$13)</f>
        <v/>
      </c>
      <c r="D1025" s="21">
        <f>ROUND(F1024*B5/100/B10,2)</f>
        <v/>
      </c>
      <c r="E1025" s="21">
        <f>IF((ROUND(F1024-ROUND($B$13-D1025,2),2)&lt;=0),F1024,ROUND($B$13-D1025,2))</f>
        <v/>
      </c>
      <c r="F1025" s="21">
        <f>IF((ROUND(F1024-ROUND($B$13-D1025,2),2)&lt;=0),0,ROUND(F1024-E1025,2))</f>
        <v/>
      </c>
    </row>
    <row r="1026">
      <c r="A1026" s="6" t="n">
        <v>1010</v>
      </c>
      <c r="B1026" s="19">
        <f>IF(B8="monthly",DATE(YEAR(B7)+INT((MONTH(B7)-1+1009)/12),MOD(MONTH(B7)-1+1009,12)+1,1)+(DAY(B7)-1),IF(B8="weekly",B7+7063,IF(B8="biweekly",B7+14126,B7+ROUND((1009*365.25)/24,0))))</f>
        <v/>
      </c>
      <c r="C1026" s="21">
        <f>IF((ROUND(F1025-ROUND($B$13-D1026,2),2)&lt;=0),ROUND(D1026+E1026,2),$B$13)</f>
        <v/>
      </c>
      <c r="D1026" s="21">
        <f>ROUND(F1025*B5/100/B10,2)</f>
        <v/>
      </c>
      <c r="E1026" s="21">
        <f>IF((ROUND(F1025-ROUND($B$13-D1026,2),2)&lt;=0),F1025,ROUND($B$13-D1026,2))</f>
        <v/>
      </c>
      <c r="F1026" s="21">
        <f>IF((ROUND(F1025-ROUND($B$13-D1026,2),2)&lt;=0),0,ROUND(F1025-E1026,2))</f>
        <v/>
      </c>
    </row>
    <row r="1027">
      <c r="A1027" s="6" t="n">
        <v>1011</v>
      </c>
      <c r="B1027" s="19">
        <f>IF(B8="monthly",DATE(YEAR(B7)+INT((MONTH(B7)-1+1010)/12),MOD(MONTH(B7)-1+1010,12)+1,1)+(DAY(B7)-1),IF(B8="weekly",B7+7070,IF(B8="biweekly",B7+14140,B7+ROUND((1010*365.25)/24,0))))</f>
        <v/>
      </c>
      <c r="C1027" s="21">
        <f>IF((ROUND(F1026-ROUND($B$13-D1027,2),2)&lt;=0),ROUND(D1027+E1027,2),$B$13)</f>
        <v/>
      </c>
      <c r="D1027" s="21">
        <f>ROUND(F1026*B5/100/B10,2)</f>
        <v/>
      </c>
      <c r="E1027" s="21">
        <f>IF((ROUND(F1026-ROUND($B$13-D1027,2),2)&lt;=0),F1026,ROUND($B$13-D1027,2))</f>
        <v/>
      </c>
      <c r="F1027" s="21">
        <f>IF((ROUND(F1026-ROUND($B$13-D1027,2),2)&lt;=0),0,ROUND(F1026-E1027,2))</f>
        <v/>
      </c>
    </row>
    <row r="1028">
      <c r="A1028" s="6" t="n">
        <v>1012</v>
      </c>
      <c r="B1028" s="19">
        <f>IF(B8="monthly",DATE(YEAR(B7)+INT((MONTH(B7)-1+1011)/12),MOD(MONTH(B7)-1+1011,12)+1,1)+(DAY(B7)-1),IF(B8="weekly",B7+7077,IF(B8="biweekly",B7+14154,B7+ROUND((1011*365.25)/24,0))))</f>
        <v/>
      </c>
      <c r="C1028" s="21">
        <f>IF((ROUND(F1027-ROUND($B$13-D1028,2),2)&lt;=0),ROUND(D1028+E1028,2),$B$13)</f>
        <v/>
      </c>
      <c r="D1028" s="21">
        <f>ROUND(F1027*B5/100/B10,2)</f>
        <v/>
      </c>
      <c r="E1028" s="21">
        <f>IF((ROUND(F1027-ROUND($B$13-D1028,2),2)&lt;=0),F1027,ROUND($B$13-D1028,2))</f>
        <v/>
      </c>
      <c r="F1028" s="21">
        <f>IF((ROUND(F1027-ROUND($B$13-D1028,2),2)&lt;=0),0,ROUND(F1027-E1028,2))</f>
        <v/>
      </c>
    </row>
    <row r="1029">
      <c r="A1029" s="6" t="n">
        <v>1013</v>
      </c>
      <c r="B1029" s="19">
        <f>IF(B8="monthly",DATE(YEAR(B7)+INT((MONTH(B7)-1+1012)/12),MOD(MONTH(B7)-1+1012,12)+1,1)+(DAY(B7)-1),IF(B8="weekly",B7+7084,IF(B8="biweekly",B7+14168,B7+ROUND((1012*365.25)/24,0))))</f>
        <v/>
      </c>
      <c r="C1029" s="21">
        <f>IF((ROUND(F1028-ROUND($B$13-D1029,2),2)&lt;=0),ROUND(D1029+E1029,2),$B$13)</f>
        <v/>
      </c>
      <c r="D1029" s="21">
        <f>ROUND(F1028*B5/100/B10,2)</f>
        <v/>
      </c>
      <c r="E1029" s="21">
        <f>IF((ROUND(F1028-ROUND($B$13-D1029,2),2)&lt;=0),F1028,ROUND($B$13-D1029,2))</f>
        <v/>
      </c>
      <c r="F1029" s="21">
        <f>IF((ROUND(F1028-ROUND($B$13-D1029,2),2)&lt;=0),0,ROUND(F1028-E1029,2))</f>
        <v/>
      </c>
    </row>
    <row r="1030">
      <c r="A1030" s="6" t="n">
        <v>1014</v>
      </c>
      <c r="B1030" s="19">
        <f>IF(B8="monthly",DATE(YEAR(B7)+INT((MONTH(B7)-1+1013)/12),MOD(MONTH(B7)-1+1013,12)+1,1)+(DAY(B7)-1),IF(B8="weekly",B7+7091,IF(B8="biweekly",B7+14182,B7+ROUND((1013*365.25)/24,0))))</f>
        <v/>
      </c>
      <c r="C1030" s="21">
        <f>IF((ROUND(F1029-ROUND($B$13-D1030,2),2)&lt;=0),ROUND(D1030+E1030,2),$B$13)</f>
        <v/>
      </c>
      <c r="D1030" s="21">
        <f>ROUND(F1029*B5/100/B10,2)</f>
        <v/>
      </c>
      <c r="E1030" s="21">
        <f>IF((ROUND(F1029-ROUND($B$13-D1030,2),2)&lt;=0),F1029,ROUND($B$13-D1030,2))</f>
        <v/>
      </c>
      <c r="F1030" s="21">
        <f>IF((ROUND(F1029-ROUND($B$13-D1030,2),2)&lt;=0),0,ROUND(F1029-E1030,2))</f>
        <v/>
      </c>
    </row>
    <row r="1031">
      <c r="A1031" s="6" t="n">
        <v>1015</v>
      </c>
      <c r="B1031" s="19">
        <f>IF(B8="monthly",DATE(YEAR(B7)+INT((MONTH(B7)-1+1014)/12),MOD(MONTH(B7)-1+1014,12)+1,1)+(DAY(B7)-1),IF(B8="weekly",B7+7098,IF(B8="biweekly",B7+14196,B7+ROUND((1014*365.25)/24,0))))</f>
        <v/>
      </c>
      <c r="C1031" s="21">
        <f>IF((ROUND(F1030-ROUND($B$13-D1031,2),2)&lt;=0),ROUND(D1031+E1031,2),$B$13)</f>
        <v/>
      </c>
      <c r="D1031" s="21">
        <f>ROUND(F1030*B5/100/B10,2)</f>
        <v/>
      </c>
      <c r="E1031" s="21">
        <f>IF((ROUND(F1030-ROUND($B$13-D1031,2),2)&lt;=0),F1030,ROUND($B$13-D1031,2))</f>
        <v/>
      </c>
      <c r="F1031" s="21">
        <f>IF((ROUND(F1030-ROUND($B$13-D1031,2),2)&lt;=0),0,ROUND(F1030-E1031,2))</f>
        <v/>
      </c>
    </row>
    <row r="1032">
      <c r="A1032" s="6" t="n">
        <v>1016</v>
      </c>
      <c r="B1032" s="19">
        <f>IF(B8="monthly",DATE(YEAR(B7)+INT((MONTH(B7)-1+1015)/12),MOD(MONTH(B7)-1+1015,12)+1,1)+(DAY(B7)-1),IF(B8="weekly",B7+7105,IF(B8="biweekly",B7+14210,B7+ROUND((1015*365.25)/24,0))))</f>
        <v/>
      </c>
      <c r="C1032" s="21">
        <f>IF((ROUND(F1031-ROUND($B$13-D1032,2),2)&lt;=0),ROUND(D1032+E1032,2),$B$13)</f>
        <v/>
      </c>
      <c r="D1032" s="21">
        <f>ROUND(F1031*B5/100/B10,2)</f>
        <v/>
      </c>
      <c r="E1032" s="21">
        <f>IF((ROUND(F1031-ROUND($B$13-D1032,2),2)&lt;=0),F1031,ROUND($B$13-D1032,2))</f>
        <v/>
      </c>
      <c r="F1032" s="21">
        <f>IF((ROUND(F1031-ROUND($B$13-D1032,2),2)&lt;=0),0,ROUND(F1031-E1032,2))</f>
        <v/>
      </c>
    </row>
    <row r="1033">
      <c r="A1033" s="6" t="n">
        <v>1017</v>
      </c>
      <c r="B1033" s="19">
        <f>IF(B8="monthly",DATE(YEAR(B7)+INT((MONTH(B7)-1+1016)/12),MOD(MONTH(B7)-1+1016,12)+1,1)+(DAY(B7)-1),IF(B8="weekly",B7+7112,IF(B8="biweekly",B7+14224,B7+ROUND((1016*365.25)/24,0))))</f>
        <v/>
      </c>
      <c r="C1033" s="21">
        <f>IF((ROUND(F1032-ROUND($B$13-D1033,2),2)&lt;=0),ROUND(D1033+E1033,2),$B$13)</f>
        <v/>
      </c>
      <c r="D1033" s="21">
        <f>ROUND(F1032*B5/100/B10,2)</f>
        <v/>
      </c>
      <c r="E1033" s="21">
        <f>IF((ROUND(F1032-ROUND($B$13-D1033,2),2)&lt;=0),F1032,ROUND($B$13-D1033,2))</f>
        <v/>
      </c>
      <c r="F1033" s="21">
        <f>IF((ROUND(F1032-ROUND($B$13-D1033,2),2)&lt;=0),0,ROUND(F1032-E1033,2))</f>
        <v/>
      </c>
    </row>
    <row r="1034">
      <c r="A1034" s="6" t="n">
        <v>1018</v>
      </c>
      <c r="B1034" s="19">
        <f>IF(B8="monthly",DATE(YEAR(B7)+INT((MONTH(B7)-1+1017)/12),MOD(MONTH(B7)-1+1017,12)+1,1)+(DAY(B7)-1),IF(B8="weekly",B7+7119,IF(B8="biweekly",B7+14238,B7+ROUND((1017*365.25)/24,0))))</f>
        <v/>
      </c>
      <c r="C1034" s="21">
        <f>IF((ROUND(F1033-ROUND($B$13-D1034,2),2)&lt;=0),ROUND(D1034+E1034,2),$B$13)</f>
        <v/>
      </c>
      <c r="D1034" s="21">
        <f>ROUND(F1033*B5/100/B10,2)</f>
        <v/>
      </c>
      <c r="E1034" s="21">
        <f>IF((ROUND(F1033-ROUND($B$13-D1034,2),2)&lt;=0),F1033,ROUND($B$13-D1034,2))</f>
        <v/>
      </c>
      <c r="F1034" s="21">
        <f>IF((ROUND(F1033-ROUND($B$13-D1034,2),2)&lt;=0),0,ROUND(F1033-E1034,2))</f>
        <v/>
      </c>
    </row>
    <row r="1035">
      <c r="A1035" s="6" t="n">
        <v>1019</v>
      </c>
      <c r="B1035" s="19">
        <f>IF(B8="monthly",DATE(YEAR(B7)+INT((MONTH(B7)-1+1018)/12),MOD(MONTH(B7)-1+1018,12)+1,1)+(DAY(B7)-1),IF(B8="weekly",B7+7126,IF(B8="biweekly",B7+14252,B7+ROUND((1018*365.25)/24,0))))</f>
        <v/>
      </c>
      <c r="C1035" s="21">
        <f>IF((ROUND(F1034-ROUND($B$13-D1035,2),2)&lt;=0),ROUND(D1035+E1035,2),$B$13)</f>
        <v/>
      </c>
      <c r="D1035" s="21">
        <f>ROUND(F1034*B5/100/B10,2)</f>
        <v/>
      </c>
      <c r="E1035" s="21">
        <f>IF((ROUND(F1034-ROUND($B$13-D1035,2),2)&lt;=0),F1034,ROUND($B$13-D1035,2))</f>
        <v/>
      </c>
      <c r="F1035" s="21">
        <f>IF((ROUND(F1034-ROUND($B$13-D1035,2),2)&lt;=0),0,ROUND(F1034-E1035,2))</f>
        <v/>
      </c>
    </row>
    <row r="1036">
      <c r="A1036" s="6" t="n">
        <v>1020</v>
      </c>
      <c r="B1036" s="19">
        <f>IF(B8="monthly",DATE(YEAR(B7)+INT((MONTH(B7)-1+1019)/12),MOD(MONTH(B7)-1+1019,12)+1,1)+(DAY(B7)-1),IF(B8="weekly",B7+7133,IF(B8="biweekly",B7+14266,B7+ROUND((1019*365.25)/24,0))))</f>
        <v/>
      </c>
      <c r="C1036" s="21">
        <f>IF((ROUND(F1035-ROUND($B$13-D1036,2),2)&lt;=0),ROUND(D1036+E1036,2),$B$13)</f>
        <v/>
      </c>
      <c r="D1036" s="21">
        <f>ROUND(F1035*B5/100/B10,2)</f>
        <v/>
      </c>
      <c r="E1036" s="21">
        <f>IF((ROUND(F1035-ROUND($B$13-D1036,2),2)&lt;=0),F1035,ROUND($B$13-D1036,2))</f>
        <v/>
      </c>
      <c r="F1036" s="21">
        <f>IF((ROUND(F1035-ROUND($B$13-D1036,2),2)&lt;=0),0,ROUND(F1035-E1036,2))</f>
        <v/>
      </c>
    </row>
    <row r="1037">
      <c r="A1037" s="6" t="n">
        <v>1021</v>
      </c>
      <c r="B1037" s="19">
        <f>IF(B8="monthly",DATE(YEAR(B7)+INT((MONTH(B7)-1+1020)/12),MOD(MONTH(B7)-1+1020,12)+1,1)+(DAY(B7)-1),IF(B8="weekly",B7+7140,IF(B8="biweekly",B7+14280,B7+ROUND((1020*365.25)/24,0))))</f>
        <v/>
      </c>
      <c r="C1037" s="21">
        <f>IF((ROUND(F1036-ROUND($B$13-D1037,2),2)&lt;=0),ROUND(D1037+E1037,2),$B$13)</f>
        <v/>
      </c>
      <c r="D1037" s="21">
        <f>ROUND(F1036*B5/100/B10,2)</f>
        <v/>
      </c>
      <c r="E1037" s="21">
        <f>IF((ROUND(F1036-ROUND($B$13-D1037,2),2)&lt;=0),F1036,ROUND($B$13-D1037,2))</f>
        <v/>
      </c>
      <c r="F1037" s="21">
        <f>IF((ROUND(F1036-ROUND($B$13-D1037,2),2)&lt;=0),0,ROUND(F1036-E1037,2))</f>
        <v/>
      </c>
    </row>
    <row r="1038">
      <c r="A1038" s="6" t="n">
        <v>1022</v>
      </c>
      <c r="B1038" s="19">
        <f>IF(B8="monthly",DATE(YEAR(B7)+INT((MONTH(B7)-1+1021)/12),MOD(MONTH(B7)-1+1021,12)+1,1)+(DAY(B7)-1),IF(B8="weekly",B7+7147,IF(B8="biweekly",B7+14294,B7+ROUND((1021*365.25)/24,0))))</f>
        <v/>
      </c>
      <c r="C1038" s="21">
        <f>IF((ROUND(F1037-ROUND($B$13-D1038,2),2)&lt;=0),ROUND(D1038+E1038,2),$B$13)</f>
        <v/>
      </c>
      <c r="D1038" s="21">
        <f>ROUND(F1037*B5/100/B10,2)</f>
        <v/>
      </c>
      <c r="E1038" s="21">
        <f>IF((ROUND(F1037-ROUND($B$13-D1038,2),2)&lt;=0),F1037,ROUND($B$13-D1038,2))</f>
        <v/>
      </c>
      <c r="F1038" s="21">
        <f>IF((ROUND(F1037-ROUND($B$13-D1038,2),2)&lt;=0),0,ROUND(F1037-E1038,2))</f>
        <v/>
      </c>
    </row>
    <row r="1039">
      <c r="A1039" s="6" t="n">
        <v>1023</v>
      </c>
      <c r="B1039" s="19">
        <f>IF(B8="monthly",DATE(YEAR(B7)+INT((MONTH(B7)-1+1022)/12),MOD(MONTH(B7)-1+1022,12)+1,1)+(DAY(B7)-1),IF(B8="weekly",B7+7154,IF(B8="biweekly",B7+14308,B7+ROUND((1022*365.25)/24,0))))</f>
        <v/>
      </c>
      <c r="C1039" s="21">
        <f>IF((ROUND(F1038-ROUND($B$13-D1039,2),2)&lt;=0),ROUND(D1039+E1039,2),$B$13)</f>
        <v/>
      </c>
      <c r="D1039" s="21">
        <f>ROUND(F1038*B5/100/B10,2)</f>
        <v/>
      </c>
      <c r="E1039" s="21">
        <f>IF((ROUND(F1038-ROUND($B$13-D1039,2),2)&lt;=0),F1038,ROUND($B$13-D1039,2))</f>
        <v/>
      </c>
      <c r="F1039" s="21">
        <f>IF((ROUND(F1038-ROUND($B$13-D1039,2),2)&lt;=0),0,ROUND(F1038-E1039,2))</f>
        <v/>
      </c>
    </row>
    <row r="1040">
      <c r="A1040" s="6" t="n">
        <v>1024</v>
      </c>
      <c r="B1040" s="19">
        <f>IF(B8="monthly",DATE(YEAR(B7)+INT((MONTH(B7)-1+1023)/12),MOD(MONTH(B7)-1+1023,12)+1,1)+(DAY(B7)-1),IF(B8="weekly",B7+7161,IF(B8="biweekly",B7+14322,B7+ROUND((1023*365.25)/24,0))))</f>
        <v/>
      </c>
      <c r="C1040" s="21">
        <f>IF((ROUND(F1039-ROUND($B$13-D1040,2),2)&lt;=0),ROUND(D1040+E1040,2),$B$13)</f>
        <v/>
      </c>
      <c r="D1040" s="21">
        <f>ROUND(F1039*B5/100/B10,2)</f>
        <v/>
      </c>
      <c r="E1040" s="21">
        <f>IF((ROUND(F1039-ROUND($B$13-D1040,2),2)&lt;=0),F1039,ROUND($B$13-D1040,2))</f>
        <v/>
      </c>
      <c r="F1040" s="21">
        <f>IF((ROUND(F1039-ROUND($B$13-D1040,2),2)&lt;=0),0,ROUND(F1039-E1040,2))</f>
        <v/>
      </c>
    </row>
    <row r="1041">
      <c r="A1041" s="6" t="n">
        <v>1025</v>
      </c>
      <c r="B1041" s="19">
        <f>IF(B8="monthly",DATE(YEAR(B7)+INT((MONTH(B7)-1+1024)/12),MOD(MONTH(B7)-1+1024,12)+1,1)+(DAY(B7)-1),IF(B8="weekly",B7+7168,IF(B8="biweekly",B7+14336,B7+ROUND((1024*365.25)/24,0))))</f>
        <v/>
      </c>
      <c r="C1041" s="21">
        <f>IF((ROUND(F1040-ROUND($B$13-D1041,2),2)&lt;=0),ROUND(D1041+E1041,2),$B$13)</f>
        <v/>
      </c>
      <c r="D1041" s="21">
        <f>ROUND(F1040*B5/100/B10,2)</f>
        <v/>
      </c>
      <c r="E1041" s="21">
        <f>IF((ROUND(F1040-ROUND($B$13-D1041,2),2)&lt;=0),F1040,ROUND($B$13-D1041,2))</f>
        <v/>
      </c>
      <c r="F1041" s="21">
        <f>IF((ROUND(F1040-ROUND($B$13-D1041,2),2)&lt;=0),0,ROUND(F1040-E1041,2))</f>
        <v/>
      </c>
    </row>
    <row r="1042">
      <c r="A1042" s="6" t="n">
        <v>1026</v>
      </c>
      <c r="B1042" s="19">
        <f>IF(B8="monthly",DATE(YEAR(B7)+INT((MONTH(B7)-1+1025)/12),MOD(MONTH(B7)-1+1025,12)+1,1)+(DAY(B7)-1),IF(B8="weekly",B7+7175,IF(B8="biweekly",B7+14350,B7+ROUND((1025*365.25)/24,0))))</f>
        <v/>
      </c>
      <c r="C1042" s="21">
        <f>IF((ROUND(F1041-ROUND($B$13-D1042,2),2)&lt;=0),ROUND(D1042+E1042,2),$B$13)</f>
        <v/>
      </c>
      <c r="D1042" s="21">
        <f>ROUND(F1041*B5/100/B10,2)</f>
        <v/>
      </c>
      <c r="E1042" s="21">
        <f>IF((ROUND(F1041-ROUND($B$13-D1042,2),2)&lt;=0),F1041,ROUND($B$13-D1042,2))</f>
        <v/>
      </c>
      <c r="F1042" s="21">
        <f>IF((ROUND(F1041-ROUND($B$13-D1042,2),2)&lt;=0),0,ROUND(F1041-E1042,2))</f>
        <v/>
      </c>
    </row>
    <row r="1043">
      <c r="A1043" s="6" t="n">
        <v>1027</v>
      </c>
      <c r="B1043" s="19">
        <f>IF(B8="monthly",DATE(YEAR(B7)+INT((MONTH(B7)-1+1026)/12),MOD(MONTH(B7)-1+1026,12)+1,1)+(DAY(B7)-1),IF(B8="weekly",B7+7182,IF(B8="biweekly",B7+14364,B7+ROUND((1026*365.25)/24,0))))</f>
        <v/>
      </c>
      <c r="C1043" s="21">
        <f>IF((ROUND(F1042-ROUND($B$13-D1043,2),2)&lt;=0),ROUND(D1043+E1043,2),$B$13)</f>
        <v/>
      </c>
      <c r="D1043" s="21">
        <f>ROUND(F1042*B5/100/B10,2)</f>
        <v/>
      </c>
      <c r="E1043" s="21">
        <f>IF((ROUND(F1042-ROUND($B$13-D1043,2),2)&lt;=0),F1042,ROUND($B$13-D1043,2))</f>
        <v/>
      </c>
      <c r="F1043" s="21">
        <f>IF((ROUND(F1042-ROUND($B$13-D1043,2),2)&lt;=0),0,ROUND(F1042-E1043,2))</f>
        <v/>
      </c>
    </row>
    <row r="1044">
      <c r="A1044" s="6" t="n">
        <v>1028</v>
      </c>
      <c r="B1044" s="19">
        <f>IF(B8="monthly",DATE(YEAR(B7)+INT((MONTH(B7)-1+1027)/12),MOD(MONTH(B7)-1+1027,12)+1,1)+(DAY(B7)-1),IF(B8="weekly",B7+7189,IF(B8="biweekly",B7+14378,B7+ROUND((1027*365.25)/24,0))))</f>
        <v/>
      </c>
      <c r="C1044" s="21">
        <f>IF((ROUND(F1043-ROUND($B$13-D1044,2),2)&lt;=0),ROUND(D1044+E1044,2),$B$13)</f>
        <v/>
      </c>
      <c r="D1044" s="21">
        <f>ROUND(F1043*B5/100/B10,2)</f>
        <v/>
      </c>
      <c r="E1044" s="21">
        <f>IF((ROUND(F1043-ROUND($B$13-D1044,2),2)&lt;=0),F1043,ROUND($B$13-D1044,2))</f>
        <v/>
      </c>
      <c r="F1044" s="21">
        <f>IF((ROUND(F1043-ROUND($B$13-D1044,2),2)&lt;=0),0,ROUND(F1043-E1044,2))</f>
        <v/>
      </c>
    </row>
    <row r="1045">
      <c r="A1045" s="6" t="n">
        <v>1029</v>
      </c>
      <c r="B1045" s="19">
        <f>IF(B8="monthly",DATE(YEAR(B7)+INT((MONTH(B7)-1+1028)/12),MOD(MONTH(B7)-1+1028,12)+1,1)+(DAY(B7)-1),IF(B8="weekly",B7+7196,IF(B8="biweekly",B7+14392,B7+ROUND((1028*365.25)/24,0))))</f>
        <v/>
      </c>
      <c r="C1045" s="21">
        <f>IF((ROUND(F1044-ROUND($B$13-D1045,2),2)&lt;=0),ROUND(D1045+E1045,2),$B$13)</f>
        <v/>
      </c>
      <c r="D1045" s="21">
        <f>ROUND(F1044*B5/100/B10,2)</f>
        <v/>
      </c>
      <c r="E1045" s="21">
        <f>IF((ROUND(F1044-ROUND($B$13-D1045,2),2)&lt;=0),F1044,ROUND($B$13-D1045,2))</f>
        <v/>
      </c>
      <c r="F1045" s="21">
        <f>IF((ROUND(F1044-ROUND($B$13-D1045,2),2)&lt;=0),0,ROUND(F1044-E1045,2))</f>
        <v/>
      </c>
    </row>
    <row r="1046">
      <c r="A1046" s="6" t="n">
        <v>1030</v>
      </c>
      <c r="B1046" s="19">
        <f>IF(B8="monthly",DATE(YEAR(B7)+INT((MONTH(B7)-1+1029)/12),MOD(MONTH(B7)-1+1029,12)+1,1)+(DAY(B7)-1),IF(B8="weekly",B7+7203,IF(B8="biweekly",B7+14406,B7+ROUND((1029*365.25)/24,0))))</f>
        <v/>
      </c>
      <c r="C1046" s="21">
        <f>IF((ROUND(F1045-ROUND($B$13-D1046,2),2)&lt;=0),ROUND(D1046+E1046,2),$B$13)</f>
        <v/>
      </c>
      <c r="D1046" s="21">
        <f>ROUND(F1045*B5/100/B10,2)</f>
        <v/>
      </c>
      <c r="E1046" s="21">
        <f>IF((ROUND(F1045-ROUND($B$13-D1046,2),2)&lt;=0),F1045,ROUND($B$13-D1046,2))</f>
        <v/>
      </c>
      <c r="F1046" s="21">
        <f>IF((ROUND(F1045-ROUND($B$13-D1046,2),2)&lt;=0),0,ROUND(F1045-E1046,2))</f>
        <v/>
      </c>
    </row>
    <row r="1047">
      <c r="A1047" s="6" t="n">
        <v>1031</v>
      </c>
      <c r="B1047" s="19">
        <f>IF(B8="monthly",DATE(YEAR(B7)+INT((MONTH(B7)-1+1030)/12),MOD(MONTH(B7)-1+1030,12)+1,1)+(DAY(B7)-1),IF(B8="weekly",B7+7210,IF(B8="biweekly",B7+14420,B7+ROUND((1030*365.25)/24,0))))</f>
        <v/>
      </c>
      <c r="C1047" s="21">
        <f>IF((ROUND(F1046-ROUND($B$13-D1047,2),2)&lt;=0),ROUND(D1047+E1047,2),$B$13)</f>
        <v/>
      </c>
      <c r="D1047" s="21">
        <f>ROUND(F1046*B5/100/B10,2)</f>
        <v/>
      </c>
      <c r="E1047" s="21">
        <f>IF((ROUND(F1046-ROUND($B$13-D1047,2),2)&lt;=0),F1046,ROUND($B$13-D1047,2))</f>
        <v/>
      </c>
      <c r="F1047" s="21">
        <f>IF((ROUND(F1046-ROUND($B$13-D1047,2),2)&lt;=0),0,ROUND(F1046-E1047,2))</f>
        <v/>
      </c>
    </row>
    <row r="1048">
      <c r="A1048" s="6" t="n">
        <v>1032</v>
      </c>
      <c r="B1048" s="19">
        <f>IF(B8="monthly",DATE(YEAR(B7)+INT((MONTH(B7)-1+1031)/12),MOD(MONTH(B7)-1+1031,12)+1,1)+(DAY(B7)-1),IF(B8="weekly",B7+7217,IF(B8="biweekly",B7+14434,B7+ROUND((1031*365.25)/24,0))))</f>
        <v/>
      </c>
      <c r="C1048" s="21">
        <f>IF((ROUND(F1047-ROUND($B$13-D1048,2),2)&lt;=0),ROUND(D1048+E1048,2),$B$13)</f>
        <v/>
      </c>
      <c r="D1048" s="21">
        <f>ROUND(F1047*B5/100/B10,2)</f>
        <v/>
      </c>
      <c r="E1048" s="21">
        <f>IF((ROUND(F1047-ROUND($B$13-D1048,2),2)&lt;=0),F1047,ROUND($B$13-D1048,2))</f>
        <v/>
      </c>
      <c r="F1048" s="21">
        <f>IF((ROUND(F1047-ROUND($B$13-D1048,2),2)&lt;=0),0,ROUND(F1047-E1048,2))</f>
        <v/>
      </c>
    </row>
    <row r="1049">
      <c r="A1049" s="6" t="n">
        <v>1033</v>
      </c>
      <c r="B1049" s="19">
        <f>IF(B8="monthly",DATE(YEAR(B7)+INT((MONTH(B7)-1+1032)/12),MOD(MONTH(B7)-1+1032,12)+1,1)+(DAY(B7)-1),IF(B8="weekly",B7+7224,IF(B8="biweekly",B7+14448,B7+ROUND((1032*365.25)/24,0))))</f>
        <v/>
      </c>
      <c r="C1049" s="21">
        <f>IF((ROUND(F1048-ROUND($B$13-D1049,2),2)&lt;=0),ROUND(D1049+E1049,2),$B$13)</f>
        <v/>
      </c>
      <c r="D1049" s="21">
        <f>ROUND(F1048*B5/100/B10,2)</f>
        <v/>
      </c>
      <c r="E1049" s="21">
        <f>IF((ROUND(F1048-ROUND($B$13-D1049,2),2)&lt;=0),F1048,ROUND($B$13-D1049,2))</f>
        <v/>
      </c>
      <c r="F1049" s="21">
        <f>IF((ROUND(F1048-ROUND($B$13-D1049,2),2)&lt;=0),0,ROUND(F1048-E1049,2))</f>
        <v/>
      </c>
    </row>
    <row r="1050">
      <c r="A1050" s="6" t="n">
        <v>1034</v>
      </c>
      <c r="B1050" s="19">
        <f>IF(B8="monthly",DATE(YEAR(B7)+INT((MONTH(B7)-1+1033)/12),MOD(MONTH(B7)-1+1033,12)+1,1)+(DAY(B7)-1),IF(B8="weekly",B7+7231,IF(B8="biweekly",B7+14462,B7+ROUND((1033*365.25)/24,0))))</f>
        <v/>
      </c>
      <c r="C1050" s="21">
        <f>IF((ROUND(F1049-ROUND($B$13-D1050,2),2)&lt;=0),ROUND(D1050+E1050,2),$B$13)</f>
        <v/>
      </c>
      <c r="D1050" s="21">
        <f>ROUND(F1049*B5/100/B10,2)</f>
        <v/>
      </c>
      <c r="E1050" s="21">
        <f>IF((ROUND(F1049-ROUND($B$13-D1050,2),2)&lt;=0),F1049,ROUND($B$13-D1050,2))</f>
        <v/>
      </c>
      <c r="F1050" s="21">
        <f>IF((ROUND(F1049-ROUND($B$13-D1050,2),2)&lt;=0),0,ROUND(F1049-E1050,2))</f>
        <v/>
      </c>
    </row>
    <row r="1051">
      <c r="A1051" s="6" t="n">
        <v>1035</v>
      </c>
      <c r="B1051" s="19">
        <f>IF(B8="monthly",DATE(YEAR(B7)+INT((MONTH(B7)-1+1034)/12),MOD(MONTH(B7)-1+1034,12)+1,1)+(DAY(B7)-1),IF(B8="weekly",B7+7238,IF(B8="biweekly",B7+14476,B7+ROUND((1034*365.25)/24,0))))</f>
        <v/>
      </c>
      <c r="C1051" s="21">
        <f>IF((ROUND(F1050-ROUND($B$13-D1051,2),2)&lt;=0),ROUND(D1051+E1051,2),$B$13)</f>
        <v/>
      </c>
      <c r="D1051" s="21">
        <f>ROUND(F1050*B5/100/B10,2)</f>
        <v/>
      </c>
      <c r="E1051" s="21">
        <f>IF((ROUND(F1050-ROUND($B$13-D1051,2),2)&lt;=0),F1050,ROUND($B$13-D1051,2))</f>
        <v/>
      </c>
      <c r="F1051" s="21">
        <f>IF((ROUND(F1050-ROUND($B$13-D1051,2),2)&lt;=0),0,ROUND(F1050-E1051,2))</f>
        <v/>
      </c>
    </row>
    <row r="1052">
      <c r="A1052" s="6" t="n">
        <v>1036</v>
      </c>
      <c r="B1052" s="19">
        <f>IF(B8="monthly",DATE(YEAR(B7)+INT((MONTH(B7)-1+1035)/12),MOD(MONTH(B7)-1+1035,12)+1,1)+(DAY(B7)-1),IF(B8="weekly",B7+7245,IF(B8="biweekly",B7+14490,B7+ROUND((1035*365.25)/24,0))))</f>
        <v/>
      </c>
      <c r="C1052" s="21">
        <f>IF((ROUND(F1051-ROUND($B$13-D1052,2),2)&lt;=0),ROUND(D1052+E1052,2),$B$13)</f>
        <v/>
      </c>
      <c r="D1052" s="21">
        <f>ROUND(F1051*B5/100/B10,2)</f>
        <v/>
      </c>
      <c r="E1052" s="21">
        <f>IF((ROUND(F1051-ROUND($B$13-D1052,2),2)&lt;=0),F1051,ROUND($B$13-D1052,2))</f>
        <v/>
      </c>
      <c r="F1052" s="21">
        <f>IF((ROUND(F1051-ROUND($B$13-D1052,2),2)&lt;=0),0,ROUND(F1051-E1052,2))</f>
        <v/>
      </c>
    </row>
    <row r="1053">
      <c r="A1053" s="6" t="n">
        <v>1037</v>
      </c>
      <c r="B1053" s="19">
        <f>IF(B8="monthly",DATE(YEAR(B7)+INT((MONTH(B7)-1+1036)/12),MOD(MONTH(B7)-1+1036,12)+1,1)+(DAY(B7)-1),IF(B8="weekly",B7+7252,IF(B8="biweekly",B7+14504,B7+ROUND((1036*365.25)/24,0))))</f>
        <v/>
      </c>
      <c r="C1053" s="21">
        <f>IF((ROUND(F1052-ROUND($B$13-D1053,2),2)&lt;=0),ROUND(D1053+E1053,2),$B$13)</f>
        <v/>
      </c>
      <c r="D1053" s="21">
        <f>ROUND(F1052*B5/100/B10,2)</f>
        <v/>
      </c>
      <c r="E1053" s="21">
        <f>IF((ROUND(F1052-ROUND($B$13-D1053,2),2)&lt;=0),F1052,ROUND($B$13-D1053,2))</f>
        <v/>
      </c>
      <c r="F1053" s="21">
        <f>IF((ROUND(F1052-ROUND($B$13-D1053,2),2)&lt;=0),0,ROUND(F1052-E1053,2))</f>
        <v/>
      </c>
    </row>
    <row r="1054">
      <c r="A1054" s="6" t="n">
        <v>1038</v>
      </c>
      <c r="B1054" s="19">
        <f>IF(B8="monthly",DATE(YEAR(B7)+INT((MONTH(B7)-1+1037)/12),MOD(MONTH(B7)-1+1037,12)+1,1)+(DAY(B7)-1),IF(B8="weekly",B7+7259,IF(B8="biweekly",B7+14518,B7+ROUND((1037*365.25)/24,0))))</f>
        <v/>
      </c>
      <c r="C1054" s="21">
        <f>IF((ROUND(F1053-ROUND($B$13-D1054,2),2)&lt;=0),ROUND(D1054+E1054,2),$B$13)</f>
        <v/>
      </c>
      <c r="D1054" s="21">
        <f>ROUND(F1053*B5/100/B10,2)</f>
        <v/>
      </c>
      <c r="E1054" s="21">
        <f>IF((ROUND(F1053-ROUND($B$13-D1054,2),2)&lt;=0),F1053,ROUND($B$13-D1054,2))</f>
        <v/>
      </c>
      <c r="F1054" s="21">
        <f>IF((ROUND(F1053-ROUND($B$13-D1054,2),2)&lt;=0),0,ROUND(F1053-E1054,2))</f>
        <v/>
      </c>
    </row>
    <row r="1055">
      <c r="A1055" s="6" t="n">
        <v>1039</v>
      </c>
      <c r="B1055" s="19">
        <f>IF(B8="monthly",DATE(YEAR(B7)+INT((MONTH(B7)-1+1038)/12),MOD(MONTH(B7)-1+1038,12)+1,1)+(DAY(B7)-1),IF(B8="weekly",B7+7266,IF(B8="biweekly",B7+14532,B7+ROUND((1038*365.25)/24,0))))</f>
        <v/>
      </c>
      <c r="C1055" s="21">
        <f>IF((ROUND(F1054-ROUND($B$13-D1055,2),2)&lt;=0),ROUND(D1055+E1055,2),$B$13)</f>
        <v/>
      </c>
      <c r="D1055" s="21">
        <f>ROUND(F1054*B5/100/B10,2)</f>
        <v/>
      </c>
      <c r="E1055" s="21">
        <f>IF((ROUND(F1054-ROUND($B$13-D1055,2),2)&lt;=0),F1054,ROUND($B$13-D1055,2))</f>
        <v/>
      </c>
      <c r="F1055" s="21">
        <f>IF((ROUND(F1054-ROUND($B$13-D1055,2),2)&lt;=0),0,ROUND(F1054-E1055,2))</f>
        <v/>
      </c>
    </row>
    <row r="1056">
      <c r="A1056" s="6" t="n">
        <v>1040</v>
      </c>
      <c r="B1056" s="19">
        <f>IF(B8="monthly",DATE(YEAR(B7)+INT((MONTH(B7)-1+1039)/12),MOD(MONTH(B7)-1+1039,12)+1,1)+(DAY(B7)-1),IF(B8="weekly",B7+7273,IF(B8="biweekly",B7+14546,B7+ROUND((1039*365.25)/24,0))))</f>
        <v/>
      </c>
      <c r="C1056" s="21">
        <f>IF((ROUND(F1055-ROUND($B$13-D1056,2),2)&lt;=0),ROUND(D1056+E1056,2),$B$13)</f>
        <v/>
      </c>
      <c r="D1056" s="21">
        <f>ROUND(F1055*B5/100/B10,2)</f>
        <v/>
      </c>
      <c r="E1056" s="21">
        <f>IF((ROUND(F1055-ROUND($B$13-D1056,2),2)&lt;=0),F1055,ROUND($B$13-D1056,2))</f>
        <v/>
      </c>
      <c r="F1056" s="21">
        <f>IF((ROUND(F1055-ROUND($B$13-D1056,2),2)&lt;=0),0,ROUND(F1055-E1056,2))</f>
        <v/>
      </c>
    </row>
    <row r="1057">
      <c r="A1057" s="6" t="n">
        <v>1041</v>
      </c>
      <c r="B1057" s="19">
        <f>IF(B8="monthly",DATE(YEAR(B7)+INT((MONTH(B7)-1+1040)/12),MOD(MONTH(B7)-1+1040,12)+1,1)+(DAY(B7)-1),IF(B8="weekly",B7+7280,IF(B8="biweekly",B7+14560,B7+ROUND((1040*365.25)/24,0))))</f>
        <v/>
      </c>
      <c r="C1057" s="21">
        <f>IF((ROUND(F1056-ROUND($B$13-D1057,2),2)&lt;=0),ROUND(D1057+E1057,2),$B$13)</f>
        <v/>
      </c>
      <c r="D1057" s="21">
        <f>ROUND(F1056*B5/100/B10,2)</f>
        <v/>
      </c>
      <c r="E1057" s="21">
        <f>IF((ROUND(F1056-ROUND($B$13-D1057,2),2)&lt;=0),F1056,ROUND($B$13-D1057,2))</f>
        <v/>
      </c>
      <c r="F1057" s="21">
        <f>IF((ROUND(F1056-ROUND($B$13-D1057,2),2)&lt;=0),0,ROUND(F1056-E1057,2))</f>
        <v/>
      </c>
    </row>
    <row r="1058">
      <c r="A1058" s="6" t="n">
        <v>1042</v>
      </c>
      <c r="B1058" s="19">
        <f>IF(B8="monthly",DATE(YEAR(B7)+INT((MONTH(B7)-1+1041)/12),MOD(MONTH(B7)-1+1041,12)+1,1)+(DAY(B7)-1),IF(B8="weekly",B7+7287,IF(B8="biweekly",B7+14574,B7+ROUND((1041*365.25)/24,0))))</f>
        <v/>
      </c>
      <c r="C1058" s="21">
        <f>IF((ROUND(F1057-ROUND($B$13-D1058,2),2)&lt;=0),ROUND(D1058+E1058,2),$B$13)</f>
        <v/>
      </c>
      <c r="D1058" s="21">
        <f>ROUND(F1057*B5/100/B10,2)</f>
        <v/>
      </c>
      <c r="E1058" s="21">
        <f>IF((ROUND(F1057-ROUND($B$13-D1058,2),2)&lt;=0),F1057,ROUND($B$13-D1058,2))</f>
        <v/>
      </c>
      <c r="F1058" s="21">
        <f>IF((ROUND(F1057-ROUND($B$13-D1058,2),2)&lt;=0),0,ROUND(F1057-E1058,2))</f>
        <v/>
      </c>
    </row>
    <row r="1059">
      <c r="A1059" s="6" t="n">
        <v>1043</v>
      </c>
      <c r="B1059" s="19">
        <f>IF(B8="monthly",DATE(YEAR(B7)+INT((MONTH(B7)-1+1042)/12),MOD(MONTH(B7)-1+1042,12)+1,1)+(DAY(B7)-1),IF(B8="weekly",B7+7294,IF(B8="biweekly",B7+14588,B7+ROUND((1042*365.25)/24,0))))</f>
        <v/>
      </c>
      <c r="C1059" s="21">
        <f>IF((ROUND(F1058-ROUND($B$13-D1059,2),2)&lt;=0),ROUND(D1059+E1059,2),$B$13)</f>
        <v/>
      </c>
      <c r="D1059" s="21">
        <f>ROUND(F1058*B5/100/B10,2)</f>
        <v/>
      </c>
      <c r="E1059" s="21">
        <f>IF((ROUND(F1058-ROUND($B$13-D1059,2),2)&lt;=0),F1058,ROUND($B$13-D1059,2))</f>
        <v/>
      </c>
      <c r="F1059" s="21">
        <f>IF((ROUND(F1058-ROUND($B$13-D1059,2),2)&lt;=0),0,ROUND(F1058-E1059,2))</f>
        <v/>
      </c>
    </row>
    <row r="1060">
      <c r="A1060" s="6" t="n">
        <v>1044</v>
      </c>
      <c r="B1060" s="19">
        <f>IF(B8="monthly",DATE(YEAR(B7)+INT((MONTH(B7)-1+1043)/12),MOD(MONTH(B7)-1+1043,12)+1,1)+(DAY(B7)-1),IF(B8="weekly",B7+7301,IF(B8="biweekly",B7+14602,B7+ROUND((1043*365.25)/24,0))))</f>
        <v/>
      </c>
      <c r="C1060" s="21">
        <f>IF((ROUND(F1059-ROUND($B$13-D1060,2),2)&lt;=0),ROUND(D1060+E1060,2),$B$13)</f>
        <v/>
      </c>
      <c r="D1060" s="21">
        <f>ROUND(F1059*B5/100/B10,2)</f>
        <v/>
      </c>
      <c r="E1060" s="21">
        <f>IF((ROUND(F1059-ROUND($B$13-D1060,2),2)&lt;=0),F1059,ROUND($B$13-D1060,2))</f>
        <v/>
      </c>
      <c r="F1060" s="21">
        <f>IF((ROUND(F1059-ROUND($B$13-D1060,2),2)&lt;=0),0,ROUND(F1059-E1060,2))</f>
        <v/>
      </c>
    </row>
    <row r="1061">
      <c r="A1061" s="6" t="n">
        <v>1045</v>
      </c>
      <c r="B1061" s="19">
        <f>IF(B8="monthly",DATE(YEAR(B7)+INT((MONTH(B7)-1+1044)/12),MOD(MONTH(B7)-1+1044,12)+1,1)+(DAY(B7)-1),IF(B8="weekly",B7+7308,IF(B8="biweekly",B7+14616,B7+ROUND((1044*365.25)/24,0))))</f>
        <v/>
      </c>
      <c r="C1061" s="21">
        <f>IF((ROUND(F1060-ROUND($B$13-D1061,2),2)&lt;=0),ROUND(D1061+E1061,2),$B$13)</f>
        <v/>
      </c>
      <c r="D1061" s="21">
        <f>ROUND(F1060*B5/100/B10,2)</f>
        <v/>
      </c>
      <c r="E1061" s="21">
        <f>IF((ROUND(F1060-ROUND($B$13-D1061,2),2)&lt;=0),F1060,ROUND($B$13-D1061,2))</f>
        <v/>
      </c>
      <c r="F1061" s="21">
        <f>IF((ROUND(F1060-ROUND($B$13-D1061,2),2)&lt;=0),0,ROUND(F1060-E1061,2))</f>
        <v/>
      </c>
    </row>
    <row r="1062">
      <c r="A1062" s="6" t="n">
        <v>1046</v>
      </c>
      <c r="B1062" s="19">
        <f>IF(B8="monthly",DATE(YEAR(B7)+INT((MONTH(B7)-1+1045)/12),MOD(MONTH(B7)-1+1045,12)+1,1)+(DAY(B7)-1),IF(B8="weekly",B7+7315,IF(B8="biweekly",B7+14630,B7+ROUND((1045*365.25)/24,0))))</f>
        <v/>
      </c>
      <c r="C1062" s="21">
        <f>IF((ROUND(F1061-ROUND($B$13-D1062,2),2)&lt;=0),ROUND(D1062+E1062,2),$B$13)</f>
        <v/>
      </c>
      <c r="D1062" s="21">
        <f>ROUND(F1061*B5/100/B10,2)</f>
        <v/>
      </c>
      <c r="E1062" s="21">
        <f>IF((ROUND(F1061-ROUND($B$13-D1062,2),2)&lt;=0),F1061,ROUND($B$13-D1062,2))</f>
        <v/>
      </c>
      <c r="F1062" s="21">
        <f>IF((ROUND(F1061-ROUND($B$13-D1062,2),2)&lt;=0),0,ROUND(F1061-E1062,2))</f>
        <v/>
      </c>
    </row>
    <row r="1063">
      <c r="A1063" s="6" t="n">
        <v>1047</v>
      </c>
      <c r="B1063" s="19">
        <f>IF(B8="monthly",DATE(YEAR(B7)+INT((MONTH(B7)-1+1046)/12),MOD(MONTH(B7)-1+1046,12)+1,1)+(DAY(B7)-1),IF(B8="weekly",B7+7322,IF(B8="biweekly",B7+14644,B7+ROUND((1046*365.25)/24,0))))</f>
        <v/>
      </c>
      <c r="C1063" s="21">
        <f>IF((ROUND(F1062-ROUND($B$13-D1063,2),2)&lt;=0),ROUND(D1063+E1063,2),$B$13)</f>
        <v/>
      </c>
      <c r="D1063" s="21">
        <f>ROUND(F1062*B5/100/B10,2)</f>
        <v/>
      </c>
      <c r="E1063" s="21">
        <f>IF((ROUND(F1062-ROUND($B$13-D1063,2),2)&lt;=0),F1062,ROUND($B$13-D1063,2))</f>
        <v/>
      </c>
      <c r="F1063" s="21">
        <f>IF((ROUND(F1062-ROUND($B$13-D1063,2),2)&lt;=0),0,ROUND(F1062-E1063,2))</f>
        <v/>
      </c>
    </row>
    <row r="1064">
      <c r="A1064" s="6" t="n">
        <v>1048</v>
      </c>
      <c r="B1064" s="19">
        <f>IF(B8="monthly",DATE(YEAR(B7)+INT((MONTH(B7)-1+1047)/12),MOD(MONTH(B7)-1+1047,12)+1,1)+(DAY(B7)-1),IF(B8="weekly",B7+7329,IF(B8="biweekly",B7+14658,B7+ROUND((1047*365.25)/24,0))))</f>
        <v/>
      </c>
      <c r="C1064" s="21">
        <f>IF((ROUND(F1063-ROUND($B$13-D1064,2),2)&lt;=0),ROUND(D1064+E1064,2),$B$13)</f>
        <v/>
      </c>
      <c r="D1064" s="21">
        <f>ROUND(F1063*B5/100/B10,2)</f>
        <v/>
      </c>
      <c r="E1064" s="21">
        <f>IF((ROUND(F1063-ROUND($B$13-D1064,2),2)&lt;=0),F1063,ROUND($B$13-D1064,2))</f>
        <v/>
      </c>
      <c r="F1064" s="21">
        <f>IF((ROUND(F1063-ROUND($B$13-D1064,2),2)&lt;=0),0,ROUND(F1063-E1064,2))</f>
        <v/>
      </c>
    </row>
    <row r="1065">
      <c r="A1065" s="6" t="n">
        <v>1049</v>
      </c>
      <c r="B1065" s="19">
        <f>IF(B8="monthly",DATE(YEAR(B7)+INT((MONTH(B7)-1+1048)/12),MOD(MONTH(B7)-1+1048,12)+1,1)+(DAY(B7)-1),IF(B8="weekly",B7+7336,IF(B8="biweekly",B7+14672,B7+ROUND((1048*365.25)/24,0))))</f>
        <v/>
      </c>
      <c r="C1065" s="21">
        <f>IF((ROUND(F1064-ROUND($B$13-D1065,2),2)&lt;=0),ROUND(D1065+E1065,2),$B$13)</f>
        <v/>
      </c>
      <c r="D1065" s="21">
        <f>ROUND(F1064*B5/100/B10,2)</f>
        <v/>
      </c>
      <c r="E1065" s="21">
        <f>IF((ROUND(F1064-ROUND($B$13-D1065,2),2)&lt;=0),F1064,ROUND($B$13-D1065,2))</f>
        <v/>
      </c>
      <c r="F1065" s="21">
        <f>IF((ROUND(F1064-ROUND($B$13-D1065,2),2)&lt;=0),0,ROUND(F1064-E1065,2))</f>
        <v/>
      </c>
    </row>
    <row r="1066">
      <c r="A1066" s="6" t="n">
        <v>1050</v>
      </c>
      <c r="B1066" s="19">
        <f>IF(B8="monthly",DATE(YEAR(B7)+INT((MONTH(B7)-1+1049)/12),MOD(MONTH(B7)-1+1049,12)+1,1)+(DAY(B7)-1),IF(B8="weekly",B7+7343,IF(B8="biweekly",B7+14686,B7+ROUND((1049*365.25)/24,0))))</f>
        <v/>
      </c>
      <c r="C1066" s="21">
        <f>IF((ROUND(F1065-ROUND($B$13-D1066,2),2)&lt;=0),ROUND(D1066+E1066,2),$B$13)</f>
        <v/>
      </c>
      <c r="D1066" s="21">
        <f>ROUND(F1065*B5/100/B10,2)</f>
        <v/>
      </c>
      <c r="E1066" s="21">
        <f>IF((ROUND(F1065-ROUND($B$13-D1066,2),2)&lt;=0),F1065,ROUND($B$13-D1066,2))</f>
        <v/>
      </c>
      <c r="F1066" s="21">
        <f>IF((ROUND(F1065-ROUND($B$13-D1066,2),2)&lt;=0),0,ROUND(F1065-E1066,2))</f>
        <v/>
      </c>
    </row>
    <row r="1067">
      <c r="A1067" s="6" t="n">
        <v>1051</v>
      </c>
      <c r="B1067" s="19">
        <f>IF(B8="monthly",DATE(YEAR(B7)+INT((MONTH(B7)-1+1050)/12),MOD(MONTH(B7)-1+1050,12)+1,1)+(DAY(B7)-1),IF(B8="weekly",B7+7350,IF(B8="biweekly",B7+14700,B7+ROUND((1050*365.25)/24,0))))</f>
        <v/>
      </c>
      <c r="C1067" s="21">
        <f>IF((ROUND(F1066-ROUND($B$13-D1067,2),2)&lt;=0),ROUND(D1067+E1067,2),$B$13)</f>
        <v/>
      </c>
      <c r="D1067" s="21">
        <f>ROUND(F1066*B5/100/B10,2)</f>
        <v/>
      </c>
      <c r="E1067" s="21">
        <f>IF((ROUND(F1066-ROUND($B$13-D1067,2),2)&lt;=0),F1066,ROUND($B$13-D1067,2))</f>
        <v/>
      </c>
      <c r="F1067" s="21">
        <f>IF((ROUND(F1066-ROUND($B$13-D1067,2),2)&lt;=0),0,ROUND(F1066-E1067,2))</f>
        <v/>
      </c>
    </row>
    <row r="1068">
      <c r="A1068" s="6" t="n">
        <v>1052</v>
      </c>
      <c r="B1068" s="19">
        <f>IF(B8="monthly",DATE(YEAR(B7)+INT((MONTH(B7)-1+1051)/12),MOD(MONTH(B7)-1+1051,12)+1,1)+(DAY(B7)-1),IF(B8="weekly",B7+7357,IF(B8="biweekly",B7+14714,B7+ROUND((1051*365.25)/24,0))))</f>
        <v/>
      </c>
      <c r="C1068" s="21">
        <f>IF((ROUND(F1067-ROUND($B$13-D1068,2),2)&lt;=0),ROUND(D1068+E1068,2),$B$13)</f>
        <v/>
      </c>
      <c r="D1068" s="21">
        <f>ROUND(F1067*B5/100/B10,2)</f>
        <v/>
      </c>
      <c r="E1068" s="21">
        <f>IF((ROUND(F1067-ROUND($B$13-D1068,2),2)&lt;=0),F1067,ROUND($B$13-D1068,2))</f>
        <v/>
      </c>
      <c r="F1068" s="21">
        <f>IF((ROUND(F1067-ROUND($B$13-D1068,2),2)&lt;=0),0,ROUND(F1067-E1068,2))</f>
        <v/>
      </c>
    </row>
    <row r="1069">
      <c r="A1069" s="6" t="n">
        <v>1053</v>
      </c>
      <c r="B1069" s="19">
        <f>IF(B8="monthly",DATE(YEAR(B7)+INT((MONTH(B7)-1+1052)/12),MOD(MONTH(B7)-1+1052,12)+1,1)+(DAY(B7)-1),IF(B8="weekly",B7+7364,IF(B8="biweekly",B7+14728,B7+ROUND((1052*365.25)/24,0))))</f>
        <v/>
      </c>
      <c r="C1069" s="21">
        <f>IF((ROUND(F1068-ROUND($B$13-D1069,2),2)&lt;=0),ROUND(D1069+E1069,2),$B$13)</f>
        <v/>
      </c>
      <c r="D1069" s="21">
        <f>ROUND(F1068*B5/100/B10,2)</f>
        <v/>
      </c>
      <c r="E1069" s="21">
        <f>IF((ROUND(F1068-ROUND($B$13-D1069,2),2)&lt;=0),F1068,ROUND($B$13-D1069,2))</f>
        <v/>
      </c>
      <c r="F1069" s="21">
        <f>IF((ROUND(F1068-ROUND($B$13-D1069,2),2)&lt;=0),0,ROUND(F1068-E1069,2))</f>
        <v/>
      </c>
    </row>
    <row r="1070">
      <c r="A1070" s="6" t="n">
        <v>1054</v>
      </c>
      <c r="B1070" s="19">
        <f>IF(B8="monthly",DATE(YEAR(B7)+INT((MONTH(B7)-1+1053)/12),MOD(MONTH(B7)-1+1053,12)+1,1)+(DAY(B7)-1),IF(B8="weekly",B7+7371,IF(B8="biweekly",B7+14742,B7+ROUND((1053*365.25)/24,0))))</f>
        <v/>
      </c>
      <c r="C1070" s="21">
        <f>IF((ROUND(F1069-ROUND($B$13-D1070,2),2)&lt;=0),ROUND(D1070+E1070,2),$B$13)</f>
        <v/>
      </c>
      <c r="D1070" s="21">
        <f>ROUND(F1069*B5/100/B10,2)</f>
        <v/>
      </c>
      <c r="E1070" s="21">
        <f>IF((ROUND(F1069-ROUND($B$13-D1070,2),2)&lt;=0),F1069,ROUND($B$13-D1070,2))</f>
        <v/>
      </c>
      <c r="F1070" s="21">
        <f>IF((ROUND(F1069-ROUND($B$13-D1070,2),2)&lt;=0),0,ROUND(F1069-E1070,2))</f>
        <v/>
      </c>
    </row>
    <row r="1071">
      <c r="A1071" s="6" t="n">
        <v>1055</v>
      </c>
      <c r="B1071" s="19">
        <f>IF(B8="monthly",DATE(YEAR(B7)+INT((MONTH(B7)-1+1054)/12),MOD(MONTH(B7)-1+1054,12)+1,1)+(DAY(B7)-1),IF(B8="weekly",B7+7378,IF(B8="biweekly",B7+14756,B7+ROUND((1054*365.25)/24,0))))</f>
        <v/>
      </c>
      <c r="C1071" s="21">
        <f>IF((ROUND(F1070-ROUND($B$13-D1071,2),2)&lt;=0),ROUND(D1071+E1071,2),$B$13)</f>
        <v/>
      </c>
      <c r="D1071" s="21">
        <f>ROUND(F1070*B5/100/B10,2)</f>
        <v/>
      </c>
      <c r="E1071" s="21">
        <f>IF((ROUND(F1070-ROUND($B$13-D1071,2),2)&lt;=0),F1070,ROUND($B$13-D1071,2))</f>
        <v/>
      </c>
      <c r="F1071" s="21">
        <f>IF((ROUND(F1070-ROUND($B$13-D1071,2),2)&lt;=0),0,ROUND(F1070-E1071,2))</f>
        <v/>
      </c>
    </row>
    <row r="1072">
      <c r="A1072" s="6" t="n">
        <v>1056</v>
      </c>
      <c r="B1072" s="19">
        <f>IF(B8="monthly",DATE(YEAR(B7)+INT((MONTH(B7)-1+1055)/12),MOD(MONTH(B7)-1+1055,12)+1,1)+(DAY(B7)-1),IF(B8="weekly",B7+7385,IF(B8="biweekly",B7+14770,B7+ROUND((1055*365.25)/24,0))))</f>
        <v/>
      </c>
      <c r="C1072" s="21">
        <f>IF((ROUND(F1071-ROUND($B$13-D1072,2),2)&lt;=0),ROUND(D1072+E1072,2),$B$13)</f>
        <v/>
      </c>
      <c r="D1072" s="21">
        <f>ROUND(F1071*B5/100/B10,2)</f>
        <v/>
      </c>
      <c r="E1072" s="21">
        <f>IF((ROUND(F1071-ROUND($B$13-D1072,2),2)&lt;=0),F1071,ROUND($B$13-D1072,2))</f>
        <v/>
      </c>
      <c r="F1072" s="21">
        <f>IF((ROUND(F1071-ROUND($B$13-D1072,2),2)&lt;=0),0,ROUND(F1071-E1072,2))</f>
        <v/>
      </c>
    </row>
    <row r="1073">
      <c r="A1073" s="6" t="n">
        <v>1057</v>
      </c>
      <c r="B1073" s="19">
        <f>IF(B8="monthly",DATE(YEAR(B7)+INT((MONTH(B7)-1+1056)/12),MOD(MONTH(B7)-1+1056,12)+1,1)+(DAY(B7)-1),IF(B8="weekly",B7+7392,IF(B8="biweekly",B7+14784,B7+ROUND((1056*365.25)/24,0))))</f>
        <v/>
      </c>
      <c r="C1073" s="21">
        <f>IF((ROUND(F1072-ROUND($B$13-D1073,2),2)&lt;=0),ROUND(D1073+E1073,2),$B$13)</f>
        <v/>
      </c>
      <c r="D1073" s="21">
        <f>ROUND(F1072*B5/100/B10,2)</f>
        <v/>
      </c>
      <c r="E1073" s="21">
        <f>IF((ROUND(F1072-ROUND($B$13-D1073,2),2)&lt;=0),F1072,ROUND($B$13-D1073,2))</f>
        <v/>
      </c>
      <c r="F1073" s="21">
        <f>IF((ROUND(F1072-ROUND($B$13-D1073,2),2)&lt;=0),0,ROUND(F1072-E1073,2))</f>
        <v/>
      </c>
    </row>
    <row r="1074">
      <c r="A1074" s="6" t="n">
        <v>1058</v>
      </c>
      <c r="B1074" s="19">
        <f>IF(B8="monthly",DATE(YEAR(B7)+INT((MONTH(B7)-1+1057)/12),MOD(MONTH(B7)-1+1057,12)+1,1)+(DAY(B7)-1),IF(B8="weekly",B7+7399,IF(B8="biweekly",B7+14798,B7+ROUND((1057*365.25)/24,0))))</f>
        <v/>
      </c>
      <c r="C1074" s="21">
        <f>IF((ROUND(F1073-ROUND($B$13-D1074,2),2)&lt;=0),ROUND(D1074+E1074,2),$B$13)</f>
        <v/>
      </c>
      <c r="D1074" s="21">
        <f>ROUND(F1073*B5/100/B10,2)</f>
        <v/>
      </c>
      <c r="E1074" s="21">
        <f>IF((ROUND(F1073-ROUND($B$13-D1074,2),2)&lt;=0),F1073,ROUND($B$13-D1074,2))</f>
        <v/>
      </c>
      <c r="F1074" s="21">
        <f>IF((ROUND(F1073-ROUND($B$13-D1074,2),2)&lt;=0),0,ROUND(F1073-E1074,2))</f>
        <v/>
      </c>
    </row>
    <row r="1075">
      <c r="A1075" s="6" t="n">
        <v>1059</v>
      </c>
      <c r="B1075" s="19">
        <f>IF(B8="monthly",DATE(YEAR(B7)+INT((MONTH(B7)-1+1058)/12),MOD(MONTH(B7)-1+1058,12)+1,1)+(DAY(B7)-1),IF(B8="weekly",B7+7406,IF(B8="biweekly",B7+14812,B7+ROUND((1058*365.25)/24,0))))</f>
        <v/>
      </c>
      <c r="C1075" s="21">
        <f>IF((ROUND(F1074-ROUND($B$13-D1075,2),2)&lt;=0),ROUND(D1075+E1075,2),$B$13)</f>
        <v/>
      </c>
      <c r="D1075" s="21">
        <f>ROUND(F1074*B5/100/B10,2)</f>
        <v/>
      </c>
      <c r="E1075" s="21">
        <f>IF((ROUND(F1074-ROUND($B$13-D1075,2),2)&lt;=0),F1074,ROUND($B$13-D1075,2))</f>
        <v/>
      </c>
      <c r="F1075" s="21">
        <f>IF((ROUND(F1074-ROUND($B$13-D1075,2),2)&lt;=0),0,ROUND(F1074-E1075,2))</f>
        <v/>
      </c>
    </row>
    <row r="1076">
      <c r="A1076" s="6" t="n">
        <v>1060</v>
      </c>
      <c r="B1076" s="19">
        <f>IF(B8="monthly",DATE(YEAR(B7)+INT((MONTH(B7)-1+1059)/12),MOD(MONTH(B7)-1+1059,12)+1,1)+(DAY(B7)-1),IF(B8="weekly",B7+7413,IF(B8="biweekly",B7+14826,B7+ROUND((1059*365.25)/24,0))))</f>
        <v/>
      </c>
      <c r="C1076" s="21">
        <f>IF((ROUND(F1075-ROUND($B$13-D1076,2),2)&lt;=0),ROUND(D1076+E1076,2),$B$13)</f>
        <v/>
      </c>
      <c r="D1076" s="21">
        <f>ROUND(F1075*B5/100/B10,2)</f>
        <v/>
      </c>
      <c r="E1076" s="21">
        <f>IF((ROUND(F1075-ROUND($B$13-D1076,2),2)&lt;=0),F1075,ROUND($B$13-D1076,2))</f>
        <v/>
      </c>
      <c r="F1076" s="21">
        <f>IF((ROUND(F1075-ROUND($B$13-D1076,2),2)&lt;=0),0,ROUND(F1075-E1076,2))</f>
        <v/>
      </c>
    </row>
    <row r="1077">
      <c r="A1077" s="6" t="n">
        <v>1061</v>
      </c>
      <c r="B1077" s="19">
        <f>IF(B8="monthly",DATE(YEAR(B7)+INT((MONTH(B7)-1+1060)/12),MOD(MONTH(B7)-1+1060,12)+1,1)+(DAY(B7)-1),IF(B8="weekly",B7+7420,IF(B8="biweekly",B7+14840,B7+ROUND((1060*365.25)/24,0))))</f>
        <v/>
      </c>
      <c r="C1077" s="21">
        <f>IF((ROUND(F1076-ROUND($B$13-D1077,2),2)&lt;=0),ROUND(D1077+E1077,2),$B$13)</f>
        <v/>
      </c>
      <c r="D1077" s="21">
        <f>ROUND(F1076*B5/100/B10,2)</f>
        <v/>
      </c>
      <c r="E1077" s="21">
        <f>IF((ROUND(F1076-ROUND($B$13-D1077,2),2)&lt;=0),F1076,ROUND($B$13-D1077,2))</f>
        <v/>
      </c>
      <c r="F1077" s="21">
        <f>IF((ROUND(F1076-ROUND($B$13-D1077,2),2)&lt;=0),0,ROUND(F1076-E1077,2))</f>
        <v/>
      </c>
    </row>
    <row r="1078">
      <c r="A1078" s="6" t="n">
        <v>1062</v>
      </c>
      <c r="B1078" s="19">
        <f>IF(B8="monthly",DATE(YEAR(B7)+INT((MONTH(B7)-1+1061)/12),MOD(MONTH(B7)-1+1061,12)+1,1)+(DAY(B7)-1),IF(B8="weekly",B7+7427,IF(B8="biweekly",B7+14854,B7+ROUND((1061*365.25)/24,0))))</f>
        <v/>
      </c>
      <c r="C1078" s="21">
        <f>IF((ROUND(F1077-ROUND($B$13-D1078,2),2)&lt;=0),ROUND(D1078+E1078,2),$B$13)</f>
        <v/>
      </c>
      <c r="D1078" s="21">
        <f>ROUND(F1077*B5/100/B10,2)</f>
        <v/>
      </c>
      <c r="E1078" s="21">
        <f>IF((ROUND(F1077-ROUND($B$13-D1078,2),2)&lt;=0),F1077,ROUND($B$13-D1078,2))</f>
        <v/>
      </c>
      <c r="F1078" s="21">
        <f>IF((ROUND(F1077-ROUND($B$13-D1078,2),2)&lt;=0),0,ROUND(F1077-E1078,2))</f>
        <v/>
      </c>
    </row>
    <row r="1079">
      <c r="A1079" s="6" t="n">
        <v>1063</v>
      </c>
      <c r="B1079" s="19">
        <f>IF(B8="monthly",DATE(YEAR(B7)+INT((MONTH(B7)-1+1062)/12),MOD(MONTH(B7)-1+1062,12)+1,1)+(DAY(B7)-1),IF(B8="weekly",B7+7434,IF(B8="biweekly",B7+14868,B7+ROUND((1062*365.25)/24,0))))</f>
        <v/>
      </c>
      <c r="C1079" s="21">
        <f>IF((ROUND(F1078-ROUND($B$13-D1079,2),2)&lt;=0),ROUND(D1079+E1079,2),$B$13)</f>
        <v/>
      </c>
      <c r="D1079" s="21">
        <f>ROUND(F1078*B5/100/B10,2)</f>
        <v/>
      </c>
      <c r="E1079" s="21">
        <f>IF((ROUND(F1078-ROUND($B$13-D1079,2),2)&lt;=0),F1078,ROUND($B$13-D1079,2))</f>
        <v/>
      </c>
      <c r="F1079" s="21">
        <f>IF((ROUND(F1078-ROUND($B$13-D1079,2),2)&lt;=0),0,ROUND(F1078-E1079,2))</f>
        <v/>
      </c>
    </row>
    <row r="1080">
      <c r="A1080" s="6" t="n">
        <v>1064</v>
      </c>
      <c r="B1080" s="19">
        <f>IF(B8="monthly",DATE(YEAR(B7)+INT((MONTH(B7)-1+1063)/12),MOD(MONTH(B7)-1+1063,12)+1,1)+(DAY(B7)-1),IF(B8="weekly",B7+7441,IF(B8="biweekly",B7+14882,B7+ROUND((1063*365.25)/24,0))))</f>
        <v/>
      </c>
      <c r="C1080" s="21">
        <f>IF((ROUND(F1079-ROUND($B$13-D1080,2),2)&lt;=0),ROUND(D1080+E1080,2),$B$13)</f>
        <v/>
      </c>
      <c r="D1080" s="21">
        <f>ROUND(F1079*B5/100/B10,2)</f>
        <v/>
      </c>
      <c r="E1080" s="21">
        <f>IF((ROUND(F1079-ROUND($B$13-D1080,2),2)&lt;=0),F1079,ROUND($B$13-D1080,2))</f>
        <v/>
      </c>
      <c r="F1080" s="21">
        <f>IF((ROUND(F1079-ROUND($B$13-D1080,2),2)&lt;=0),0,ROUND(F1079-E1080,2))</f>
        <v/>
      </c>
    </row>
    <row r="1081">
      <c r="A1081" s="6" t="n">
        <v>1065</v>
      </c>
      <c r="B1081" s="19">
        <f>IF(B8="monthly",DATE(YEAR(B7)+INT((MONTH(B7)-1+1064)/12),MOD(MONTH(B7)-1+1064,12)+1,1)+(DAY(B7)-1),IF(B8="weekly",B7+7448,IF(B8="biweekly",B7+14896,B7+ROUND((1064*365.25)/24,0))))</f>
        <v/>
      </c>
      <c r="C1081" s="21">
        <f>IF((ROUND(F1080-ROUND($B$13-D1081,2),2)&lt;=0),ROUND(D1081+E1081,2),$B$13)</f>
        <v/>
      </c>
      <c r="D1081" s="21">
        <f>ROUND(F1080*B5/100/B10,2)</f>
        <v/>
      </c>
      <c r="E1081" s="21">
        <f>IF((ROUND(F1080-ROUND($B$13-D1081,2),2)&lt;=0),F1080,ROUND($B$13-D1081,2))</f>
        <v/>
      </c>
      <c r="F1081" s="21">
        <f>IF((ROUND(F1080-ROUND($B$13-D1081,2),2)&lt;=0),0,ROUND(F1080-E1081,2))</f>
        <v/>
      </c>
    </row>
    <row r="1082">
      <c r="A1082" s="6" t="n">
        <v>1066</v>
      </c>
      <c r="B1082" s="19">
        <f>IF(B8="monthly",DATE(YEAR(B7)+INT((MONTH(B7)-1+1065)/12),MOD(MONTH(B7)-1+1065,12)+1,1)+(DAY(B7)-1),IF(B8="weekly",B7+7455,IF(B8="biweekly",B7+14910,B7+ROUND((1065*365.25)/24,0))))</f>
        <v/>
      </c>
      <c r="C1082" s="21">
        <f>IF((ROUND(F1081-ROUND($B$13-D1082,2),2)&lt;=0),ROUND(D1082+E1082,2),$B$13)</f>
        <v/>
      </c>
      <c r="D1082" s="21">
        <f>ROUND(F1081*B5/100/B10,2)</f>
        <v/>
      </c>
      <c r="E1082" s="21">
        <f>IF((ROUND(F1081-ROUND($B$13-D1082,2),2)&lt;=0),F1081,ROUND($B$13-D1082,2))</f>
        <v/>
      </c>
      <c r="F1082" s="21">
        <f>IF((ROUND(F1081-ROUND($B$13-D1082,2),2)&lt;=0),0,ROUND(F1081-E1082,2))</f>
        <v/>
      </c>
    </row>
    <row r="1083">
      <c r="A1083" s="6" t="n">
        <v>1067</v>
      </c>
      <c r="B1083" s="19">
        <f>IF(B8="monthly",DATE(YEAR(B7)+INT((MONTH(B7)-1+1066)/12),MOD(MONTH(B7)-1+1066,12)+1,1)+(DAY(B7)-1),IF(B8="weekly",B7+7462,IF(B8="biweekly",B7+14924,B7+ROUND((1066*365.25)/24,0))))</f>
        <v/>
      </c>
      <c r="C1083" s="21">
        <f>IF((ROUND(F1082-ROUND($B$13-D1083,2),2)&lt;=0),ROUND(D1083+E1083,2),$B$13)</f>
        <v/>
      </c>
      <c r="D1083" s="21">
        <f>ROUND(F1082*B5/100/B10,2)</f>
        <v/>
      </c>
      <c r="E1083" s="21">
        <f>IF((ROUND(F1082-ROUND($B$13-D1083,2),2)&lt;=0),F1082,ROUND($B$13-D1083,2))</f>
        <v/>
      </c>
      <c r="F1083" s="21">
        <f>IF((ROUND(F1082-ROUND($B$13-D1083,2),2)&lt;=0),0,ROUND(F1082-E1083,2))</f>
        <v/>
      </c>
    </row>
    <row r="1084">
      <c r="A1084" s="6" t="n">
        <v>1068</v>
      </c>
      <c r="B1084" s="19">
        <f>IF(B8="monthly",DATE(YEAR(B7)+INT((MONTH(B7)-1+1067)/12),MOD(MONTH(B7)-1+1067,12)+1,1)+(DAY(B7)-1),IF(B8="weekly",B7+7469,IF(B8="biweekly",B7+14938,B7+ROUND((1067*365.25)/24,0))))</f>
        <v/>
      </c>
      <c r="C1084" s="21">
        <f>IF((ROUND(F1083-ROUND($B$13-D1084,2),2)&lt;=0),ROUND(D1084+E1084,2),$B$13)</f>
        <v/>
      </c>
      <c r="D1084" s="21">
        <f>ROUND(F1083*B5/100/B10,2)</f>
        <v/>
      </c>
      <c r="E1084" s="21">
        <f>IF((ROUND(F1083-ROUND($B$13-D1084,2),2)&lt;=0),F1083,ROUND($B$13-D1084,2))</f>
        <v/>
      </c>
      <c r="F1084" s="21">
        <f>IF((ROUND(F1083-ROUND($B$13-D1084,2),2)&lt;=0),0,ROUND(F1083-E1084,2))</f>
        <v/>
      </c>
    </row>
    <row r="1085">
      <c r="A1085" s="6" t="n">
        <v>1069</v>
      </c>
      <c r="B1085" s="19">
        <f>IF(B8="monthly",DATE(YEAR(B7)+INT((MONTH(B7)-1+1068)/12),MOD(MONTH(B7)-1+1068,12)+1,1)+(DAY(B7)-1),IF(B8="weekly",B7+7476,IF(B8="biweekly",B7+14952,B7+ROUND((1068*365.25)/24,0))))</f>
        <v/>
      </c>
      <c r="C1085" s="21">
        <f>IF((ROUND(F1084-ROUND($B$13-D1085,2),2)&lt;=0),ROUND(D1085+E1085,2),$B$13)</f>
        <v/>
      </c>
      <c r="D1085" s="21">
        <f>ROUND(F1084*B5/100/B10,2)</f>
        <v/>
      </c>
      <c r="E1085" s="21">
        <f>IF((ROUND(F1084-ROUND($B$13-D1085,2),2)&lt;=0),F1084,ROUND($B$13-D1085,2))</f>
        <v/>
      </c>
      <c r="F1085" s="21">
        <f>IF((ROUND(F1084-ROUND($B$13-D1085,2),2)&lt;=0),0,ROUND(F1084-E1085,2))</f>
        <v/>
      </c>
    </row>
    <row r="1086">
      <c r="A1086" s="6" t="n">
        <v>1070</v>
      </c>
      <c r="B1086" s="19">
        <f>IF(B8="monthly",DATE(YEAR(B7)+INT((MONTH(B7)-1+1069)/12),MOD(MONTH(B7)-1+1069,12)+1,1)+(DAY(B7)-1),IF(B8="weekly",B7+7483,IF(B8="biweekly",B7+14966,B7+ROUND((1069*365.25)/24,0))))</f>
        <v/>
      </c>
      <c r="C1086" s="21">
        <f>IF((ROUND(F1085-ROUND($B$13-D1086,2),2)&lt;=0),ROUND(D1086+E1086,2),$B$13)</f>
        <v/>
      </c>
      <c r="D1086" s="21">
        <f>ROUND(F1085*B5/100/B10,2)</f>
        <v/>
      </c>
      <c r="E1086" s="21">
        <f>IF((ROUND(F1085-ROUND($B$13-D1086,2),2)&lt;=0),F1085,ROUND($B$13-D1086,2))</f>
        <v/>
      </c>
      <c r="F1086" s="21">
        <f>IF((ROUND(F1085-ROUND($B$13-D1086,2),2)&lt;=0),0,ROUND(F1085-E1086,2))</f>
        <v/>
      </c>
    </row>
    <row r="1087">
      <c r="A1087" s="6" t="n">
        <v>1071</v>
      </c>
      <c r="B1087" s="19">
        <f>IF(B8="monthly",DATE(YEAR(B7)+INT((MONTH(B7)-1+1070)/12),MOD(MONTH(B7)-1+1070,12)+1,1)+(DAY(B7)-1),IF(B8="weekly",B7+7490,IF(B8="biweekly",B7+14980,B7+ROUND((1070*365.25)/24,0))))</f>
        <v/>
      </c>
      <c r="C1087" s="21">
        <f>IF((ROUND(F1086-ROUND($B$13-D1087,2),2)&lt;=0),ROUND(D1087+E1087,2),$B$13)</f>
        <v/>
      </c>
      <c r="D1087" s="21">
        <f>ROUND(F1086*B5/100/B10,2)</f>
        <v/>
      </c>
      <c r="E1087" s="21">
        <f>IF((ROUND(F1086-ROUND($B$13-D1087,2),2)&lt;=0),F1086,ROUND($B$13-D1087,2))</f>
        <v/>
      </c>
      <c r="F1087" s="21">
        <f>IF((ROUND(F1086-ROUND($B$13-D1087,2),2)&lt;=0),0,ROUND(F1086-E1087,2))</f>
        <v/>
      </c>
    </row>
    <row r="1088">
      <c r="A1088" s="6" t="n">
        <v>1072</v>
      </c>
      <c r="B1088" s="19">
        <f>IF(B8="monthly",DATE(YEAR(B7)+INT((MONTH(B7)-1+1071)/12),MOD(MONTH(B7)-1+1071,12)+1,1)+(DAY(B7)-1),IF(B8="weekly",B7+7497,IF(B8="biweekly",B7+14994,B7+ROUND((1071*365.25)/24,0))))</f>
        <v/>
      </c>
      <c r="C1088" s="21">
        <f>IF((ROUND(F1087-ROUND($B$13-D1088,2),2)&lt;=0),ROUND(D1088+E1088,2),$B$13)</f>
        <v/>
      </c>
      <c r="D1088" s="21">
        <f>ROUND(F1087*B5/100/B10,2)</f>
        <v/>
      </c>
      <c r="E1088" s="21">
        <f>IF((ROUND(F1087-ROUND($B$13-D1088,2),2)&lt;=0),F1087,ROUND($B$13-D1088,2))</f>
        <v/>
      </c>
      <c r="F1088" s="21">
        <f>IF((ROUND(F1087-ROUND($B$13-D1088,2),2)&lt;=0),0,ROUND(F1087-E1088,2))</f>
        <v/>
      </c>
    </row>
    <row r="1089">
      <c r="A1089" s="6" t="n">
        <v>1073</v>
      </c>
      <c r="B1089" s="19">
        <f>IF(B8="monthly",DATE(YEAR(B7)+INT((MONTH(B7)-1+1072)/12),MOD(MONTH(B7)-1+1072,12)+1,1)+(DAY(B7)-1),IF(B8="weekly",B7+7504,IF(B8="biweekly",B7+15008,B7+ROUND((1072*365.25)/24,0))))</f>
        <v/>
      </c>
      <c r="C1089" s="21">
        <f>IF((ROUND(F1088-ROUND($B$13-D1089,2),2)&lt;=0),ROUND(D1089+E1089,2),$B$13)</f>
        <v/>
      </c>
      <c r="D1089" s="21">
        <f>ROUND(F1088*B5/100/B10,2)</f>
        <v/>
      </c>
      <c r="E1089" s="21">
        <f>IF((ROUND(F1088-ROUND($B$13-D1089,2),2)&lt;=0),F1088,ROUND($B$13-D1089,2))</f>
        <v/>
      </c>
      <c r="F1089" s="21">
        <f>IF((ROUND(F1088-ROUND($B$13-D1089,2),2)&lt;=0),0,ROUND(F1088-E1089,2))</f>
        <v/>
      </c>
    </row>
    <row r="1090">
      <c r="A1090" s="6" t="n">
        <v>1074</v>
      </c>
      <c r="B1090" s="19">
        <f>IF(B8="monthly",DATE(YEAR(B7)+INT((MONTH(B7)-1+1073)/12),MOD(MONTH(B7)-1+1073,12)+1,1)+(DAY(B7)-1),IF(B8="weekly",B7+7511,IF(B8="biweekly",B7+15022,B7+ROUND((1073*365.25)/24,0))))</f>
        <v/>
      </c>
      <c r="C1090" s="21">
        <f>IF((ROUND(F1089-ROUND($B$13-D1090,2),2)&lt;=0),ROUND(D1090+E1090,2),$B$13)</f>
        <v/>
      </c>
      <c r="D1090" s="21">
        <f>ROUND(F1089*B5/100/B10,2)</f>
        <v/>
      </c>
      <c r="E1090" s="21">
        <f>IF((ROUND(F1089-ROUND($B$13-D1090,2),2)&lt;=0),F1089,ROUND($B$13-D1090,2))</f>
        <v/>
      </c>
      <c r="F1090" s="21">
        <f>IF((ROUND(F1089-ROUND($B$13-D1090,2),2)&lt;=0),0,ROUND(F1089-E1090,2))</f>
        <v/>
      </c>
    </row>
    <row r="1091">
      <c r="A1091" s="6" t="n">
        <v>1075</v>
      </c>
      <c r="B1091" s="19">
        <f>IF(B8="monthly",DATE(YEAR(B7)+INT((MONTH(B7)-1+1074)/12),MOD(MONTH(B7)-1+1074,12)+1,1)+(DAY(B7)-1),IF(B8="weekly",B7+7518,IF(B8="biweekly",B7+15036,B7+ROUND((1074*365.25)/24,0))))</f>
        <v/>
      </c>
      <c r="C1091" s="21">
        <f>IF((ROUND(F1090-ROUND($B$13-D1091,2),2)&lt;=0),ROUND(D1091+E1091,2),$B$13)</f>
        <v/>
      </c>
      <c r="D1091" s="21">
        <f>ROUND(F1090*B5/100/B10,2)</f>
        <v/>
      </c>
      <c r="E1091" s="21">
        <f>IF((ROUND(F1090-ROUND($B$13-D1091,2),2)&lt;=0),F1090,ROUND($B$13-D1091,2))</f>
        <v/>
      </c>
      <c r="F1091" s="21">
        <f>IF((ROUND(F1090-ROUND($B$13-D1091,2),2)&lt;=0),0,ROUND(F1090-E1091,2))</f>
        <v/>
      </c>
    </row>
    <row r="1092">
      <c r="A1092" s="6" t="n">
        <v>1076</v>
      </c>
      <c r="B1092" s="19">
        <f>IF(B8="monthly",DATE(YEAR(B7)+INT((MONTH(B7)-1+1075)/12),MOD(MONTH(B7)-1+1075,12)+1,1)+(DAY(B7)-1),IF(B8="weekly",B7+7525,IF(B8="biweekly",B7+15050,B7+ROUND((1075*365.25)/24,0))))</f>
        <v/>
      </c>
      <c r="C1092" s="21">
        <f>IF((ROUND(F1091-ROUND($B$13-D1092,2),2)&lt;=0),ROUND(D1092+E1092,2),$B$13)</f>
        <v/>
      </c>
      <c r="D1092" s="21">
        <f>ROUND(F1091*B5/100/B10,2)</f>
        <v/>
      </c>
      <c r="E1092" s="21">
        <f>IF((ROUND(F1091-ROUND($B$13-D1092,2),2)&lt;=0),F1091,ROUND($B$13-D1092,2))</f>
        <v/>
      </c>
      <c r="F1092" s="21">
        <f>IF((ROUND(F1091-ROUND($B$13-D1092,2),2)&lt;=0),0,ROUND(F1091-E1092,2))</f>
        <v/>
      </c>
    </row>
    <row r="1093">
      <c r="A1093" s="6" t="n">
        <v>1077</v>
      </c>
      <c r="B1093" s="19">
        <f>IF(B8="monthly",DATE(YEAR(B7)+INT((MONTH(B7)-1+1076)/12),MOD(MONTH(B7)-1+1076,12)+1,1)+(DAY(B7)-1),IF(B8="weekly",B7+7532,IF(B8="biweekly",B7+15064,B7+ROUND((1076*365.25)/24,0))))</f>
        <v/>
      </c>
      <c r="C1093" s="21">
        <f>IF((ROUND(F1092-ROUND($B$13-D1093,2),2)&lt;=0),ROUND(D1093+E1093,2),$B$13)</f>
        <v/>
      </c>
      <c r="D1093" s="21">
        <f>ROUND(F1092*B5/100/B10,2)</f>
        <v/>
      </c>
      <c r="E1093" s="21">
        <f>IF((ROUND(F1092-ROUND($B$13-D1093,2),2)&lt;=0),F1092,ROUND($B$13-D1093,2))</f>
        <v/>
      </c>
      <c r="F1093" s="21">
        <f>IF((ROUND(F1092-ROUND($B$13-D1093,2),2)&lt;=0),0,ROUND(F1092-E1093,2))</f>
        <v/>
      </c>
    </row>
    <row r="1094">
      <c r="A1094" s="6" t="n">
        <v>1078</v>
      </c>
      <c r="B1094" s="19">
        <f>IF(B8="monthly",DATE(YEAR(B7)+INT((MONTH(B7)-1+1077)/12),MOD(MONTH(B7)-1+1077,12)+1,1)+(DAY(B7)-1),IF(B8="weekly",B7+7539,IF(B8="biweekly",B7+15078,B7+ROUND((1077*365.25)/24,0))))</f>
        <v/>
      </c>
      <c r="C1094" s="21">
        <f>IF((ROUND(F1093-ROUND($B$13-D1094,2),2)&lt;=0),ROUND(D1094+E1094,2),$B$13)</f>
        <v/>
      </c>
      <c r="D1094" s="21">
        <f>ROUND(F1093*B5/100/B10,2)</f>
        <v/>
      </c>
      <c r="E1094" s="21">
        <f>IF((ROUND(F1093-ROUND($B$13-D1094,2),2)&lt;=0),F1093,ROUND($B$13-D1094,2))</f>
        <v/>
      </c>
      <c r="F1094" s="21">
        <f>IF((ROUND(F1093-ROUND($B$13-D1094,2),2)&lt;=0),0,ROUND(F1093-E1094,2))</f>
        <v/>
      </c>
    </row>
    <row r="1095">
      <c r="A1095" s="6" t="n">
        <v>1079</v>
      </c>
      <c r="B1095" s="19">
        <f>IF(B8="monthly",DATE(YEAR(B7)+INT((MONTH(B7)-1+1078)/12),MOD(MONTH(B7)-1+1078,12)+1,1)+(DAY(B7)-1),IF(B8="weekly",B7+7546,IF(B8="biweekly",B7+15092,B7+ROUND((1078*365.25)/24,0))))</f>
        <v/>
      </c>
      <c r="C1095" s="21">
        <f>IF((ROUND(F1094-ROUND($B$13-D1095,2),2)&lt;=0),ROUND(D1095+E1095,2),$B$13)</f>
        <v/>
      </c>
      <c r="D1095" s="21">
        <f>ROUND(F1094*B5/100/B10,2)</f>
        <v/>
      </c>
      <c r="E1095" s="21">
        <f>IF((ROUND(F1094-ROUND($B$13-D1095,2),2)&lt;=0),F1094,ROUND($B$13-D1095,2))</f>
        <v/>
      </c>
      <c r="F1095" s="21">
        <f>IF((ROUND(F1094-ROUND($B$13-D1095,2),2)&lt;=0),0,ROUND(F1094-E1095,2))</f>
        <v/>
      </c>
    </row>
    <row r="1096">
      <c r="A1096" s="6" t="n">
        <v>1080</v>
      </c>
      <c r="B1096" s="19">
        <f>IF(B8="monthly",DATE(YEAR(B7)+INT((MONTH(B7)-1+1079)/12),MOD(MONTH(B7)-1+1079,12)+1,1)+(DAY(B7)-1),IF(B8="weekly",B7+7553,IF(B8="biweekly",B7+15106,B7+ROUND((1079*365.25)/24,0))))</f>
        <v/>
      </c>
      <c r="C1096" s="21">
        <f>IF((ROUND(F1095-ROUND($B$13-D1096,2),2)&lt;=0),ROUND(D1096+E1096,2),$B$13)</f>
        <v/>
      </c>
      <c r="D1096" s="21">
        <f>ROUND(F1095*B5/100/B10,2)</f>
        <v/>
      </c>
      <c r="E1096" s="21">
        <f>IF((ROUND(F1095-ROUND($B$13-D1096,2),2)&lt;=0),F1095,ROUND($B$13-D1096,2))</f>
        <v/>
      </c>
      <c r="F1096" s="21">
        <f>IF((ROUND(F1095-ROUND($B$13-D1096,2),2)&lt;=0),0,ROUND(F1095-E1096,2))</f>
        <v/>
      </c>
    </row>
    <row r="1097">
      <c r="A1097" s="6" t="n">
        <v>1081</v>
      </c>
      <c r="B1097" s="19">
        <f>IF(B8="monthly",DATE(YEAR(B7)+INT((MONTH(B7)-1+1080)/12),MOD(MONTH(B7)-1+1080,12)+1,1)+(DAY(B7)-1),IF(B8="weekly",B7+7560,IF(B8="biweekly",B7+15120,B7+ROUND((1080*365.25)/24,0))))</f>
        <v/>
      </c>
      <c r="C1097" s="21">
        <f>IF((ROUND(F1096-ROUND($B$13-D1097,2),2)&lt;=0),ROUND(D1097+E1097,2),$B$13)</f>
        <v/>
      </c>
      <c r="D1097" s="21">
        <f>ROUND(F1096*B5/100/B10,2)</f>
        <v/>
      </c>
      <c r="E1097" s="21">
        <f>IF((ROUND(F1096-ROUND($B$13-D1097,2),2)&lt;=0),F1096,ROUND($B$13-D1097,2))</f>
        <v/>
      </c>
      <c r="F1097" s="21">
        <f>IF((ROUND(F1096-ROUND($B$13-D1097,2),2)&lt;=0),0,ROUND(F1096-E1097,2))</f>
        <v/>
      </c>
    </row>
    <row r="1098">
      <c r="A1098" s="6" t="n">
        <v>1082</v>
      </c>
      <c r="B1098" s="19">
        <f>IF(B8="monthly",DATE(YEAR(B7)+INT((MONTH(B7)-1+1081)/12),MOD(MONTH(B7)-1+1081,12)+1,1)+(DAY(B7)-1),IF(B8="weekly",B7+7567,IF(B8="biweekly",B7+15134,B7+ROUND((1081*365.25)/24,0))))</f>
        <v/>
      </c>
      <c r="C1098" s="21">
        <f>IF((ROUND(F1097-ROUND($B$13-D1098,2),2)&lt;=0),ROUND(D1098+E1098,2),$B$13)</f>
        <v/>
      </c>
      <c r="D1098" s="21">
        <f>ROUND(F1097*B5/100/B10,2)</f>
        <v/>
      </c>
      <c r="E1098" s="21">
        <f>IF((ROUND(F1097-ROUND($B$13-D1098,2),2)&lt;=0),F1097,ROUND($B$13-D1098,2))</f>
        <v/>
      </c>
      <c r="F1098" s="21">
        <f>IF((ROUND(F1097-ROUND($B$13-D1098,2),2)&lt;=0),0,ROUND(F1097-E1098,2))</f>
        <v/>
      </c>
    </row>
    <row r="1099">
      <c r="A1099" s="6" t="n">
        <v>1083</v>
      </c>
      <c r="B1099" s="19">
        <f>IF(B8="monthly",DATE(YEAR(B7)+INT((MONTH(B7)-1+1082)/12),MOD(MONTH(B7)-1+1082,12)+1,1)+(DAY(B7)-1),IF(B8="weekly",B7+7574,IF(B8="biweekly",B7+15148,B7+ROUND((1082*365.25)/24,0))))</f>
        <v/>
      </c>
      <c r="C1099" s="21">
        <f>IF((ROUND(F1098-ROUND($B$13-D1099,2),2)&lt;=0),ROUND(D1099+E1099,2),$B$13)</f>
        <v/>
      </c>
      <c r="D1099" s="21">
        <f>ROUND(F1098*B5/100/B10,2)</f>
        <v/>
      </c>
      <c r="E1099" s="21">
        <f>IF((ROUND(F1098-ROUND($B$13-D1099,2),2)&lt;=0),F1098,ROUND($B$13-D1099,2))</f>
        <v/>
      </c>
      <c r="F1099" s="21">
        <f>IF((ROUND(F1098-ROUND($B$13-D1099,2),2)&lt;=0),0,ROUND(F1098-E1099,2))</f>
        <v/>
      </c>
    </row>
    <row r="1100">
      <c r="A1100" s="6" t="n">
        <v>1084</v>
      </c>
      <c r="B1100" s="19">
        <f>IF(B8="monthly",DATE(YEAR(B7)+INT((MONTH(B7)-1+1083)/12),MOD(MONTH(B7)-1+1083,12)+1,1)+(DAY(B7)-1),IF(B8="weekly",B7+7581,IF(B8="biweekly",B7+15162,B7+ROUND((1083*365.25)/24,0))))</f>
        <v/>
      </c>
      <c r="C1100" s="21">
        <f>IF((ROUND(F1099-ROUND($B$13-D1100,2),2)&lt;=0),ROUND(D1100+E1100,2),$B$13)</f>
        <v/>
      </c>
      <c r="D1100" s="21">
        <f>ROUND(F1099*B5/100/B10,2)</f>
        <v/>
      </c>
      <c r="E1100" s="21">
        <f>IF((ROUND(F1099-ROUND($B$13-D1100,2),2)&lt;=0),F1099,ROUND($B$13-D1100,2))</f>
        <v/>
      </c>
      <c r="F1100" s="21">
        <f>IF((ROUND(F1099-ROUND($B$13-D1100,2),2)&lt;=0),0,ROUND(F1099-E1100,2))</f>
        <v/>
      </c>
    </row>
    <row r="1101">
      <c r="A1101" s="6" t="n">
        <v>1085</v>
      </c>
      <c r="B1101" s="19">
        <f>IF(B8="monthly",DATE(YEAR(B7)+INT((MONTH(B7)-1+1084)/12),MOD(MONTH(B7)-1+1084,12)+1,1)+(DAY(B7)-1),IF(B8="weekly",B7+7588,IF(B8="biweekly",B7+15176,B7+ROUND((1084*365.25)/24,0))))</f>
        <v/>
      </c>
      <c r="C1101" s="21">
        <f>IF((ROUND(F1100-ROUND($B$13-D1101,2),2)&lt;=0),ROUND(D1101+E1101,2),$B$13)</f>
        <v/>
      </c>
      <c r="D1101" s="21">
        <f>ROUND(F1100*B5/100/B10,2)</f>
        <v/>
      </c>
      <c r="E1101" s="21">
        <f>IF((ROUND(F1100-ROUND($B$13-D1101,2),2)&lt;=0),F1100,ROUND($B$13-D1101,2))</f>
        <v/>
      </c>
      <c r="F1101" s="21">
        <f>IF((ROUND(F1100-ROUND($B$13-D1101,2),2)&lt;=0),0,ROUND(F1100-E1101,2))</f>
        <v/>
      </c>
    </row>
    <row r="1102">
      <c r="A1102" s="6" t="n">
        <v>1086</v>
      </c>
      <c r="B1102" s="19">
        <f>IF(B8="monthly",DATE(YEAR(B7)+INT((MONTH(B7)-1+1085)/12),MOD(MONTH(B7)-1+1085,12)+1,1)+(DAY(B7)-1),IF(B8="weekly",B7+7595,IF(B8="biweekly",B7+15190,B7+ROUND((1085*365.25)/24,0))))</f>
        <v/>
      </c>
      <c r="C1102" s="21">
        <f>IF((ROUND(F1101-ROUND($B$13-D1102,2),2)&lt;=0),ROUND(D1102+E1102,2),$B$13)</f>
        <v/>
      </c>
      <c r="D1102" s="21">
        <f>ROUND(F1101*B5/100/B10,2)</f>
        <v/>
      </c>
      <c r="E1102" s="21">
        <f>IF((ROUND(F1101-ROUND($B$13-D1102,2),2)&lt;=0),F1101,ROUND($B$13-D1102,2))</f>
        <v/>
      </c>
      <c r="F1102" s="21">
        <f>IF((ROUND(F1101-ROUND($B$13-D1102,2),2)&lt;=0),0,ROUND(F1101-E1102,2))</f>
        <v/>
      </c>
    </row>
    <row r="1103">
      <c r="A1103" s="6" t="n">
        <v>1087</v>
      </c>
      <c r="B1103" s="19">
        <f>IF(B8="monthly",DATE(YEAR(B7)+INT((MONTH(B7)-1+1086)/12),MOD(MONTH(B7)-1+1086,12)+1,1)+(DAY(B7)-1),IF(B8="weekly",B7+7602,IF(B8="biweekly",B7+15204,B7+ROUND((1086*365.25)/24,0))))</f>
        <v/>
      </c>
      <c r="C1103" s="21">
        <f>IF((ROUND(F1102-ROUND($B$13-D1103,2),2)&lt;=0),ROUND(D1103+E1103,2),$B$13)</f>
        <v/>
      </c>
      <c r="D1103" s="21">
        <f>ROUND(F1102*B5/100/B10,2)</f>
        <v/>
      </c>
      <c r="E1103" s="21">
        <f>IF((ROUND(F1102-ROUND($B$13-D1103,2),2)&lt;=0),F1102,ROUND($B$13-D1103,2))</f>
        <v/>
      </c>
      <c r="F1103" s="21">
        <f>IF((ROUND(F1102-ROUND($B$13-D1103,2),2)&lt;=0),0,ROUND(F1102-E1103,2))</f>
        <v/>
      </c>
    </row>
    <row r="1104">
      <c r="A1104" s="6" t="n">
        <v>1088</v>
      </c>
      <c r="B1104" s="19">
        <f>IF(B8="monthly",DATE(YEAR(B7)+INT((MONTH(B7)-1+1087)/12),MOD(MONTH(B7)-1+1087,12)+1,1)+(DAY(B7)-1),IF(B8="weekly",B7+7609,IF(B8="biweekly",B7+15218,B7+ROUND((1087*365.25)/24,0))))</f>
        <v/>
      </c>
      <c r="C1104" s="21">
        <f>IF((ROUND(F1103-ROUND($B$13-D1104,2),2)&lt;=0),ROUND(D1104+E1104,2),$B$13)</f>
        <v/>
      </c>
      <c r="D1104" s="21">
        <f>ROUND(F1103*B5/100/B10,2)</f>
        <v/>
      </c>
      <c r="E1104" s="21">
        <f>IF((ROUND(F1103-ROUND($B$13-D1104,2),2)&lt;=0),F1103,ROUND($B$13-D1104,2))</f>
        <v/>
      </c>
      <c r="F1104" s="21">
        <f>IF((ROUND(F1103-ROUND($B$13-D1104,2),2)&lt;=0),0,ROUND(F1103-E1104,2))</f>
        <v/>
      </c>
    </row>
    <row r="1105">
      <c r="A1105" s="6" t="n">
        <v>1089</v>
      </c>
      <c r="B1105" s="19">
        <f>IF(B8="monthly",DATE(YEAR(B7)+INT((MONTH(B7)-1+1088)/12),MOD(MONTH(B7)-1+1088,12)+1,1)+(DAY(B7)-1),IF(B8="weekly",B7+7616,IF(B8="biweekly",B7+15232,B7+ROUND((1088*365.25)/24,0))))</f>
        <v/>
      </c>
      <c r="C1105" s="21">
        <f>IF((ROUND(F1104-ROUND($B$13-D1105,2),2)&lt;=0),ROUND(D1105+E1105,2),$B$13)</f>
        <v/>
      </c>
      <c r="D1105" s="21">
        <f>ROUND(F1104*B5/100/B10,2)</f>
        <v/>
      </c>
      <c r="E1105" s="21">
        <f>IF((ROUND(F1104-ROUND($B$13-D1105,2),2)&lt;=0),F1104,ROUND($B$13-D1105,2))</f>
        <v/>
      </c>
      <c r="F1105" s="21">
        <f>IF((ROUND(F1104-ROUND($B$13-D1105,2),2)&lt;=0),0,ROUND(F1104-E1105,2))</f>
        <v/>
      </c>
    </row>
    <row r="1106">
      <c r="A1106" s="6" t="n">
        <v>1090</v>
      </c>
      <c r="B1106" s="19">
        <f>IF(B8="monthly",DATE(YEAR(B7)+INT((MONTH(B7)-1+1089)/12),MOD(MONTH(B7)-1+1089,12)+1,1)+(DAY(B7)-1),IF(B8="weekly",B7+7623,IF(B8="biweekly",B7+15246,B7+ROUND((1089*365.25)/24,0))))</f>
        <v/>
      </c>
      <c r="C1106" s="21">
        <f>IF((ROUND(F1105-ROUND($B$13-D1106,2),2)&lt;=0),ROUND(D1106+E1106,2),$B$13)</f>
        <v/>
      </c>
      <c r="D1106" s="21">
        <f>ROUND(F1105*B5/100/B10,2)</f>
        <v/>
      </c>
      <c r="E1106" s="21">
        <f>IF((ROUND(F1105-ROUND($B$13-D1106,2),2)&lt;=0),F1105,ROUND($B$13-D1106,2))</f>
        <v/>
      </c>
      <c r="F1106" s="21">
        <f>IF((ROUND(F1105-ROUND($B$13-D1106,2),2)&lt;=0),0,ROUND(F1105-E1106,2))</f>
        <v/>
      </c>
    </row>
    <row r="1107">
      <c r="A1107" s="6" t="n">
        <v>1091</v>
      </c>
      <c r="B1107" s="19">
        <f>IF(B8="monthly",DATE(YEAR(B7)+INT((MONTH(B7)-1+1090)/12),MOD(MONTH(B7)-1+1090,12)+1,1)+(DAY(B7)-1),IF(B8="weekly",B7+7630,IF(B8="biweekly",B7+15260,B7+ROUND((1090*365.25)/24,0))))</f>
        <v/>
      </c>
      <c r="C1107" s="21">
        <f>IF((ROUND(F1106-ROUND($B$13-D1107,2),2)&lt;=0),ROUND(D1107+E1107,2),$B$13)</f>
        <v/>
      </c>
      <c r="D1107" s="21">
        <f>ROUND(F1106*B5/100/B10,2)</f>
        <v/>
      </c>
      <c r="E1107" s="21">
        <f>IF((ROUND(F1106-ROUND($B$13-D1107,2),2)&lt;=0),F1106,ROUND($B$13-D1107,2))</f>
        <v/>
      </c>
      <c r="F1107" s="21">
        <f>IF((ROUND(F1106-ROUND($B$13-D1107,2),2)&lt;=0),0,ROUND(F1106-E1107,2))</f>
        <v/>
      </c>
    </row>
    <row r="1108">
      <c r="A1108" s="6" t="n">
        <v>1092</v>
      </c>
      <c r="B1108" s="19">
        <f>IF(B8="monthly",DATE(YEAR(B7)+INT((MONTH(B7)-1+1091)/12),MOD(MONTH(B7)-1+1091,12)+1,1)+(DAY(B7)-1),IF(B8="weekly",B7+7637,IF(B8="biweekly",B7+15274,B7+ROUND((1091*365.25)/24,0))))</f>
        <v/>
      </c>
      <c r="C1108" s="21">
        <f>IF((ROUND(F1107-ROUND($B$13-D1108,2),2)&lt;=0),ROUND(D1108+E1108,2),$B$13)</f>
        <v/>
      </c>
      <c r="D1108" s="21">
        <f>ROUND(F1107*B5/100/B10,2)</f>
        <v/>
      </c>
      <c r="E1108" s="21">
        <f>IF((ROUND(F1107-ROUND($B$13-D1108,2),2)&lt;=0),F1107,ROUND($B$13-D1108,2))</f>
        <v/>
      </c>
      <c r="F1108" s="21">
        <f>IF((ROUND(F1107-ROUND($B$13-D1108,2),2)&lt;=0),0,ROUND(F1107-E1108,2))</f>
        <v/>
      </c>
    </row>
    <row r="1109">
      <c r="A1109" s="6" t="n">
        <v>1093</v>
      </c>
      <c r="B1109" s="19">
        <f>IF(B8="monthly",DATE(YEAR(B7)+INT((MONTH(B7)-1+1092)/12),MOD(MONTH(B7)-1+1092,12)+1,1)+(DAY(B7)-1),IF(B8="weekly",B7+7644,IF(B8="biweekly",B7+15288,B7+ROUND((1092*365.25)/24,0))))</f>
        <v/>
      </c>
      <c r="C1109" s="21">
        <f>IF((ROUND(F1108-ROUND($B$13-D1109,2),2)&lt;=0),ROUND(D1109+E1109,2),$B$13)</f>
        <v/>
      </c>
      <c r="D1109" s="21">
        <f>ROUND(F1108*B5/100/B10,2)</f>
        <v/>
      </c>
      <c r="E1109" s="21">
        <f>IF((ROUND(F1108-ROUND($B$13-D1109,2),2)&lt;=0),F1108,ROUND($B$13-D1109,2))</f>
        <v/>
      </c>
      <c r="F1109" s="21">
        <f>IF((ROUND(F1108-ROUND($B$13-D1109,2),2)&lt;=0),0,ROUND(F1108-E1109,2))</f>
        <v/>
      </c>
    </row>
    <row r="1110">
      <c r="A1110" s="6" t="n">
        <v>1094</v>
      </c>
      <c r="B1110" s="19">
        <f>IF(B8="monthly",DATE(YEAR(B7)+INT((MONTH(B7)-1+1093)/12),MOD(MONTH(B7)-1+1093,12)+1,1)+(DAY(B7)-1),IF(B8="weekly",B7+7651,IF(B8="biweekly",B7+15302,B7+ROUND((1093*365.25)/24,0))))</f>
        <v/>
      </c>
      <c r="C1110" s="21">
        <f>IF((ROUND(F1109-ROUND($B$13-D1110,2),2)&lt;=0),ROUND(D1110+E1110,2),$B$13)</f>
        <v/>
      </c>
      <c r="D1110" s="21">
        <f>ROUND(F1109*B5/100/B10,2)</f>
        <v/>
      </c>
      <c r="E1110" s="21">
        <f>IF((ROUND(F1109-ROUND($B$13-D1110,2),2)&lt;=0),F1109,ROUND($B$13-D1110,2))</f>
        <v/>
      </c>
      <c r="F1110" s="21">
        <f>IF((ROUND(F1109-ROUND($B$13-D1110,2),2)&lt;=0),0,ROUND(F1109-E1110,2))</f>
        <v/>
      </c>
    </row>
    <row r="1111">
      <c r="A1111" s="6" t="n">
        <v>1095</v>
      </c>
      <c r="B1111" s="19">
        <f>IF(B8="monthly",DATE(YEAR(B7)+INT((MONTH(B7)-1+1094)/12),MOD(MONTH(B7)-1+1094,12)+1,1)+(DAY(B7)-1),IF(B8="weekly",B7+7658,IF(B8="biweekly",B7+15316,B7+ROUND((1094*365.25)/24,0))))</f>
        <v/>
      </c>
      <c r="C1111" s="21">
        <f>IF((ROUND(F1110-ROUND($B$13-D1111,2),2)&lt;=0),ROUND(D1111+E1111,2),$B$13)</f>
        <v/>
      </c>
      <c r="D1111" s="21">
        <f>ROUND(F1110*B5/100/B10,2)</f>
        <v/>
      </c>
      <c r="E1111" s="21">
        <f>IF((ROUND(F1110-ROUND($B$13-D1111,2),2)&lt;=0),F1110,ROUND($B$13-D1111,2))</f>
        <v/>
      </c>
      <c r="F1111" s="21">
        <f>IF((ROUND(F1110-ROUND($B$13-D1111,2),2)&lt;=0),0,ROUND(F1110-E1111,2))</f>
        <v/>
      </c>
    </row>
    <row r="1112">
      <c r="A1112" s="6" t="n">
        <v>1096</v>
      </c>
      <c r="B1112" s="19">
        <f>IF(B8="monthly",DATE(YEAR(B7)+INT((MONTH(B7)-1+1095)/12),MOD(MONTH(B7)-1+1095,12)+1,1)+(DAY(B7)-1),IF(B8="weekly",B7+7665,IF(B8="biweekly",B7+15330,B7+ROUND((1095*365.25)/24,0))))</f>
        <v/>
      </c>
      <c r="C1112" s="21">
        <f>IF((ROUND(F1111-ROUND($B$13-D1112,2),2)&lt;=0),ROUND(D1112+E1112,2),$B$13)</f>
        <v/>
      </c>
      <c r="D1112" s="21">
        <f>ROUND(F1111*B5/100/B10,2)</f>
        <v/>
      </c>
      <c r="E1112" s="21">
        <f>IF((ROUND(F1111-ROUND($B$13-D1112,2),2)&lt;=0),F1111,ROUND($B$13-D1112,2))</f>
        <v/>
      </c>
      <c r="F1112" s="21">
        <f>IF((ROUND(F1111-ROUND($B$13-D1112,2),2)&lt;=0),0,ROUND(F1111-E1112,2))</f>
        <v/>
      </c>
    </row>
    <row r="1113">
      <c r="A1113" s="6" t="n">
        <v>1097</v>
      </c>
      <c r="B1113" s="19">
        <f>IF(B8="monthly",DATE(YEAR(B7)+INT((MONTH(B7)-1+1096)/12),MOD(MONTH(B7)-1+1096,12)+1,1)+(DAY(B7)-1),IF(B8="weekly",B7+7672,IF(B8="biweekly",B7+15344,B7+ROUND((1096*365.25)/24,0))))</f>
        <v/>
      </c>
      <c r="C1113" s="21">
        <f>IF((ROUND(F1112-ROUND($B$13-D1113,2),2)&lt;=0),ROUND(D1113+E1113,2),$B$13)</f>
        <v/>
      </c>
      <c r="D1113" s="21">
        <f>ROUND(F1112*B5/100/B10,2)</f>
        <v/>
      </c>
      <c r="E1113" s="21">
        <f>IF((ROUND(F1112-ROUND($B$13-D1113,2),2)&lt;=0),F1112,ROUND($B$13-D1113,2))</f>
        <v/>
      </c>
      <c r="F1113" s="21">
        <f>IF((ROUND(F1112-ROUND($B$13-D1113,2),2)&lt;=0),0,ROUND(F1112-E1113,2))</f>
        <v/>
      </c>
    </row>
    <row r="1114">
      <c r="A1114" s="6" t="n">
        <v>1098</v>
      </c>
      <c r="B1114" s="19">
        <f>IF(B8="monthly",DATE(YEAR(B7)+INT((MONTH(B7)-1+1097)/12),MOD(MONTH(B7)-1+1097,12)+1,1)+(DAY(B7)-1),IF(B8="weekly",B7+7679,IF(B8="biweekly",B7+15358,B7+ROUND((1097*365.25)/24,0))))</f>
        <v/>
      </c>
      <c r="C1114" s="21">
        <f>IF((ROUND(F1113-ROUND($B$13-D1114,2),2)&lt;=0),ROUND(D1114+E1114,2),$B$13)</f>
        <v/>
      </c>
      <c r="D1114" s="21">
        <f>ROUND(F1113*B5/100/B10,2)</f>
        <v/>
      </c>
      <c r="E1114" s="21">
        <f>IF((ROUND(F1113-ROUND($B$13-D1114,2),2)&lt;=0),F1113,ROUND($B$13-D1114,2))</f>
        <v/>
      </c>
      <c r="F1114" s="21">
        <f>IF((ROUND(F1113-ROUND($B$13-D1114,2),2)&lt;=0),0,ROUND(F1113-E1114,2))</f>
        <v/>
      </c>
    </row>
    <row r="1115">
      <c r="A1115" s="6" t="n">
        <v>1099</v>
      </c>
      <c r="B1115" s="19">
        <f>IF(B8="monthly",DATE(YEAR(B7)+INT((MONTH(B7)-1+1098)/12),MOD(MONTH(B7)-1+1098,12)+1,1)+(DAY(B7)-1),IF(B8="weekly",B7+7686,IF(B8="biweekly",B7+15372,B7+ROUND((1098*365.25)/24,0))))</f>
        <v/>
      </c>
      <c r="C1115" s="21">
        <f>IF((ROUND(F1114-ROUND($B$13-D1115,2),2)&lt;=0),ROUND(D1115+E1115,2),$B$13)</f>
        <v/>
      </c>
      <c r="D1115" s="21">
        <f>ROUND(F1114*B5/100/B10,2)</f>
        <v/>
      </c>
      <c r="E1115" s="21">
        <f>IF((ROUND(F1114-ROUND($B$13-D1115,2),2)&lt;=0),F1114,ROUND($B$13-D1115,2))</f>
        <v/>
      </c>
      <c r="F1115" s="21">
        <f>IF((ROUND(F1114-ROUND($B$13-D1115,2),2)&lt;=0),0,ROUND(F1114-E1115,2))</f>
        <v/>
      </c>
    </row>
    <row r="1116">
      <c r="A1116" s="6" t="n">
        <v>1100</v>
      </c>
      <c r="B1116" s="19">
        <f>IF(B8="monthly",DATE(YEAR(B7)+INT((MONTH(B7)-1+1099)/12),MOD(MONTH(B7)-1+1099,12)+1,1)+(DAY(B7)-1),IF(B8="weekly",B7+7693,IF(B8="biweekly",B7+15386,B7+ROUND((1099*365.25)/24,0))))</f>
        <v/>
      </c>
      <c r="C1116" s="21">
        <f>IF((ROUND(F1115-ROUND($B$13-D1116,2),2)&lt;=0),ROUND(D1116+E1116,2),$B$13)</f>
        <v/>
      </c>
      <c r="D1116" s="21">
        <f>ROUND(F1115*B5/100/B10,2)</f>
        <v/>
      </c>
      <c r="E1116" s="21">
        <f>IF((ROUND(F1115-ROUND($B$13-D1116,2),2)&lt;=0),F1115,ROUND($B$13-D1116,2))</f>
        <v/>
      </c>
      <c r="F1116" s="21">
        <f>IF((ROUND(F1115-ROUND($B$13-D1116,2),2)&lt;=0),0,ROUND(F1115-E1116,2))</f>
        <v/>
      </c>
    </row>
    <row r="1117">
      <c r="A1117" s="6" t="n">
        <v>1101</v>
      </c>
      <c r="B1117" s="19">
        <f>IF(B8="monthly",DATE(YEAR(B7)+INT((MONTH(B7)-1+1100)/12),MOD(MONTH(B7)-1+1100,12)+1,1)+(DAY(B7)-1),IF(B8="weekly",B7+7700,IF(B8="biweekly",B7+15400,B7+ROUND((1100*365.25)/24,0))))</f>
        <v/>
      </c>
      <c r="C1117" s="21">
        <f>IF((ROUND(F1116-ROUND($B$13-D1117,2),2)&lt;=0),ROUND(D1117+E1117,2),$B$13)</f>
        <v/>
      </c>
      <c r="D1117" s="21">
        <f>ROUND(F1116*B5/100/B10,2)</f>
        <v/>
      </c>
      <c r="E1117" s="21">
        <f>IF((ROUND(F1116-ROUND($B$13-D1117,2),2)&lt;=0),F1116,ROUND($B$13-D1117,2))</f>
        <v/>
      </c>
      <c r="F1117" s="21">
        <f>IF((ROUND(F1116-ROUND($B$13-D1117,2),2)&lt;=0),0,ROUND(F1116-E1117,2))</f>
        <v/>
      </c>
    </row>
    <row r="1118">
      <c r="A1118" s="6" t="n">
        <v>1102</v>
      </c>
      <c r="B1118" s="19">
        <f>IF(B8="monthly",DATE(YEAR(B7)+INT((MONTH(B7)-1+1101)/12),MOD(MONTH(B7)-1+1101,12)+1,1)+(DAY(B7)-1),IF(B8="weekly",B7+7707,IF(B8="biweekly",B7+15414,B7+ROUND((1101*365.25)/24,0))))</f>
        <v/>
      </c>
      <c r="C1118" s="21">
        <f>IF((ROUND(F1117-ROUND($B$13-D1118,2),2)&lt;=0),ROUND(D1118+E1118,2),$B$13)</f>
        <v/>
      </c>
      <c r="D1118" s="21">
        <f>ROUND(F1117*B5/100/B10,2)</f>
        <v/>
      </c>
      <c r="E1118" s="21">
        <f>IF((ROUND(F1117-ROUND($B$13-D1118,2),2)&lt;=0),F1117,ROUND($B$13-D1118,2))</f>
        <v/>
      </c>
      <c r="F1118" s="21">
        <f>IF((ROUND(F1117-ROUND($B$13-D1118,2),2)&lt;=0),0,ROUND(F1117-E1118,2))</f>
        <v/>
      </c>
    </row>
    <row r="1119">
      <c r="A1119" s="6" t="n">
        <v>1103</v>
      </c>
      <c r="B1119" s="19">
        <f>IF(B8="monthly",DATE(YEAR(B7)+INT((MONTH(B7)-1+1102)/12),MOD(MONTH(B7)-1+1102,12)+1,1)+(DAY(B7)-1),IF(B8="weekly",B7+7714,IF(B8="biweekly",B7+15428,B7+ROUND((1102*365.25)/24,0))))</f>
        <v/>
      </c>
      <c r="C1119" s="21">
        <f>IF((ROUND(F1118-ROUND($B$13-D1119,2),2)&lt;=0),ROUND(D1119+E1119,2),$B$13)</f>
        <v/>
      </c>
      <c r="D1119" s="21">
        <f>ROUND(F1118*B5/100/B10,2)</f>
        <v/>
      </c>
      <c r="E1119" s="21">
        <f>IF((ROUND(F1118-ROUND($B$13-D1119,2),2)&lt;=0),F1118,ROUND($B$13-D1119,2))</f>
        <v/>
      </c>
      <c r="F1119" s="21">
        <f>IF((ROUND(F1118-ROUND($B$13-D1119,2),2)&lt;=0),0,ROUND(F1118-E1119,2))</f>
        <v/>
      </c>
    </row>
    <row r="1120">
      <c r="A1120" s="6" t="n">
        <v>1104</v>
      </c>
      <c r="B1120" s="19">
        <f>IF(B8="monthly",DATE(YEAR(B7)+INT((MONTH(B7)-1+1103)/12),MOD(MONTH(B7)-1+1103,12)+1,1)+(DAY(B7)-1),IF(B8="weekly",B7+7721,IF(B8="biweekly",B7+15442,B7+ROUND((1103*365.25)/24,0))))</f>
        <v/>
      </c>
      <c r="C1120" s="21">
        <f>IF((ROUND(F1119-ROUND($B$13-D1120,2),2)&lt;=0),ROUND(D1120+E1120,2),$B$13)</f>
        <v/>
      </c>
      <c r="D1120" s="21">
        <f>ROUND(F1119*B5/100/B10,2)</f>
        <v/>
      </c>
      <c r="E1120" s="21">
        <f>IF((ROUND(F1119-ROUND($B$13-D1120,2),2)&lt;=0),F1119,ROUND($B$13-D1120,2))</f>
        <v/>
      </c>
      <c r="F1120" s="21">
        <f>IF((ROUND(F1119-ROUND($B$13-D1120,2),2)&lt;=0),0,ROUND(F1119-E1120,2))</f>
        <v/>
      </c>
    </row>
    <row r="1121">
      <c r="A1121" s="6" t="n">
        <v>1105</v>
      </c>
      <c r="B1121" s="19">
        <f>IF(B8="monthly",DATE(YEAR(B7)+INT((MONTH(B7)-1+1104)/12),MOD(MONTH(B7)-1+1104,12)+1,1)+(DAY(B7)-1),IF(B8="weekly",B7+7728,IF(B8="biweekly",B7+15456,B7+ROUND((1104*365.25)/24,0))))</f>
        <v/>
      </c>
      <c r="C1121" s="21">
        <f>IF((ROUND(F1120-ROUND($B$13-D1121,2),2)&lt;=0),ROUND(D1121+E1121,2),$B$13)</f>
        <v/>
      </c>
      <c r="D1121" s="21">
        <f>ROUND(F1120*B5/100/B10,2)</f>
        <v/>
      </c>
      <c r="E1121" s="21">
        <f>IF((ROUND(F1120-ROUND($B$13-D1121,2),2)&lt;=0),F1120,ROUND($B$13-D1121,2))</f>
        <v/>
      </c>
      <c r="F1121" s="21">
        <f>IF((ROUND(F1120-ROUND($B$13-D1121,2),2)&lt;=0),0,ROUND(F1120-E1121,2))</f>
        <v/>
      </c>
    </row>
    <row r="1122">
      <c r="A1122" s="6" t="n">
        <v>1106</v>
      </c>
      <c r="B1122" s="19">
        <f>IF(B8="monthly",DATE(YEAR(B7)+INT((MONTH(B7)-1+1105)/12),MOD(MONTH(B7)-1+1105,12)+1,1)+(DAY(B7)-1),IF(B8="weekly",B7+7735,IF(B8="biweekly",B7+15470,B7+ROUND((1105*365.25)/24,0))))</f>
        <v/>
      </c>
      <c r="C1122" s="21">
        <f>IF((ROUND(F1121-ROUND($B$13-D1122,2),2)&lt;=0),ROUND(D1122+E1122,2),$B$13)</f>
        <v/>
      </c>
      <c r="D1122" s="21">
        <f>ROUND(F1121*B5/100/B10,2)</f>
        <v/>
      </c>
      <c r="E1122" s="21">
        <f>IF((ROUND(F1121-ROUND($B$13-D1122,2),2)&lt;=0),F1121,ROUND($B$13-D1122,2))</f>
        <v/>
      </c>
      <c r="F1122" s="21">
        <f>IF((ROUND(F1121-ROUND($B$13-D1122,2),2)&lt;=0),0,ROUND(F1121-E1122,2))</f>
        <v/>
      </c>
    </row>
    <row r="1123">
      <c r="A1123" s="6" t="n">
        <v>1107</v>
      </c>
      <c r="B1123" s="19">
        <f>IF(B8="monthly",DATE(YEAR(B7)+INT((MONTH(B7)-1+1106)/12),MOD(MONTH(B7)-1+1106,12)+1,1)+(DAY(B7)-1),IF(B8="weekly",B7+7742,IF(B8="biweekly",B7+15484,B7+ROUND((1106*365.25)/24,0))))</f>
        <v/>
      </c>
      <c r="C1123" s="21">
        <f>IF((ROUND(F1122-ROUND($B$13-D1123,2),2)&lt;=0),ROUND(D1123+E1123,2),$B$13)</f>
        <v/>
      </c>
      <c r="D1123" s="21">
        <f>ROUND(F1122*B5/100/B10,2)</f>
        <v/>
      </c>
      <c r="E1123" s="21">
        <f>IF((ROUND(F1122-ROUND($B$13-D1123,2),2)&lt;=0),F1122,ROUND($B$13-D1123,2))</f>
        <v/>
      </c>
      <c r="F1123" s="21">
        <f>IF((ROUND(F1122-ROUND($B$13-D1123,2),2)&lt;=0),0,ROUND(F1122-E1123,2))</f>
        <v/>
      </c>
    </row>
    <row r="1124">
      <c r="A1124" s="6" t="n">
        <v>1108</v>
      </c>
      <c r="B1124" s="19">
        <f>IF(B8="monthly",DATE(YEAR(B7)+INT((MONTH(B7)-1+1107)/12),MOD(MONTH(B7)-1+1107,12)+1,1)+(DAY(B7)-1),IF(B8="weekly",B7+7749,IF(B8="biweekly",B7+15498,B7+ROUND((1107*365.25)/24,0))))</f>
        <v/>
      </c>
      <c r="C1124" s="21">
        <f>IF((ROUND(F1123-ROUND($B$13-D1124,2),2)&lt;=0),ROUND(D1124+E1124,2),$B$13)</f>
        <v/>
      </c>
      <c r="D1124" s="21">
        <f>ROUND(F1123*B5/100/B10,2)</f>
        <v/>
      </c>
      <c r="E1124" s="21">
        <f>IF((ROUND(F1123-ROUND($B$13-D1124,2),2)&lt;=0),F1123,ROUND($B$13-D1124,2))</f>
        <v/>
      </c>
      <c r="F1124" s="21">
        <f>IF((ROUND(F1123-ROUND($B$13-D1124,2),2)&lt;=0),0,ROUND(F1123-E1124,2))</f>
        <v/>
      </c>
    </row>
    <row r="1125">
      <c r="A1125" s="6" t="n">
        <v>1109</v>
      </c>
      <c r="B1125" s="19">
        <f>IF(B8="monthly",DATE(YEAR(B7)+INT((MONTH(B7)-1+1108)/12),MOD(MONTH(B7)-1+1108,12)+1,1)+(DAY(B7)-1),IF(B8="weekly",B7+7756,IF(B8="biweekly",B7+15512,B7+ROUND((1108*365.25)/24,0))))</f>
        <v/>
      </c>
      <c r="C1125" s="21">
        <f>IF((ROUND(F1124-ROUND($B$13-D1125,2),2)&lt;=0),ROUND(D1125+E1125,2),$B$13)</f>
        <v/>
      </c>
      <c r="D1125" s="21">
        <f>ROUND(F1124*B5/100/B10,2)</f>
        <v/>
      </c>
      <c r="E1125" s="21">
        <f>IF((ROUND(F1124-ROUND($B$13-D1125,2),2)&lt;=0),F1124,ROUND($B$13-D1125,2))</f>
        <v/>
      </c>
      <c r="F1125" s="21">
        <f>IF((ROUND(F1124-ROUND($B$13-D1125,2),2)&lt;=0),0,ROUND(F1124-E1125,2))</f>
        <v/>
      </c>
    </row>
    <row r="1126">
      <c r="A1126" s="6" t="n">
        <v>1110</v>
      </c>
      <c r="B1126" s="19">
        <f>IF(B8="monthly",DATE(YEAR(B7)+INT((MONTH(B7)-1+1109)/12),MOD(MONTH(B7)-1+1109,12)+1,1)+(DAY(B7)-1),IF(B8="weekly",B7+7763,IF(B8="biweekly",B7+15526,B7+ROUND((1109*365.25)/24,0))))</f>
        <v/>
      </c>
      <c r="C1126" s="21">
        <f>IF((ROUND(F1125-ROUND($B$13-D1126,2),2)&lt;=0),ROUND(D1126+E1126,2),$B$13)</f>
        <v/>
      </c>
      <c r="D1126" s="21">
        <f>ROUND(F1125*B5/100/B10,2)</f>
        <v/>
      </c>
      <c r="E1126" s="21">
        <f>IF((ROUND(F1125-ROUND($B$13-D1126,2),2)&lt;=0),F1125,ROUND($B$13-D1126,2))</f>
        <v/>
      </c>
      <c r="F1126" s="21">
        <f>IF((ROUND(F1125-ROUND($B$13-D1126,2),2)&lt;=0),0,ROUND(F1125-E1126,2))</f>
        <v/>
      </c>
    </row>
    <row r="1127">
      <c r="A1127" s="6" t="n">
        <v>1111</v>
      </c>
      <c r="B1127" s="19">
        <f>IF(B8="monthly",DATE(YEAR(B7)+INT((MONTH(B7)-1+1110)/12),MOD(MONTH(B7)-1+1110,12)+1,1)+(DAY(B7)-1),IF(B8="weekly",B7+7770,IF(B8="biweekly",B7+15540,B7+ROUND((1110*365.25)/24,0))))</f>
        <v/>
      </c>
      <c r="C1127" s="21">
        <f>IF((ROUND(F1126-ROUND($B$13-D1127,2),2)&lt;=0),ROUND(D1127+E1127,2),$B$13)</f>
        <v/>
      </c>
      <c r="D1127" s="21">
        <f>ROUND(F1126*B5/100/B10,2)</f>
        <v/>
      </c>
      <c r="E1127" s="21">
        <f>IF((ROUND(F1126-ROUND($B$13-D1127,2),2)&lt;=0),F1126,ROUND($B$13-D1127,2))</f>
        <v/>
      </c>
      <c r="F1127" s="21">
        <f>IF((ROUND(F1126-ROUND($B$13-D1127,2),2)&lt;=0),0,ROUND(F1126-E1127,2))</f>
        <v/>
      </c>
    </row>
    <row r="1128">
      <c r="A1128" s="6" t="n">
        <v>1112</v>
      </c>
      <c r="B1128" s="19">
        <f>IF(B8="monthly",DATE(YEAR(B7)+INT((MONTH(B7)-1+1111)/12),MOD(MONTH(B7)-1+1111,12)+1,1)+(DAY(B7)-1),IF(B8="weekly",B7+7777,IF(B8="biweekly",B7+15554,B7+ROUND((1111*365.25)/24,0))))</f>
        <v/>
      </c>
      <c r="C1128" s="21">
        <f>IF((ROUND(F1127-ROUND($B$13-D1128,2),2)&lt;=0),ROUND(D1128+E1128,2),$B$13)</f>
        <v/>
      </c>
      <c r="D1128" s="21">
        <f>ROUND(F1127*B5/100/B10,2)</f>
        <v/>
      </c>
      <c r="E1128" s="21">
        <f>IF((ROUND(F1127-ROUND($B$13-D1128,2),2)&lt;=0),F1127,ROUND($B$13-D1128,2))</f>
        <v/>
      </c>
      <c r="F1128" s="21">
        <f>IF((ROUND(F1127-ROUND($B$13-D1128,2),2)&lt;=0),0,ROUND(F1127-E1128,2))</f>
        <v/>
      </c>
    </row>
    <row r="1129">
      <c r="A1129" s="6" t="n">
        <v>1113</v>
      </c>
      <c r="B1129" s="19">
        <f>IF(B8="monthly",DATE(YEAR(B7)+INT((MONTH(B7)-1+1112)/12),MOD(MONTH(B7)-1+1112,12)+1,1)+(DAY(B7)-1),IF(B8="weekly",B7+7784,IF(B8="biweekly",B7+15568,B7+ROUND((1112*365.25)/24,0))))</f>
        <v/>
      </c>
      <c r="C1129" s="21">
        <f>IF((ROUND(F1128-ROUND($B$13-D1129,2),2)&lt;=0),ROUND(D1129+E1129,2),$B$13)</f>
        <v/>
      </c>
      <c r="D1129" s="21">
        <f>ROUND(F1128*B5/100/B10,2)</f>
        <v/>
      </c>
      <c r="E1129" s="21">
        <f>IF((ROUND(F1128-ROUND($B$13-D1129,2),2)&lt;=0),F1128,ROUND($B$13-D1129,2))</f>
        <v/>
      </c>
      <c r="F1129" s="21">
        <f>IF((ROUND(F1128-ROUND($B$13-D1129,2),2)&lt;=0),0,ROUND(F1128-E1129,2))</f>
        <v/>
      </c>
    </row>
    <row r="1130">
      <c r="A1130" s="6" t="n">
        <v>1114</v>
      </c>
      <c r="B1130" s="19">
        <f>IF(B8="monthly",DATE(YEAR(B7)+INT((MONTH(B7)-1+1113)/12),MOD(MONTH(B7)-1+1113,12)+1,1)+(DAY(B7)-1),IF(B8="weekly",B7+7791,IF(B8="biweekly",B7+15582,B7+ROUND((1113*365.25)/24,0))))</f>
        <v/>
      </c>
      <c r="C1130" s="21">
        <f>IF((ROUND(F1129-ROUND($B$13-D1130,2),2)&lt;=0),ROUND(D1130+E1130,2),$B$13)</f>
        <v/>
      </c>
      <c r="D1130" s="21">
        <f>ROUND(F1129*B5/100/B10,2)</f>
        <v/>
      </c>
      <c r="E1130" s="21">
        <f>IF((ROUND(F1129-ROUND($B$13-D1130,2),2)&lt;=0),F1129,ROUND($B$13-D1130,2))</f>
        <v/>
      </c>
      <c r="F1130" s="21">
        <f>IF((ROUND(F1129-ROUND($B$13-D1130,2),2)&lt;=0),0,ROUND(F1129-E1130,2))</f>
        <v/>
      </c>
    </row>
    <row r="1131">
      <c r="A1131" s="6" t="n">
        <v>1115</v>
      </c>
      <c r="B1131" s="19">
        <f>IF(B8="monthly",DATE(YEAR(B7)+INT((MONTH(B7)-1+1114)/12),MOD(MONTH(B7)-1+1114,12)+1,1)+(DAY(B7)-1),IF(B8="weekly",B7+7798,IF(B8="biweekly",B7+15596,B7+ROUND((1114*365.25)/24,0))))</f>
        <v/>
      </c>
      <c r="C1131" s="21">
        <f>IF((ROUND(F1130-ROUND($B$13-D1131,2),2)&lt;=0),ROUND(D1131+E1131,2),$B$13)</f>
        <v/>
      </c>
      <c r="D1131" s="21">
        <f>ROUND(F1130*B5/100/B10,2)</f>
        <v/>
      </c>
      <c r="E1131" s="21">
        <f>IF((ROUND(F1130-ROUND($B$13-D1131,2),2)&lt;=0),F1130,ROUND($B$13-D1131,2))</f>
        <v/>
      </c>
      <c r="F1131" s="21">
        <f>IF((ROUND(F1130-ROUND($B$13-D1131,2),2)&lt;=0),0,ROUND(F1130-E1131,2))</f>
        <v/>
      </c>
    </row>
    <row r="1132">
      <c r="A1132" s="6" t="n">
        <v>1116</v>
      </c>
      <c r="B1132" s="19">
        <f>IF(B8="monthly",DATE(YEAR(B7)+INT((MONTH(B7)-1+1115)/12),MOD(MONTH(B7)-1+1115,12)+1,1)+(DAY(B7)-1),IF(B8="weekly",B7+7805,IF(B8="biweekly",B7+15610,B7+ROUND((1115*365.25)/24,0))))</f>
        <v/>
      </c>
      <c r="C1132" s="21">
        <f>IF((ROUND(F1131-ROUND($B$13-D1132,2),2)&lt;=0),ROUND(D1132+E1132,2),$B$13)</f>
        <v/>
      </c>
      <c r="D1132" s="21">
        <f>ROUND(F1131*B5/100/B10,2)</f>
        <v/>
      </c>
      <c r="E1132" s="21">
        <f>IF((ROUND(F1131-ROUND($B$13-D1132,2),2)&lt;=0),F1131,ROUND($B$13-D1132,2))</f>
        <v/>
      </c>
      <c r="F1132" s="21">
        <f>IF((ROUND(F1131-ROUND($B$13-D1132,2),2)&lt;=0),0,ROUND(F1131-E1132,2))</f>
        <v/>
      </c>
    </row>
    <row r="1133">
      <c r="A1133" s="6" t="n">
        <v>1117</v>
      </c>
      <c r="B1133" s="19">
        <f>IF(B8="monthly",DATE(YEAR(B7)+INT((MONTH(B7)-1+1116)/12),MOD(MONTH(B7)-1+1116,12)+1,1)+(DAY(B7)-1),IF(B8="weekly",B7+7812,IF(B8="biweekly",B7+15624,B7+ROUND((1116*365.25)/24,0))))</f>
        <v/>
      </c>
      <c r="C1133" s="21">
        <f>IF((ROUND(F1132-ROUND($B$13-D1133,2),2)&lt;=0),ROUND(D1133+E1133,2),$B$13)</f>
        <v/>
      </c>
      <c r="D1133" s="21">
        <f>ROUND(F1132*B5/100/B10,2)</f>
        <v/>
      </c>
      <c r="E1133" s="21">
        <f>IF((ROUND(F1132-ROUND($B$13-D1133,2),2)&lt;=0),F1132,ROUND($B$13-D1133,2))</f>
        <v/>
      </c>
      <c r="F1133" s="21">
        <f>IF((ROUND(F1132-ROUND($B$13-D1133,2),2)&lt;=0),0,ROUND(F1132-E1133,2))</f>
        <v/>
      </c>
    </row>
    <row r="1134">
      <c r="A1134" s="6" t="n">
        <v>1118</v>
      </c>
      <c r="B1134" s="19">
        <f>IF(B8="monthly",DATE(YEAR(B7)+INT((MONTH(B7)-1+1117)/12),MOD(MONTH(B7)-1+1117,12)+1,1)+(DAY(B7)-1),IF(B8="weekly",B7+7819,IF(B8="biweekly",B7+15638,B7+ROUND((1117*365.25)/24,0))))</f>
        <v/>
      </c>
      <c r="C1134" s="21">
        <f>IF((ROUND(F1133-ROUND($B$13-D1134,2),2)&lt;=0),ROUND(D1134+E1134,2),$B$13)</f>
        <v/>
      </c>
      <c r="D1134" s="21">
        <f>ROUND(F1133*B5/100/B10,2)</f>
        <v/>
      </c>
      <c r="E1134" s="21">
        <f>IF((ROUND(F1133-ROUND($B$13-D1134,2),2)&lt;=0),F1133,ROUND($B$13-D1134,2))</f>
        <v/>
      </c>
      <c r="F1134" s="21">
        <f>IF((ROUND(F1133-ROUND($B$13-D1134,2),2)&lt;=0),0,ROUND(F1133-E1134,2))</f>
        <v/>
      </c>
    </row>
    <row r="1135">
      <c r="A1135" s="6" t="n">
        <v>1119</v>
      </c>
      <c r="B1135" s="19">
        <f>IF(B8="monthly",DATE(YEAR(B7)+INT((MONTH(B7)-1+1118)/12),MOD(MONTH(B7)-1+1118,12)+1,1)+(DAY(B7)-1),IF(B8="weekly",B7+7826,IF(B8="biweekly",B7+15652,B7+ROUND((1118*365.25)/24,0))))</f>
        <v/>
      </c>
      <c r="C1135" s="21">
        <f>IF((ROUND(F1134-ROUND($B$13-D1135,2),2)&lt;=0),ROUND(D1135+E1135,2),$B$13)</f>
        <v/>
      </c>
      <c r="D1135" s="21">
        <f>ROUND(F1134*B5/100/B10,2)</f>
        <v/>
      </c>
      <c r="E1135" s="21">
        <f>IF((ROUND(F1134-ROUND($B$13-D1135,2),2)&lt;=0),F1134,ROUND($B$13-D1135,2))</f>
        <v/>
      </c>
      <c r="F1135" s="21">
        <f>IF((ROUND(F1134-ROUND($B$13-D1135,2),2)&lt;=0),0,ROUND(F1134-E1135,2))</f>
        <v/>
      </c>
    </row>
    <row r="1136">
      <c r="A1136" s="6" t="n">
        <v>1120</v>
      </c>
      <c r="B1136" s="19">
        <f>IF(B8="monthly",DATE(YEAR(B7)+INT((MONTH(B7)-1+1119)/12),MOD(MONTH(B7)-1+1119,12)+1,1)+(DAY(B7)-1),IF(B8="weekly",B7+7833,IF(B8="biweekly",B7+15666,B7+ROUND((1119*365.25)/24,0))))</f>
        <v/>
      </c>
      <c r="C1136" s="21">
        <f>IF((ROUND(F1135-ROUND($B$13-D1136,2),2)&lt;=0),ROUND(D1136+E1136,2),$B$13)</f>
        <v/>
      </c>
      <c r="D1136" s="21">
        <f>ROUND(F1135*B5/100/B10,2)</f>
        <v/>
      </c>
      <c r="E1136" s="21">
        <f>IF((ROUND(F1135-ROUND($B$13-D1136,2),2)&lt;=0),F1135,ROUND($B$13-D1136,2))</f>
        <v/>
      </c>
      <c r="F1136" s="21">
        <f>IF((ROUND(F1135-ROUND($B$13-D1136,2),2)&lt;=0),0,ROUND(F1135-E1136,2))</f>
        <v/>
      </c>
    </row>
    <row r="1137">
      <c r="A1137" s="6" t="n">
        <v>1121</v>
      </c>
      <c r="B1137" s="19">
        <f>IF(B8="monthly",DATE(YEAR(B7)+INT((MONTH(B7)-1+1120)/12),MOD(MONTH(B7)-1+1120,12)+1,1)+(DAY(B7)-1),IF(B8="weekly",B7+7840,IF(B8="biweekly",B7+15680,B7+ROUND((1120*365.25)/24,0))))</f>
        <v/>
      </c>
      <c r="C1137" s="21">
        <f>IF((ROUND(F1136-ROUND($B$13-D1137,2),2)&lt;=0),ROUND(D1137+E1137,2),$B$13)</f>
        <v/>
      </c>
      <c r="D1137" s="21">
        <f>ROUND(F1136*B5/100/B10,2)</f>
        <v/>
      </c>
      <c r="E1137" s="21">
        <f>IF((ROUND(F1136-ROUND($B$13-D1137,2),2)&lt;=0),F1136,ROUND($B$13-D1137,2))</f>
        <v/>
      </c>
      <c r="F1137" s="21">
        <f>IF((ROUND(F1136-ROUND($B$13-D1137,2),2)&lt;=0),0,ROUND(F1136-E1137,2))</f>
        <v/>
      </c>
    </row>
    <row r="1138">
      <c r="A1138" s="6" t="n">
        <v>1122</v>
      </c>
      <c r="B1138" s="19">
        <f>IF(B8="monthly",DATE(YEAR(B7)+INT((MONTH(B7)-1+1121)/12),MOD(MONTH(B7)-1+1121,12)+1,1)+(DAY(B7)-1),IF(B8="weekly",B7+7847,IF(B8="biweekly",B7+15694,B7+ROUND((1121*365.25)/24,0))))</f>
        <v/>
      </c>
      <c r="C1138" s="21">
        <f>IF((ROUND(F1137-ROUND($B$13-D1138,2),2)&lt;=0),ROUND(D1138+E1138,2),$B$13)</f>
        <v/>
      </c>
      <c r="D1138" s="21">
        <f>ROUND(F1137*B5/100/B10,2)</f>
        <v/>
      </c>
      <c r="E1138" s="21">
        <f>IF((ROUND(F1137-ROUND($B$13-D1138,2),2)&lt;=0),F1137,ROUND($B$13-D1138,2))</f>
        <v/>
      </c>
      <c r="F1138" s="21">
        <f>IF((ROUND(F1137-ROUND($B$13-D1138,2),2)&lt;=0),0,ROUND(F1137-E1138,2))</f>
        <v/>
      </c>
    </row>
    <row r="1139">
      <c r="A1139" s="6" t="n">
        <v>1123</v>
      </c>
      <c r="B1139" s="19">
        <f>IF(B8="monthly",DATE(YEAR(B7)+INT((MONTH(B7)-1+1122)/12),MOD(MONTH(B7)-1+1122,12)+1,1)+(DAY(B7)-1),IF(B8="weekly",B7+7854,IF(B8="biweekly",B7+15708,B7+ROUND((1122*365.25)/24,0))))</f>
        <v/>
      </c>
      <c r="C1139" s="21">
        <f>IF((ROUND(F1138-ROUND($B$13-D1139,2),2)&lt;=0),ROUND(D1139+E1139,2),$B$13)</f>
        <v/>
      </c>
      <c r="D1139" s="21">
        <f>ROUND(F1138*B5/100/B10,2)</f>
        <v/>
      </c>
      <c r="E1139" s="21">
        <f>IF((ROUND(F1138-ROUND($B$13-D1139,2),2)&lt;=0),F1138,ROUND($B$13-D1139,2))</f>
        <v/>
      </c>
      <c r="F1139" s="21">
        <f>IF((ROUND(F1138-ROUND($B$13-D1139,2),2)&lt;=0),0,ROUND(F1138-E1139,2))</f>
        <v/>
      </c>
    </row>
    <row r="1140">
      <c r="A1140" s="6" t="n">
        <v>1124</v>
      </c>
      <c r="B1140" s="19">
        <f>IF(B8="monthly",DATE(YEAR(B7)+INT((MONTH(B7)-1+1123)/12),MOD(MONTH(B7)-1+1123,12)+1,1)+(DAY(B7)-1),IF(B8="weekly",B7+7861,IF(B8="biweekly",B7+15722,B7+ROUND((1123*365.25)/24,0))))</f>
        <v/>
      </c>
      <c r="C1140" s="21">
        <f>IF((ROUND(F1139-ROUND($B$13-D1140,2),2)&lt;=0),ROUND(D1140+E1140,2),$B$13)</f>
        <v/>
      </c>
      <c r="D1140" s="21">
        <f>ROUND(F1139*B5/100/B10,2)</f>
        <v/>
      </c>
      <c r="E1140" s="21">
        <f>IF((ROUND(F1139-ROUND($B$13-D1140,2),2)&lt;=0),F1139,ROUND($B$13-D1140,2))</f>
        <v/>
      </c>
      <c r="F1140" s="21">
        <f>IF((ROUND(F1139-ROUND($B$13-D1140,2),2)&lt;=0),0,ROUND(F1139-E1140,2))</f>
        <v/>
      </c>
    </row>
    <row r="1141">
      <c r="A1141" s="6" t="n">
        <v>1125</v>
      </c>
      <c r="B1141" s="19">
        <f>IF(B8="monthly",DATE(YEAR(B7)+INT((MONTH(B7)-1+1124)/12),MOD(MONTH(B7)-1+1124,12)+1,1)+(DAY(B7)-1),IF(B8="weekly",B7+7868,IF(B8="biweekly",B7+15736,B7+ROUND((1124*365.25)/24,0))))</f>
        <v/>
      </c>
      <c r="C1141" s="21">
        <f>IF((ROUND(F1140-ROUND($B$13-D1141,2),2)&lt;=0),ROUND(D1141+E1141,2),$B$13)</f>
        <v/>
      </c>
      <c r="D1141" s="21">
        <f>ROUND(F1140*B5/100/B10,2)</f>
        <v/>
      </c>
      <c r="E1141" s="21">
        <f>IF((ROUND(F1140-ROUND($B$13-D1141,2),2)&lt;=0),F1140,ROUND($B$13-D1141,2))</f>
        <v/>
      </c>
      <c r="F1141" s="21">
        <f>IF((ROUND(F1140-ROUND($B$13-D1141,2),2)&lt;=0),0,ROUND(F1140-E1141,2))</f>
        <v/>
      </c>
    </row>
    <row r="1142">
      <c r="A1142" s="6" t="n">
        <v>1126</v>
      </c>
      <c r="B1142" s="19">
        <f>IF(B8="monthly",DATE(YEAR(B7)+INT((MONTH(B7)-1+1125)/12),MOD(MONTH(B7)-1+1125,12)+1,1)+(DAY(B7)-1),IF(B8="weekly",B7+7875,IF(B8="biweekly",B7+15750,B7+ROUND((1125*365.25)/24,0))))</f>
        <v/>
      </c>
      <c r="C1142" s="21">
        <f>IF((ROUND(F1141-ROUND($B$13-D1142,2),2)&lt;=0),ROUND(D1142+E1142,2),$B$13)</f>
        <v/>
      </c>
      <c r="D1142" s="21">
        <f>ROUND(F1141*B5/100/B10,2)</f>
        <v/>
      </c>
      <c r="E1142" s="21">
        <f>IF((ROUND(F1141-ROUND($B$13-D1142,2),2)&lt;=0),F1141,ROUND($B$13-D1142,2))</f>
        <v/>
      </c>
      <c r="F1142" s="21">
        <f>IF((ROUND(F1141-ROUND($B$13-D1142,2),2)&lt;=0),0,ROUND(F1141-E1142,2))</f>
        <v/>
      </c>
    </row>
    <row r="1143">
      <c r="A1143" s="6" t="n">
        <v>1127</v>
      </c>
      <c r="B1143" s="19">
        <f>IF(B8="monthly",DATE(YEAR(B7)+INT((MONTH(B7)-1+1126)/12),MOD(MONTH(B7)-1+1126,12)+1,1)+(DAY(B7)-1),IF(B8="weekly",B7+7882,IF(B8="biweekly",B7+15764,B7+ROUND((1126*365.25)/24,0))))</f>
        <v/>
      </c>
      <c r="C1143" s="21">
        <f>IF((ROUND(F1142-ROUND($B$13-D1143,2),2)&lt;=0),ROUND(D1143+E1143,2),$B$13)</f>
        <v/>
      </c>
      <c r="D1143" s="21">
        <f>ROUND(F1142*B5/100/B10,2)</f>
        <v/>
      </c>
      <c r="E1143" s="21">
        <f>IF((ROUND(F1142-ROUND($B$13-D1143,2),2)&lt;=0),F1142,ROUND($B$13-D1143,2))</f>
        <v/>
      </c>
      <c r="F1143" s="21">
        <f>IF((ROUND(F1142-ROUND($B$13-D1143,2),2)&lt;=0),0,ROUND(F1142-E1143,2))</f>
        <v/>
      </c>
    </row>
    <row r="1144">
      <c r="A1144" s="6" t="n">
        <v>1128</v>
      </c>
      <c r="B1144" s="19">
        <f>IF(B8="monthly",DATE(YEAR(B7)+INT((MONTH(B7)-1+1127)/12),MOD(MONTH(B7)-1+1127,12)+1,1)+(DAY(B7)-1),IF(B8="weekly",B7+7889,IF(B8="biweekly",B7+15778,B7+ROUND((1127*365.25)/24,0))))</f>
        <v/>
      </c>
      <c r="C1144" s="21">
        <f>IF((ROUND(F1143-ROUND($B$13-D1144,2),2)&lt;=0),ROUND(D1144+E1144,2),$B$13)</f>
        <v/>
      </c>
      <c r="D1144" s="21">
        <f>ROUND(F1143*B5/100/B10,2)</f>
        <v/>
      </c>
      <c r="E1144" s="21">
        <f>IF((ROUND(F1143-ROUND($B$13-D1144,2),2)&lt;=0),F1143,ROUND($B$13-D1144,2))</f>
        <v/>
      </c>
      <c r="F1144" s="21">
        <f>IF((ROUND(F1143-ROUND($B$13-D1144,2),2)&lt;=0),0,ROUND(F1143-E1144,2))</f>
        <v/>
      </c>
    </row>
    <row r="1145">
      <c r="A1145" s="6" t="n">
        <v>1129</v>
      </c>
      <c r="B1145" s="19">
        <f>IF(B8="monthly",DATE(YEAR(B7)+INT((MONTH(B7)-1+1128)/12),MOD(MONTH(B7)-1+1128,12)+1,1)+(DAY(B7)-1),IF(B8="weekly",B7+7896,IF(B8="biweekly",B7+15792,B7+ROUND((1128*365.25)/24,0))))</f>
        <v/>
      </c>
      <c r="C1145" s="21">
        <f>IF((ROUND(F1144-ROUND($B$13-D1145,2),2)&lt;=0),ROUND(D1145+E1145,2),$B$13)</f>
        <v/>
      </c>
      <c r="D1145" s="21">
        <f>ROUND(F1144*B5/100/B10,2)</f>
        <v/>
      </c>
      <c r="E1145" s="21">
        <f>IF((ROUND(F1144-ROUND($B$13-D1145,2),2)&lt;=0),F1144,ROUND($B$13-D1145,2))</f>
        <v/>
      </c>
      <c r="F1145" s="21">
        <f>IF((ROUND(F1144-ROUND($B$13-D1145,2),2)&lt;=0),0,ROUND(F1144-E1145,2))</f>
        <v/>
      </c>
    </row>
    <row r="1146">
      <c r="A1146" s="6" t="n">
        <v>1130</v>
      </c>
      <c r="B1146" s="19">
        <f>IF(B8="monthly",DATE(YEAR(B7)+INT((MONTH(B7)-1+1129)/12),MOD(MONTH(B7)-1+1129,12)+1,1)+(DAY(B7)-1),IF(B8="weekly",B7+7903,IF(B8="biweekly",B7+15806,B7+ROUND((1129*365.25)/24,0))))</f>
        <v/>
      </c>
      <c r="C1146" s="21">
        <f>IF((ROUND(F1145-ROUND($B$13-D1146,2),2)&lt;=0),ROUND(D1146+E1146,2),$B$13)</f>
        <v/>
      </c>
      <c r="D1146" s="21">
        <f>ROUND(F1145*B5/100/B10,2)</f>
        <v/>
      </c>
      <c r="E1146" s="21">
        <f>IF((ROUND(F1145-ROUND($B$13-D1146,2),2)&lt;=0),F1145,ROUND($B$13-D1146,2))</f>
        <v/>
      </c>
      <c r="F1146" s="21">
        <f>IF((ROUND(F1145-ROUND($B$13-D1146,2),2)&lt;=0),0,ROUND(F1145-E1146,2))</f>
        <v/>
      </c>
    </row>
    <row r="1147">
      <c r="A1147" s="6" t="n">
        <v>1131</v>
      </c>
      <c r="B1147" s="19">
        <f>IF(B8="monthly",DATE(YEAR(B7)+INT((MONTH(B7)-1+1130)/12),MOD(MONTH(B7)-1+1130,12)+1,1)+(DAY(B7)-1),IF(B8="weekly",B7+7910,IF(B8="biweekly",B7+15820,B7+ROUND((1130*365.25)/24,0))))</f>
        <v/>
      </c>
      <c r="C1147" s="21">
        <f>IF((ROUND(F1146-ROUND($B$13-D1147,2),2)&lt;=0),ROUND(D1147+E1147,2),$B$13)</f>
        <v/>
      </c>
      <c r="D1147" s="21">
        <f>ROUND(F1146*B5/100/B10,2)</f>
        <v/>
      </c>
      <c r="E1147" s="21">
        <f>IF((ROUND(F1146-ROUND($B$13-D1147,2),2)&lt;=0),F1146,ROUND($B$13-D1147,2))</f>
        <v/>
      </c>
      <c r="F1147" s="21">
        <f>IF((ROUND(F1146-ROUND($B$13-D1147,2),2)&lt;=0),0,ROUND(F1146-E1147,2))</f>
        <v/>
      </c>
    </row>
    <row r="1148">
      <c r="A1148" s="6" t="n">
        <v>1132</v>
      </c>
      <c r="B1148" s="19">
        <f>IF(B8="monthly",DATE(YEAR(B7)+INT((MONTH(B7)-1+1131)/12),MOD(MONTH(B7)-1+1131,12)+1,1)+(DAY(B7)-1),IF(B8="weekly",B7+7917,IF(B8="biweekly",B7+15834,B7+ROUND((1131*365.25)/24,0))))</f>
        <v/>
      </c>
      <c r="C1148" s="21">
        <f>IF((ROUND(F1147-ROUND($B$13-D1148,2),2)&lt;=0),ROUND(D1148+E1148,2),$B$13)</f>
        <v/>
      </c>
      <c r="D1148" s="21">
        <f>ROUND(F1147*B5/100/B10,2)</f>
        <v/>
      </c>
      <c r="E1148" s="21">
        <f>IF((ROUND(F1147-ROUND($B$13-D1148,2),2)&lt;=0),F1147,ROUND($B$13-D1148,2))</f>
        <v/>
      </c>
      <c r="F1148" s="21">
        <f>IF((ROUND(F1147-ROUND($B$13-D1148,2),2)&lt;=0),0,ROUND(F1147-E1148,2))</f>
        <v/>
      </c>
    </row>
    <row r="1149">
      <c r="A1149" s="6" t="n">
        <v>1133</v>
      </c>
      <c r="B1149" s="19">
        <f>IF(B8="monthly",DATE(YEAR(B7)+INT((MONTH(B7)-1+1132)/12),MOD(MONTH(B7)-1+1132,12)+1,1)+(DAY(B7)-1),IF(B8="weekly",B7+7924,IF(B8="biweekly",B7+15848,B7+ROUND((1132*365.25)/24,0))))</f>
        <v/>
      </c>
      <c r="C1149" s="21">
        <f>IF((ROUND(F1148-ROUND($B$13-D1149,2),2)&lt;=0),ROUND(D1149+E1149,2),$B$13)</f>
        <v/>
      </c>
      <c r="D1149" s="21">
        <f>ROUND(F1148*B5/100/B10,2)</f>
        <v/>
      </c>
      <c r="E1149" s="21">
        <f>IF((ROUND(F1148-ROUND($B$13-D1149,2),2)&lt;=0),F1148,ROUND($B$13-D1149,2))</f>
        <v/>
      </c>
      <c r="F1149" s="21">
        <f>IF((ROUND(F1148-ROUND($B$13-D1149,2),2)&lt;=0),0,ROUND(F1148-E1149,2))</f>
        <v/>
      </c>
    </row>
    <row r="1150">
      <c r="A1150" s="6" t="n">
        <v>1134</v>
      </c>
      <c r="B1150" s="19">
        <f>IF(B8="monthly",DATE(YEAR(B7)+INT((MONTH(B7)-1+1133)/12),MOD(MONTH(B7)-1+1133,12)+1,1)+(DAY(B7)-1),IF(B8="weekly",B7+7931,IF(B8="biweekly",B7+15862,B7+ROUND((1133*365.25)/24,0))))</f>
        <v/>
      </c>
      <c r="C1150" s="21">
        <f>IF((ROUND(F1149-ROUND($B$13-D1150,2),2)&lt;=0),ROUND(D1150+E1150,2),$B$13)</f>
        <v/>
      </c>
      <c r="D1150" s="21">
        <f>ROUND(F1149*B5/100/B10,2)</f>
        <v/>
      </c>
      <c r="E1150" s="21">
        <f>IF((ROUND(F1149-ROUND($B$13-D1150,2),2)&lt;=0),F1149,ROUND($B$13-D1150,2))</f>
        <v/>
      </c>
      <c r="F1150" s="21">
        <f>IF((ROUND(F1149-ROUND($B$13-D1150,2),2)&lt;=0),0,ROUND(F1149-E1150,2))</f>
        <v/>
      </c>
    </row>
    <row r="1151">
      <c r="A1151" s="6" t="n">
        <v>1135</v>
      </c>
      <c r="B1151" s="19">
        <f>IF(B8="monthly",DATE(YEAR(B7)+INT((MONTH(B7)-1+1134)/12),MOD(MONTH(B7)-1+1134,12)+1,1)+(DAY(B7)-1),IF(B8="weekly",B7+7938,IF(B8="biweekly",B7+15876,B7+ROUND((1134*365.25)/24,0))))</f>
        <v/>
      </c>
      <c r="C1151" s="21">
        <f>IF((ROUND(F1150-ROUND($B$13-D1151,2),2)&lt;=0),ROUND(D1151+E1151,2),$B$13)</f>
        <v/>
      </c>
      <c r="D1151" s="21">
        <f>ROUND(F1150*B5/100/B10,2)</f>
        <v/>
      </c>
      <c r="E1151" s="21">
        <f>IF((ROUND(F1150-ROUND($B$13-D1151,2),2)&lt;=0),F1150,ROUND($B$13-D1151,2))</f>
        <v/>
      </c>
      <c r="F1151" s="21">
        <f>IF((ROUND(F1150-ROUND($B$13-D1151,2),2)&lt;=0),0,ROUND(F1150-E1151,2))</f>
        <v/>
      </c>
    </row>
    <row r="1152">
      <c r="A1152" s="6" t="n">
        <v>1136</v>
      </c>
      <c r="B1152" s="19">
        <f>IF(B8="monthly",DATE(YEAR(B7)+INT((MONTH(B7)-1+1135)/12),MOD(MONTH(B7)-1+1135,12)+1,1)+(DAY(B7)-1),IF(B8="weekly",B7+7945,IF(B8="biweekly",B7+15890,B7+ROUND((1135*365.25)/24,0))))</f>
        <v/>
      </c>
      <c r="C1152" s="21">
        <f>IF((ROUND(F1151-ROUND($B$13-D1152,2),2)&lt;=0),ROUND(D1152+E1152,2),$B$13)</f>
        <v/>
      </c>
      <c r="D1152" s="21">
        <f>ROUND(F1151*B5/100/B10,2)</f>
        <v/>
      </c>
      <c r="E1152" s="21">
        <f>IF((ROUND(F1151-ROUND($B$13-D1152,2),2)&lt;=0),F1151,ROUND($B$13-D1152,2))</f>
        <v/>
      </c>
      <c r="F1152" s="21">
        <f>IF((ROUND(F1151-ROUND($B$13-D1152,2),2)&lt;=0),0,ROUND(F1151-E1152,2))</f>
        <v/>
      </c>
    </row>
    <row r="1153">
      <c r="A1153" s="6" t="n">
        <v>1137</v>
      </c>
      <c r="B1153" s="19">
        <f>IF(B8="monthly",DATE(YEAR(B7)+INT((MONTH(B7)-1+1136)/12),MOD(MONTH(B7)-1+1136,12)+1,1)+(DAY(B7)-1),IF(B8="weekly",B7+7952,IF(B8="biweekly",B7+15904,B7+ROUND((1136*365.25)/24,0))))</f>
        <v/>
      </c>
      <c r="C1153" s="21">
        <f>IF((ROUND(F1152-ROUND($B$13-D1153,2),2)&lt;=0),ROUND(D1153+E1153,2),$B$13)</f>
        <v/>
      </c>
      <c r="D1153" s="21">
        <f>ROUND(F1152*B5/100/B10,2)</f>
        <v/>
      </c>
      <c r="E1153" s="21">
        <f>IF((ROUND(F1152-ROUND($B$13-D1153,2),2)&lt;=0),F1152,ROUND($B$13-D1153,2))</f>
        <v/>
      </c>
      <c r="F1153" s="21">
        <f>IF((ROUND(F1152-ROUND($B$13-D1153,2),2)&lt;=0),0,ROUND(F1152-E1153,2))</f>
        <v/>
      </c>
    </row>
    <row r="1154">
      <c r="A1154" s="6" t="n">
        <v>1138</v>
      </c>
      <c r="B1154" s="19">
        <f>IF(B8="monthly",DATE(YEAR(B7)+INT((MONTH(B7)-1+1137)/12),MOD(MONTH(B7)-1+1137,12)+1,1)+(DAY(B7)-1),IF(B8="weekly",B7+7959,IF(B8="biweekly",B7+15918,B7+ROUND((1137*365.25)/24,0))))</f>
        <v/>
      </c>
      <c r="C1154" s="21">
        <f>IF((ROUND(F1153-ROUND($B$13-D1154,2),2)&lt;=0),ROUND(D1154+E1154,2),$B$13)</f>
        <v/>
      </c>
      <c r="D1154" s="21">
        <f>ROUND(F1153*B5/100/B10,2)</f>
        <v/>
      </c>
      <c r="E1154" s="21">
        <f>IF((ROUND(F1153-ROUND($B$13-D1154,2),2)&lt;=0),F1153,ROUND($B$13-D1154,2))</f>
        <v/>
      </c>
      <c r="F1154" s="21">
        <f>IF((ROUND(F1153-ROUND($B$13-D1154,2),2)&lt;=0),0,ROUND(F1153-E1154,2))</f>
        <v/>
      </c>
    </row>
    <row r="1155">
      <c r="A1155" s="6" t="n">
        <v>1139</v>
      </c>
      <c r="B1155" s="19">
        <f>IF(B8="monthly",DATE(YEAR(B7)+INT((MONTH(B7)-1+1138)/12),MOD(MONTH(B7)-1+1138,12)+1,1)+(DAY(B7)-1),IF(B8="weekly",B7+7966,IF(B8="biweekly",B7+15932,B7+ROUND((1138*365.25)/24,0))))</f>
        <v/>
      </c>
      <c r="C1155" s="21">
        <f>IF((ROUND(F1154-ROUND($B$13-D1155,2),2)&lt;=0),ROUND(D1155+E1155,2),$B$13)</f>
        <v/>
      </c>
      <c r="D1155" s="21">
        <f>ROUND(F1154*B5/100/B10,2)</f>
        <v/>
      </c>
      <c r="E1155" s="21">
        <f>IF((ROUND(F1154-ROUND($B$13-D1155,2),2)&lt;=0),F1154,ROUND($B$13-D1155,2))</f>
        <v/>
      </c>
      <c r="F1155" s="21">
        <f>IF((ROUND(F1154-ROUND($B$13-D1155,2),2)&lt;=0),0,ROUND(F1154-E1155,2))</f>
        <v/>
      </c>
    </row>
    <row r="1156">
      <c r="A1156" s="6" t="n">
        <v>1140</v>
      </c>
      <c r="B1156" s="19">
        <f>IF(B8="monthly",DATE(YEAR(B7)+INT((MONTH(B7)-1+1139)/12),MOD(MONTH(B7)-1+1139,12)+1,1)+(DAY(B7)-1),IF(B8="weekly",B7+7973,IF(B8="biweekly",B7+15946,B7+ROUND((1139*365.25)/24,0))))</f>
        <v/>
      </c>
      <c r="C1156" s="21">
        <f>IF((ROUND(F1155-ROUND($B$13-D1156,2),2)&lt;=0),ROUND(D1156+E1156,2),$B$13)</f>
        <v/>
      </c>
      <c r="D1156" s="21">
        <f>ROUND(F1155*B5/100/B10,2)</f>
        <v/>
      </c>
      <c r="E1156" s="21">
        <f>IF((ROUND(F1155-ROUND($B$13-D1156,2),2)&lt;=0),F1155,ROUND($B$13-D1156,2))</f>
        <v/>
      </c>
      <c r="F1156" s="21">
        <f>IF((ROUND(F1155-ROUND($B$13-D1156,2),2)&lt;=0),0,ROUND(F1155-E1156,2))</f>
        <v/>
      </c>
    </row>
    <row r="1157">
      <c r="A1157" s="6" t="n">
        <v>1141</v>
      </c>
      <c r="B1157" s="19">
        <f>IF(B8="monthly",DATE(YEAR(B7)+INT((MONTH(B7)-1+1140)/12),MOD(MONTH(B7)-1+1140,12)+1,1)+(DAY(B7)-1),IF(B8="weekly",B7+7980,IF(B8="biweekly",B7+15960,B7+ROUND((1140*365.25)/24,0))))</f>
        <v/>
      </c>
      <c r="C1157" s="21">
        <f>IF((ROUND(F1156-ROUND($B$13-D1157,2),2)&lt;=0),ROUND(D1157+E1157,2),$B$13)</f>
        <v/>
      </c>
      <c r="D1157" s="21">
        <f>ROUND(F1156*B5/100/B10,2)</f>
        <v/>
      </c>
      <c r="E1157" s="21">
        <f>IF((ROUND(F1156-ROUND($B$13-D1157,2),2)&lt;=0),F1156,ROUND($B$13-D1157,2))</f>
        <v/>
      </c>
      <c r="F1157" s="21">
        <f>IF((ROUND(F1156-ROUND($B$13-D1157,2),2)&lt;=0),0,ROUND(F1156-E1157,2))</f>
        <v/>
      </c>
    </row>
    <row r="1158">
      <c r="A1158" s="6" t="n">
        <v>1142</v>
      </c>
      <c r="B1158" s="19">
        <f>IF(B8="monthly",DATE(YEAR(B7)+INT((MONTH(B7)-1+1141)/12),MOD(MONTH(B7)-1+1141,12)+1,1)+(DAY(B7)-1),IF(B8="weekly",B7+7987,IF(B8="biweekly",B7+15974,B7+ROUND((1141*365.25)/24,0))))</f>
        <v/>
      </c>
      <c r="C1158" s="21">
        <f>IF((ROUND(F1157-ROUND($B$13-D1158,2),2)&lt;=0),ROUND(D1158+E1158,2),$B$13)</f>
        <v/>
      </c>
      <c r="D1158" s="21">
        <f>ROUND(F1157*B5/100/B10,2)</f>
        <v/>
      </c>
      <c r="E1158" s="21">
        <f>IF((ROUND(F1157-ROUND($B$13-D1158,2),2)&lt;=0),F1157,ROUND($B$13-D1158,2))</f>
        <v/>
      </c>
      <c r="F1158" s="21">
        <f>IF((ROUND(F1157-ROUND($B$13-D1158,2),2)&lt;=0),0,ROUND(F1157-E1158,2))</f>
        <v/>
      </c>
    </row>
    <row r="1159">
      <c r="A1159" s="6" t="n">
        <v>1143</v>
      </c>
      <c r="B1159" s="19">
        <f>IF(B8="monthly",DATE(YEAR(B7)+INT((MONTH(B7)-1+1142)/12),MOD(MONTH(B7)-1+1142,12)+1,1)+(DAY(B7)-1),IF(B8="weekly",B7+7994,IF(B8="biweekly",B7+15988,B7+ROUND((1142*365.25)/24,0))))</f>
        <v/>
      </c>
      <c r="C1159" s="21">
        <f>IF((ROUND(F1158-ROUND($B$13-D1159,2),2)&lt;=0),ROUND(D1159+E1159,2),$B$13)</f>
        <v/>
      </c>
      <c r="D1159" s="21">
        <f>ROUND(F1158*B5/100/B10,2)</f>
        <v/>
      </c>
      <c r="E1159" s="21">
        <f>IF((ROUND(F1158-ROUND($B$13-D1159,2),2)&lt;=0),F1158,ROUND($B$13-D1159,2))</f>
        <v/>
      </c>
      <c r="F1159" s="21">
        <f>IF((ROUND(F1158-ROUND($B$13-D1159,2),2)&lt;=0),0,ROUND(F1158-E1159,2))</f>
        <v/>
      </c>
    </row>
    <row r="1160">
      <c r="A1160" s="6" t="n">
        <v>1144</v>
      </c>
      <c r="B1160" s="19">
        <f>IF(B8="monthly",DATE(YEAR(B7)+INT((MONTH(B7)-1+1143)/12),MOD(MONTH(B7)-1+1143,12)+1,1)+(DAY(B7)-1),IF(B8="weekly",B7+8001,IF(B8="biweekly",B7+16002,B7+ROUND((1143*365.25)/24,0))))</f>
        <v/>
      </c>
      <c r="C1160" s="21">
        <f>IF((ROUND(F1159-ROUND($B$13-D1160,2),2)&lt;=0),ROUND(D1160+E1160,2),$B$13)</f>
        <v/>
      </c>
      <c r="D1160" s="21">
        <f>ROUND(F1159*B5/100/B10,2)</f>
        <v/>
      </c>
      <c r="E1160" s="21">
        <f>IF((ROUND(F1159-ROUND($B$13-D1160,2),2)&lt;=0),F1159,ROUND($B$13-D1160,2))</f>
        <v/>
      </c>
      <c r="F1160" s="21">
        <f>IF((ROUND(F1159-ROUND($B$13-D1160,2),2)&lt;=0),0,ROUND(F1159-E1160,2))</f>
        <v/>
      </c>
    </row>
    <row r="1161">
      <c r="A1161" s="6" t="n">
        <v>1145</v>
      </c>
      <c r="B1161" s="19">
        <f>IF(B8="monthly",DATE(YEAR(B7)+INT((MONTH(B7)-1+1144)/12),MOD(MONTH(B7)-1+1144,12)+1,1)+(DAY(B7)-1),IF(B8="weekly",B7+8008,IF(B8="biweekly",B7+16016,B7+ROUND((1144*365.25)/24,0))))</f>
        <v/>
      </c>
      <c r="C1161" s="21">
        <f>IF((ROUND(F1160-ROUND($B$13-D1161,2),2)&lt;=0),ROUND(D1161+E1161,2),$B$13)</f>
        <v/>
      </c>
      <c r="D1161" s="21">
        <f>ROUND(F1160*B5/100/B10,2)</f>
        <v/>
      </c>
      <c r="E1161" s="21">
        <f>IF((ROUND(F1160-ROUND($B$13-D1161,2),2)&lt;=0),F1160,ROUND($B$13-D1161,2))</f>
        <v/>
      </c>
      <c r="F1161" s="21">
        <f>IF((ROUND(F1160-ROUND($B$13-D1161,2),2)&lt;=0),0,ROUND(F1160-E1161,2))</f>
        <v/>
      </c>
    </row>
    <row r="1162">
      <c r="A1162" s="6" t="n">
        <v>1146</v>
      </c>
      <c r="B1162" s="19">
        <f>IF(B8="monthly",DATE(YEAR(B7)+INT((MONTH(B7)-1+1145)/12),MOD(MONTH(B7)-1+1145,12)+1,1)+(DAY(B7)-1),IF(B8="weekly",B7+8015,IF(B8="biweekly",B7+16030,B7+ROUND((1145*365.25)/24,0))))</f>
        <v/>
      </c>
      <c r="C1162" s="21">
        <f>IF((ROUND(F1161-ROUND($B$13-D1162,2),2)&lt;=0),ROUND(D1162+E1162,2),$B$13)</f>
        <v/>
      </c>
      <c r="D1162" s="21">
        <f>ROUND(F1161*B5/100/B10,2)</f>
        <v/>
      </c>
      <c r="E1162" s="21">
        <f>IF((ROUND(F1161-ROUND($B$13-D1162,2),2)&lt;=0),F1161,ROUND($B$13-D1162,2))</f>
        <v/>
      </c>
      <c r="F1162" s="21">
        <f>IF((ROUND(F1161-ROUND($B$13-D1162,2),2)&lt;=0),0,ROUND(F1161-E1162,2))</f>
        <v/>
      </c>
    </row>
    <row r="1163">
      <c r="A1163" s="6" t="n">
        <v>1147</v>
      </c>
      <c r="B1163" s="19">
        <f>IF(B8="monthly",DATE(YEAR(B7)+INT((MONTH(B7)-1+1146)/12),MOD(MONTH(B7)-1+1146,12)+1,1)+(DAY(B7)-1),IF(B8="weekly",B7+8022,IF(B8="biweekly",B7+16044,B7+ROUND((1146*365.25)/24,0))))</f>
        <v/>
      </c>
      <c r="C1163" s="21">
        <f>IF((ROUND(F1162-ROUND($B$13-D1163,2),2)&lt;=0),ROUND(D1163+E1163,2),$B$13)</f>
        <v/>
      </c>
      <c r="D1163" s="21">
        <f>ROUND(F1162*B5/100/B10,2)</f>
        <v/>
      </c>
      <c r="E1163" s="21">
        <f>IF((ROUND(F1162-ROUND($B$13-D1163,2),2)&lt;=0),F1162,ROUND($B$13-D1163,2))</f>
        <v/>
      </c>
      <c r="F1163" s="21">
        <f>IF((ROUND(F1162-ROUND($B$13-D1163,2),2)&lt;=0),0,ROUND(F1162-E1163,2))</f>
        <v/>
      </c>
    </row>
    <row r="1164">
      <c r="A1164" s="6" t="n">
        <v>1148</v>
      </c>
      <c r="B1164" s="19">
        <f>IF(B8="monthly",DATE(YEAR(B7)+INT((MONTH(B7)-1+1147)/12),MOD(MONTH(B7)-1+1147,12)+1,1)+(DAY(B7)-1),IF(B8="weekly",B7+8029,IF(B8="biweekly",B7+16058,B7+ROUND((1147*365.25)/24,0))))</f>
        <v/>
      </c>
      <c r="C1164" s="21">
        <f>IF((ROUND(F1163-ROUND($B$13-D1164,2),2)&lt;=0),ROUND(D1164+E1164,2),$B$13)</f>
        <v/>
      </c>
      <c r="D1164" s="21">
        <f>ROUND(F1163*B5/100/B10,2)</f>
        <v/>
      </c>
      <c r="E1164" s="21">
        <f>IF((ROUND(F1163-ROUND($B$13-D1164,2),2)&lt;=0),F1163,ROUND($B$13-D1164,2))</f>
        <v/>
      </c>
      <c r="F1164" s="21">
        <f>IF((ROUND(F1163-ROUND($B$13-D1164,2),2)&lt;=0),0,ROUND(F1163-E1164,2))</f>
        <v/>
      </c>
    </row>
    <row r="1165">
      <c r="A1165" s="6" t="n">
        <v>1149</v>
      </c>
      <c r="B1165" s="19">
        <f>IF(B8="monthly",DATE(YEAR(B7)+INT((MONTH(B7)-1+1148)/12),MOD(MONTH(B7)-1+1148,12)+1,1)+(DAY(B7)-1),IF(B8="weekly",B7+8036,IF(B8="biweekly",B7+16072,B7+ROUND((1148*365.25)/24,0))))</f>
        <v/>
      </c>
      <c r="C1165" s="21">
        <f>IF((ROUND(F1164-ROUND($B$13-D1165,2),2)&lt;=0),ROUND(D1165+E1165,2),$B$13)</f>
        <v/>
      </c>
      <c r="D1165" s="21">
        <f>ROUND(F1164*B5/100/B10,2)</f>
        <v/>
      </c>
      <c r="E1165" s="21">
        <f>IF((ROUND(F1164-ROUND($B$13-D1165,2),2)&lt;=0),F1164,ROUND($B$13-D1165,2))</f>
        <v/>
      </c>
      <c r="F1165" s="21">
        <f>IF((ROUND(F1164-ROUND($B$13-D1165,2),2)&lt;=0),0,ROUND(F1164-E1165,2))</f>
        <v/>
      </c>
    </row>
    <row r="1166">
      <c r="A1166" s="6" t="n">
        <v>1150</v>
      </c>
      <c r="B1166" s="19">
        <f>IF(B8="monthly",DATE(YEAR(B7)+INT((MONTH(B7)-1+1149)/12),MOD(MONTH(B7)-1+1149,12)+1,1)+(DAY(B7)-1),IF(B8="weekly",B7+8043,IF(B8="biweekly",B7+16086,B7+ROUND((1149*365.25)/24,0))))</f>
        <v/>
      </c>
      <c r="C1166" s="21">
        <f>IF((ROUND(F1165-ROUND($B$13-D1166,2),2)&lt;=0),ROUND(D1166+E1166,2),$B$13)</f>
        <v/>
      </c>
      <c r="D1166" s="21">
        <f>ROUND(F1165*B5/100/B10,2)</f>
        <v/>
      </c>
      <c r="E1166" s="21">
        <f>IF((ROUND(F1165-ROUND($B$13-D1166,2),2)&lt;=0),F1165,ROUND($B$13-D1166,2))</f>
        <v/>
      </c>
      <c r="F1166" s="21">
        <f>IF((ROUND(F1165-ROUND($B$13-D1166,2),2)&lt;=0),0,ROUND(F1165-E1166,2))</f>
        <v/>
      </c>
    </row>
    <row r="1167">
      <c r="A1167" s="6" t="n">
        <v>1151</v>
      </c>
      <c r="B1167" s="19">
        <f>IF(B8="monthly",DATE(YEAR(B7)+INT((MONTH(B7)-1+1150)/12),MOD(MONTH(B7)-1+1150,12)+1,1)+(DAY(B7)-1),IF(B8="weekly",B7+8050,IF(B8="biweekly",B7+16100,B7+ROUND((1150*365.25)/24,0))))</f>
        <v/>
      </c>
      <c r="C1167" s="21">
        <f>IF((ROUND(F1166-ROUND($B$13-D1167,2),2)&lt;=0),ROUND(D1167+E1167,2),$B$13)</f>
        <v/>
      </c>
      <c r="D1167" s="21">
        <f>ROUND(F1166*B5/100/B10,2)</f>
        <v/>
      </c>
      <c r="E1167" s="21">
        <f>IF((ROUND(F1166-ROUND($B$13-D1167,2),2)&lt;=0),F1166,ROUND($B$13-D1167,2))</f>
        <v/>
      </c>
      <c r="F1167" s="21">
        <f>IF((ROUND(F1166-ROUND($B$13-D1167,2),2)&lt;=0),0,ROUND(F1166-E1167,2))</f>
        <v/>
      </c>
    </row>
    <row r="1168">
      <c r="A1168" s="6" t="n">
        <v>1152</v>
      </c>
      <c r="B1168" s="19">
        <f>IF(B8="monthly",DATE(YEAR(B7)+INT((MONTH(B7)-1+1151)/12),MOD(MONTH(B7)-1+1151,12)+1,1)+(DAY(B7)-1),IF(B8="weekly",B7+8057,IF(B8="biweekly",B7+16114,B7+ROUND((1151*365.25)/24,0))))</f>
        <v/>
      </c>
      <c r="C1168" s="21">
        <f>IF((ROUND(F1167-ROUND($B$13-D1168,2),2)&lt;=0),ROUND(D1168+E1168,2),$B$13)</f>
        <v/>
      </c>
      <c r="D1168" s="21">
        <f>ROUND(F1167*B5/100/B10,2)</f>
        <v/>
      </c>
      <c r="E1168" s="21">
        <f>IF((ROUND(F1167-ROUND($B$13-D1168,2),2)&lt;=0),F1167,ROUND($B$13-D1168,2))</f>
        <v/>
      </c>
      <c r="F1168" s="21">
        <f>IF((ROUND(F1167-ROUND($B$13-D1168,2),2)&lt;=0),0,ROUND(F1167-E1168,2))</f>
        <v/>
      </c>
    </row>
    <row r="1169">
      <c r="A1169" s="6" t="n">
        <v>1153</v>
      </c>
      <c r="B1169" s="19">
        <f>IF(B8="monthly",DATE(YEAR(B7)+INT((MONTH(B7)-1+1152)/12),MOD(MONTH(B7)-1+1152,12)+1,1)+(DAY(B7)-1),IF(B8="weekly",B7+8064,IF(B8="biweekly",B7+16128,B7+ROUND((1152*365.25)/24,0))))</f>
        <v/>
      </c>
      <c r="C1169" s="21">
        <f>IF((ROUND(F1168-ROUND($B$13-D1169,2),2)&lt;=0),ROUND(D1169+E1169,2),$B$13)</f>
        <v/>
      </c>
      <c r="D1169" s="21">
        <f>ROUND(F1168*B5/100/B10,2)</f>
        <v/>
      </c>
      <c r="E1169" s="21">
        <f>IF((ROUND(F1168-ROUND($B$13-D1169,2),2)&lt;=0),F1168,ROUND($B$13-D1169,2))</f>
        <v/>
      </c>
      <c r="F1169" s="21">
        <f>IF((ROUND(F1168-ROUND($B$13-D1169,2),2)&lt;=0),0,ROUND(F1168-E1169,2))</f>
        <v/>
      </c>
    </row>
    <row r="1170">
      <c r="A1170" s="6" t="n">
        <v>1154</v>
      </c>
      <c r="B1170" s="19">
        <f>IF(B8="monthly",DATE(YEAR(B7)+INT((MONTH(B7)-1+1153)/12),MOD(MONTH(B7)-1+1153,12)+1,1)+(DAY(B7)-1),IF(B8="weekly",B7+8071,IF(B8="biweekly",B7+16142,B7+ROUND((1153*365.25)/24,0))))</f>
        <v/>
      </c>
      <c r="C1170" s="21">
        <f>IF((ROUND(F1169-ROUND($B$13-D1170,2),2)&lt;=0),ROUND(D1170+E1170,2),$B$13)</f>
        <v/>
      </c>
      <c r="D1170" s="21">
        <f>ROUND(F1169*B5/100/B10,2)</f>
        <v/>
      </c>
      <c r="E1170" s="21">
        <f>IF((ROUND(F1169-ROUND($B$13-D1170,2),2)&lt;=0),F1169,ROUND($B$13-D1170,2))</f>
        <v/>
      </c>
      <c r="F1170" s="21">
        <f>IF((ROUND(F1169-ROUND($B$13-D1170,2),2)&lt;=0),0,ROUND(F1169-E1170,2))</f>
        <v/>
      </c>
    </row>
    <row r="1171">
      <c r="A1171" s="6" t="n">
        <v>1155</v>
      </c>
      <c r="B1171" s="19">
        <f>IF(B8="monthly",DATE(YEAR(B7)+INT((MONTH(B7)-1+1154)/12),MOD(MONTH(B7)-1+1154,12)+1,1)+(DAY(B7)-1),IF(B8="weekly",B7+8078,IF(B8="biweekly",B7+16156,B7+ROUND((1154*365.25)/24,0))))</f>
        <v/>
      </c>
      <c r="C1171" s="21">
        <f>IF((ROUND(F1170-ROUND($B$13-D1171,2),2)&lt;=0),ROUND(D1171+E1171,2),$B$13)</f>
        <v/>
      </c>
      <c r="D1171" s="21">
        <f>ROUND(F1170*B5/100/B10,2)</f>
        <v/>
      </c>
      <c r="E1171" s="21">
        <f>IF((ROUND(F1170-ROUND($B$13-D1171,2),2)&lt;=0),F1170,ROUND($B$13-D1171,2))</f>
        <v/>
      </c>
      <c r="F1171" s="21">
        <f>IF((ROUND(F1170-ROUND($B$13-D1171,2),2)&lt;=0),0,ROUND(F1170-E1171,2))</f>
        <v/>
      </c>
    </row>
    <row r="1172">
      <c r="A1172" s="6" t="n">
        <v>1156</v>
      </c>
      <c r="B1172" s="19">
        <f>IF(B8="monthly",DATE(YEAR(B7)+INT((MONTH(B7)-1+1155)/12),MOD(MONTH(B7)-1+1155,12)+1,1)+(DAY(B7)-1),IF(B8="weekly",B7+8085,IF(B8="biweekly",B7+16170,B7+ROUND((1155*365.25)/24,0))))</f>
        <v/>
      </c>
      <c r="C1172" s="21">
        <f>IF((ROUND(F1171-ROUND($B$13-D1172,2),2)&lt;=0),ROUND(D1172+E1172,2),$B$13)</f>
        <v/>
      </c>
      <c r="D1172" s="21">
        <f>ROUND(F1171*B5/100/B10,2)</f>
        <v/>
      </c>
      <c r="E1172" s="21">
        <f>IF((ROUND(F1171-ROUND($B$13-D1172,2),2)&lt;=0),F1171,ROUND($B$13-D1172,2))</f>
        <v/>
      </c>
      <c r="F1172" s="21">
        <f>IF((ROUND(F1171-ROUND($B$13-D1172,2),2)&lt;=0),0,ROUND(F1171-E1172,2))</f>
        <v/>
      </c>
    </row>
    <row r="1173">
      <c r="A1173" s="6" t="n">
        <v>1157</v>
      </c>
      <c r="B1173" s="19">
        <f>IF(B8="monthly",DATE(YEAR(B7)+INT((MONTH(B7)-1+1156)/12),MOD(MONTH(B7)-1+1156,12)+1,1)+(DAY(B7)-1),IF(B8="weekly",B7+8092,IF(B8="biweekly",B7+16184,B7+ROUND((1156*365.25)/24,0))))</f>
        <v/>
      </c>
      <c r="C1173" s="21">
        <f>IF((ROUND(F1172-ROUND($B$13-D1173,2),2)&lt;=0),ROUND(D1173+E1173,2),$B$13)</f>
        <v/>
      </c>
      <c r="D1173" s="21">
        <f>ROUND(F1172*B5/100/B10,2)</f>
        <v/>
      </c>
      <c r="E1173" s="21">
        <f>IF((ROUND(F1172-ROUND($B$13-D1173,2),2)&lt;=0),F1172,ROUND($B$13-D1173,2))</f>
        <v/>
      </c>
      <c r="F1173" s="21">
        <f>IF((ROUND(F1172-ROUND($B$13-D1173,2),2)&lt;=0),0,ROUND(F1172-E1173,2))</f>
        <v/>
      </c>
    </row>
    <row r="1174">
      <c r="A1174" s="6" t="n">
        <v>1158</v>
      </c>
      <c r="B1174" s="19">
        <f>IF(B8="monthly",DATE(YEAR(B7)+INT((MONTH(B7)-1+1157)/12),MOD(MONTH(B7)-1+1157,12)+1,1)+(DAY(B7)-1),IF(B8="weekly",B7+8099,IF(B8="biweekly",B7+16198,B7+ROUND((1157*365.25)/24,0))))</f>
        <v/>
      </c>
      <c r="C1174" s="21">
        <f>IF((ROUND(F1173-ROUND($B$13-D1174,2),2)&lt;=0),ROUND(D1174+E1174,2),$B$13)</f>
        <v/>
      </c>
      <c r="D1174" s="21">
        <f>ROUND(F1173*B5/100/B10,2)</f>
        <v/>
      </c>
      <c r="E1174" s="21">
        <f>IF((ROUND(F1173-ROUND($B$13-D1174,2),2)&lt;=0),F1173,ROUND($B$13-D1174,2))</f>
        <v/>
      </c>
      <c r="F1174" s="21">
        <f>IF((ROUND(F1173-ROUND($B$13-D1174,2),2)&lt;=0),0,ROUND(F1173-E1174,2))</f>
        <v/>
      </c>
    </row>
    <row r="1175">
      <c r="A1175" s="6" t="n">
        <v>1159</v>
      </c>
      <c r="B1175" s="19">
        <f>IF(B8="monthly",DATE(YEAR(B7)+INT((MONTH(B7)-1+1158)/12),MOD(MONTH(B7)-1+1158,12)+1,1)+(DAY(B7)-1),IF(B8="weekly",B7+8106,IF(B8="biweekly",B7+16212,B7+ROUND((1158*365.25)/24,0))))</f>
        <v/>
      </c>
      <c r="C1175" s="21">
        <f>IF((ROUND(F1174-ROUND($B$13-D1175,2),2)&lt;=0),ROUND(D1175+E1175,2),$B$13)</f>
        <v/>
      </c>
      <c r="D1175" s="21">
        <f>ROUND(F1174*B5/100/B10,2)</f>
        <v/>
      </c>
      <c r="E1175" s="21">
        <f>IF((ROUND(F1174-ROUND($B$13-D1175,2),2)&lt;=0),F1174,ROUND($B$13-D1175,2))</f>
        <v/>
      </c>
      <c r="F1175" s="21">
        <f>IF((ROUND(F1174-ROUND($B$13-D1175,2),2)&lt;=0),0,ROUND(F1174-E1175,2))</f>
        <v/>
      </c>
    </row>
    <row r="1176">
      <c r="A1176" s="6" t="n">
        <v>1160</v>
      </c>
      <c r="B1176" s="19">
        <f>IF(B8="monthly",DATE(YEAR(B7)+INT((MONTH(B7)-1+1159)/12),MOD(MONTH(B7)-1+1159,12)+1,1)+(DAY(B7)-1),IF(B8="weekly",B7+8113,IF(B8="biweekly",B7+16226,B7+ROUND((1159*365.25)/24,0))))</f>
        <v/>
      </c>
      <c r="C1176" s="21">
        <f>IF((ROUND(F1175-ROUND($B$13-D1176,2),2)&lt;=0),ROUND(D1176+E1176,2),$B$13)</f>
        <v/>
      </c>
      <c r="D1176" s="21">
        <f>ROUND(F1175*B5/100/B10,2)</f>
        <v/>
      </c>
      <c r="E1176" s="21">
        <f>IF((ROUND(F1175-ROUND($B$13-D1176,2),2)&lt;=0),F1175,ROUND($B$13-D1176,2))</f>
        <v/>
      </c>
      <c r="F1176" s="21">
        <f>IF((ROUND(F1175-ROUND($B$13-D1176,2),2)&lt;=0),0,ROUND(F1175-E1176,2))</f>
        <v/>
      </c>
    </row>
    <row r="1177">
      <c r="A1177" s="6" t="n">
        <v>1161</v>
      </c>
      <c r="B1177" s="19">
        <f>IF(B8="monthly",DATE(YEAR(B7)+INT((MONTH(B7)-1+1160)/12),MOD(MONTH(B7)-1+1160,12)+1,1)+(DAY(B7)-1),IF(B8="weekly",B7+8120,IF(B8="biweekly",B7+16240,B7+ROUND((1160*365.25)/24,0))))</f>
        <v/>
      </c>
      <c r="C1177" s="21">
        <f>IF((ROUND(F1176-ROUND($B$13-D1177,2),2)&lt;=0),ROUND(D1177+E1177,2),$B$13)</f>
        <v/>
      </c>
      <c r="D1177" s="21">
        <f>ROUND(F1176*B5/100/B10,2)</f>
        <v/>
      </c>
      <c r="E1177" s="21">
        <f>IF((ROUND(F1176-ROUND($B$13-D1177,2),2)&lt;=0),F1176,ROUND($B$13-D1177,2))</f>
        <v/>
      </c>
      <c r="F1177" s="21">
        <f>IF((ROUND(F1176-ROUND($B$13-D1177,2),2)&lt;=0),0,ROUND(F1176-E1177,2))</f>
        <v/>
      </c>
    </row>
    <row r="1178">
      <c r="A1178" s="6" t="n">
        <v>1162</v>
      </c>
      <c r="B1178" s="19">
        <f>IF(B8="monthly",DATE(YEAR(B7)+INT((MONTH(B7)-1+1161)/12),MOD(MONTH(B7)-1+1161,12)+1,1)+(DAY(B7)-1),IF(B8="weekly",B7+8127,IF(B8="biweekly",B7+16254,B7+ROUND((1161*365.25)/24,0))))</f>
        <v/>
      </c>
      <c r="C1178" s="21">
        <f>IF((ROUND(F1177-ROUND($B$13-D1178,2),2)&lt;=0),ROUND(D1178+E1178,2),$B$13)</f>
        <v/>
      </c>
      <c r="D1178" s="21">
        <f>ROUND(F1177*B5/100/B10,2)</f>
        <v/>
      </c>
      <c r="E1178" s="21">
        <f>IF((ROUND(F1177-ROUND($B$13-D1178,2),2)&lt;=0),F1177,ROUND($B$13-D1178,2))</f>
        <v/>
      </c>
      <c r="F1178" s="21">
        <f>IF((ROUND(F1177-ROUND($B$13-D1178,2),2)&lt;=0),0,ROUND(F1177-E1178,2))</f>
        <v/>
      </c>
    </row>
    <row r="1179">
      <c r="A1179" s="6" t="n">
        <v>1163</v>
      </c>
      <c r="B1179" s="19">
        <f>IF(B8="monthly",DATE(YEAR(B7)+INT((MONTH(B7)-1+1162)/12),MOD(MONTH(B7)-1+1162,12)+1,1)+(DAY(B7)-1),IF(B8="weekly",B7+8134,IF(B8="biweekly",B7+16268,B7+ROUND((1162*365.25)/24,0))))</f>
        <v/>
      </c>
      <c r="C1179" s="21">
        <f>IF((ROUND(F1178-ROUND($B$13-D1179,2),2)&lt;=0),ROUND(D1179+E1179,2),$B$13)</f>
        <v/>
      </c>
      <c r="D1179" s="21">
        <f>ROUND(F1178*B5/100/B10,2)</f>
        <v/>
      </c>
      <c r="E1179" s="21">
        <f>IF((ROUND(F1178-ROUND($B$13-D1179,2),2)&lt;=0),F1178,ROUND($B$13-D1179,2))</f>
        <v/>
      </c>
      <c r="F1179" s="21">
        <f>IF((ROUND(F1178-ROUND($B$13-D1179,2),2)&lt;=0),0,ROUND(F1178-E1179,2))</f>
        <v/>
      </c>
    </row>
    <row r="1180">
      <c r="A1180" s="6" t="n">
        <v>1164</v>
      </c>
      <c r="B1180" s="19">
        <f>IF(B8="monthly",DATE(YEAR(B7)+INT((MONTH(B7)-1+1163)/12),MOD(MONTH(B7)-1+1163,12)+1,1)+(DAY(B7)-1),IF(B8="weekly",B7+8141,IF(B8="biweekly",B7+16282,B7+ROUND((1163*365.25)/24,0))))</f>
        <v/>
      </c>
      <c r="C1180" s="21">
        <f>IF((ROUND(F1179-ROUND($B$13-D1180,2),2)&lt;=0),ROUND(D1180+E1180,2),$B$13)</f>
        <v/>
      </c>
      <c r="D1180" s="21">
        <f>ROUND(F1179*B5/100/B10,2)</f>
        <v/>
      </c>
      <c r="E1180" s="21">
        <f>IF((ROUND(F1179-ROUND($B$13-D1180,2),2)&lt;=0),F1179,ROUND($B$13-D1180,2))</f>
        <v/>
      </c>
      <c r="F1180" s="21">
        <f>IF((ROUND(F1179-ROUND($B$13-D1180,2),2)&lt;=0),0,ROUND(F1179-E1180,2))</f>
        <v/>
      </c>
    </row>
    <row r="1181">
      <c r="A1181" s="6" t="n">
        <v>1165</v>
      </c>
      <c r="B1181" s="19">
        <f>IF(B8="monthly",DATE(YEAR(B7)+INT((MONTH(B7)-1+1164)/12),MOD(MONTH(B7)-1+1164,12)+1,1)+(DAY(B7)-1),IF(B8="weekly",B7+8148,IF(B8="biweekly",B7+16296,B7+ROUND((1164*365.25)/24,0))))</f>
        <v/>
      </c>
      <c r="C1181" s="21">
        <f>IF((ROUND(F1180-ROUND($B$13-D1181,2),2)&lt;=0),ROUND(D1181+E1181,2),$B$13)</f>
        <v/>
      </c>
      <c r="D1181" s="21">
        <f>ROUND(F1180*B5/100/B10,2)</f>
        <v/>
      </c>
      <c r="E1181" s="21">
        <f>IF((ROUND(F1180-ROUND($B$13-D1181,2),2)&lt;=0),F1180,ROUND($B$13-D1181,2))</f>
        <v/>
      </c>
      <c r="F1181" s="21">
        <f>IF((ROUND(F1180-ROUND($B$13-D1181,2),2)&lt;=0),0,ROUND(F1180-E1181,2))</f>
        <v/>
      </c>
    </row>
    <row r="1182">
      <c r="A1182" s="6" t="n">
        <v>1166</v>
      </c>
      <c r="B1182" s="19">
        <f>IF(B8="monthly",DATE(YEAR(B7)+INT((MONTH(B7)-1+1165)/12),MOD(MONTH(B7)-1+1165,12)+1,1)+(DAY(B7)-1),IF(B8="weekly",B7+8155,IF(B8="biweekly",B7+16310,B7+ROUND((1165*365.25)/24,0))))</f>
        <v/>
      </c>
      <c r="C1182" s="21">
        <f>IF((ROUND(F1181-ROUND($B$13-D1182,2),2)&lt;=0),ROUND(D1182+E1182,2),$B$13)</f>
        <v/>
      </c>
      <c r="D1182" s="21">
        <f>ROUND(F1181*B5/100/B10,2)</f>
        <v/>
      </c>
      <c r="E1182" s="21">
        <f>IF((ROUND(F1181-ROUND($B$13-D1182,2),2)&lt;=0),F1181,ROUND($B$13-D1182,2))</f>
        <v/>
      </c>
      <c r="F1182" s="21">
        <f>IF((ROUND(F1181-ROUND($B$13-D1182,2),2)&lt;=0),0,ROUND(F1181-E1182,2))</f>
        <v/>
      </c>
    </row>
    <row r="1183">
      <c r="A1183" s="6" t="n">
        <v>1167</v>
      </c>
      <c r="B1183" s="19">
        <f>IF(B8="monthly",DATE(YEAR(B7)+INT((MONTH(B7)-1+1166)/12),MOD(MONTH(B7)-1+1166,12)+1,1)+(DAY(B7)-1),IF(B8="weekly",B7+8162,IF(B8="biweekly",B7+16324,B7+ROUND((1166*365.25)/24,0))))</f>
        <v/>
      </c>
      <c r="C1183" s="21">
        <f>IF((ROUND(F1182-ROUND($B$13-D1183,2),2)&lt;=0),ROUND(D1183+E1183,2),$B$13)</f>
        <v/>
      </c>
      <c r="D1183" s="21">
        <f>ROUND(F1182*B5/100/B10,2)</f>
        <v/>
      </c>
      <c r="E1183" s="21">
        <f>IF((ROUND(F1182-ROUND($B$13-D1183,2),2)&lt;=0),F1182,ROUND($B$13-D1183,2))</f>
        <v/>
      </c>
      <c r="F1183" s="21">
        <f>IF((ROUND(F1182-ROUND($B$13-D1183,2),2)&lt;=0),0,ROUND(F1182-E1183,2))</f>
        <v/>
      </c>
    </row>
    <row r="1184">
      <c r="A1184" s="6" t="n">
        <v>1168</v>
      </c>
      <c r="B1184" s="19">
        <f>IF(B8="monthly",DATE(YEAR(B7)+INT((MONTH(B7)-1+1167)/12),MOD(MONTH(B7)-1+1167,12)+1,1)+(DAY(B7)-1),IF(B8="weekly",B7+8169,IF(B8="biweekly",B7+16338,B7+ROUND((1167*365.25)/24,0))))</f>
        <v/>
      </c>
      <c r="C1184" s="21">
        <f>IF((ROUND(F1183-ROUND($B$13-D1184,2),2)&lt;=0),ROUND(D1184+E1184,2),$B$13)</f>
        <v/>
      </c>
      <c r="D1184" s="21">
        <f>ROUND(F1183*B5/100/B10,2)</f>
        <v/>
      </c>
      <c r="E1184" s="21">
        <f>IF((ROUND(F1183-ROUND($B$13-D1184,2),2)&lt;=0),F1183,ROUND($B$13-D1184,2))</f>
        <v/>
      </c>
      <c r="F1184" s="21">
        <f>IF((ROUND(F1183-ROUND($B$13-D1184,2),2)&lt;=0),0,ROUND(F1183-E1184,2))</f>
        <v/>
      </c>
    </row>
    <row r="1185">
      <c r="A1185" s="6" t="n">
        <v>1169</v>
      </c>
      <c r="B1185" s="19">
        <f>IF(B8="monthly",DATE(YEAR(B7)+INT((MONTH(B7)-1+1168)/12),MOD(MONTH(B7)-1+1168,12)+1,1)+(DAY(B7)-1),IF(B8="weekly",B7+8176,IF(B8="biweekly",B7+16352,B7+ROUND((1168*365.25)/24,0))))</f>
        <v/>
      </c>
      <c r="C1185" s="21">
        <f>IF((ROUND(F1184-ROUND($B$13-D1185,2),2)&lt;=0),ROUND(D1185+E1185,2),$B$13)</f>
        <v/>
      </c>
      <c r="D1185" s="21">
        <f>ROUND(F1184*B5/100/B10,2)</f>
        <v/>
      </c>
      <c r="E1185" s="21">
        <f>IF((ROUND(F1184-ROUND($B$13-D1185,2),2)&lt;=0),F1184,ROUND($B$13-D1185,2))</f>
        <v/>
      </c>
      <c r="F1185" s="21">
        <f>IF((ROUND(F1184-ROUND($B$13-D1185,2),2)&lt;=0),0,ROUND(F1184-E1185,2))</f>
        <v/>
      </c>
    </row>
    <row r="1186">
      <c r="A1186" s="6" t="n">
        <v>1170</v>
      </c>
      <c r="B1186" s="19">
        <f>IF(B8="monthly",DATE(YEAR(B7)+INT((MONTH(B7)-1+1169)/12),MOD(MONTH(B7)-1+1169,12)+1,1)+(DAY(B7)-1),IF(B8="weekly",B7+8183,IF(B8="biweekly",B7+16366,B7+ROUND((1169*365.25)/24,0))))</f>
        <v/>
      </c>
      <c r="C1186" s="21">
        <f>IF((ROUND(F1185-ROUND($B$13-D1186,2),2)&lt;=0),ROUND(D1186+E1186,2),$B$13)</f>
        <v/>
      </c>
      <c r="D1186" s="21">
        <f>ROUND(F1185*B5/100/B10,2)</f>
        <v/>
      </c>
      <c r="E1186" s="21">
        <f>IF((ROUND(F1185-ROUND($B$13-D1186,2),2)&lt;=0),F1185,ROUND($B$13-D1186,2))</f>
        <v/>
      </c>
      <c r="F1186" s="21">
        <f>IF((ROUND(F1185-ROUND($B$13-D1186,2),2)&lt;=0),0,ROUND(F1185-E1186,2))</f>
        <v/>
      </c>
    </row>
    <row r="1187">
      <c r="A1187" s="6" t="n">
        <v>1171</v>
      </c>
      <c r="B1187" s="19">
        <f>IF(B8="monthly",DATE(YEAR(B7)+INT((MONTH(B7)-1+1170)/12),MOD(MONTH(B7)-1+1170,12)+1,1)+(DAY(B7)-1),IF(B8="weekly",B7+8190,IF(B8="biweekly",B7+16380,B7+ROUND((1170*365.25)/24,0))))</f>
        <v/>
      </c>
      <c r="C1187" s="21">
        <f>IF((ROUND(F1186-ROUND($B$13-D1187,2),2)&lt;=0),ROUND(D1187+E1187,2),$B$13)</f>
        <v/>
      </c>
      <c r="D1187" s="21">
        <f>ROUND(F1186*B5/100/B10,2)</f>
        <v/>
      </c>
      <c r="E1187" s="21">
        <f>IF((ROUND(F1186-ROUND($B$13-D1187,2),2)&lt;=0),F1186,ROUND($B$13-D1187,2))</f>
        <v/>
      </c>
      <c r="F1187" s="21">
        <f>IF((ROUND(F1186-ROUND($B$13-D1187,2),2)&lt;=0),0,ROUND(F1186-E1187,2))</f>
        <v/>
      </c>
    </row>
    <row r="1188">
      <c r="A1188" s="6" t="n">
        <v>1172</v>
      </c>
      <c r="B1188" s="19">
        <f>IF(B8="monthly",DATE(YEAR(B7)+INT((MONTH(B7)-1+1171)/12),MOD(MONTH(B7)-1+1171,12)+1,1)+(DAY(B7)-1),IF(B8="weekly",B7+8197,IF(B8="biweekly",B7+16394,B7+ROUND((1171*365.25)/24,0))))</f>
        <v/>
      </c>
      <c r="C1188" s="21">
        <f>IF((ROUND(F1187-ROUND($B$13-D1188,2),2)&lt;=0),ROUND(D1188+E1188,2),$B$13)</f>
        <v/>
      </c>
      <c r="D1188" s="21">
        <f>ROUND(F1187*B5/100/B10,2)</f>
        <v/>
      </c>
      <c r="E1188" s="21">
        <f>IF((ROUND(F1187-ROUND($B$13-D1188,2),2)&lt;=0),F1187,ROUND($B$13-D1188,2))</f>
        <v/>
      </c>
      <c r="F1188" s="21">
        <f>IF((ROUND(F1187-ROUND($B$13-D1188,2),2)&lt;=0),0,ROUND(F1187-E1188,2))</f>
        <v/>
      </c>
    </row>
    <row r="1189">
      <c r="A1189" s="6" t="n">
        <v>1173</v>
      </c>
      <c r="B1189" s="19">
        <f>IF(B8="monthly",DATE(YEAR(B7)+INT((MONTH(B7)-1+1172)/12),MOD(MONTH(B7)-1+1172,12)+1,1)+(DAY(B7)-1),IF(B8="weekly",B7+8204,IF(B8="biweekly",B7+16408,B7+ROUND((1172*365.25)/24,0))))</f>
        <v/>
      </c>
      <c r="C1189" s="21">
        <f>IF((ROUND(F1188-ROUND($B$13-D1189,2),2)&lt;=0),ROUND(D1189+E1189,2),$B$13)</f>
        <v/>
      </c>
      <c r="D1189" s="21">
        <f>ROUND(F1188*B5/100/B10,2)</f>
        <v/>
      </c>
      <c r="E1189" s="21">
        <f>IF((ROUND(F1188-ROUND($B$13-D1189,2),2)&lt;=0),F1188,ROUND($B$13-D1189,2))</f>
        <v/>
      </c>
      <c r="F1189" s="21">
        <f>IF((ROUND(F1188-ROUND($B$13-D1189,2),2)&lt;=0),0,ROUND(F1188-E1189,2))</f>
        <v/>
      </c>
    </row>
    <row r="1190">
      <c r="A1190" s="6" t="n">
        <v>1174</v>
      </c>
      <c r="B1190" s="19">
        <f>IF(B8="monthly",DATE(YEAR(B7)+INT((MONTH(B7)-1+1173)/12),MOD(MONTH(B7)-1+1173,12)+1,1)+(DAY(B7)-1),IF(B8="weekly",B7+8211,IF(B8="biweekly",B7+16422,B7+ROUND((1173*365.25)/24,0))))</f>
        <v/>
      </c>
      <c r="C1190" s="21">
        <f>IF((ROUND(F1189-ROUND($B$13-D1190,2),2)&lt;=0),ROUND(D1190+E1190,2),$B$13)</f>
        <v/>
      </c>
      <c r="D1190" s="21">
        <f>ROUND(F1189*B5/100/B10,2)</f>
        <v/>
      </c>
      <c r="E1190" s="21">
        <f>IF((ROUND(F1189-ROUND($B$13-D1190,2),2)&lt;=0),F1189,ROUND($B$13-D1190,2))</f>
        <v/>
      </c>
      <c r="F1190" s="21">
        <f>IF((ROUND(F1189-ROUND($B$13-D1190,2),2)&lt;=0),0,ROUND(F1189-E1190,2))</f>
        <v/>
      </c>
    </row>
    <row r="1191">
      <c r="A1191" s="6" t="n">
        <v>1175</v>
      </c>
      <c r="B1191" s="19">
        <f>IF(B8="monthly",DATE(YEAR(B7)+INT((MONTH(B7)-1+1174)/12),MOD(MONTH(B7)-1+1174,12)+1,1)+(DAY(B7)-1),IF(B8="weekly",B7+8218,IF(B8="biweekly",B7+16436,B7+ROUND((1174*365.25)/24,0))))</f>
        <v/>
      </c>
      <c r="C1191" s="21">
        <f>IF((ROUND(F1190-ROUND($B$13-D1191,2),2)&lt;=0),ROUND(D1191+E1191,2),$B$13)</f>
        <v/>
      </c>
      <c r="D1191" s="21">
        <f>ROUND(F1190*B5/100/B10,2)</f>
        <v/>
      </c>
      <c r="E1191" s="21">
        <f>IF((ROUND(F1190-ROUND($B$13-D1191,2),2)&lt;=0),F1190,ROUND($B$13-D1191,2))</f>
        <v/>
      </c>
      <c r="F1191" s="21">
        <f>IF((ROUND(F1190-ROUND($B$13-D1191,2),2)&lt;=0),0,ROUND(F1190-E1191,2))</f>
        <v/>
      </c>
    </row>
    <row r="1192">
      <c r="A1192" s="6" t="n">
        <v>1176</v>
      </c>
      <c r="B1192" s="19">
        <f>IF(B8="monthly",DATE(YEAR(B7)+INT((MONTH(B7)-1+1175)/12),MOD(MONTH(B7)-1+1175,12)+1,1)+(DAY(B7)-1),IF(B8="weekly",B7+8225,IF(B8="biweekly",B7+16450,B7+ROUND((1175*365.25)/24,0))))</f>
        <v/>
      </c>
      <c r="C1192" s="21">
        <f>IF((ROUND(F1191-ROUND($B$13-D1192,2),2)&lt;=0),ROUND(D1192+E1192,2),$B$13)</f>
        <v/>
      </c>
      <c r="D1192" s="21">
        <f>ROUND(F1191*B5/100/B10,2)</f>
        <v/>
      </c>
      <c r="E1192" s="21">
        <f>IF((ROUND(F1191-ROUND($B$13-D1192,2),2)&lt;=0),F1191,ROUND($B$13-D1192,2))</f>
        <v/>
      </c>
      <c r="F1192" s="21">
        <f>IF((ROUND(F1191-ROUND($B$13-D1192,2),2)&lt;=0),0,ROUND(F1191-E1192,2))</f>
        <v/>
      </c>
    </row>
    <row r="1193">
      <c r="A1193" s="6" t="n">
        <v>1177</v>
      </c>
      <c r="B1193" s="19">
        <f>IF(B8="monthly",DATE(YEAR(B7)+INT((MONTH(B7)-1+1176)/12),MOD(MONTH(B7)-1+1176,12)+1,1)+(DAY(B7)-1),IF(B8="weekly",B7+8232,IF(B8="biweekly",B7+16464,B7+ROUND((1176*365.25)/24,0))))</f>
        <v/>
      </c>
      <c r="C1193" s="21">
        <f>IF((ROUND(F1192-ROUND($B$13-D1193,2),2)&lt;=0),ROUND(D1193+E1193,2),$B$13)</f>
        <v/>
      </c>
      <c r="D1193" s="21">
        <f>ROUND(F1192*B5/100/B10,2)</f>
        <v/>
      </c>
      <c r="E1193" s="21">
        <f>IF((ROUND(F1192-ROUND($B$13-D1193,2),2)&lt;=0),F1192,ROUND($B$13-D1193,2))</f>
        <v/>
      </c>
      <c r="F1193" s="21">
        <f>IF((ROUND(F1192-ROUND($B$13-D1193,2),2)&lt;=0),0,ROUND(F1192-E1193,2))</f>
        <v/>
      </c>
    </row>
    <row r="1194">
      <c r="A1194" s="6" t="n">
        <v>1178</v>
      </c>
      <c r="B1194" s="19">
        <f>IF(B8="monthly",DATE(YEAR(B7)+INT((MONTH(B7)-1+1177)/12),MOD(MONTH(B7)-1+1177,12)+1,1)+(DAY(B7)-1),IF(B8="weekly",B7+8239,IF(B8="biweekly",B7+16478,B7+ROUND((1177*365.25)/24,0))))</f>
        <v/>
      </c>
      <c r="C1194" s="21">
        <f>IF((ROUND(F1193-ROUND($B$13-D1194,2),2)&lt;=0),ROUND(D1194+E1194,2),$B$13)</f>
        <v/>
      </c>
      <c r="D1194" s="21">
        <f>ROUND(F1193*B5/100/B10,2)</f>
        <v/>
      </c>
      <c r="E1194" s="21">
        <f>IF((ROUND(F1193-ROUND($B$13-D1194,2),2)&lt;=0),F1193,ROUND($B$13-D1194,2))</f>
        <v/>
      </c>
      <c r="F1194" s="21">
        <f>IF((ROUND(F1193-ROUND($B$13-D1194,2),2)&lt;=0),0,ROUND(F1193-E1194,2))</f>
        <v/>
      </c>
    </row>
    <row r="1195">
      <c r="A1195" s="6" t="n">
        <v>1179</v>
      </c>
      <c r="B1195" s="19">
        <f>IF(B8="monthly",DATE(YEAR(B7)+INT((MONTH(B7)-1+1178)/12),MOD(MONTH(B7)-1+1178,12)+1,1)+(DAY(B7)-1),IF(B8="weekly",B7+8246,IF(B8="biweekly",B7+16492,B7+ROUND((1178*365.25)/24,0))))</f>
        <v/>
      </c>
      <c r="C1195" s="21">
        <f>IF((ROUND(F1194-ROUND($B$13-D1195,2),2)&lt;=0),ROUND(D1195+E1195,2),$B$13)</f>
        <v/>
      </c>
      <c r="D1195" s="21">
        <f>ROUND(F1194*B5/100/B10,2)</f>
        <v/>
      </c>
      <c r="E1195" s="21">
        <f>IF((ROUND(F1194-ROUND($B$13-D1195,2),2)&lt;=0),F1194,ROUND($B$13-D1195,2))</f>
        <v/>
      </c>
      <c r="F1195" s="21">
        <f>IF((ROUND(F1194-ROUND($B$13-D1195,2),2)&lt;=0),0,ROUND(F1194-E1195,2))</f>
        <v/>
      </c>
    </row>
    <row r="1196">
      <c r="A1196" s="6" t="n">
        <v>1180</v>
      </c>
      <c r="B1196" s="19">
        <f>IF(B8="monthly",DATE(YEAR(B7)+INT((MONTH(B7)-1+1179)/12),MOD(MONTH(B7)-1+1179,12)+1,1)+(DAY(B7)-1),IF(B8="weekly",B7+8253,IF(B8="biweekly",B7+16506,B7+ROUND((1179*365.25)/24,0))))</f>
        <v/>
      </c>
      <c r="C1196" s="21">
        <f>IF((ROUND(F1195-ROUND($B$13-D1196,2),2)&lt;=0),ROUND(D1196+E1196,2),$B$13)</f>
        <v/>
      </c>
      <c r="D1196" s="21">
        <f>ROUND(F1195*B5/100/B10,2)</f>
        <v/>
      </c>
      <c r="E1196" s="21">
        <f>IF((ROUND(F1195-ROUND($B$13-D1196,2),2)&lt;=0),F1195,ROUND($B$13-D1196,2))</f>
        <v/>
      </c>
      <c r="F1196" s="21">
        <f>IF((ROUND(F1195-ROUND($B$13-D1196,2),2)&lt;=0),0,ROUND(F1195-E1196,2))</f>
        <v/>
      </c>
    </row>
    <row r="1197">
      <c r="A1197" s="6" t="n">
        <v>1181</v>
      </c>
      <c r="B1197" s="19">
        <f>IF(B8="monthly",DATE(YEAR(B7)+INT((MONTH(B7)-1+1180)/12),MOD(MONTH(B7)-1+1180,12)+1,1)+(DAY(B7)-1),IF(B8="weekly",B7+8260,IF(B8="biweekly",B7+16520,B7+ROUND((1180*365.25)/24,0))))</f>
        <v/>
      </c>
      <c r="C1197" s="21">
        <f>IF((ROUND(F1196-ROUND($B$13-D1197,2),2)&lt;=0),ROUND(D1197+E1197,2),$B$13)</f>
        <v/>
      </c>
      <c r="D1197" s="21">
        <f>ROUND(F1196*B5/100/B10,2)</f>
        <v/>
      </c>
      <c r="E1197" s="21">
        <f>IF((ROUND(F1196-ROUND($B$13-D1197,2),2)&lt;=0),F1196,ROUND($B$13-D1197,2))</f>
        <v/>
      </c>
      <c r="F1197" s="21">
        <f>IF((ROUND(F1196-ROUND($B$13-D1197,2),2)&lt;=0),0,ROUND(F1196-E1197,2))</f>
        <v/>
      </c>
    </row>
    <row r="1198">
      <c r="A1198" s="6" t="n">
        <v>1182</v>
      </c>
      <c r="B1198" s="19">
        <f>IF(B8="monthly",DATE(YEAR(B7)+INT((MONTH(B7)-1+1181)/12),MOD(MONTH(B7)-1+1181,12)+1,1)+(DAY(B7)-1),IF(B8="weekly",B7+8267,IF(B8="biweekly",B7+16534,B7+ROUND((1181*365.25)/24,0))))</f>
        <v/>
      </c>
      <c r="C1198" s="21">
        <f>IF((ROUND(F1197-ROUND($B$13-D1198,2),2)&lt;=0),ROUND(D1198+E1198,2),$B$13)</f>
        <v/>
      </c>
      <c r="D1198" s="21">
        <f>ROUND(F1197*B5/100/B10,2)</f>
        <v/>
      </c>
      <c r="E1198" s="21">
        <f>IF((ROUND(F1197-ROUND($B$13-D1198,2),2)&lt;=0),F1197,ROUND($B$13-D1198,2))</f>
        <v/>
      </c>
      <c r="F1198" s="21">
        <f>IF((ROUND(F1197-ROUND($B$13-D1198,2),2)&lt;=0),0,ROUND(F1197-E1198,2))</f>
        <v/>
      </c>
    </row>
    <row r="1199">
      <c r="A1199" s="6" t="n">
        <v>1183</v>
      </c>
      <c r="B1199" s="19">
        <f>IF(B8="monthly",DATE(YEAR(B7)+INT((MONTH(B7)-1+1182)/12),MOD(MONTH(B7)-1+1182,12)+1,1)+(DAY(B7)-1),IF(B8="weekly",B7+8274,IF(B8="biweekly",B7+16548,B7+ROUND((1182*365.25)/24,0))))</f>
        <v/>
      </c>
      <c r="C1199" s="21">
        <f>IF((ROUND(F1198-ROUND($B$13-D1199,2),2)&lt;=0),ROUND(D1199+E1199,2),$B$13)</f>
        <v/>
      </c>
      <c r="D1199" s="21">
        <f>ROUND(F1198*B5/100/B10,2)</f>
        <v/>
      </c>
      <c r="E1199" s="21">
        <f>IF((ROUND(F1198-ROUND($B$13-D1199,2),2)&lt;=0),F1198,ROUND($B$13-D1199,2))</f>
        <v/>
      </c>
      <c r="F1199" s="21">
        <f>IF((ROUND(F1198-ROUND($B$13-D1199,2),2)&lt;=0),0,ROUND(F1198-E1199,2))</f>
        <v/>
      </c>
    </row>
    <row r="1200">
      <c r="A1200" s="6" t="n">
        <v>1184</v>
      </c>
      <c r="B1200" s="19">
        <f>IF(B8="monthly",DATE(YEAR(B7)+INT((MONTH(B7)-1+1183)/12),MOD(MONTH(B7)-1+1183,12)+1,1)+(DAY(B7)-1),IF(B8="weekly",B7+8281,IF(B8="biweekly",B7+16562,B7+ROUND((1183*365.25)/24,0))))</f>
        <v/>
      </c>
      <c r="C1200" s="21">
        <f>IF((ROUND(F1199-ROUND($B$13-D1200,2),2)&lt;=0),ROUND(D1200+E1200,2),$B$13)</f>
        <v/>
      </c>
      <c r="D1200" s="21">
        <f>ROUND(F1199*B5/100/B10,2)</f>
        <v/>
      </c>
      <c r="E1200" s="21">
        <f>IF((ROUND(F1199-ROUND($B$13-D1200,2),2)&lt;=0),F1199,ROUND($B$13-D1200,2))</f>
        <v/>
      </c>
      <c r="F1200" s="21">
        <f>IF((ROUND(F1199-ROUND($B$13-D1200,2),2)&lt;=0),0,ROUND(F1199-E1200,2))</f>
        <v/>
      </c>
    </row>
    <row r="1201">
      <c r="A1201" s="6" t="n">
        <v>1185</v>
      </c>
      <c r="B1201" s="19">
        <f>IF(B8="monthly",DATE(YEAR(B7)+INT((MONTH(B7)-1+1184)/12),MOD(MONTH(B7)-1+1184,12)+1,1)+(DAY(B7)-1),IF(B8="weekly",B7+8288,IF(B8="biweekly",B7+16576,B7+ROUND((1184*365.25)/24,0))))</f>
        <v/>
      </c>
      <c r="C1201" s="21">
        <f>IF((ROUND(F1200-ROUND($B$13-D1201,2),2)&lt;=0),ROUND(D1201+E1201,2),$B$13)</f>
        <v/>
      </c>
      <c r="D1201" s="21">
        <f>ROUND(F1200*B5/100/B10,2)</f>
        <v/>
      </c>
      <c r="E1201" s="21">
        <f>IF((ROUND(F1200-ROUND($B$13-D1201,2),2)&lt;=0),F1200,ROUND($B$13-D1201,2))</f>
        <v/>
      </c>
      <c r="F1201" s="21">
        <f>IF((ROUND(F1200-ROUND($B$13-D1201,2),2)&lt;=0),0,ROUND(F1200-E1201,2))</f>
        <v/>
      </c>
    </row>
    <row r="1202">
      <c r="A1202" s="6" t="n">
        <v>1186</v>
      </c>
      <c r="B1202" s="19">
        <f>IF(B8="monthly",DATE(YEAR(B7)+INT((MONTH(B7)-1+1185)/12),MOD(MONTH(B7)-1+1185,12)+1,1)+(DAY(B7)-1),IF(B8="weekly",B7+8295,IF(B8="biweekly",B7+16590,B7+ROUND((1185*365.25)/24,0))))</f>
        <v/>
      </c>
      <c r="C1202" s="21">
        <f>IF((ROUND(F1201-ROUND($B$13-D1202,2),2)&lt;=0),ROUND(D1202+E1202,2),$B$13)</f>
        <v/>
      </c>
      <c r="D1202" s="21">
        <f>ROUND(F1201*B5/100/B10,2)</f>
        <v/>
      </c>
      <c r="E1202" s="21">
        <f>IF((ROUND(F1201-ROUND($B$13-D1202,2),2)&lt;=0),F1201,ROUND($B$13-D1202,2))</f>
        <v/>
      </c>
      <c r="F1202" s="21">
        <f>IF((ROUND(F1201-ROUND($B$13-D1202,2),2)&lt;=0),0,ROUND(F1201-E1202,2))</f>
        <v/>
      </c>
    </row>
    <row r="1203">
      <c r="A1203" s="6" t="n">
        <v>1187</v>
      </c>
      <c r="B1203" s="19">
        <f>IF(B8="monthly",DATE(YEAR(B7)+INT((MONTH(B7)-1+1186)/12),MOD(MONTH(B7)-1+1186,12)+1,1)+(DAY(B7)-1),IF(B8="weekly",B7+8302,IF(B8="biweekly",B7+16604,B7+ROUND((1186*365.25)/24,0))))</f>
        <v/>
      </c>
      <c r="C1203" s="21">
        <f>IF((ROUND(F1202-ROUND($B$13-D1203,2),2)&lt;=0),ROUND(D1203+E1203,2),$B$13)</f>
        <v/>
      </c>
      <c r="D1203" s="21">
        <f>ROUND(F1202*B5/100/B10,2)</f>
        <v/>
      </c>
      <c r="E1203" s="21">
        <f>IF((ROUND(F1202-ROUND($B$13-D1203,2),2)&lt;=0),F1202,ROUND($B$13-D1203,2))</f>
        <v/>
      </c>
      <c r="F1203" s="21">
        <f>IF((ROUND(F1202-ROUND($B$13-D1203,2),2)&lt;=0),0,ROUND(F1202-E1203,2))</f>
        <v/>
      </c>
    </row>
    <row r="1204">
      <c r="A1204" s="6" t="n">
        <v>1188</v>
      </c>
      <c r="B1204" s="19">
        <f>IF(B8="monthly",DATE(YEAR(B7)+INT((MONTH(B7)-1+1187)/12),MOD(MONTH(B7)-1+1187,12)+1,1)+(DAY(B7)-1),IF(B8="weekly",B7+8309,IF(B8="biweekly",B7+16618,B7+ROUND((1187*365.25)/24,0))))</f>
        <v/>
      </c>
      <c r="C1204" s="21">
        <f>IF((ROUND(F1203-ROUND($B$13-D1204,2),2)&lt;=0),ROUND(D1204+E1204,2),$B$13)</f>
        <v/>
      </c>
      <c r="D1204" s="21">
        <f>ROUND(F1203*B5/100/B10,2)</f>
        <v/>
      </c>
      <c r="E1204" s="21">
        <f>IF((ROUND(F1203-ROUND($B$13-D1204,2),2)&lt;=0),F1203,ROUND($B$13-D1204,2))</f>
        <v/>
      </c>
      <c r="F1204" s="21">
        <f>IF((ROUND(F1203-ROUND($B$13-D1204,2),2)&lt;=0),0,ROUND(F1203-E1204,2))</f>
        <v/>
      </c>
    </row>
    <row r="1205">
      <c r="A1205" s="6" t="n">
        <v>1189</v>
      </c>
      <c r="B1205" s="19">
        <f>IF(B8="monthly",DATE(YEAR(B7)+INT((MONTH(B7)-1+1188)/12),MOD(MONTH(B7)-1+1188,12)+1,1)+(DAY(B7)-1),IF(B8="weekly",B7+8316,IF(B8="biweekly",B7+16632,B7+ROUND((1188*365.25)/24,0))))</f>
        <v/>
      </c>
      <c r="C1205" s="21">
        <f>IF((ROUND(F1204-ROUND($B$13-D1205,2),2)&lt;=0),ROUND(D1205+E1205,2),$B$13)</f>
        <v/>
      </c>
      <c r="D1205" s="21">
        <f>ROUND(F1204*B5/100/B10,2)</f>
        <v/>
      </c>
      <c r="E1205" s="21">
        <f>IF((ROUND(F1204-ROUND($B$13-D1205,2),2)&lt;=0),F1204,ROUND($B$13-D1205,2))</f>
        <v/>
      </c>
      <c r="F1205" s="21">
        <f>IF((ROUND(F1204-ROUND($B$13-D1205,2),2)&lt;=0),0,ROUND(F1204-E1205,2))</f>
        <v/>
      </c>
    </row>
    <row r="1206">
      <c r="A1206" s="6" t="n">
        <v>1190</v>
      </c>
      <c r="B1206" s="19">
        <f>IF(B8="monthly",DATE(YEAR(B7)+INT((MONTH(B7)-1+1189)/12),MOD(MONTH(B7)-1+1189,12)+1,1)+(DAY(B7)-1),IF(B8="weekly",B7+8323,IF(B8="biweekly",B7+16646,B7+ROUND((1189*365.25)/24,0))))</f>
        <v/>
      </c>
      <c r="C1206" s="21">
        <f>IF((ROUND(F1205-ROUND($B$13-D1206,2),2)&lt;=0),ROUND(D1206+E1206,2),$B$13)</f>
        <v/>
      </c>
      <c r="D1206" s="21">
        <f>ROUND(F1205*B5/100/B10,2)</f>
        <v/>
      </c>
      <c r="E1206" s="21">
        <f>IF((ROUND(F1205-ROUND($B$13-D1206,2),2)&lt;=0),F1205,ROUND($B$13-D1206,2))</f>
        <v/>
      </c>
      <c r="F1206" s="21">
        <f>IF((ROUND(F1205-ROUND($B$13-D1206,2),2)&lt;=0),0,ROUND(F1205-E1206,2))</f>
        <v/>
      </c>
    </row>
    <row r="1207">
      <c r="A1207" s="6" t="n">
        <v>1191</v>
      </c>
      <c r="B1207" s="19">
        <f>IF(B8="monthly",DATE(YEAR(B7)+INT((MONTH(B7)-1+1190)/12),MOD(MONTH(B7)-1+1190,12)+1,1)+(DAY(B7)-1),IF(B8="weekly",B7+8330,IF(B8="biweekly",B7+16660,B7+ROUND((1190*365.25)/24,0))))</f>
        <v/>
      </c>
      <c r="C1207" s="21">
        <f>IF((ROUND(F1206-ROUND($B$13-D1207,2),2)&lt;=0),ROUND(D1207+E1207,2),$B$13)</f>
        <v/>
      </c>
      <c r="D1207" s="21">
        <f>ROUND(F1206*B5/100/B10,2)</f>
        <v/>
      </c>
      <c r="E1207" s="21">
        <f>IF((ROUND(F1206-ROUND($B$13-D1207,2),2)&lt;=0),F1206,ROUND($B$13-D1207,2))</f>
        <v/>
      </c>
      <c r="F1207" s="21">
        <f>IF((ROUND(F1206-ROUND($B$13-D1207,2),2)&lt;=0),0,ROUND(F1206-E1207,2))</f>
        <v/>
      </c>
    </row>
    <row r="1208">
      <c r="A1208" s="6" t="n">
        <v>1192</v>
      </c>
      <c r="B1208" s="19">
        <f>IF(B8="monthly",DATE(YEAR(B7)+INT((MONTH(B7)-1+1191)/12),MOD(MONTH(B7)-1+1191,12)+1,1)+(DAY(B7)-1),IF(B8="weekly",B7+8337,IF(B8="biweekly",B7+16674,B7+ROUND((1191*365.25)/24,0))))</f>
        <v/>
      </c>
      <c r="C1208" s="21">
        <f>IF((ROUND(F1207-ROUND($B$13-D1208,2),2)&lt;=0),ROUND(D1208+E1208,2),$B$13)</f>
        <v/>
      </c>
      <c r="D1208" s="21">
        <f>ROUND(F1207*B5/100/B10,2)</f>
        <v/>
      </c>
      <c r="E1208" s="21">
        <f>IF((ROUND(F1207-ROUND($B$13-D1208,2),2)&lt;=0),F1207,ROUND($B$13-D1208,2))</f>
        <v/>
      </c>
      <c r="F1208" s="21">
        <f>IF((ROUND(F1207-ROUND($B$13-D1208,2),2)&lt;=0),0,ROUND(F1207-E1208,2))</f>
        <v/>
      </c>
    </row>
    <row r="1209">
      <c r="A1209" s="6" t="n">
        <v>1193</v>
      </c>
      <c r="B1209" s="19">
        <f>IF(B8="monthly",DATE(YEAR(B7)+INT((MONTH(B7)-1+1192)/12),MOD(MONTH(B7)-1+1192,12)+1,1)+(DAY(B7)-1),IF(B8="weekly",B7+8344,IF(B8="biweekly",B7+16688,B7+ROUND((1192*365.25)/24,0))))</f>
        <v/>
      </c>
      <c r="C1209" s="21">
        <f>IF((ROUND(F1208-ROUND($B$13-D1209,2),2)&lt;=0),ROUND(D1209+E1209,2),$B$13)</f>
        <v/>
      </c>
      <c r="D1209" s="21">
        <f>ROUND(F1208*B5/100/B10,2)</f>
        <v/>
      </c>
      <c r="E1209" s="21">
        <f>IF((ROUND(F1208-ROUND($B$13-D1209,2),2)&lt;=0),F1208,ROUND($B$13-D1209,2))</f>
        <v/>
      </c>
      <c r="F1209" s="21">
        <f>IF((ROUND(F1208-ROUND($B$13-D1209,2),2)&lt;=0),0,ROUND(F1208-E1209,2))</f>
        <v/>
      </c>
    </row>
    <row r="1210">
      <c r="A1210" s="6" t="n">
        <v>1194</v>
      </c>
      <c r="B1210" s="19">
        <f>IF(B8="monthly",DATE(YEAR(B7)+INT((MONTH(B7)-1+1193)/12),MOD(MONTH(B7)-1+1193,12)+1,1)+(DAY(B7)-1),IF(B8="weekly",B7+8351,IF(B8="biweekly",B7+16702,B7+ROUND((1193*365.25)/24,0))))</f>
        <v/>
      </c>
      <c r="C1210" s="21">
        <f>IF((ROUND(F1209-ROUND($B$13-D1210,2),2)&lt;=0),ROUND(D1210+E1210,2),$B$13)</f>
        <v/>
      </c>
      <c r="D1210" s="21">
        <f>ROUND(F1209*B5/100/B10,2)</f>
        <v/>
      </c>
      <c r="E1210" s="21">
        <f>IF((ROUND(F1209-ROUND($B$13-D1210,2),2)&lt;=0),F1209,ROUND($B$13-D1210,2))</f>
        <v/>
      </c>
      <c r="F1210" s="21">
        <f>IF((ROUND(F1209-ROUND($B$13-D1210,2),2)&lt;=0),0,ROUND(F1209-E1210,2))</f>
        <v/>
      </c>
    </row>
    <row r="1211">
      <c r="A1211" s="6" t="n">
        <v>1195</v>
      </c>
      <c r="B1211" s="19">
        <f>IF(B8="monthly",DATE(YEAR(B7)+INT((MONTH(B7)-1+1194)/12),MOD(MONTH(B7)-1+1194,12)+1,1)+(DAY(B7)-1),IF(B8="weekly",B7+8358,IF(B8="biweekly",B7+16716,B7+ROUND((1194*365.25)/24,0))))</f>
        <v/>
      </c>
      <c r="C1211" s="21">
        <f>IF((ROUND(F1210-ROUND($B$13-D1211,2),2)&lt;=0),ROUND(D1211+E1211,2),$B$13)</f>
        <v/>
      </c>
      <c r="D1211" s="21">
        <f>ROUND(F1210*B5/100/B10,2)</f>
        <v/>
      </c>
      <c r="E1211" s="21">
        <f>IF((ROUND(F1210-ROUND($B$13-D1211,2),2)&lt;=0),F1210,ROUND($B$13-D1211,2))</f>
        <v/>
      </c>
      <c r="F1211" s="21">
        <f>IF((ROUND(F1210-ROUND($B$13-D1211,2),2)&lt;=0),0,ROUND(F1210-E1211,2))</f>
        <v/>
      </c>
    </row>
    <row r="1212">
      <c r="A1212" s="6" t="n">
        <v>1196</v>
      </c>
      <c r="B1212" s="19">
        <f>IF(B8="monthly",DATE(YEAR(B7)+INT((MONTH(B7)-1+1195)/12),MOD(MONTH(B7)-1+1195,12)+1,1)+(DAY(B7)-1),IF(B8="weekly",B7+8365,IF(B8="biweekly",B7+16730,B7+ROUND((1195*365.25)/24,0))))</f>
        <v/>
      </c>
      <c r="C1212" s="21">
        <f>IF((ROUND(F1211-ROUND($B$13-D1212,2),2)&lt;=0),ROUND(D1212+E1212,2),$B$13)</f>
        <v/>
      </c>
      <c r="D1212" s="21">
        <f>ROUND(F1211*B5/100/B10,2)</f>
        <v/>
      </c>
      <c r="E1212" s="21">
        <f>IF((ROUND(F1211-ROUND($B$13-D1212,2),2)&lt;=0),F1211,ROUND($B$13-D1212,2))</f>
        <v/>
      </c>
      <c r="F1212" s="21">
        <f>IF((ROUND(F1211-ROUND($B$13-D1212,2),2)&lt;=0),0,ROUND(F1211-E1212,2))</f>
        <v/>
      </c>
    </row>
    <row r="1213">
      <c r="A1213" s="6" t="n">
        <v>1197</v>
      </c>
      <c r="B1213" s="19">
        <f>IF(B8="monthly",DATE(YEAR(B7)+INT((MONTH(B7)-1+1196)/12),MOD(MONTH(B7)-1+1196,12)+1,1)+(DAY(B7)-1),IF(B8="weekly",B7+8372,IF(B8="biweekly",B7+16744,B7+ROUND((1196*365.25)/24,0))))</f>
        <v/>
      </c>
      <c r="C1213" s="21">
        <f>IF((ROUND(F1212-ROUND($B$13-D1213,2),2)&lt;=0),ROUND(D1213+E1213,2),$B$13)</f>
        <v/>
      </c>
      <c r="D1213" s="21">
        <f>ROUND(F1212*B5/100/B10,2)</f>
        <v/>
      </c>
      <c r="E1213" s="21">
        <f>IF((ROUND(F1212-ROUND($B$13-D1213,2),2)&lt;=0),F1212,ROUND($B$13-D1213,2))</f>
        <v/>
      </c>
      <c r="F1213" s="21">
        <f>IF((ROUND(F1212-ROUND($B$13-D1213,2),2)&lt;=0),0,ROUND(F1212-E1213,2))</f>
        <v/>
      </c>
    </row>
    <row r="1214">
      <c r="A1214" s="6" t="n">
        <v>1198</v>
      </c>
      <c r="B1214" s="19">
        <f>IF(B8="monthly",DATE(YEAR(B7)+INT((MONTH(B7)-1+1197)/12),MOD(MONTH(B7)-1+1197,12)+1,1)+(DAY(B7)-1),IF(B8="weekly",B7+8379,IF(B8="biweekly",B7+16758,B7+ROUND((1197*365.25)/24,0))))</f>
        <v/>
      </c>
      <c r="C1214" s="21">
        <f>IF((ROUND(F1213-ROUND($B$13-D1214,2),2)&lt;=0),ROUND(D1214+E1214,2),$B$13)</f>
        <v/>
      </c>
      <c r="D1214" s="21">
        <f>ROUND(F1213*B5/100/B10,2)</f>
        <v/>
      </c>
      <c r="E1214" s="21">
        <f>IF((ROUND(F1213-ROUND($B$13-D1214,2),2)&lt;=0),F1213,ROUND($B$13-D1214,2))</f>
        <v/>
      </c>
      <c r="F1214" s="21">
        <f>IF((ROUND(F1213-ROUND($B$13-D1214,2),2)&lt;=0),0,ROUND(F1213-E1214,2))</f>
        <v/>
      </c>
    </row>
    <row r="1215">
      <c r="A1215" s="6" t="n">
        <v>1199</v>
      </c>
      <c r="B1215" s="19">
        <f>IF(B8="monthly",DATE(YEAR(B7)+INT((MONTH(B7)-1+1198)/12),MOD(MONTH(B7)-1+1198,12)+1,1)+(DAY(B7)-1),IF(B8="weekly",B7+8386,IF(B8="biweekly",B7+16772,B7+ROUND((1198*365.25)/24,0))))</f>
        <v/>
      </c>
      <c r="C1215" s="21">
        <f>IF((ROUND(F1214-ROUND($B$13-D1215,2),2)&lt;=0),ROUND(D1215+E1215,2),$B$13)</f>
        <v/>
      </c>
      <c r="D1215" s="21">
        <f>ROUND(F1214*B5/100/B10,2)</f>
        <v/>
      </c>
      <c r="E1215" s="21">
        <f>IF((ROUND(F1214-ROUND($B$13-D1215,2),2)&lt;=0),F1214,ROUND($B$13-D1215,2))</f>
        <v/>
      </c>
      <c r="F1215" s="21">
        <f>IF((ROUND(F1214-ROUND($B$13-D1215,2),2)&lt;=0),0,ROUND(F1214-E1215,2))</f>
        <v/>
      </c>
    </row>
    <row r="1216">
      <c r="A1216" s="6" t="n">
        <v>1200</v>
      </c>
      <c r="B1216" s="19">
        <f>IF(B8="monthly",DATE(YEAR(B7)+INT((MONTH(B7)-1+1199)/12),MOD(MONTH(B7)-1+1199,12)+1,1)+(DAY(B7)-1),IF(B8="weekly",B7+8393,IF(B8="biweekly",B7+16786,B7+ROUND((1199*365.25)/24,0))))</f>
        <v/>
      </c>
      <c r="C1216" s="21">
        <f>IF((ROUND(F1215-ROUND($B$13-D1216,2),2)&lt;=0),ROUND(D1216+E1216,2),$B$13)</f>
        <v/>
      </c>
      <c r="D1216" s="21">
        <f>ROUND(F1215*B5/100/B10,2)</f>
        <v/>
      </c>
      <c r="E1216" s="21">
        <f>IF((ROUND(F1215-ROUND($B$13-D1216,2),2)&lt;=0),F1215,ROUND($B$13-D1216,2))</f>
        <v/>
      </c>
      <c r="F1216" s="21">
        <f>IF((ROUND(F1215-ROUND($B$13-D1216,2),2)&lt;=0),0,ROUND(F1215-E1216,2))</f>
        <v/>
      </c>
    </row>
    <row r="1217">
      <c r="A1217" s="6" t="n">
        <v>1201</v>
      </c>
      <c r="B1217" s="19">
        <f>IF(B8="monthly",DATE(YEAR(B7)+INT((MONTH(B7)-1+1200)/12),MOD(MONTH(B7)-1+1200,12)+1,1)+(DAY(B7)-1),IF(B8="weekly",B7+8400,IF(B8="biweekly",B7+16800,B7+ROUND((1200*365.25)/24,0))))</f>
        <v/>
      </c>
      <c r="C1217" s="21">
        <f>IF((ROUND(F1216-ROUND($B$13-D1217,2),2)&lt;=0),ROUND(D1217+E1217,2),$B$13)</f>
        <v/>
      </c>
      <c r="D1217" s="21">
        <f>ROUND(F1216*B5/100/B10,2)</f>
        <v/>
      </c>
      <c r="E1217" s="21">
        <f>IF((ROUND(F1216-ROUND($B$13-D1217,2),2)&lt;=0),F1216,ROUND($B$13-D1217,2))</f>
        <v/>
      </c>
      <c r="F1217" s="21">
        <f>IF((ROUND(F1216-ROUND($B$13-D1217,2),2)&lt;=0),0,ROUND(F1216-E1217,2))</f>
        <v/>
      </c>
    </row>
    <row r="1218">
      <c r="A1218" s="6" t="n">
        <v>1202</v>
      </c>
      <c r="B1218" s="19">
        <f>IF(B8="monthly",DATE(YEAR(B7)+INT((MONTH(B7)-1+1201)/12),MOD(MONTH(B7)-1+1201,12)+1,1)+(DAY(B7)-1),IF(B8="weekly",B7+8407,IF(B8="biweekly",B7+16814,B7+ROUND((1201*365.25)/24,0))))</f>
        <v/>
      </c>
      <c r="C1218" s="21">
        <f>IF((ROUND(F1217-ROUND($B$13-D1218,2),2)&lt;=0),ROUND(D1218+E1218,2),$B$13)</f>
        <v/>
      </c>
      <c r="D1218" s="21">
        <f>ROUND(F1217*B5/100/B10,2)</f>
        <v/>
      </c>
      <c r="E1218" s="21">
        <f>IF((ROUND(F1217-ROUND($B$13-D1218,2),2)&lt;=0),F1217,ROUND($B$13-D1218,2))</f>
        <v/>
      </c>
      <c r="F1218" s="21">
        <f>IF((ROUND(F1217-ROUND($B$13-D1218,2),2)&lt;=0),0,ROUND(F1217-E1218,2))</f>
        <v/>
      </c>
    </row>
    <row r="1219">
      <c r="A1219" s="6" t="n">
        <v>1203</v>
      </c>
      <c r="B1219" s="19">
        <f>IF(B8="monthly",DATE(YEAR(B7)+INT((MONTH(B7)-1+1202)/12),MOD(MONTH(B7)-1+1202,12)+1,1)+(DAY(B7)-1),IF(B8="weekly",B7+8414,IF(B8="biweekly",B7+16828,B7+ROUND((1202*365.25)/24,0))))</f>
        <v/>
      </c>
      <c r="C1219" s="21">
        <f>IF((ROUND(F1218-ROUND($B$13-D1219,2),2)&lt;=0),ROUND(D1219+E1219,2),$B$13)</f>
        <v/>
      </c>
      <c r="D1219" s="21">
        <f>ROUND(F1218*B5/100/B10,2)</f>
        <v/>
      </c>
      <c r="E1219" s="21">
        <f>IF((ROUND(F1218-ROUND($B$13-D1219,2),2)&lt;=0),F1218,ROUND($B$13-D1219,2))</f>
        <v/>
      </c>
      <c r="F1219" s="21">
        <f>IF((ROUND(F1218-ROUND($B$13-D1219,2),2)&lt;=0),0,ROUND(F1218-E1219,2))</f>
        <v/>
      </c>
    </row>
    <row r="1220">
      <c r="A1220" s="6" t="n">
        <v>1204</v>
      </c>
      <c r="B1220" s="19">
        <f>IF(B8="monthly",DATE(YEAR(B7)+INT((MONTH(B7)-1+1203)/12),MOD(MONTH(B7)-1+1203,12)+1,1)+(DAY(B7)-1),IF(B8="weekly",B7+8421,IF(B8="biweekly",B7+16842,B7+ROUND((1203*365.25)/24,0))))</f>
        <v/>
      </c>
      <c r="C1220" s="21">
        <f>IF((ROUND(F1219-ROUND($B$13-D1220,2),2)&lt;=0),ROUND(D1220+E1220,2),$B$13)</f>
        <v/>
      </c>
      <c r="D1220" s="21">
        <f>ROUND(F1219*B5/100/B10,2)</f>
        <v/>
      </c>
      <c r="E1220" s="21">
        <f>IF((ROUND(F1219-ROUND($B$13-D1220,2),2)&lt;=0),F1219,ROUND($B$13-D1220,2))</f>
        <v/>
      </c>
      <c r="F1220" s="21">
        <f>IF((ROUND(F1219-ROUND($B$13-D1220,2),2)&lt;=0),0,ROUND(F1219-E1220,2))</f>
        <v/>
      </c>
    </row>
    <row r="1221">
      <c r="A1221" s="6" t="n">
        <v>1205</v>
      </c>
      <c r="B1221" s="19">
        <f>IF(B8="monthly",DATE(YEAR(B7)+INT((MONTH(B7)-1+1204)/12),MOD(MONTH(B7)-1+1204,12)+1,1)+(DAY(B7)-1),IF(B8="weekly",B7+8428,IF(B8="biweekly",B7+16856,B7+ROUND((1204*365.25)/24,0))))</f>
        <v/>
      </c>
      <c r="C1221" s="21">
        <f>IF((ROUND(F1220-ROUND($B$13-D1221,2),2)&lt;=0),ROUND(D1221+E1221,2),$B$13)</f>
        <v/>
      </c>
      <c r="D1221" s="21">
        <f>ROUND(F1220*B5/100/B10,2)</f>
        <v/>
      </c>
      <c r="E1221" s="21">
        <f>IF((ROUND(F1220-ROUND($B$13-D1221,2),2)&lt;=0),F1220,ROUND($B$13-D1221,2))</f>
        <v/>
      </c>
      <c r="F1221" s="21">
        <f>IF((ROUND(F1220-ROUND($B$13-D1221,2),2)&lt;=0),0,ROUND(F1220-E1221,2))</f>
        <v/>
      </c>
    </row>
    <row r="1222">
      <c r="A1222" s="6" t="n">
        <v>1206</v>
      </c>
      <c r="B1222" s="19">
        <f>IF(B8="monthly",DATE(YEAR(B7)+INT((MONTH(B7)-1+1205)/12),MOD(MONTH(B7)-1+1205,12)+1,1)+(DAY(B7)-1),IF(B8="weekly",B7+8435,IF(B8="biweekly",B7+16870,B7+ROUND((1205*365.25)/24,0))))</f>
        <v/>
      </c>
      <c r="C1222" s="21">
        <f>IF((ROUND(F1221-ROUND($B$13-D1222,2),2)&lt;=0),ROUND(D1222+E1222,2),$B$13)</f>
        <v/>
      </c>
      <c r="D1222" s="21">
        <f>ROUND(F1221*B5/100/B10,2)</f>
        <v/>
      </c>
      <c r="E1222" s="21">
        <f>IF((ROUND(F1221-ROUND($B$13-D1222,2),2)&lt;=0),F1221,ROUND($B$13-D1222,2))</f>
        <v/>
      </c>
      <c r="F1222" s="21">
        <f>IF((ROUND(F1221-ROUND($B$13-D1222,2),2)&lt;=0),0,ROUND(F1221-E1222,2))</f>
        <v/>
      </c>
    </row>
    <row r="1223">
      <c r="A1223" s="6" t="n">
        <v>1207</v>
      </c>
      <c r="B1223" s="19">
        <f>IF(B8="monthly",DATE(YEAR(B7)+INT((MONTH(B7)-1+1206)/12),MOD(MONTH(B7)-1+1206,12)+1,1)+(DAY(B7)-1),IF(B8="weekly",B7+8442,IF(B8="biweekly",B7+16884,B7+ROUND((1206*365.25)/24,0))))</f>
        <v/>
      </c>
      <c r="C1223" s="21">
        <f>IF((ROUND(F1222-ROUND($B$13-D1223,2),2)&lt;=0),ROUND(D1223+E1223,2),$B$13)</f>
        <v/>
      </c>
      <c r="D1223" s="21">
        <f>ROUND(F1222*B5/100/B10,2)</f>
        <v/>
      </c>
      <c r="E1223" s="21">
        <f>IF((ROUND(F1222-ROUND($B$13-D1223,2),2)&lt;=0),F1222,ROUND($B$13-D1223,2))</f>
        <v/>
      </c>
      <c r="F1223" s="21">
        <f>IF((ROUND(F1222-ROUND($B$13-D1223,2),2)&lt;=0),0,ROUND(F1222-E1223,2))</f>
        <v/>
      </c>
    </row>
    <row r="1224">
      <c r="A1224" s="6" t="n">
        <v>1208</v>
      </c>
      <c r="B1224" s="19">
        <f>IF(B8="monthly",DATE(YEAR(B7)+INT((MONTH(B7)-1+1207)/12),MOD(MONTH(B7)-1+1207,12)+1,1)+(DAY(B7)-1),IF(B8="weekly",B7+8449,IF(B8="biweekly",B7+16898,B7+ROUND((1207*365.25)/24,0))))</f>
        <v/>
      </c>
      <c r="C1224" s="21">
        <f>IF((ROUND(F1223-ROUND($B$13-D1224,2),2)&lt;=0),ROUND(D1224+E1224,2),$B$13)</f>
        <v/>
      </c>
      <c r="D1224" s="21">
        <f>ROUND(F1223*B5/100/B10,2)</f>
        <v/>
      </c>
      <c r="E1224" s="21">
        <f>IF((ROUND(F1223-ROUND($B$13-D1224,2),2)&lt;=0),F1223,ROUND($B$13-D1224,2))</f>
        <v/>
      </c>
      <c r="F1224" s="21">
        <f>IF((ROUND(F1223-ROUND($B$13-D1224,2),2)&lt;=0),0,ROUND(F1223-E1224,2))</f>
        <v/>
      </c>
    </row>
    <row r="1225">
      <c r="A1225" s="6" t="n">
        <v>1209</v>
      </c>
      <c r="B1225" s="19">
        <f>IF(B8="monthly",DATE(YEAR(B7)+INT((MONTH(B7)-1+1208)/12),MOD(MONTH(B7)-1+1208,12)+1,1)+(DAY(B7)-1),IF(B8="weekly",B7+8456,IF(B8="biweekly",B7+16912,B7+ROUND((1208*365.25)/24,0))))</f>
        <v/>
      </c>
      <c r="C1225" s="21">
        <f>IF((ROUND(F1224-ROUND($B$13-D1225,2),2)&lt;=0),ROUND(D1225+E1225,2),$B$13)</f>
        <v/>
      </c>
      <c r="D1225" s="21">
        <f>ROUND(F1224*B5/100/B10,2)</f>
        <v/>
      </c>
      <c r="E1225" s="21">
        <f>IF((ROUND(F1224-ROUND($B$13-D1225,2),2)&lt;=0),F1224,ROUND($B$13-D1225,2))</f>
        <v/>
      </c>
      <c r="F1225" s="21">
        <f>IF((ROUND(F1224-ROUND($B$13-D1225,2),2)&lt;=0),0,ROUND(F1224-E1225,2))</f>
        <v/>
      </c>
    </row>
    <row r="1226">
      <c r="A1226" s="6" t="n">
        <v>1210</v>
      </c>
      <c r="B1226" s="19">
        <f>IF(B8="monthly",DATE(YEAR(B7)+INT((MONTH(B7)-1+1209)/12),MOD(MONTH(B7)-1+1209,12)+1,1)+(DAY(B7)-1),IF(B8="weekly",B7+8463,IF(B8="biweekly",B7+16926,B7+ROUND((1209*365.25)/24,0))))</f>
        <v/>
      </c>
      <c r="C1226" s="21">
        <f>IF((ROUND(F1225-ROUND($B$13-D1226,2),2)&lt;=0),ROUND(D1226+E1226,2),$B$13)</f>
        <v/>
      </c>
      <c r="D1226" s="21">
        <f>ROUND(F1225*B5/100/B10,2)</f>
        <v/>
      </c>
      <c r="E1226" s="21">
        <f>IF((ROUND(F1225-ROUND($B$13-D1226,2),2)&lt;=0),F1225,ROUND($B$13-D1226,2))</f>
        <v/>
      </c>
      <c r="F1226" s="21">
        <f>IF((ROUND(F1225-ROUND($B$13-D1226,2),2)&lt;=0),0,ROUND(F1225-E1226,2))</f>
        <v/>
      </c>
    </row>
    <row r="1227">
      <c r="A1227" s="6" t="n">
        <v>1211</v>
      </c>
      <c r="B1227" s="19">
        <f>IF(B8="monthly",DATE(YEAR(B7)+INT((MONTH(B7)-1+1210)/12),MOD(MONTH(B7)-1+1210,12)+1,1)+(DAY(B7)-1),IF(B8="weekly",B7+8470,IF(B8="biweekly",B7+16940,B7+ROUND((1210*365.25)/24,0))))</f>
        <v/>
      </c>
      <c r="C1227" s="21">
        <f>IF((ROUND(F1226-ROUND($B$13-D1227,2),2)&lt;=0),ROUND(D1227+E1227,2),$B$13)</f>
        <v/>
      </c>
      <c r="D1227" s="21">
        <f>ROUND(F1226*B5/100/B10,2)</f>
        <v/>
      </c>
      <c r="E1227" s="21">
        <f>IF((ROUND(F1226-ROUND($B$13-D1227,2),2)&lt;=0),F1226,ROUND($B$13-D1227,2))</f>
        <v/>
      </c>
      <c r="F1227" s="21">
        <f>IF((ROUND(F1226-ROUND($B$13-D1227,2),2)&lt;=0),0,ROUND(F1226-E1227,2))</f>
        <v/>
      </c>
    </row>
    <row r="1228">
      <c r="A1228" s="6" t="n">
        <v>1212</v>
      </c>
      <c r="B1228" s="19">
        <f>IF(B8="monthly",DATE(YEAR(B7)+INT((MONTH(B7)-1+1211)/12),MOD(MONTH(B7)-1+1211,12)+1,1)+(DAY(B7)-1),IF(B8="weekly",B7+8477,IF(B8="biweekly",B7+16954,B7+ROUND((1211*365.25)/24,0))))</f>
        <v/>
      </c>
      <c r="C1228" s="21">
        <f>IF((ROUND(F1227-ROUND($B$13-D1228,2),2)&lt;=0),ROUND(D1228+E1228,2),$B$13)</f>
        <v/>
      </c>
      <c r="D1228" s="21">
        <f>ROUND(F1227*B5/100/B10,2)</f>
        <v/>
      </c>
      <c r="E1228" s="21">
        <f>IF((ROUND(F1227-ROUND($B$13-D1228,2),2)&lt;=0),F1227,ROUND($B$13-D1228,2))</f>
        <v/>
      </c>
      <c r="F1228" s="21">
        <f>IF((ROUND(F1227-ROUND($B$13-D1228,2),2)&lt;=0),0,ROUND(F1227-E1228,2))</f>
        <v/>
      </c>
    </row>
    <row r="1229">
      <c r="A1229" s="6" t="n">
        <v>1213</v>
      </c>
      <c r="B1229" s="19">
        <f>IF(B8="monthly",DATE(YEAR(B7)+INT((MONTH(B7)-1+1212)/12),MOD(MONTH(B7)-1+1212,12)+1,1)+(DAY(B7)-1),IF(B8="weekly",B7+8484,IF(B8="biweekly",B7+16968,B7+ROUND((1212*365.25)/24,0))))</f>
        <v/>
      </c>
      <c r="C1229" s="21">
        <f>IF((ROUND(F1228-ROUND($B$13-D1229,2),2)&lt;=0),ROUND(D1229+E1229,2),$B$13)</f>
        <v/>
      </c>
      <c r="D1229" s="21">
        <f>ROUND(F1228*B5/100/B10,2)</f>
        <v/>
      </c>
      <c r="E1229" s="21">
        <f>IF((ROUND(F1228-ROUND($B$13-D1229,2),2)&lt;=0),F1228,ROUND($B$13-D1229,2))</f>
        <v/>
      </c>
      <c r="F1229" s="21">
        <f>IF((ROUND(F1228-ROUND($B$13-D1229,2),2)&lt;=0),0,ROUND(F1228-E1229,2))</f>
        <v/>
      </c>
    </row>
    <row r="1230">
      <c r="A1230" s="6" t="n">
        <v>1214</v>
      </c>
      <c r="B1230" s="19">
        <f>IF(B8="monthly",DATE(YEAR(B7)+INT((MONTH(B7)-1+1213)/12),MOD(MONTH(B7)-1+1213,12)+1,1)+(DAY(B7)-1),IF(B8="weekly",B7+8491,IF(B8="biweekly",B7+16982,B7+ROUND((1213*365.25)/24,0))))</f>
        <v/>
      </c>
      <c r="C1230" s="21">
        <f>IF((ROUND(F1229-ROUND($B$13-D1230,2),2)&lt;=0),ROUND(D1230+E1230,2),$B$13)</f>
        <v/>
      </c>
      <c r="D1230" s="21">
        <f>ROUND(F1229*B5/100/B10,2)</f>
        <v/>
      </c>
      <c r="E1230" s="21">
        <f>IF((ROUND(F1229-ROUND($B$13-D1230,2),2)&lt;=0),F1229,ROUND($B$13-D1230,2))</f>
        <v/>
      </c>
      <c r="F1230" s="21">
        <f>IF((ROUND(F1229-ROUND($B$13-D1230,2),2)&lt;=0),0,ROUND(F1229-E1230,2))</f>
        <v/>
      </c>
    </row>
    <row r="1231">
      <c r="A1231" s="6" t="n">
        <v>1215</v>
      </c>
      <c r="B1231" s="19">
        <f>IF(B8="monthly",DATE(YEAR(B7)+INT((MONTH(B7)-1+1214)/12),MOD(MONTH(B7)-1+1214,12)+1,1)+(DAY(B7)-1),IF(B8="weekly",B7+8498,IF(B8="biweekly",B7+16996,B7+ROUND((1214*365.25)/24,0))))</f>
        <v/>
      </c>
      <c r="C1231" s="21">
        <f>IF((ROUND(F1230-ROUND($B$13-D1231,2),2)&lt;=0),ROUND(D1231+E1231,2),$B$13)</f>
        <v/>
      </c>
      <c r="D1231" s="21">
        <f>ROUND(F1230*B5/100/B10,2)</f>
        <v/>
      </c>
      <c r="E1231" s="21">
        <f>IF((ROUND(F1230-ROUND($B$13-D1231,2),2)&lt;=0),F1230,ROUND($B$13-D1231,2))</f>
        <v/>
      </c>
      <c r="F1231" s="21">
        <f>IF((ROUND(F1230-ROUND($B$13-D1231,2),2)&lt;=0),0,ROUND(F1230-E1231,2))</f>
        <v/>
      </c>
    </row>
    <row r="1232">
      <c r="A1232" s="6" t="n">
        <v>1216</v>
      </c>
      <c r="B1232" s="19">
        <f>IF(B8="monthly",DATE(YEAR(B7)+INT((MONTH(B7)-1+1215)/12),MOD(MONTH(B7)-1+1215,12)+1,1)+(DAY(B7)-1),IF(B8="weekly",B7+8505,IF(B8="biweekly",B7+17010,B7+ROUND((1215*365.25)/24,0))))</f>
        <v/>
      </c>
      <c r="C1232" s="21">
        <f>IF((ROUND(F1231-ROUND($B$13-D1232,2),2)&lt;=0),ROUND(D1232+E1232,2),$B$13)</f>
        <v/>
      </c>
      <c r="D1232" s="21">
        <f>ROUND(F1231*B5/100/B10,2)</f>
        <v/>
      </c>
      <c r="E1232" s="21">
        <f>IF((ROUND(F1231-ROUND($B$13-D1232,2),2)&lt;=0),F1231,ROUND($B$13-D1232,2))</f>
        <v/>
      </c>
      <c r="F1232" s="21">
        <f>IF((ROUND(F1231-ROUND($B$13-D1232,2),2)&lt;=0),0,ROUND(F1231-E1232,2))</f>
        <v/>
      </c>
    </row>
    <row r="1233">
      <c r="A1233" s="6" t="n">
        <v>1217</v>
      </c>
      <c r="B1233" s="19">
        <f>IF(B8="monthly",DATE(YEAR(B7)+INT((MONTH(B7)-1+1216)/12),MOD(MONTH(B7)-1+1216,12)+1,1)+(DAY(B7)-1),IF(B8="weekly",B7+8512,IF(B8="biweekly",B7+17024,B7+ROUND((1216*365.25)/24,0))))</f>
        <v/>
      </c>
      <c r="C1233" s="21">
        <f>IF((ROUND(F1232-ROUND($B$13-D1233,2),2)&lt;=0),ROUND(D1233+E1233,2),$B$13)</f>
        <v/>
      </c>
      <c r="D1233" s="21">
        <f>ROUND(F1232*B5/100/B10,2)</f>
        <v/>
      </c>
      <c r="E1233" s="21">
        <f>IF((ROUND(F1232-ROUND($B$13-D1233,2),2)&lt;=0),F1232,ROUND($B$13-D1233,2))</f>
        <v/>
      </c>
      <c r="F1233" s="21">
        <f>IF((ROUND(F1232-ROUND($B$13-D1233,2),2)&lt;=0),0,ROUND(F1232-E1233,2))</f>
        <v/>
      </c>
    </row>
    <row r="1234">
      <c r="A1234" s="6" t="n">
        <v>1218</v>
      </c>
      <c r="B1234" s="19">
        <f>IF(B8="monthly",DATE(YEAR(B7)+INT((MONTH(B7)-1+1217)/12),MOD(MONTH(B7)-1+1217,12)+1,1)+(DAY(B7)-1),IF(B8="weekly",B7+8519,IF(B8="biweekly",B7+17038,B7+ROUND((1217*365.25)/24,0))))</f>
        <v/>
      </c>
      <c r="C1234" s="21">
        <f>IF((ROUND(F1233-ROUND($B$13-D1234,2),2)&lt;=0),ROUND(D1234+E1234,2),$B$13)</f>
        <v/>
      </c>
      <c r="D1234" s="21">
        <f>ROUND(F1233*B5/100/B10,2)</f>
        <v/>
      </c>
      <c r="E1234" s="21">
        <f>IF((ROUND(F1233-ROUND($B$13-D1234,2),2)&lt;=0),F1233,ROUND($B$13-D1234,2))</f>
        <v/>
      </c>
      <c r="F1234" s="21">
        <f>IF((ROUND(F1233-ROUND($B$13-D1234,2),2)&lt;=0),0,ROUND(F1233-E1234,2))</f>
        <v/>
      </c>
    </row>
    <row r="1235">
      <c r="A1235" s="6" t="n">
        <v>1219</v>
      </c>
      <c r="B1235" s="19">
        <f>IF(B8="monthly",DATE(YEAR(B7)+INT((MONTH(B7)-1+1218)/12),MOD(MONTH(B7)-1+1218,12)+1,1)+(DAY(B7)-1),IF(B8="weekly",B7+8526,IF(B8="biweekly",B7+17052,B7+ROUND((1218*365.25)/24,0))))</f>
        <v/>
      </c>
      <c r="C1235" s="21">
        <f>IF((ROUND(F1234-ROUND($B$13-D1235,2),2)&lt;=0),ROUND(D1235+E1235,2),$B$13)</f>
        <v/>
      </c>
      <c r="D1235" s="21">
        <f>ROUND(F1234*B5/100/B10,2)</f>
        <v/>
      </c>
      <c r="E1235" s="21">
        <f>IF((ROUND(F1234-ROUND($B$13-D1235,2),2)&lt;=0),F1234,ROUND($B$13-D1235,2))</f>
        <v/>
      </c>
      <c r="F1235" s="21">
        <f>IF((ROUND(F1234-ROUND($B$13-D1235,2),2)&lt;=0),0,ROUND(F1234-E1235,2))</f>
        <v/>
      </c>
    </row>
    <row r="1236">
      <c r="A1236" s="6" t="n">
        <v>1220</v>
      </c>
      <c r="B1236" s="19">
        <f>IF(B8="monthly",DATE(YEAR(B7)+INT((MONTH(B7)-1+1219)/12),MOD(MONTH(B7)-1+1219,12)+1,1)+(DAY(B7)-1),IF(B8="weekly",B7+8533,IF(B8="biweekly",B7+17066,B7+ROUND((1219*365.25)/24,0))))</f>
        <v/>
      </c>
      <c r="C1236" s="21">
        <f>IF((ROUND(F1235-ROUND($B$13-D1236,2),2)&lt;=0),ROUND(D1236+E1236,2),$B$13)</f>
        <v/>
      </c>
      <c r="D1236" s="21">
        <f>ROUND(F1235*B5/100/B10,2)</f>
        <v/>
      </c>
      <c r="E1236" s="21">
        <f>IF((ROUND(F1235-ROUND($B$13-D1236,2),2)&lt;=0),F1235,ROUND($B$13-D1236,2))</f>
        <v/>
      </c>
      <c r="F1236" s="21">
        <f>IF((ROUND(F1235-ROUND($B$13-D1236,2),2)&lt;=0),0,ROUND(F1235-E1236,2))</f>
        <v/>
      </c>
    </row>
    <row r="1237">
      <c r="A1237" s="6" t="n">
        <v>1221</v>
      </c>
      <c r="B1237" s="19">
        <f>IF(B8="monthly",DATE(YEAR(B7)+INT((MONTH(B7)-1+1220)/12),MOD(MONTH(B7)-1+1220,12)+1,1)+(DAY(B7)-1),IF(B8="weekly",B7+8540,IF(B8="biweekly",B7+17080,B7+ROUND((1220*365.25)/24,0))))</f>
        <v/>
      </c>
      <c r="C1237" s="21">
        <f>IF((ROUND(F1236-ROUND($B$13-D1237,2),2)&lt;=0),ROUND(D1237+E1237,2),$B$13)</f>
        <v/>
      </c>
      <c r="D1237" s="21">
        <f>ROUND(F1236*B5/100/B10,2)</f>
        <v/>
      </c>
      <c r="E1237" s="21">
        <f>IF((ROUND(F1236-ROUND($B$13-D1237,2),2)&lt;=0),F1236,ROUND($B$13-D1237,2))</f>
        <v/>
      </c>
      <c r="F1237" s="21">
        <f>IF((ROUND(F1236-ROUND($B$13-D1237,2),2)&lt;=0),0,ROUND(F1236-E1237,2))</f>
        <v/>
      </c>
    </row>
    <row r="1238">
      <c r="A1238" s="6" t="n">
        <v>1222</v>
      </c>
      <c r="B1238" s="19">
        <f>IF(B8="monthly",DATE(YEAR(B7)+INT((MONTH(B7)-1+1221)/12),MOD(MONTH(B7)-1+1221,12)+1,1)+(DAY(B7)-1),IF(B8="weekly",B7+8547,IF(B8="biweekly",B7+17094,B7+ROUND((1221*365.25)/24,0))))</f>
        <v/>
      </c>
      <c r="C1238" s="21">
        <f>IF((ROUND(F1237-ROUND($B$13-D1238,2),2)&lt;=0),ROUND(D1238+E1238,2),$B$13)</f>
        <v/>
      </c>
      <c r="D1238" s="21">
        <f>ROUND(F1237*B5/100/B10,2)</f>
        <v/>
      </c>
      <c r="E1238" s="21">
        <f>IF((ROUND(F1237-ROUND($B$13-D1238,2),2)&lt;=0),F1237,ROUND($B$13-D1238,2))</f>
        <v/>
      </c>
      <c r="F1238" s="21">
        <f>IF((ROUND(F1237-ROUND($B$13-D1238,2),2)&lt;=0),0,ROUND(F1237-E1238,2))</f>
        <v/>
      </c>
    </row>
    <row r="1239">
      <c r="A1239" s="6" t="n">
        <v>1223</v>
      </c>
      <c r="B1239" s="19">
        <f>IF(B8="monthly",DATE(YEAR(B7)+INT((MONTH(B7)-1+1222)/12),MOD(MONTH(B7)-1+1222,12)+1,1)+(DAY(B7)-1),IF(B8="weekly",B7+8554,IF(B8="biweekly",B7+17108,B7+ROUND((1222*365.25)/24,0))))</f>
        <v/>
      </c>
      <c r="C1239" s="21">
        <f>IF((ROUND(F1238-ROUND($B$13-D1239,2),2)&lt;=0),ROUND(D1239+E1239,2),$B$13)</f>
        <v/>
      </c>
      <c r="D1239" s="21">
        <f>ROUND(F1238*B5/100/B10,2)</f>
        <v/>
      </c>
      <c r="E1239" s="21">
        <f>IF((ROUND(F1238-ROUND($B$13-D1239,2),2)&lt;=0),F1238,ROUND($B$13-D1239,2))</f>
        <v/>
      </c>
      <c r="F1239" s="21">
        <f>IF((ROUND(F1238-ROUND($B$13-D1239,2),2)&lt;=0),0,ROUND(F1238-E1239,2))</f>
        <v/>
      </c>
    </row>
    <row r="1240">
      <c r="A1240" s="6" t="n">
        <v>1224</v>
      </c>
      <c r="B1240" s="19">
        <f>IF(B8="monthly",DATE(YEAR(B7)+INT((MONTH(B7)-1+1223)/12),MOD(MONTH(B7)-1+1223,12)+1,1)+(DAY(B7)-1),IF(B8="weekly",B7+8561,IF(B8="biweekly",B7+17122,B7+ROUND((1223*365.25)/24,0))))</f>
        <v/>
      </c>
      <c r="C1240" s="21">
        <f>IF((ROUND(F1239-ROUND($B$13-D1240,2),2)&lt;=0),ROUND(D1240+E1240,2),$B$13)</f>
        <v/>
      </c>
      <c r="D1240" s="21">
        <f>ROUND(F1239*B5/100/B10,2)</f>
        <v/>
      </c>
      <c r="E1240" s="21">
        <f>IF((ROUND(F1239-ROUND($B$13-D1240,2),2)&lt;=0),F1239,ROUND($B$13-D1240,2))</f>
        <v/>
      </c>
      <c r="F1240" s="21">
        <f>IF((ROUND(F1239-ROUND($B$13-D1240,2),2)&lt;=0),0,ROUND(F1239-E1240,2))</f>
        <v/>
      </c>
    </row>
    <row r="1241">
      <c r="A1241" s="6" t="n">
        <v>1225</v>
      </c>
      <c r="B1241" s="19">
        <f>IF(B8="monthly",DATE(YEAR(B7)+INT((MONTH(B7)-1+1224)/12),MOD(MONTH(B7)-1+1224,12)+1,1)+(DAY(B7)-1),IF(B8="weekly",B7+8568,IF(B8="biweekly",B7+17136,B7+ROUND((1224*365.25)/24,0))))</f>
        <v/>
      </c>
      <c r="C1241" s="21">
        <f>IF((ROUND(F1240-ROUND($B$13-D1241,2),2)&lt;=0),ROUND(D1241+E1241,2),$B$13)</f>
        <v/>
      </c>
      <c r="D1241" s="21">
        <f>ROUND(F1240*B5/100/B10,2)</f>
        <v/>
      </c>
      <c r="E1241" s="21">
        <f>IF((ROUND(F1240-ROUND($B$13-D1241,2),2)&lt;=0),F1240,ROUND($B$13-D1241,2))</f>
        <v/>
      </c>
      <c r="F1241" s="21">
        <f>IF((ROUND(F1240-ROUND($B$13-D1241,2),2)&lt;=0),0,ROUND(F1240-E1241,2))</f>
        <v/>
      </c>
    </row>
    <row r="1242">
      <c r="A1242" s="6" t="n">
        <v>1226</v>
      </c>
      <c r="B1242" s="19">
        <f>IF(B8="monthly",DATE(YEAR(B7)+INT((MONTH(B7)-1+1225)/12),MOD(MONTH(B7)-1+1225,12)+1,1)+(DAY(B7)-1),IF(B8="weekly",B7+8575,IF(B8="biweekly",B7+17150,B7+ROUND((1225*365.25)/24,0))))</f>
        <v/>
      </c>
      <c r="C1242" s="21">
        <f>IF((ROUND(F1241-ROUND($B$13-D1242,2),2)&lt;=0),ROUND(D1242+E1242,2),$B$13)</f>
        <v/>
      </c>
      <c r="D1242" s="21">
        <f>ROUND(F1241*B5/100/B10,2)</f>
        <v/>
      </c>
      <c r="E1242" s="21">
        <f>IF((ROUND(F1241-ROUND($B$13-D1242,2),2)&lt;=0),F1241,ROUND($B$13-D1242,2))</f>
        <v/>
      </c>
      <c r="F1242" s="21">
        <f>IF((ROUND(F1241-ROUND($B$13-D1242,2),2)&lt;=0),0,ROUND(F1241-E1242,2))</f>
        <v/>
      </c>
    </row>
    <row r="1243">
      <c r="A1243" s="6" t="n">
        <v>1227</v>
      </c>
      <c r="B1243" s="19">
        <f>IF(B8="monthly",DATE(YEAR(B7)+INT((MONTH(B7)-1+1226)/12),MOD(MONTH(B7)-1+1226,12)+1,1)+(DAY(B7)-1),IF(B8="weekly",B7+8582,IF(B8="biweekly",B7+17164,B7+ROUND((1226*365.25)/24,0))))</f>
        <v/>
      </c>
      <c r="C1243" s="21">
        <f>IF((ROUND(F1242-ROUND($B$13-D1243,2),2)&lt;=0),ROUND(D1243+E1243,2),$B$13)</f>
        <v/>
      </c>
      <c r="D1243" s="21">
        <f>ROUND(F1242*B5/100/B10,2)</f>
        <v/>
      </c>
      <c r="E1243" s="21">
        <f>IF((ROUND(F1242-ROUND($B$13-D1243,2),2)&lt;=0),F1242,ROUND($B$13-D1243,2))</f>
        <v/>
      </c>
      <c r="F1243" s="21">
        <f>IF((ROUND(F1242-ROUND($B$13-D1243,2),2)&lt;=0),0,ROUND(F1242-E1243,2))</f>
        <v/>
      </c>
    </row>
    <row r="1244">
      <c r="A1244" s="6" t="n">
        <v>1228</v>
      </c>
      <c r="B1244" s="19">
        <f>IF(B8="monthly",DATE(YEAR(B7)+INT((MONTH(B7)-1+1227)/12),MOD(MONTH(B7)-1+1227,12)+1,1)+(DAY(B7)-1),IF(B8="weekly",B7+8589,IF(B8="biweekly",B7+17178,B7+ROUND((1227*365.25)/24,0))))</f>
        <v/>
      </c>
      <c r="C1244" s="21">
        <f>IF((ROUND(F1243-ROUND($B$13-D1244,2),2)&lt;=0),ROUND(D1244+E1244,2),$B$13)</f>
        <v/>
      </c>
      <c r="D1244" s="21">
        <f>ROUND(F1243*B5/100/B10,2)</f>
        <v/>
      </c>
      <c r="E1244" s="21">
        <f>IF((ROUND(F1243-ROUND($B$13-D1244,2),2)&lt;=0),F1243,ROUND($B$13-D1244,2))</f>
        <v/>
      </c>
      <c r="F1244" s="21">
        <f>IF((ROUND(F1243-ROUND($B$13-D1244,2),2)&lt;=0),0,ROUND(F1243-E1244,2))</f>
        <v/>
      </c>
    </row>
    <row r="1245">
      <c r="A1245" s="6" t="n">
        <v>1229</v>
      </c>
      <c r="B1245" s="19">
        <f>IF(B8="monthly",DATE(YEAR(B7)+INT((MONTH(B7)-1+1228)/12),MOD(MONTH(B7)-1+1228,12)+1,1)+(DAY(B7)-1),IF(B8="weekly",B7+8596,IF(B8="biweekly",B7+17192,B7+ROUND((1228*365.25)/24,0))))</f>
        <v/>
      </c>
      <c r="C1245" s="21">
        <f>IF((ROUND(F1244-ROUND($B$13-D1245,2),2)&lt;=0),ROUND(D1245+E1245,2),$B$13)</f>
        <v/>
      </c>
      <c r="D1245" s="21">
        <f>ROUND(F1244*B5/100/B10,2)</f>
        <v/>
      </c>
      <c r="E1245" s="21">
        <f>IF((ROUND(F1244-ROUND($B$13-D1245,2),2)&lt;=0),F1244,ROUND($B$13-D1245,2))</f>
        <v/>
      </c>
      <c r="F1245" s="21">
        <f>IF((ROUND(F1244-ROUND($B$13-D1245,2),2)&lt;=0),0,ROUND(F1244-E1245,2))</f>
        <v/>
      </c>
    </row>
    <row r="1246">
      <c r="A1246" s="6" t="n">
        <v>1230</v>
      </c>
      <c r="B1246" s="19">
        <f>IF(B8="monthly",DATE(YEAR(B7)+INT((MONTH(B7)-1+1229)/12),MOD(MONTH(B7)-1+1229,12)+1,1)+(DAY(B7)-1),IF(B8="weekly",B7+8603,IF(B8="biweekly",B7+17206,B7+ROUND((1229*365.25)/24,0))))</f>
        <v/>
      </c>
      <c r="C1246" s="21">
        <f>IF((ROUND(F1245-ROUND($B$13-D1246,2),2)&lt;=0),ROUND(D1246+E1246,2),$B$13)</f>
        <v/>
      </c>
      <c r="D1246" s="21">
        <f>ROUND(F1245*B5/100/B10,2)</f>
        <v/>
      </c>
      <c r="E1246" s="21">
        <f>IF((ROUND(F1245-ROUND($B$13-D1246,2),2)&lt;=0),F1245,ROUND($B$13-D1246,2))</f>
        <v/>
      </c>
      <c r="F1246" s="21">
        <f>IF((ROUND(F1245-ROUND($B$13-D1246,2),2)&lt;=0),0,ROUND(F1245-E1246,2))</f>
        <v/>
      </c>
    </row>
    <row r="1247">
      <c r="A1247" s="6" t="n">
        <v>1231</v>
      </c>
      <c r="B1247" s="19">
        <f>IF(B8="monthly",DATE(YEAR(B7)+INT((MONTH(B7)-1+1230)/12),MOD(MONTH(B7)-1+1230,12)+1,1)+(DAY(B7)-1),IF(B8="weekly",B7+8610,IF(B8="biweekly",B7+17220,B7+ROUND((1230*365.25)/24,0))))</f>
        <v/>
      </c>
      <c r="C1247" s="21">
        <f>IF((ROUND(F1246-ROUND($B$13-D1247,2),2)&lt;=0),ROUND(D1247+E1247,2),$B$13)</f>
        <v/>
      </c>
      <c r="D1247" s="21">
        <f>ROUND(F1246*B5/100/B10,2)</f>
        <v/>
      </c>
      <c r="E1247" s="21">
        <f>IF((ROUND(F1246-ROUND($B$13-D1247,2),2)&lt;=0),F1246,ROUND($B$13-D1247,2))</f>
        <v/>
      </c>
      <c r="F1247" s="21">
        <f>IF((ROUND(F1246-ROUND($B$13-D1247,2),2)&lt;=0),0,ROUND(F1246-E1247,2))</f>
        <v/>
      </c>
    </row>
    <row r="1248">
      <c r="A1248" s="6" t="n">
        <v>1232</v>
      </c>
      <c r="B1248" s="19">
        <f>IF(B8="monthly",DATE(YEAR(B7)+INT((MONTH(B7)-1+1231)/12),MOD(MONTH(B7)-1+1231,12)+1,1)+(DAY(B7)-1),IF(B8="weekly",B7+8617,IF(B8="biweekly",B7+17234,B7+ROUND((1231*365.25)/24,0))))</f>
        <v/>
      </c>
      <c r="C1248" s="21">
        <f>IF((ROUND(F1247-ROUND($B$13-D1248,2),2)&lt;=0),ROUND(D1248+E1248,2),$B$13)</f>
        <v/>
      </c>
      <c r="D1248" s="21">
        <f>ROUND(F1247*B5/100/B10,2)</f>
        <v/>
      </c>
      <c r="E1248" s="21">
        <f>IF((ROUND(F1247-ROUND($B$13-D1248,2),2)&lt;=0),F1247,ROUND($B$13-D1248,2))</f>
        <v/>
      </c>
      <c r="F1248" s="21">
        <f>IF((ROUND(F1247-ROUND($B$13-D1248,2),2)&lt;=0),0,ROUND(F1247-E1248,2))</f>
        <v/>
      </c>
    </row>
    <row r="1249">
      <c r="A1249" s="6" t="n">
        <v>1233</v>
      </c>
      <c r="B1249" s="19">
        <f>IF(B8="monthly",DATE(YEAR(B7)+INT((MONTH(B7)-1+1232)/12),MOD(MONTH(B7)-1+1232,12)+1,1)+(DAY(B7)-1),IF(B8="weekly",B7+8624,IF(B8="biweekly",B7+17248,B7+ROUND((1232*365.25)/24,0))))</f>
        <v/>
      </c>
      <c r="C1249" s="21">
        <f>IF((ROUND(F1248-ROUND($B$13-D1249,2),2)&lt;=0),ROUND(D1249+E1249,2),$B$13)</f>
        <v/>
      </c>
      <c r="D1249" s="21">
        <f>ROUND(F1248*B5/100/B10,2)</f>
        <v/>
      </c>
      <c r="E1249" s="21">
        <f>IF((ROUND(F1248-ROUND($B$13-D1249,2),2)&lt;=0),F1248,ROUND($B$13-D1249,2))</f>
        <v/>
      </c>
      <c r="F1249" s="21">
        <f>IF((ROUND(F1248-ROUND($B$13-D1249,2),2)&lt;=0),0,ROUND(F1248-E1249,2))</f>
        <v/>
      </c>
    </row>
    <row r="1250">
      <c r="A1250" s="6" t="n">
        <v>1234</v>
      </c>
      <c r="B1250" s="19">
        <f>IF(B8="monthly",DATE(YEAR(B7)+INT((MONTH(B7)-1+1233)/12),MOD(MONTH(B7)-1+1233,12)+1,1)+(DAY(B7)-1),IF(B8="weekly",B7+8631,IF(B8="biweekly",B7+17262,B7+ROUND((1233*365.25)/24,0))))</f>
        <v/>
      </c>
      <c r="C1250" s="21">
        <f>IF((ROUND(F1249-ROUND($B$13-D1250,2),2)&lt;=0),ROUND(D1250+E1250,2),$B$13)</f>
        <v/>
      </c>
      <c r="D1250" s="21">
        <f>ROUND(F1249*B5/100/B10,2)</f>
        <v/>
      </c>
      <c r="E1250" s="21">
        <f>IF((ROUND(F1249-ROUND($B$13-D1250,2),2)&lt;=0),F1249,ROUND($B$13-D1250,2))</f>
        <v/>
      </c>
      <c r="F1250" s="21">
        <f>IF((ROUND(F1249-ROUND($B$13-D1250,2),2)&lt;=0),0,ROUND(F1249-E1250,2))</f>
        <v/>
      </c>
    </row>
    <row r="1251">
      <c r="A1251" s="6" t="n">
        <v>1235</v>
      </c>
      <c r="B1251" s="19">
        <f>IF(B8="monthly",DATE(YEAR(B7)+INT((MONTH(B7)-1+1234)/12),MOD(MONTH(B7)-1+1234,12)+1,1)+(DAY(B7)-1),IF(B8="weekly",B7+8638,IF(B8="biweekly",B7+17276,B7+ROUND((1234*365.25)/24,0))))</f>
        <v/>
      </c>
      <c r="C1251" s="21">
        <f>IF((ROUND(F1250-ROUND($B$13-D1251,2),2)&lt;=0),ROUND(D1251+E1251,2),$B$13)</f>
        <v/>
      </c>
      <c r="D1251" s="21">
        <f>ROUND(F1250*B5/100/B10,2)</f>
        <v/>
      </c>
      <c r="E1251" s="21">
        <f>IF((ROUND(F1250-ROUND($B$13-D1251,2),2)&lt;=0),F1250,ROUND($B$13-D1251,2))</f>
        <v/>
      </c>
      <c r="F1251" s="21">
        <f>IF((ROUND(F1250-ROUND($B$13-D1251,2),2)&lt;=0),0,ROUND(F1250-E1251,2))</f>
        <v/>
      </c>
    </row>
    <row r="1252">
      <c r="A1252" s="6" t="n">
        <v>1236</v>
      </c>
      <c r="B1252" s="19">
        <f>IF(B8="monthly",DATE(YEAR(B7)+INT((MONTH(B7)-1+1235)/12),MOD(MONTH(B7)-1+1235,12)+1,1)+(DAY(B7)-1),IF(B8="weekly",B7+8645,IF(B8="biweekly",B7+17290,B7+ROUND((1235*365.25)/24,0))))</f>
        <v/>
      </c>
      <c r="C1252" s="21">
        <f>IF((ROUND(F1251-ROUND($B$13-D1252,2),2)&lt;=0),ROUND(D1252+E1252,2),$B$13)</f>
        <v/>
      </c>
      <c r="D1252" s="21">
        <f>ROUND(F1251*B5/100/B10,2)</f>
        <v/>
      </c>
      <c r="E1252" s="21">
        <f>IF((ROUND(F1251-ROUND($B$13-D1252,2),2)&lt;=0),F1251,ROUND($B$13-D1252,2))</f>
        <v/>
      </c>
      <c r="F1252" s="21">
        <f>IF((ROUND(F1251-ROUND($B$13-D1252,2),2)&lt;=0),0,ROUND(F1251-E1252,2))</f>
        <v/>
      </c>
    </row>
    <row r="1253">
      <c r="A1253" s="6" t="n">
        <v>1237</v>
      </c>
      <c r="B1253" s="19">
        <f>IF(B8="monthly",DATE(YEAR(B7)+INT((MONTH(B7)-1+1236)/12),MOD(MONTH(B7)-1+1236,12)+1,1)+(DAY(B7)-1),IF(B8="weekly",B7+8652,IF(B8="biweekly",B7+17304,B7+ROUND((1236*365.25)/24,0))))</f>
        <v/>
      </c>
      <c r="C1253" s="21">
        <f>IF((ROUND(F1252-ROUND($B$13-D1253,2),2)&lt;=0),ROUND(D1253+E1253,2),$B$13)</f>
        <v/>
      </c>
      <c r="D1253" s="21">
        <f>ROUND(F1252*B5/100/B10,2)</f>
        <v/>
      </c>
      <c r="E1253" s="21">
        <f>IF((ROUND(F1252-ROUND($B$13-D1253,2),2)&lt;=0),F1252,ROUND($B$13-D1253,2))</f>
        <v/>
      </c>
      <c r="F1253" s="21">
        <f>IF((ROUND(F1252-ROUND($B$13-D1253,2),2)&lt;=0),0,ROUND(F1252-E1253,2))</f>
        <v/>
      </c>
    </row>
    <row r="1254">
      <c r="A1254" s="6" t="n">
        <v>1238</v>
      </c>
      <c r="B1254" s="19">
        <f>IF(B8="monthly",DATE(YEAR(B7)+INT((MONTH(B7)-1+1237)/12),MOD(MONTH(B7)-1+1237,12)+1,1)+(DAY(B7)-1),IF(B8="weekly",B7+8659,IF(B8="biweekly",B7+17318,B7+ROUND((1237*365.25)/24,0))))</f>
        <v/>
      </c>
      <c r="C1254" s="21">
        <f>IF((ROUND(F1253-ROUND($B$13-D1254,2),2)&lt;=0),ROUND(D1254+E1254,2),$B$13)</f>
        <v/>
      </c>
      <c r="D1254" s="21">
        <f>ROUND(F1253*B5/100/B10,2)</f>
        <v/>
      </c>
      <c r="E1254" s="21">
        <f>IF((ROUND(F1253-ROUND($B$13-D1254,2),2)&lt;=0),F1253,ROUND($B$13-D1254,2))</f>
        <v/>
      </c>
      <c r="F1254" s="21">
        <f>IF((ROUND(F1253-ROUND($B$13-D1254,2),2)&lt;=0),0,ROUND(F1253-E1254,2))</f>
        <v/>
      </c>
    </row>
    <row r="1255">
      <c r="A1255" s="6" t="n">
        <v>1239</v>
      </c>
      <c r="B1255" s="19">
        <f>IF(B8="monthly",DATE(YEAR(B7)+INT((MONTH(B7)-1+1238)/12),MOD(MONTH(B7)-1+1238,12)+1,1)+(DAY(B7)-1),IF(B8="weekly",B7+8666,IF(B8="biweekly",B7+17332,B7+ROUND((1238*365.25)/24,0))))</f>
        <v/>
      </c>
      <c r="C1255" s="21">
        <f>IF((ROUND(F1254-ROUND($B$13-D1255,2),2)&lt;=0),ROUND(D1255+E1255,2),$B$13)</f>
        <v/>
      </c>
      <c r="D1255" s="21">
        <f>ROUND(F1254*B5/100/B10,2)</f>
        <v/>
      </c>
      <c r="E1255" s="21">
        <f>IF((ROUND(F1254-ROUND($B$13-D1255,2),2)&lt;=0),F1254,ROUND($B$13-D1255,2))</f>
        <v/>
      </c>
      <c r="F1255" s="21">
        <f>IF((ROUND(F1254-ROUND($B$13-D1255,2),2)&lt;=0),0,ROUND(F1254-E1255,2))</f>
        <v/>
      </c>
    </row>
    <row r="1256">
      <c r="A1256" s="6" t="n">
        <v>1240</v>
      </c>
      <c r="B1256" s="19">
        <f>IF(B8="monthly",DATE(YEAR(B7)+INT((MONTH(B7)-1+1239)/12),MOD(MONTH(B7)-1+1239,12)+1,1)+(DAY(B7)-1),IF(B8="weekly",B7+8673,IF(B8="biweekly",B7+17346,B7+ROUND((1239*365.25)/24,0))))</f>
        <v/>
      </c>
      <c r="C1256" s="21">
        <f>IF((ROUND(F1255-ROUND($B$13-D1256,2),2)&lt;=0),ROUND(D1256+E1256,2),$B$13)</f>
        <v/>
      </c>
      <c r="D1256" s="21">
        <f>ROUND(F1255*B5/100/B10,2)</f>
        <v/>
      </c>
      <c r="E1256" s="21">
        <f>IF((ROUND(F1255-ROUND($B$13-D1256,2),2)&lt;=0),F1255,ROUND($B$13-D1256,2))</f>
        <v/>
      </c>
      <c r="F1256" s="21">
        <f>IF((ROUND(F1255-ROUND($B$13-D1256,2),2)&lt;=0),0,ROUND(F1255-E1256,2))</f>
        <v/>
      </c>
    </row>
    <row r="1257">
      <c r="A1257" s="6" t="n">
        <v>1241</v>
      </c>
      <c r="B1257" s="19">
        <f>IF(B8="monthly",DATE(YEAR(B7)+INT((MONTH(B7)-1+1240)/12),MOD(MONTH(B7)-1+1240,12)+1,1)+(DAY(B7)-1),IF(B8="weekly",B7+8680,IF(B8="biweekly",B7+17360,B7+ROUND((1240*365.25)/24,0))))</f>
        <v/>
      </c>
      <c r="C1257" s="21">
        <f>IF((ROUND(F1256-ROUND($B$13-D1257,2),2)&lt;=0),ROUND(D1257+E1257,2),$B$13)</f>
        <v/>
      </c>
      <c r="D1257" s="21">
        <f>ROUND(F1256*B5/100/B10,2)</f>
        <v/>
      </c>
      <c r="E1257" s="21">
        <f>IF((ROUND(F1256-ROUND($B$13-D1257,2),2)&lt;=0),F1256,ROUND($B$13-D1257,2))</f>
        <v/>
      </c>
      <c r="F1257" s="21">
        <f>IF((ROUND(F1256-ROUND($B$13-D1257,2),2)&lt;=0),0,ROUND(F1256-E1257,2))</f>
        <v/>
      </c>
    </row>
    <row r="1258">
      <c r="A1258" s="6" t="n">
        <v>1242</v>
      </c>
      <c r="B1258" s="19">
        <f>IF(B8="monthly",DATE(YEAR(B7)+INT((MONTH(B7)-1+1241)/12),MOD(MONTH(B7)-1+1241,12)+1,1)+(DAY(B7)-1),IF(B8="weekly",B7+8687,IF(B8="biweekly",B7+17374,B7+ROUND((1241*365.25)/24,0))))</f>
        <v/>
      </c>
      <c r="C1258" s="21">
        <f>IF((ROUND(F1257-ROUND($B$13-D1258,2),2)&lt;=0),ROUND(D1258+E1258,2),$B$13)</f>
        <v/>
      </c>
      <c r="D1258" s="21">
        <f>ROUND(F1257*B5/100/B10,2)</f>
        <v/>
      </c>
      <c r="E1258" s="21">
        <f>IF((ROUND(F1257-ROUND($B$13-D1258,2),2)&lt;=0),F1257,ROUND($B$13-D1258,2))</f>
        <v/>
      </c>
      <c r="F1258" s="21">
        <f>IF((ROUND(F1257-ROUND($B$13-D1258,2),2)&lt;=0),0,ROUND(F1257-E1258,2))</f>
        <v/>
      </c>
    </row>
    <row r="1259">
      <c r="A1259" s="6" t="n">
        <v>1243</v>
      </c>
      <c r="B1259" s="19">
        <f>IF(B8="monthly",DATE(YEAR(B7)+INT((MONTH(B7)-1+1242)/12),MOD(MONTH(B7)-1+1242,12)+1,1)+(DAY(B7)-1),IF(B8="weekly",B7+8694,IF(B8="biweekly",B7+17388,B7+ROUND((1242*365.25)/24,0))))</f>
        <v/>
      </c>
      <c r="C1259" s="21">
        <f>IF((ROUND(F1258-ROUND($B$13-D1259,2),2)&lt;=0),ROUND(D1259+E1259,2),$B$13)</f>
        <v/>
      </c>
      <c r="D1259" s="21">
        <f>ROUND(F1258*B5/100/B10,2)</f>
        <v/>
      </c>
      <c r="E1259" s="21">
        <f>IF((ROUND(F1258-ROUND($B$13-D1259,2),2)&lt;=0),F1258,ROUND($B$13-D1259,2))</f>
        <v/>
      </c>
      <c r="F1259" s="21">
        <f>IF((ROUND(F1258-ROUND($B$13-D1259,2),2)&lt;=0),0,ROUND(F1258-E1259,2))</f>
        <v/>
      </c>
    </row>
    <row r="1260">
      <c r="A1260" s="6" t="n">
        <v>1244</v>
      </c>
      <c r="B1260" s="19">
        <f>IF(B8="monthly",DATE(YEAR(B7)+INT((MONTH(B7)-1+1243)/12),MOD(MONTH(B7)-1+1243,12)+1,1)+(DAY(B7)-1),IF(B8="weekly",B7+8701,IF(B8="biweekly",B7+17402,B7+ROUND((1243*365.25)/24,0))))</f>
        <v/>
      </c>
      <c r="C1260" s="21">
        <f>IF((ROUND(F1259-ROUND($B$13-D1260,2),2)&lt;=0),ROUND(D1260+E1260,2),$B$13)</f>
        <v/>
      </c>
      <c r="D1260" s="21">
        <f>ROUND(F1259*B5/100/B10,2)</f>
        <v/>
      </c>
      <c r="E1260" s="21">
        <f>IF((ROUND(F1259-ROUND($B$13-D1260,2),2)&lt;=0),F1259,ROUND($B$13-D1260,2))</f>
        <v/>
      </c>
      <c r="F1260" s="21">
        <f>IF((ROUND(F1259-ROUND($B$13-D1260,2),2)&lt;=0),0,ROUND(F1259-E1260,2))</f>
        <v/>
      </c>
    </row>
    <row r="1261">
      <c r="A1261" s="6" t="n">
        <v>1245</v>
      </c>
      <c r="B1261" s="19">
        <f>IF(B8="monthly",DATE(YEAR(B7)+INT((MONTH(B7)-1+1244)/12),MOD(MONTH(B7)-1+1244,12)+1,1)+(DAY(B7)-1),IF(B8="weekly",B7+8708,IF(B8="biweekly",B7+17416,B7+ROUND((1244*365.25)/24,0))))</f>
        <v/>
      </c>
      <c r="C1261" s="21">
        <f>IF((ROUND(F1260-ROUND($B$13-D1261,2),2)&lt;=0),ROUND(D1261+E1261,2),$B$13)</f>
        <v/>
      </c>
      <c r="D1261" s="21">
        <f>ROUND(F1260*B5/100/B10,2)</f>
        <v/>
      </c>
      <c r="E1261" s="21">
        <f>IF((ROUND(F1260-ROUND($B$13-D1261,2),2)&lt;=0),F1260,ROUND($B$13-D1261,2))</f>
        <v/>
      </c>
      <c r="F1261" s="21">
        <f>IF((ROUND(F1260-ROUND($B$13-D1261,2),2)&lt;=0),0,ROUND(F1260-E1261,2))</f>
        <v/>
      </c>
    </row>
    <row r="1262">
      <c r="A1262" s="6" t="n">
        <v>1246</v>
      </c>
      <c r="B1262" s="19">
        <f>IF(B8="monthly",DATE(YEAR(B7)+INT((MONTH(B7)-1+1245)/12),MOD(MONTH(B7)-1+1245,12)+1,1)+(DAY(B7)-1),IF(B8="weekly",B7+8715,IF(B8="biweekly",B7+17430,B7+ROUND((1245*365.25)/24,0))))</f>
        <v/>
      </c>
      <c r="C1262" s="21">
        <f>IF((ROUND(F1261-ROUND($B$13-D1262,2),2)&lt;=0),ROUND(D1262+E1262,2),$B$13)</f>
        <v/>
      </c>
      <c r="D1262" s="21">
        <f>ROUND(F1261*B5/100/B10,2)</f>
        <v/>
      </c>
      <c r="E1262" s="21">
        <f>IF((ROUND(F1261-ROUND($B$13-D1262,2),2)&lt;=0),F1261,ROUND($B$13-D1262,2))</f>
        <v/>
      </c>
      <c r="F1262" s="21">
        <f>IF((ROUND(F1261-ROUND($B$13-D1262,2),2)&lt;=0),0,ROUND(F1261-E1262,2))</f>
        <v/>
      </c>
    </row>
    <row r="1263">
      <c r="A1263" s="6" t="n">
        <v>1247</v>
      </c>
      <c r="B1263" s="19">
        <f>IF(B8="monthly",DATE(YEAR(B7)+INT((MONTH(B7)-1+1246)/12),MOD(MONTH(B7)-1+1246,12)+1,1)+(DAY(B7)-1),IF(B8="weekly",B7+8722,IF(B8="biweekly",B7+17444,B7+ROUND((1246*365.25)/24,0))))</f>
        <v/>
      </c>
      <c r="C1263" s="21">
        <f>IF((ROUND(F1262-ROUND($B$13-D1263,2),2)&lt;=0),ROUND(D1263+E1263,2),$B$13)</f>
        <v/>
      </c>
      <c r="D1263" s="21">
        <f>ROUND(F1262*B5/100/B10,2)</f>
        <v/>
      </c>
      <c r="E1263" s="21">
        <f>IF((ROUND(F1262-ROUND($B$13-D1263,2),2)&lt;=0),F1262,ROUND($B$13-D1263,2))</f>
        <v/>
      </c>
      <c r="F1263" s="21">
        <f>IF((ROUND(F1262-ROUND($B$13-D1263,2),2)&lt;=0),0,ROUND(F1262-E1263,2))</f>
        <v/>
      </c>
    </row>
    <row r="1264">
      <c r="A1264" s="6" t="n">
        <v>1248</v>
      </c>
      <c r="B1264" s="19">
        <f>IF(B8="monthly",DATE(YEAR(B7)+INT((MONTH(B7)-1+1247)/12),MOD(MONTH(B7)-1+1247,12)+1,1)+(DAY(B7)-1),IF(B8="weekly",B7+8729,IF(B8="biweekly",B7+17458,B7+ROUND((1247*365.25)/24,0))))</f>
        <v/>
      </c>
      <c r="C1264" s="21">
        <f>IF((ROUND(F1263-ROUND($B$13-D1264,2),2)&lt;=0),ROUND(D1264+E1264,2),$B$13)</f>
        <v/>
      </c>
      <c r="D1264" s="21">
        <f>ROUND(F1263*B5/100/B10,2)</f>
        <v/>
      </c>
      <c r="E1264" s="21">
        <f>IF((ROUND(F1263-ROUND($B$13-D1264,2),2)&lt;=0),F1263,ROUND($B$13-D1264,2))</f>
        <v/>
      </c>
      <c r="F1264" s="21">
        <f>IF((ROUND(F1263-ROUND($B$13-D1264,2),2)&lt;=0),0,ROUND(F1263-E1264,2))</f>
        <v/>
      </c>
    </row>
    <row r="1265">
      <c r="A1265" s="6" t="n">
        <v>1249</v>
      </c>
      <c r="B1265" s="19">
        <f>IF(B8="monthly",DATE(YEAR(B7)+INT((MONTH(B7)-1+1248)/12),MOD(MONTH(B7)-1+1248,12)+1,1)+(DAY(B7)-1),IF(B8="weekly",B7+8736,IF(B8="biweekly",B7+17472,B7+ROUND((1248*365.25)/24,0))))</f>
        <v/>
      </c>
      <c r="C1265" s="21">
        <f>IF((ROUND(F1264-ROUND($B$13-D1265,2),2)&lt;=0),ROUND(D1265+E1265,2),$B$13)</f>
        <v/>
      </c>
      <c r="D1265" s="21">
        <f>ROUND(F1264*B5/100/B10,2)</f>
        <v/>
      </c>
      <c r="E1265" s="21">
        <f>IF((ROUND(F1264-ROUND($B$13-D1265,2),2)&lt;=0),F1264,ROUND($B$13-D1265,2))</f>
        <v/>
      </c>
      <c r="F1265" s="21">
        <f>IF((ROUND(F1264-ROUND($B$13-D1265,2),2)&lt;=0),0,ROUND(F1264-E1265,2))</f>
        <v/>
      </c>
    </row>
    <row r="1266">
      <c r="A1266" s="6" t="n">
        <v>1250</v>
      </c>
      <c r="B1266" s="19">
        <f>IF(B8="monthly",DATE(YEAR(B7)+INT((MONTH(B7)-1+1249)/12),MOD(MONTH(B7)-1+1249,12)+1,1)+(DAY(B7)-1),IF(B8="weekly",B7+8743,IF(B8="biweekly",B7+17486,B7+ROUND((1249*365.25)/24,0))))</f>
        <v/>
      </c>
      <c r="C1266" s="21">
        <f>IF((ROUND(F1265-ROUND($B$13-D1266,2),2)&lt;=0),ROUND(D1266+E1266,2),$B$13)</f>
        <v/>
      </c>
      <c r="D1266" s="21">
        <f>ROUND(F1265*B5/100/B10,2)</f>
        <v/>
      </c>
      <c r="E1266" s="21">
        <f>IF((ROUND(F1265-ROUND($B$13-D1266,2),2)&lt;=0),F1265,ROUND($B$13-D1266,2))</f>
        <v/>
      </c>
      <c r="F1266" s="21">
        <f>IF((ROUND(F1265-ROUND($B$13-D1266,2),2)&lt;=0),0,ROUND(F1265-E1266,2))</f>
        <v/>
      </c>
    </row>
    <row r="1267">
      <c r="A1267" s="6" t="n">
        <v>1251</v>
      </c>
      <c r="B1267" s="19">
        <f>IF(B8="monthly",DATE(YEAR(B7)+INT((MONTH(B7)-1+1250)/12),MOD(MONTH(B7)-1+1250,12)+1,1)+(DAY(B7)-1),IF(B8="weekly",B7+8750,IF(B8="biweekly",B7+17500,B7+ROUND((1250*365.25)/24,0))))</f>
        <v/>
      </c>
      <c r="C1267" s="21">
        <f>IF((ROUND(F1266-ROUND($B$13-D1267,2),2)&lt;=0),ROUND(D1267+E1267,2),$B$13)</f>
        <v/>
      </c>
      <c r="D1267" s="21">
        <f>ROUND(F1266*B5/100/B10,2)</f>
        <v/>
      </c>
      <c r="E1267" s="21">
        <f>IF((ROUND(F1266-ROUND($B$13-D1267,2),2)&lt;=0),F1266,ROUND($B$13-D1267,2))</f>
        <v/>
      </c>
      <c r="F1267" s="21">
        <f>IF((ROUND(F1266-ROUND($B$13-D1267,2),2)&lt;=0),0,ROUND(F1266-E1267,2))</f>
        <v/>
      </c>
    </row>
    <row r="1268">
      <c r="A1268" s="6" t="n">
        <v>1252</v>
      </c>
      <c r="B1268" s="19">
        <f>IF(B8="monthly",DATE(YEAR(B7)+INT((MONTH(B7)-1+1251)/12),MOD(MONTH(B7)-1+1251,12)+1,1)+(DAY(B7)-1),IF(B8="weekly",B7+8757,IF(B8="biweekly",B7+17514,B7+ROUND((1251*365.25)/24,0))))</f>
        <v/>
      </c>
      <c r="C1268" s="21">
        <f>IF((ROUND(F1267-ROUND($B$13-D1268,2),2)&lt;=0),ROUND(D1268+E1268,2),$B$13)</f>
        <v/>
      </c>
      <c r="D1268" s="21">
        <f>ROUND(F1267*B5/100/B10,2)</f>
        <v/>
      </c>
      <c r="E1268" s="21">
        <f>IF((ROUND(F1267-ROUND($B$13-D1268,2),2)&lt;=0),F1267,ROUND($B$13-D1268,2))</f>
        <v/>
      </c>
      <c r="F1268" s="21">
        <f>IF((ROUND(F1267-ROUND($B$13-D1268,2),2)&lt;=0),0,ROUND(F1267-E1268,2))</f>
        <v/>
      </c>
    </row>
    <row r="1269">
      <c r="A1269" s="6" t="n">
        <v>1253</v>
      </c>
      <c r="B1269" s="19">
        <f>IF(B8="monthly",DATE(YEAR(B7)+INT((MONTH(B7)-1+1252)/12),MOD(MONTH(B7)-1+1252,12)+1,1)+(DAY(B7)-1),IF(B8="weekly",B7+8764,IF(B8="biweekly",B7+17528,B7+ROUND((1252*365.25)/24,0))))</f>
        <v/>
      </c>
      <c r="C1269" s="21">
        <f>IF((ROUND(F1268-ROUND($B$13-D1269,2),2)&lt;=0),ROUND(D1269+E1269,2),$B$13)</f>
        <v/>
      </c>
      <c r="D1269" s="21">
        <f>ROUND(F1268*B5/100/B10,2)</f>
        <v/>
      </c>
      <c r="E1269" s="21">
        <f>IF((ROUND(F1268-ROUND($B$13-D1269,2),2)&lt;=0),F1268,ROUND($B$13-D1269,2))</f>
        <v/>
      </c>
      <c r="F1269" s="21">
        <f>IF((ROUND(F1268-ROUND($B$13-D1269,2),2)&lt;=0),0,ROUND(F1268-E1269,2))</f>
        <v/>
      </c>
    </row>
    <row r="1270">
      <c r="A1270" s="6" t="n">
        <v>1254</v>
      </c>
      <c r="B1270" s="19">
        <f>IF(B8="monthly",DATE(YEAR(B7)+INT((MONTH(B7)-1+1253)/12),MOD(MONTH(B7)-1+1253,12)+1,1)+(DAY(B7)-1),IF(B8="weekly",B7+8771,IF(B8="biweekly",B7+17542,B7+ROUND((1253*365.25)/24,0))))</f>
        <v/>
      </c>
      <c r="C1270" s="21">
        <f>IF((ROUND(F1269-ROUND($B$13-D1270,2),2)&lt;=0),ROUND(D1270+E1270,2),$B$13)</f>
        <v/>
      </c>
      <c r="D1270" s="21">
        <f>ROUND(F1269*B5/100/B10,2)</f>
        <v/>
      </c>
      <c r="E1270" s="21">
        <f>IF((ROUND(F1269-ROUND($B$13-D1270,2),2)&lt;=0),F1269,ROUND($B$13-D1270,2))</f>
        <v/>
      </c>
      <c r="F1270" s="21">
        <f>IF((ROUND(F1269-ROUND($B$13-D1270,2),2)&lt;=0),0,ROUND(F1269-E1270,2))</f>
        <v/>
      </c>
    </row>
    <row r="1271">
      <c r="A1271" s="6" t="n">
        <v>1255</v>
      </c>
      <c r="B1271" s="19">
        <f>IF(B8="monthly",DATE(YEAR(B7)+INT((MONTH(B7)-1+1254)/12),MOD(MONTH(B7)-1+1254,12)+1,1)+(DAY(B7)-1),IF(B8="weekly",B7+8778,IF(B8="biweekly",B7+17556,B7+ROUND((1254*365.25)/24,0))))</f>
        <v/>
      </c>
      <c r="C1271" s="21">
        <f>IF((ROUND(F1270-ROUND($B$13-D1271,2),2)&lt;=0),ROUND(D1271+E1271,2),$B$13)</f>
        <v/>
      </c>
      <c r="D1271" s="21">
        <f>ROUND(F1270*B5/100/B10,2)</f>
        <v/>
      </c>
      <c r="E1271" s="21">
        <f>IF((ROUND(F1270-ROUND($B$13-D1271,2),2)&lt;=0),F1270,ROUND($B$13-D1271,2))</f>
        <v/>
      </c>
      <c r="F1271" s="21">
        <f>IF((ROUND(F1270-ROUND($B$13-D1271,2),2)&lt;=0),0,ROUND(F1270-E1271,2))</f>
        <v/>
      </c>
    </row>
    <row r="1272">
      <c r="A1272" s="6" t="n">
        <v>1256</v>
      </c>
      <c r="B1272" s="19">
        <f>IF(B8="monthly",DATE(YEAR(B7)+INT((MONTH(B7)-1+1255)/12),MOD(MONTH(B7)-1+1255,12)+1,1)+(DAY(B7)-1),IF(B8="weekly",B7+8785,IF(B8="biweekly",B7+17570,B7+ROUND((1255*365.25)/24,0))))</f>
        <v/>
      </c>
      <c r="C1272" s="21">
        <f>IF((ROUND(F1271-ROUND($B$13-D1272,2),2)&lt;=0),ROUND(D1272+E1272,2),$B$13)</f>
        <v/>
      </c>
      <c r="D1272" s="21">
        <f>ROUND(F1271*B5/100/B10,2)</f>
        <v/>
      </c>
      <c r="E1272" s="21">
        <f>IF((ROUND(F1271-ROUND($B$13-D1272,2),2)&lt;=0),F1271,ROUND($B$13-D1272,2))</f>
        <v/>
      </c>
      <c r="F1272" s="21">
        <f>IF((ROUND(F1271-ROUND($B$13-D1272,2),2)&lt;=0),0,ROUND(F1271-E1272,2))</f>
        <v/>
      </c>
    </row>
    <row r="1273">
      <c r="A1273" s="6" t="n">
        <v>1257</v>
      </c>
      <c r="B1273" s="19">
        <f>IF(B8="monthly",DATE(YEAR(B7)+INT((MONTH(B7)-1+1256)/12),MOD(MONTH(B7)-1+1256,12)+1,1)+(DAY(B7)-1),IF(B8="weekly",B7+8792,IF(B8="biweekly",B7+17584,B7+ROUND((1256*365.25)/24,0))))</f>
        <v/>
      </c>
      <c r="C1273" s="21">
        <f>IF((ROUND(F1272-ROUND($B$13-D1273,2),2)&lt;=0),ROUND(D1273+E1273,2),$B$13)</f>
        <v/>
      </c>
      <c r="D1273" s="21">
        <f>ROUND(F1272*B5/100/B10,2)</f>
        <v/>
      </c>
      <c r="E1273" s="21">
        <f>IF((ROUND(F1272-ROUND($B$13-D1273,2),2)&lt;=0),F1272,ROUND($B$13-D1273,2))</f>
        <v/>
      </c>
      <c r="F1273" s="21">
        <f>IF((ROUND(F1272-ROUND($B$13-D1273,2),2)&lt;=0),0,ROUND(F1272-E1273,2))</f>
        <v/>
      </c>
    </row>
    <row r="1274">
      <c r="A1274" s="6" t="n">
        <v>1258</v>
      </c>
      <c r="B1274" s="19">
        <f>IF(B8="monthly",DATE(YEAR(B7)+INT((MONTH(B7)-1+1257)/12),MOD(MONTH(B7)-1+1257,12)+1,1)+(DAY(B7)-1),IF(B8="weekly",B7+8799,IF(B8="biweekly",B7+17598,B7+ROUND((1257*365.25)/24,0))))</f>
        <v/>
      </c>
      <c r="C1274" s="21">
        <f>IF((ROUND(F1273-ROUND($B$13-D1274,2),2)&lt;=0),ROUND(D1274+E1274,2),$B$13)</f>
        <v/>
      </c>
      <c r="D1274" s="21">
        <f>ROUND(F1273*B5/100/B10,2)</f>
        <v/>
      </c>
      <c r="E1274" s="21">
        <f>IF((ROUND(F1273-ROUND($B$13-D1274,2),2)&lt;=0),F1273,ROUND($B$13-D1274,2))</f>
        <v/>
      </c>
      <c r="F1274" s="21">
        <f>IF((ROUND(F1273-ROUND($B$13-D1274,2),2)&lt;=0),0,ROUND(F1273-E1274,2))</f>
        <v/>
      </c>
    </row>
    <row r="1275">
      <c r="A1275" s="6" t="n">
        <v>1259</v>
      </c>
      <c r="B1275" s="19">
        <f>IF(B8="monthly",DATE(YEAR(B7)+INT((MONTH(B7)-1+1258)/12),MOD(MONTH(B7)-1+1258,12)+1,1)+(DAY(B7)-1),IF(B8="weekly",B7+8806,IF(B8="biweekly",B7+17612,B7+ROUND((1258*365.25)/24,0))))</f>
        <v/>
      </c>
      <c r="C1275" s="21">
        <f>IF((ROUND(F1274-ROUND($B$13-D1275,2),2)&lt;=0),ROUND(D1275+E1275,2),$B$13)</f>
        <v/>
      </c>
      <c r="D1275" s="21">
        <f>ROUND(F1274*B5/100/B10,2)</f>
        <v/>
      </c>
      <c r="E1275" s="21">
        <f>IF((ROUND(F1274-ROUND($B$13-D1275,2),2)&lt;=0),F1274,ROUND($B$13-D1275,2))</f>
        <v/>
      </c>
      <c r="F1275" s="21">
        <f>IF((ROUND(F1274-ROUND($B$13-D1275,2),2)&lt;=0),0,ROUND(F1274-E1275,2))</f>
        <v/>
      </c>
    </row>
    <row r="1276">
      <c r="A1276" s="6" t="n">
        <v>1260</v>
      </c>
      <c r="B1276" s="19">
        <f>IF(B8="monthly",DATE(YEAR(B7)+INT((MONTH(B7)-1+1259)/12),MOD(MONTH(B7)-1+1259,12)+1,1)+(DAY(B7)-1),IF(B8="weekly",B7+8813,IF(B8="biweekly",B7+17626,B7+ROUND((1259*365.25)/24,0))))</f>
        <v/>
      </c>
      <c r="C1276" s="21">
        <f>IF((ROUND(F1275-ROUND($B$13-D1276,2),2)&lt;=0),ROUND(D1276+E1276,2),$B$13)</f>
        <v/>
      </c>
      <c r="D1276" s="21">
        <f>ROUND(F1275*B5/100/B10,2)</f>
        <v/>
      </c>
      <c r="E1276" s="21">
        <f>IF((ROUND(F1275-ROUND($B$13-D1276,2),2)&lt;=0),F1275,ROUND($B$13-D1276,2))</f>
        <v/>
      </c>
      <c r="F1276" s="21">
        <f>IF((ROUND(F1275-ROUND($B$13-D1276,2),2)&lt;=0),0,ROUND(F1275-E1276,2))</f>
        <v/>
      </c>
    </row>
    <row r="1277">
      <c r="A1277" s="6" t="n">
        <v>1261</v>
      </c>
      <c r="B1277" s="19">
        <f>IF(B8="monthly",DATE(YEAR(B7)+INT((MONTH(B7)-1+1260)/12),MOD(MONTH(B7)-1+1260,12)+1,1)+(DAY(B7)-1),IF(B8="weekly",B7+8820,IF(B8="biweekly",B7+17640,B7+ROUND((1260*365.25)/24,0))))</f>
        <v/>
      </c>
      <c r="C1277" s="21">
        <f>IF((ROUND(F1276-ROUND($B$13-D1277,2),2)&lt;=0),ROUND(D1277+E1277,2),$B$13)</f>
        <v/>
      </c>
      <c r="D1277" s="21">
        <f>ROUND(F1276*B5/100/B10,2)</f>
        <v/>
      </c>
      <c r="E1277" s="21">
        <f>IF((ROUND(F1276-ROUND($B$13-D1277,2),2)&lt;=0),F1276,ROUND($B$13-D1277,2))</f>
        <v/>
      </c>
      <c r="F1277" s="21">
        <f>IF((ROUND(F1276-ROUND($B$13-D1277,2),2)&lt;=0),0,ROUND(F1276-E1277,2))</f>
        <v/>
      </c>
    </row>
    <row r="1278">
      <c r="A1278" s="6" t="n">
        <v>1262</v>
      </c>
      <c r="B1278" s="19">
        <f>IF(B8="monthly",DATE(YEAR(B7)+INT((MONTH(B7)-1+1261)/12),MOD(MONTH(B7)-1+1261,12)+1,1)+(DAY(B7)-1),IF(B8="weekly",B7+8827,IF(B8="biweekly",B7+17654,B7+ROUND((1261*365.25)/24,0))))</f>
        <v/>
      </c>
      <c r="C1278" s="21">
        <f>IF((ROUND(F1277-ROUND($B$13-D1278,2),2)&lt;=0),ROUND(D1278+E1278,2),$B$13)</f>
        <v/>
      </c>
      <c r="D1278" s="21">
        <f>ROUND(F1277*B5/100/B10,2)</f>
        <v/>
      </c>
      <c r="E1278" s="21">
        <f>IF((ROUND(F1277-ROUND($B$13-D1278,2),2)&lt;=0),F1277,ROUND($B$13-D1278,2))</f>
        <v/>
      </c>
      <c r="F1278" s="21">
        <f>IF((ROUND(F1277-ROUND($B$13-D1278,2),2)&lt;=0),0,ROUND(F1277-E1278,2))</f>
        <v/>
      </c>
    </row>
    <row r="1279">
      <c r="A1279" s="6" t="n">
        <v>1263</v>
      </c>
      <c r="B1279" s="19">
        <f>IF(B8="monthly",DATE(YEAR(B7)+INT((MONTH(B7)-1+1262)/12),MOD(MONTH(B7)-1+1262,12)+1,1)+(DAY(B7)-1),IF(B8="weekly",B7+8834,IF(B8="biweekly",B7+17668,B7+ROUND((1262*365.25)/24,0))))</f>
        <v/>
      </c>
      <c r="C1279" s="21">
        <f>IF((ROUND(F1278-ROUND($B$13-D1279,2),2)&lt;=0),ROUND(D1279+E1279,2),$B$13)</f>
        <v/>
      </c>
      <c r="D1279" s="21">
        <f>ROUND(F1278*B5/100/B10,2)</f>
        <v/>
      </c>
      <c r="E1279" s="21">
        <f>IF((ROUND(F1278-ROUND($B$13-D1279,2),2)&lt;=0),F1278,ROUND($B$13-D1279,2))</f>
        <v/>
      </c>
      <c r="F1279" s="21">
        <f>IF((ROUND(F1278-ROUND($B$13-D1279,2),2)&lt;=0),0,ROUND(F1278-E1279,2))</f>
        <v/>
      </c>
    </row>
    <row r="1280">
      <c r="A1280" s="6" t="n">
        <v>1264</v>
      </c>
      <c r="B1280" s="19">
        <f>IF(B8="monthly",DATE(YEAR(B7)+INT((MONTH(B7)-1+1263)/12),MOD(MONTH(B7)-1+1263,12)+1,1)+(DAY(B7)-1),IF(B8="weekly",B7+8841,IF(B8="biweekly",B7+17682,B7+ROUND((1263*365.25)/24,0))))</f>
        <v/>
      </c>
      <c r="C1280" s="21">
        <f>IF((ROUND(F1279-ROUND($B$13-D1280,2),2)&lt;=0),ROUND(D1280+E1280,2),$B$13)</f>
        <v/>
      </c>
      <c r="D1280" s="21">
        <f>ROUND(F1279*B5/100/B10,2)</f>
        <v/>
      </c>
      <c r="E1280" s="21">
        <f>IF((ROUND(F1279-ROUND($B$13-D1280,2),2)&lt;=0),F1279,ROUND($B$13-D1280,2))</f>
        <v/>
      </c>
      <c r="F1280" s="21">
        <f>IF((ROUND(F1279-ROUND($B$13-D1280,2),2)&lt;=0),0,ROUND(F1279-E1280,2))</f>
        <v/>
      </c>
    </row>
    <row r="1281">
      <c r="A1281" s="6" t="n">
        <v>1265</v>
      </c>
      <c r="B1281" s="19">
        <f>IF(B8="monthly",DATE(YEAR(B7)+INT((MONTH(B7)-1+1264)/12),MOD(MONTH(B7)-1+1264,12)+1,1)+(DAY(B7)-1),IF(B8="weekly",B7+8848,IF(B8="biweekly",B7+17696,B7+ROUND((1264*365.25)/24,0))))</f>
        <v/>
      </c>
      <c r="C1281" s="21">
        <f>IF((ROUND(F1280-ROUND($B$13-D1281,2),2)&lt;=0),ROUND(D1281+E1281,2),$B$13)</f>
        <v/>
      </c>
      <c r="D1281" s="21">
        <f>ROUND(F1280*B5/100/B10,2)</f>
        <v/>
      </c>
      <c r="E1281" s="21">
        <f>IF((ROUND(F1280-ROUND($B$13-D1281,2),2)&lt;=0),F1280,ROUND($B$13-D1281,2))</f>
        <v/>
      </c>
      <c r="F1281" s="21">
        <f>IF((ROUND(F1280-ROUND($B$13-D1281,2),2)&lt;=0),0,ROUND(F1280-E1281,2))</f>
        <v/>
      </c>
    </row>
    <row r="1282">
      <c r="A1282" s="6" t="n">
        <v>1266</v>
      </c>
      <c r="B1282" s="19">
        <f>IF(B8="monthly",DATE(YEAR(B7)+INT((MONTH(B7)-1+1265)/12),MOD(MONTH(B7)-1+1265,12)+1,1)+(DAY(B7)-1),IF(B8="weekly",B7+8855,IF(B8="biweekly",B7+17710,B7+ROUND((1265*365.25)/24,0))))</f>
        <v/>
      </c>
      <c r="C1282" s="21">
        <f>IF((ROUND(F1281-ROUND($B$13-D1282,2),2)&lt;=0),ROUND(D1282+E1282,2),$B$13)</f>
        <v/>
      </c>
      <c r="D1282" s="21">
        <f>ROUND(F1281*B5/100/B10,2)</f>
        <v/>
      </c>
      <c r="E1282" s="21">
        <f>IF((ROUND(F1281-ROUND($B$13-D1282,2),2)&lt;=0),F1281,ROUND($B$13-D1282,2))</f>
        <v/>
      </c>
      <c r="F1282" s="21">
        <f>IF((ROUND(F1281-ROUND($B$13-D1282,2),2)&lt;=0),0,ROUND(F1281-E1282,2))</f>
        <v/>
      </c>
    </row>
    <row r="1283">
      <c r="A1283" s="6" t="n">
        <v>1267</v>
      </c>
      <c r="B1283" s="19">
        <f>IF(B8="monthly",DATE(YEAR(B7)+INT((MONTH(B7)-1+1266)/12),MOD(MONTH(B7)-1+1266,12)+1,1)+(DAY(B7)-1),IF(B8="weekly",B7+8862,IF(B8="biweekly",B7+17724,B7+ROUND((1266*365.25)/24,0))))</f>
        <v/>
      </c>
      <c r="C1283" s="21">
        <f>IF((ROUND(F1282-ROUND($B$13-D1283,2),2)&lt;=0),ROUND(D1283+E1283,2),$B$13)</f>
        <v/>
      </c>
      <c r="D1283" s="21">
        <f>ROUND(F1282*B5/100/B10,2)</f>
        <v/>
      </c>
      <c r="E1283" s="21">
        <f>IF((ROUND(F1282-ROUND($B$13-D1283,2),2)&lt;=0),F1282,ROUND($B$13-D1283,2))</f>
        <v/>
      </c>
      <c r="F1283" s="21">
        <f>IF((ROUND(F1282-ROUND($B$13-D1283,2),2)&lt;=0),0,ROUND(F1282-E1283,2))</f>
        <v/>
      </c>
    </row>
    <row r="1284">
      <c r="A1284" s="6" t="n">
        <v>1268</v>
      </c>
      <c r="B1284" s="19">
        <f>IF(B8="monthly",DATE(YEAR(B7)+INT((MONTH(B7)-1+1267)/12),MOD(MONTH(B7)-1+1267,12)+1,1)+(DAY(B7)-1),IF(B8="weekly",B7+8869,IF(B8="biweekly",B7+17738,B7+ROUND((1267*365.25)/24,0))))</f>
        <v/>
      </c>
      <c r="C1284" s="21">
        <f>IF((ROUND(F1283-ROUND($B$13-D1284,2),2)&lt;=0),ROUND(D1284+E1284,2),$B$13)</f>
        <v/>
      </c>
      <c r="D1284" s="21">
        <f>ROUND(F1283*B5/100/B10,2)</f>
        <v/>
      </c>
      <c r="E1284" s="21">
        <f>IF((ROUND(F1283-ROUND($B$13-D1284,2),2)&lt;=0),F1283,ROUND($B$13-D1284,2))</f>
        <v/>
      </c>
      <c r="F1284" s="21">
        <f>IF((ROUND(F1283-ROUND($B$13-D1284,2),2)&lt;=0),0,ROUND(F1283-E1284,2))</f>
        <v/>
      </c>
    </row>
    <row r="1285">
      <c r="A1285" s="6" t="n">
        <v>1269</v>
      </c>
      <c r="B1285" s="19">
        <f>IF(B8="monthly",DATE(YEAR(B7)+INT((MONTH(B7)-1+1268)/12),MOD(MONTH(B7)-1+1268,12)+1,1)+(DAY(B7)-1),IF(B8="weekly",B7+8876,IF(B8="biweekly",B7+17752,B7+ROUND((1268*365.25)/24,0))))</f>
        <v/>
      </c>
      <c r="C1285" s="21">
        <f>IF((ROUND(F1284-ROUND($B$13-D1285,2),2)&lt;=0),ROUND(D1285+E1285,2),$B$13)</f>
        <v/>
      </c>
      <c r="D1285" s="21">
        <f>ROUND(F1284*B5/100/B10,2)</f>
        <v/>
      </c>
      <c r="E1285" s="21">
        <f>IF((ROUND(F1284-ROUND($B$13-D1285,2),2)&lt;=0),F1284,ROUND($B$13-D1285,2))</f>
        <v/>
      </c>
      <c r="F1285" s="21">
        <f>IF((ROUND(F1284-ROUND($B$13-D1285,2),2)&lt;=0),0,ROUND(F1284-E1285,2))</f>
        <v/>
      </c>
    </row>
    <row r="1286">
      <c r="A1286" s="6" t="n">
        <v>1270</v>
      </c>
      <c r="B1286" s="19">
        <f>IF(B8="monthly",DATE(YEAR(B7)+INT((MONTH(B7)-1+1269)/12),MOD(MONTH(B7)-1+1269,12)+1,1)+(DAY(B7)-1),IF(B8="weekly",B7+8883,IF(B8="biweekly",B7+17766,B7+ROUND((1269*365.25)/24,0))))</f>
        <v/>
      </c>
      <c r="C1286" s="21">
        <f>IF((ROUND(F1285-ROUND($B$13-D1286,2),2)&lt;=0),ROUND(D1286+E1286,2),$B$13)</f>
        <v/>
      </c>
      <c r="D1286" s="21">
        <f>ROUND(F1285*B5/100/B10,2)</f>
        <v/>
      </c>
      <c r="E1286" s="21">
        <f>IF((ROUND(F1285-ROUND($B$13-D1286,2),2)&lt;=0),F1285,ROUND($B$13-D1286,2))</f>
        <v/>
      </c>
      <c r="F1286" s="21">
        <f>IF((ROUND(F1285-ROUND($B$13-D1286,2),2)&lt;=0),0,ROUND(F1285-E1286,2))</f>
        <v/>
      </c>
    </row>
    <row r="1287">
      <c r="A1287" s="6" t="n">
        <v>1271</v>
      </c>
      <c r="B1287" s="19">
        <f>IF(B8="monthly",DATE(YEAR(B7)+INT((MONTH(B7)-1+1270)/12),MOD(MONTH(B7)-1+1270,12)+1,1)+(DAY(B7)-1),IF(B8="weekly",B7+8890,IF(B8="biweekly",B7+17780,B7+ROUND((1270*365.25)/24,0))))</f>
        <v/>
      </c>
      <c r="C1287" s="21">
        <f>IF((ROUND(F1286-ROUND($B$13-D1287,2),2)&lt;=0),ROUND(D1287+E1287,2),$B$13)</f>
        <v/>
      </c>
      <c r="D1287" s="21">
        <f>ROUND(F1286*B5/100/B10,2)</f>
        <v/>
      </c>
      <c r="E1287" s="21">
        <f>IF((ROUND(F1286-ROUND($B$13-D1287,2),2)&lt;=0),F1286,ROUND($B$13-D1287,2))</f>
        <v/>
      </c>
      <c r="F1287" s="21">
        <f>IF((ROUND(F1286-ROUND($B$13-D1287,2),2)&lt;=0),0,ROUND(F1286-E1287,2))</f>
        <v/>
      </c>
    </row>
    <row r="1288">
      <c r="A1288" s="6" t="n">
        <v>1272</v>
      </c>
      <c r="B1288" s="19">
        <f>IF(B8="monthly",DATE(YEAR(B7)+INT((MONTH(B7)-1+1271)/12),MOD(MONTH(B7)-1+1271,12)+1,1)+(DAY(B7)-1),IF(B8="weekly",B7+8897,IF(B8="biweekly",B7+17794,B7+ROUND((1271*365.25)/24,0))))</f>
        <v/>
      </c>
      <c r="C1288" s="21">
        <f>IF((ROUND(F1287-ROUND($B$13-D1288,2),2)&lt;=0),ROUND(D1288+E1288,2),$B$13)</f>
        <v/>
      </c>
      <c r="D1288" s="21">
        <f>ROUND(F1287*B5/100/B10,2)</f>
        <v/>
      </c>
      <c r="E1288" s="21">
        <f>IF((ROUND(F1287-ROUND($B$13-D1288,2),2)&lt;=0),F1287,ROUND($B$13-D1288,2))</f>
        <v/>
      </c>
      <c r="F1288" s="21">
        <f>IF((ROUND(F1287-ROUND($B$13-D1288,2),2)&lt;=0),0,ROUND(F1287-E1288,2))</f>
        <v/>
      </c>
    </row>
    <row r="1289">
      <c r="A1289" s="6" t="n">
        <v>1273</v>
      </c>
      <c r="B1289" s="19">
        <f>IF(B8="monthly",DATE(YEAR(B7)+INT((MONTH(B7)-1+1272)/12),MOD(MONTH(B7)-1+1272,12)+1,1)+(DAY(B7)-1),IF(B8="weekly",B7+8904,IF(B8="biweekly",B7+17808,B7+ROUND((1272*365.25)/24,0))))</f>
        <v/>
      </c>
      <c r="C1289" s="21">
        <f>IF((ROUND(F1288-ROUND($B$13-D1289,2),2)&lt;=0),ROUND(D1289+E1289,2),$B$13)</f>
        <v/>
      </c>
      <c r="D1289" s="21">
        <f>ROUND(F1288*B5/100/B10,2)</f>
        <v/>
      </c>
      <c r="E1289" s="21">
        <f>IF((ROUND(F1288-ROUND($B$13-D1289,2),2)&lt;=0),F1288,ROUND($B$13-D1289,2))</f>
        <v/>
      </c>
      <c r="F1289" s="21">
        <f>IF((ROUND(F1288-ROUND($B$13-D1289,2),2)&lt;=0),0,ROUND(F1288-E1289,2))</f>
        <v/>
      </c>
    </row>
    <row r="1290">
      <c r="A1290" s="6" t="n">
        <v>1274</v>
      </c>
      <c r="B1290" s="19">
        <f>IF(B8="monthly",DATE(YEAR(B7)+INT((MONTH(B7)-1+1273)/12),MOD(MONTH(B7)-1+1273,12)+1,1)+(DAY(B7)-1),IF(B8="weekly",B7+8911,IF(B8="biweekly",B7+17822,B7+ROUND((1273*365.25)/24,0))))</f>
        <v/>
      </c>
      <c r="C1290" s="21">
        <f>IF((ROUND(F1289-ROUND($B$13-D1290,2),2)&lt;=0),ROUND(D1290+E1290,2),$B$13)</f>
        <v/>
      </c>
      <c r="D1290" s="21">
        <f>ROUND(F1289*B5/100/B10,2)</f>
        <v/>
      </c>
      <c r="E1290" s="21">
        <f>IF((ROUND(F1289-ROUND($B$13-D1290,2),2)&lt;=0),F1289,ROUND($B$13-D1290,2))</f>
        <v/>
      </c>
      <c r="F1290" s="21">
        <f>IF((ROUND(F1289-ROUND($B$13-D1290,2),2)&lt;=0),0,ROUND(F1289-E1290,2))</f>
        <v/>
      </c>
    </row>
    <row r="1291">
      <c r="A1291" s="6" t="n">
        <v>1275</v>
      </c>
      <c r="B1291" s="19">
        <f>IF(B8="monthly",DATE(YEAR(B7)+INT((MONTH(B7)-1+1274)/12),MOD(MONTH(B7)-1+1274,12)+1,1)+(DAY(B7)-1),IF(B8="weekly",B7+8918,IF(B8="biweekly",B7+17836,B7+ROUND((1274*365.25)/24,0))))</f>
        <v/>
      </c>
      <c r="C1291" s="21">
        <f>IF((ROUND(F1290-ROUND($B$13-D1291,2),2)&lt;=0),ROUND(D1291+E1291,2),$B$13)</f>
        <v/>
      </c>
      <c r="D1291" s="21">
        <f>ROUND(F1290*B5/100/B10,2)</f>
        <v/>
      </c>
      <c r="E1291" s="21">
        <f>IF((ROUND(F1290-ROUND($B$13-D1291,2),2)&lt;=0),F1290,ROUND($B$13-D1291,2))</f>
        <v/>
      </c>
      <c r="F1291" s="21">
        <f>IF((ROUND(F1290-ROUND($B$13-D1291,2),2)&lt;=0),0,ROUND(F1290-E1291,2))</f>
        <v/>
      </c>
    </row>
    <row r="1292">
      <c r="A1292" s="6" t="n">
        <v>1276</v>
      </c>
      <c r="B1292" s="19">
        <f>IF(B8="monthly",DATE(YEAR(B7)+INT((MONTH(B7)-1+1275)/12),MOD(MONTH(B7)-1+1275,12)+1,1)+(DAY(B7)-1),IF(B8="weekly",B7+8925,IF(B8="biweekly",B7+17850,B7+ROUND((1275*365.25)/24,0))))</f>
        <v/>
      </c>
      <c r="C1292" s="21">
        <f>IF((ROUND(F1291-ROUND($B$13-D1292,2),2)&lt;=0),ROUND(D1292+E1292,2),$B$13)</f>
        <v/>
      </c>
      <c r="D1292" s="21">
        <f>ROUND(F1291*B5/100/B10,2)</f>
        <v/>
      </c>
      <c r="E1292" s="21">
        <f>IF((ROUND(F1291-ROUND($B$13-D1292,2),2)&lt;=0),F1291,ROUND($B$13-D1292,2))</f>
        <v/>
      </c>
      <c r="F1292" s="21">
        <f>IF((ROUND(F1291-ROUND($B$13-D1292,2),2)&lt;=0),0,ROUND(F1291-E1292,2))</f>
        <v/>
      </c>
    </row>
    <row r="1293">
      <c r="A1293" s="6" t="n">
        <v>1277</v>
      </c>
      <c r="B1293" s="19">
        <f>IF(B8="monthly",DATE(YEAR(B7)+INT((MONTH(B7)-1+1276)/12),MOD(MONTH(B7)-1+1276,12)+1,1)+(DAY(B7)-1),IF(B8="weekly",B7+8932,IF(B8="biweekly",B7+17864,B7+ROUND((1276*365.25)/24,0))))</f>
        <v/>
      </c>
      <c r="C1293" s="21">
        <f>IF((ROUND(F1292-ROUND($B$13-D1293,2),2)&lt;=0),ROUND(D1293+E1293,2),$B$13)</f>
        <v/>
      </c>
      <c r="D1293" s="21">
        <f>ROUND(F1292*B5/100/B10,2)</f>
        <v/>
      </c>
      <c r="E1293" s="21">
        <f>IF((ROUND(F1292-ROUND($B$13-D1293,2),2)&lt;=0),F1292,ROUND($B$13-D1293,2))</f>
        <v/>
      </c>
      <c r="F1293" s="21">
        <f>IF((ROUND(F1292-ROUND($B$13-D1293,2),2)&lt;=0),0,ROUND(F1292-E1293,2))</f>
        <v/>
      </c>
    </row>
    <row r="1294">
      <c r="A1294" s="6" t="n">
        <v>1278</v>
      </c>
      <c r="B1294" s="19">
        <f>IF(B8="monthly",DATE(YEAR(B7)+INT((MONTH(B7)-1+1277)/12),MOD(MONTH(B7)-1+1277,12)+1,1)+(DAY(B7)-1),IF(B8="weekly",B7+8939,IF(B8="biweekly",B7+17878,B7+ROUND((1277*365.25)/24,0))))</f>
        <v/>
      </c>
      <c r="C1294" s="21">
        <f>IF((ROUND(F1293-ROUND($B$13-D1294,2),2)&lt;=0),ROUND(D1294+E1294,2),$B$13)</f>
        <v/>
      </c>
      <c r="D1294" s="21">
        <f>ROUND(F1293*B5/100/B10,2)</f>
        <v/>
      </c>
      <c r="E1294" s="21">
        <f>IF((ROUND(F1293-ROUND($B$13-D1294,2),2)&lt;=0),F1293,ROUND($B$13-D1294,2))</f>
        <v/>
      </c>
      <c r="F1294" s="21">
        <f>IF((ROUND(F1293-ROUND($B$13-D1294,2),2)&lt;=0),0,ROUND(F1293-E1294,2))</f>
        <v/>
      </c>
    </row>
    <row r="1295">
      <c r="A1295" s="6" t="n">
        <v>1279</v>
      </c>
      <c r="B1295" s="19">
        <f>IF(B8="monthly",DATE(YEAR(B7)+INT((MONTH(B7)-1+1278)/12),MOD(MONTH(B7)-1+1278,12)+1,1)+(DAY(B7)-1),IF(B8="weekly",B7+8946,IF(B8="biweekly",B7+17892,B7+ROUND((1278*365.25)/24,0))))</f>
        <v/>
      </c>
      <c r="C1295" s="21">
        <f>IF((ROUND(F1294-ROUND($B$13-D1295,2),2)&lt;=0),ROUND(D1295+E1295,2),$B$13)</f>
        <v/>
      </c>
      <c r="D1295" s="21">
        <f>ROUND(F1294*B5/100/B10,2)</f>
        <v/>
      </c>
      <c r="E1295" s="21">
        <f>IF((ROUND(F1294-ROUND($B$13-D1295,2),2)&lt;=0),F1294,ROUND($B$13-D1295,2))</f>
        <v/>
      </c>
      <c r="F1295" s="21">
        <f>IF((ROUND(F1294-ROUND($B$13-D1295,2),2)&lt;=0),0,ROUND(F1294-E1295,2))</f>
        <v/>
      </c>
    </row>
    <row r="1296">
      <c r="A1296" s="6" t="n">
        <v>1280</v>
      </c>
      <c r="B1296" s="19">
        <f>IF(B8="monthly",DATE(YEAR(B7)+INT((MONTH(B7)-1+1279)/12),MOD(MONTH(B7)-1+1279,12)+1,1)+(DAY(B7)-1),IF(B8="weekly",B7+8953,IF(B8="biweekly",B7+17906,B7+ROUND((1279*365.25)/24,0))))</f>
        <v/>
      </c>
      <c r="C1296" s="21">
        <f>IF((ROUND(F1295-ROUND($B$13-D1296,2),2)&lt;=0),ROUND(D1296+E1296,2),$B$13)</f>
        <v/>
      </c>
      <c r="D1296" s="21">
        <f>ROUND(F1295*B5/100/B10,2)</f>
        <v/>
      </c>
      <c r="E1296" s="21">
        <f>IF((ROUND(F1295-ROUND($B$13-D1296,2),2)&lt;=0),F1295,ROUND($B$13-D1296,2))</f>
        <v/>
      </c>
      <c r="F1296" s="21">
        <f>IF((ROUND(F1295-ROUND($B$13-D1296,2),2)&lt;=0),0,ROUND(F1295-E1296,2))</f>
        <v/>
      </c>
    </row>
    <row r="1297">
      <c r="A1297" s="6" t="n">
        <v>1281</v>
      </c>
      <c r="B1297" s="19">
        <f>IF(B8="monthly",DATE(YEAR(B7)+INT((MONTH(B7)-1+1280)/12),MOD(MONTH(B7)-1+1280,12)+1,1)+(DAY(B7)-1),IF(B8="weekly",B7+8960,IF(B8="biweekly",B7+17920,B7+ROUND((1280*365.25)/24,0))))</f>
        <v/>
      </c>
      <c r="C1297" s="21">
        <f>IF((ROUND(F1296-ROUND($B$13-D1297,2),2)&lt;=0),ROUND(D1297+E1297,2),$B$13)</f>
        <v/>
      </c>
      <c r="D1297" s="21">
        <f>ROUND(F1296*B5/100/B10,2)</f>
        <v/>
      </c>
      <c r="E1297" s="21">
        <f>IF((ROUND(F1296-ROUND($B$13-D1297,2),2)&lt;=0),F1296,ROUND($B$13-D1297,2))</f>
        <v/>
      </c>
      <c r="F1297" s="21">
        <f>IF((ROUND(F1296-ROUND($B$13-D1297,2),2)&lt;=0),0,ROUND(F1296-E1297,2))</f>
        <v/>
      </c>
    </row>
    <row r="1298">
      <c r="A1298" s="6" t="n">
        <v>1282</v>
      </c>
      <c r="B1298" s="19">
        <f>IF(B8="monthly",DATE(YEAR(B7)+INT((MONTH(B7)-1+1281)/12),MOD(MONTH(B7)-1+1281,12)+1,1)+(DAY(B7)-1),IF(B8="weekly",B7+8967,IF(B8="biweekly",B7+17934,B7+ROUND((1281*365.25)/24,0))))</f>
        <v/>
      </c>
      <c r="C1298" s="21">
        <f>IF((ROUND(F1297-ROUND($B$13-D1298,2),2)&lt;=0),ROUND(D1298+E1298,2),$B$13)</f>
        <v/>
      </c>
      <c r="D1298" s="21">
        <f>ROUND(F1297*B5/100/B10,2)</f>
        <v/>
      </c>
      <c r="E1298" s="21">
        <f>IF((ROUND(F1297-ROUND($B$13-D1298,2),2)&lt;=0),F1297,ROUND($B$13-D1298,2))</f>
        <v/>
      </c>
      <c r="F1298" s="21">
        <f>IF((ROUND(F1297-ROUND($B$13-D1298,2),2)&lt;=0),0,ROUND(F1297-E1298,2))</f>
        <v/>
      </c>
    </row>
    <row r="1299">
      <c r="A1299" s="6" t="n">
        <v>1283</v>
      </c>
      <c r="B1299" s="19">
        <f>IF(B8="monthly",DATE(YEAR(B7)+INT((MONTH(B7)-1+1282)/12),MOD(MONTH(B7)-1+1282,12)+1,1)+(DAY(B7)-1),IF(B8="weekly",B7+8974,IF(B8="biweekly",B7+17948,B7+ROUND((1282*365.25)/24,0))))</f>
        <v/>
      </c>
      <c r="C1299" s="21">
        <f>IF((ROUND(F1298-ROUND($B$13-D1299,2),2)&lt;=0),ROUND(D1299+E1299,2),$B$13)</f>
        <v/>
      </c>
      <c r="D1299" s="21">
        <f>ROUND(F1298*B5/100/B10,2)</f>
        <v/>
      </c>
      <c r="E1299" s="21">
        <f>IF((ROUND(F1298-ROUND($B$13-D1299,2),2)&lt;=0),F1298,ROUND($B$13-D1299,2))</f>
        <v/>
      </c>
      <c r="F1299" s="21">
        <f>IF((ROUND(F1298-ROUND($B$13-D1299,2),2)&lt;=0),0,ROUND(F1298-E1299,2))</f>
        <v/>
      </c>
    </row>
    <row r="1300">
      <c r="A1300" s="6" t="n">
        <v>1284</v>
      </c>
      <c r="B1300" s="19">
        <f>IF(B8="monthly",DATE(YEAR(B7)+INT((MONTH(B7)-1+1283)/12),MOD(MONTH(B7)-1+1283,12)+1,1)+(DAY(B7)-1),IF(B8="weekly",B7+8981,IF(B8="biweekly",B7+17962,B7+ROUND((1283*365.25)/24,0))))</f>
        <v/>
      </c>
      <c r="C1300" s="21">
        <f>IF((ROUND(F1299-ROUND($B$13-D1300,2),2)&lt;=0),ROUND(D1300+E1300,2),$B$13)</f>
        <v/>
      </c>
      <c r="D1300" s="21">
        <f>ROUND(F1299*B5/100/B10,2)</f>
        <v/>
      </c>
      <c r="E1300" s="21">
        <f>IF((ROUND(F1299-ROUND($B$13-D1300,2),2)&lt;=0),F1299,ROUND($B$13-D1300,2))</f>
        <v/>
      </c>
      <c r="F1300" s="21">
        <f>IF((ROUND(F1299-ROUND($B$13-D1300,2),2)&lt;=0),0,ROUND(F1299-E1300,2))</f>
        <v/>
      </c>
    </row>
    <row r="1301">
      <c r="A1301" s="6" t="n">
        <v>1285</v>
      </c>
      <c r="B1301" s="19">
        <f>IF(B8="monthly",DATE(YEAR(B7)+INT((MONTH(B7)-1+1284)/12),MOD(MONTH(B7)-1+1284,12)+1,1)+(DAY(B7)-1),IF(B8="weekly",B7+8988,IF(B8="biweekly",B7+17976,B7+ROUND((1284*365.25)/24,0))))</f>
        <v/>
      </c>
      <c r="C1301" s="21">
        <f>IF((ROUND(F1300-ROUND($B$13-D1301,2),2)&lt;=0),ROUND(D1301+E1301,2),$B$13)</f>
        <v/>
      </c>
      <c r="D1301" s="21">
        <f>ROUND(F1300*B5/100/B10,2)</f>
        <v/>
      </c>
      <c r="E1301" s="21">
        <f>IF((ROUND(F1300-ROUND($B$13-D1301,2),2)&lt;=0),F1300,ROUND($B$13-D1301,2))</f>
        <v/>
      </c>
      <c r="F1301" s="21">
        <f>IF((ROUND(F1300-ROUND($B$13-D1301,2),2)&lt;=0),0,ROUND(F1300-E1301,2))</f>
        <v/>
      </c>
    </row>
    <row r="1302">
      <c r="A1302" s="6" t="n">
        <v>1286</v>
      </c>
      <c r="B1302" s="19">
        <f>IF(B8="monthly",DATE(YEAR(B7)+INT((MONTH(B7)-1+1285)/12),MOD(MONTH(B7)-1+1285,12)+1,1)+(DAY(B7)-1),IF(B8="weekly",B7+8995,IF(B8="biweekly",B7+17990,B7+ROUND((1285*365.25)/24,0))))</f>
        <v/>
      </c>
      <c r="C1302" s="21">
        <f>IF((ROUND(F1301-ROUND($B$13-D1302,2),2)&lt;=0),ROUND(D1302+E1302,2),$B$13)</f>
        <v/>
      </c>
      <c r="D1302" s="21">
        <f>ROUND(F1301*B5/100/B10,2)</f>
        <v/>
      </c>
      <c r="E1302" s="21">
        <f>IF((ROUND(F1301-ROUND($B$13-D1302,2),2)&lt;=0),F1301,ROUND($B$13-D1302,2))</f>
        <v/>
      </c>
      <c r="F1302" s="21">
        <f>IF((ROUND(F1301-ROUND($B$13-D1302,2),2)&lt;=0),0,ROUND(F1301-E1302,2))</f>
        <v/>
      </c>
    </row>
    <row r="1303">
      <c r="A1303" s="6" t="n">
        <v>1287</v>
      </c>
      <c r="B1303" s="19">
        <f>IF(B8="monthly",DATE(YEAR(B7)+INT((MONTH(B7)-1+1286)/12),MOD(MONTH(B7)-1+1286,12)+1,1)+(DAY(B7)-1),IF(B8="weekly",B7+9002,IF(B8="biweekly",B7+18004,B7+ROUND((1286*365.25)/24,0))))</f>
        <v/>
      </c>
      <c r="C1303" s="21">
        <f>IF((ROUND(F1302-ROUND($B$13-D1303,2),2)&lt;=0),ROUND(D1303+E1303,2),$B$13)</f>
        <v/>
      </c>
      <c r="D1303" s="21">
        <f>ROUND(F1302*B5/100/B10,2)</f>
        <v/>
      </c>
      <c r="E1303" s="21">
        <f>IF((ROUND(F1302-ROUND($B$13-D1303,2),2)&lt;=0),F1302,ROUND($B$13-D1303,2))</f>
        <v/>
      </c>
      <c r="F1303" s="21">
        <f>IF((ROUND(F1302-ROUND($B$13-D1303,2),2)&lt;=0),0,ROUND(F1302-E1303,2))</f>
        <v/>
      </c>
    </row>
    <row r="1304">
      <c r="A1304" s="6" t="n">
        <v>1288</v>
      </c>
      <c r="B1304" s="19">
        <f>IF(B8="monthly",DATE(YEAR(B7)+INT((MONTH(B7)-1+1287)/12),MOD(MONTH(B7)-1+1287,12)+1,1)+(DAY(B7)-1),IF(B8="weekly",B7+9009,IF(B8="biweekly",B7+18018,B7+ROUND((1287*365.25)/24,0))))</f>
        <v/>
      </c>
      <c r="C1304" s="21">
        <f>IF((ROUND(F1303-ROUND($B$13-D1304,2),2)&lt;=0),ROUND(D1304+E1304,2),$B$13)</f>
        <v/>
      </c>
      <c r="D1304" s="21">
        <f>ROUND(F1303*B5/100/B10,2)</f>
        <v/>
      </c>
      <c r="E1304" s="21">
        <f>IF((ROUND(F1303-ROUND($B$13-D1304,2),2)&lt;=0),F1303,ROUND($B$13-D1304,2))</f>
        <v/>
      </c>
      <c r="F1304" s="21">
        <f>IF((ROUND(F1303-ROUND($B$13-D1304,2),2)&lt;=0),0,ROUND(F1303-E1304,2))</f>
        <v/>
      </c>
    </row>
    <row r="1305">
      <c r="A1305" s="6" t="n">
        <v>1289</v>
      </c>
      <c r="B1305" s="19">
        <f>IF(B8="monthly",DATE(YEAR(B7)+INT((MONTH(B7)-1+1288)/12),MOD(MONTH(B7)-1+1288,12)+1,1)+(DAY(B7)-1),IF(B8="weekly",B7+9016,IF(B8="biweekly",B7+18032,B7+ROUND((1288*365.25)/24,0))))</f>
        <v/>
      </c>
      <c r="C1305" s="21">
        <f>IF((ROUND(F1304-ROUND($B$13-D1305,2),2)&lt;=0),ROUND(D1305+E1305,2),$B$13)</f>
        <v/>
      </c>
      <c r="D1305" s="21">
        <f>ROUND(F1304*B5/100/B10,2)</f>
        <v/>
      </c>
      <c r="E1305" s="21">
        <f>IF((ROUND(F1304-ROUND($B$13-D1305,2),2)&lt;=0),F1304,ROUND($B$13-D1305,2))</f>
        <v/>
      </c>
      <c r="F1305" s="21">
        <f>IF((ROUND(F1304-ROUND($B$13-D1305,2),2)&lt;=0),0,ROUND(F1304-E1305,2))</f>
        <v/>
      </c>
    </row>
    <row r="1306">
      <c r="A1306" s="6" t="n">
        <v>1290</v>
      </c>
      <c r="B1306" s="19">
        <f>IF(B8="monthly",DATE(YEAR(B7)+INT((MONTH(B7)-1+1289)/12),MOD(MONTH(B7)-1+1289,12)+1,1)+(DAY(B7)-1),IF(B8="weekly",B7+9023,IF(B8="biweekly",B7+18046,B7+ROUND((1289*365.25)/24,0))))</f>
        <v/>
      </c>
      <c r="C1306" s="21">
        <f>IF((ROUND(F1305-ROUND($B$13-D1306,2),2)&lt;=0),ROUND(D1306+E1306,2),$B$13)</f>
        <v/>
      </c>
      <c r="D1306" s="21">
        <f>ROUND(F1305*B5/100/B10,2)</f>
        <v/>
      </c>
      <c r="E1306" s="21">
        <f>IF((ROUND(F1305-ROUND($B$13-D1306,2),2)&lt;=0),F1305,ROUND($B$13-D1306,2))</f>
        <v/>
      </c>
      <c r="F1306" s="21">
        <f>IF((ROUND(F1305-ROUND($B$13-D1306,2),2)&lt;=0),0,ROUND(F1305-E1306,2))</f>
        <v/>
      </c>
    </row>
    <row r="1307">
      <c r="A1307" s="6" t="n">
        <v>1291</v>
      </c>
      <c r="B1307" s="19">
        <f>IF(B8="monthly",DATE(YEAR(B7)+INT((MONTH(B7)-1+1290)/12),MOD(MONTH(B7)-1+1290,12)+1,1)+(DAY(B7)-1),IF(B8="weekly",B7+9030,IF(B8="biweekly",B7+18060,B7+ROUND((1290*365.25)/24,0))))</f>
        <v/>
      </c>
      <c r="C1307" s="21">
        <f>IF((ROUND(F1306-ROUND($B$13-D1307,2),2)&lt;=0),ROUND(D1307+E1307,2),$B$13)</f>
        <v/>
      </c>
      <c r="D1307" s="21">
        <f>ROUND(F1306*B5/100/B10,2)</f>
        <v/>
      </c>
      <c r="E1307" s="21">
        <f>IF((ROUND(F1306-ROUND($B$13-D1307,2),2)&lt;=0),F1306,ROUND($B$13-D1307,2))</f>
        <v/>
      </c>
      <c r="F1307" s="21">
        <f>IF((ROUND(F1306-ROUND($B$13-D1307,2),2)&lt;=0),0,ROUND(F1306-E1307,2))</f>
        <v/>
      </c>
    </row>
    <row r="1308">
      <c r="A1308" s="6" t="n">
        <v>1292</v>
      </c>
      <c r="B1308" s="19">
        <f>IF(B8="monthly",DATE(YEAR(B7)+INT((MONTH(B7)-1+1291)/12),MOD(MONTH(B7)-1+1291,12)+1,1)+(DAY(B7)-1),IF(B8="weekly",B7+9037,IF(B8="biweekly",B7+18074,B7+ROUND((1291*365.25)/24,0))))</f>
        <v/>
      </c>
      <c r="C1308" s="21">
        <f>IF((ROUND(F1307-ROUND($B$13-D1308,2),2)&lt;=0),ROUND(D1308+E1308,2),$B$13)</f>
        <v/>
      </c>
      <c r="D1308" s="21">
        <f>ROUND(F1307*B5/100/B10,2)</f>
        <v/>
      </c>
      <c r="E1308" s="21">
        <f>IF((ROUND(F1307-ROUND($B$13-D1308,2),2)&lt;=0),F1307,ROUND($B$13-D1308,2))</f>
        <v/>
      </c>
      <c r="F1308" s="21">
        <f>IF((ROUND(F1307-ROUND($B$13-D1308,2),2)&lt;=0),0,ROUND(F1307-E1308,2))</f>
        <v/>
      </c>
    </row>
    <row r="1309">
      <c r="A1309" s="6" t="n">
        <v>1293</v>
      </c>
      <c r="B1309" s="19">
        <f>IF(B8="monthly",DATE(YEAR(B7)+INT((MONTH(B7)-1+1292)/12),MOD(MONTH(B7)-1+1292,12)+1,1)+(DAY(B7)-1),IF(B8="weekly",B7+9044,IF(B8="biweekly",B7+18088,B7+ROUND((1292*365.25)/24,0))))</f>
        <v/>
      </c>
      <c r="C1309" s="21">
        <f>IF((ROUND(F1308-ROUND($B$13-D1309,2),2)&lt;=0),ROUND(D1309+E1309,2),$B$13)</f>
        <v/>
      </c>
      <c r="D1309" s="21">
        <f>ROUND(F1308*B5/100/B10,2)</f>
        <v/>
      </c>
      <c r="E1309" s="21">
        <f>IF((ROUND(F1308-ROUND($B$13-D1309,2),2)&lt;=0),F1308,ROUND($B$13-D1309,2))</f>
        <v/>
      </c>
      <c r="F1309" s="21">
        <f>IF((ROUND(F1308-ROUND($B$13-D1309,2),2)&lt;=0),0,ROUND(F1308-E1309,2))</f>
        <v/>
      </c>
    </row>
    <row r="1310">
      <c r="A1310" s="6" t="n">
        <v>1294</v>
      </c>
      <c r="B1310" s="19">
        <f>IF(B8="monthly",DATE(YEAR(B7)+INT((MONTH(B7)-1+1293)/12),MOD(MONTH(B7)-1+1293,12)+1,1)+(DAY(B7)-1),IF(B8="weekly",B7+9051,IF(B8="biweekly",B7+18102,B7+ROUND((1293*365.25)/24,0))))</f>
        <v/>
      </c>
      <c r="C1310" s="21">
        <f>IF((ROUND(F1309-ROUND($B$13-D1310,2),2)&lt;=0),ROUND(D1310+E1310,2),$B$13)</f>
        <v/>
      </c>
      <c r="D1310" s="21">
        <f>ROUND(F1309*B5/100/B10,2)</f>
        <v/>
      </c>
      <c r="E1310" s="21">
        <f>IF((ROUND(F1309-ROUND($B$13-D1310,2),2)&lt;=0),F1309,ROUND($B$13-D1310,2))</f>
        <v/>
      </c>
      <c r="F1310" s="21">
        <f>IF((ROUND(F1309-ROUND($B$13-D1310,2),2)&lt;=0),0,ROUND(F1309-E1310,2))</f>
        <v/>
      </c>
    </row>
    <row r="1311">
      <c r="A1311" s="6" t="n">
        <v>1295</v>
      </c>
      <c r="B1311" s="19">
        <f>IF(B8="monthly",DATE(YEAR(B7)+INT((MONTH(B7)-1+1294)/12),MOD(MONTH(B7)-1+1294,12)+1,1)+(DAY(B7)-1),IF(B8="weekly",B7+9058,IF(B8="biweekly",B7+18116,B7+ROUND((1294*365.25)/24,0))))</f>
        <v/>
      </c>
      <c r="C1311" s="21">
        <f>IF((ROUND(F1310-ROUND($B$13-D1311,2),2)&lt;=0),ROUND(D1311+E1311,2),$B$13)</f>
        <v/>
      </c>
      <c r="D1311" s="21">
        <f>ROUND(F1310*B5/100/B10,2)</f>
        <v/>
      </c>
      <c r="E1311" s="21">
        <f>IF((ROUND(F1310-ROUND($B$13-D1311,2),2)&lt;=0),F1310,ROUND($B$13-D1311,2))</f>
        <v/>
      </c>
      <c r="F1311" s="21">
        <f>IF((ROUND(F1310-ROUND($B$13-D1311,2),2)&lt;=0),0,ROUND(F1310-E1311,2))</f>
        <v/>
      </c>
    </row>
    <row r="1312">
      <c r="A1312" s="6" t="n">
        <v>1296</v>
      </c>
      <c r="B1312" s="19">
        <f>IF(B8="monthly",DATE(YEAR(B7)+INT((MONTH(B7)-1+1295)/12),MOD(MONTH(B7)-1+1295,12)+1,1)+(DAY(B7)-1),IF(B8="weekly",B7+9065,IF(B8="biweekly",B7+18130,B7+ROUND((1295*365.25)/24,0))))</f>
        <v/>
      </c>
      <c r="C1312" s="21">
        <f>IF((ROUND(F1311-ROUND($B$13-D1312,2),2)&lt;=0),ROUND(D1312+E1312,2),$B$13)</f>
        <v/>
      </c>
      <c r="D1312" s="21">
        <f>ROUND(F1311*B5/100/B10,2)</f>
        <v/>
      </c>
      <c r="E1312" s="21">
        <f>IF((ROUND(F1311-ROUND($B$13-D1312,2),2)&lt;=0),F1311,ROUND($B$13-D1312,2))</f>
        <v/>
      </c>
      <c r="F1312" s="21">
        <f>IF((ROUND(F1311-ROUND($B$13-D1312,2),2)&lt;=0),0,ROUND(F1311-E1312,2))</f>
        <v/>
      </c>
    </row>
    <row r="1313">
      <c r="A1313" s="6" t="n">
        <v>1297</v>
      </c>
      <c r="B1313" s="19">
        <f>IF(B8="monthly",DATE(YEAR(B7)+INT((MONTH(B7)-1+1296)/12),MOD(MONTH(B7)-1+1296,12)+1,1)+(DAY(B7)-1),IF(B8="weekly",B7+9072,IF(B8="biweekly",B7+18144,B7+ROUND((1296*365.25)/24,0))))</f>
        <v/>
      </c>
      <c r="C1313" s="21">
        <f>IF((ROUND(F1312-ROUND($B$13-D1313,2),2)&lt;=0),ROUND(D1313+E1313,2),$B$13)</f>
        <v/>
      </c>
      <c r="D1313" s="21">
        <f>ROUND(F1312*B5/100/B10,2)</f>
        <v/>
      </c>
      <c r="E1313" s="21">
        <f>IF((ROUND(F1312-ROUND($B$13-D1313,2),2)&lt;=0),F1312,ROUND($B$13-D1313,2))</f>
        <v/>
      </c>
      <c r="F1313" s="21">
        <f>IF((ROUND(F1312-ROUND($B$13-D1313,2),2)&lt;=0),0,ROUND(F1312-E1313,2))</f>
        <v/>
      </c>
    </row>
    <row r="1314">
      <c r="A1314" s="6" t="n">
        <v>1298</v>
      </c>
      <c r="B1314" s="19">
        <f>IF(B8="monthly",DATE(YEAR(B7)+INT((MONTH(B7)-1+1297)/12),MOD(MONTH(B7)-1+1297,12)+1,1)+(DAY(B7)-1),IF(B8="weekly",B7+9079,IF(B8="biweekly",B7+18158,B7+ROUND((1297*365.25)/24,0))))</f>
        <v/>
      </c>
      <c r="C1314" s="21">
        <f>IF((ROUND(F1313-ROUND($B$13-D1314,2),2)&lt;=0),ROUND(D1314+E1314,2),$B$13)</f>
        <v/>
      </c>
      <c r="D1314" s="21">
        <f>ROUND(F1313*B5/100/B10,2)</f>
        <v/>
      </c>
      <c r="E1314" s="21">
        <f>IF((ROUND(F1313-ROUND($B$13-D1314,2),2)&lt;=0),F1313,ROUND($B$13-D1314,2))</f>
        <v/>
      </c>
      <c r="F1314" s="21">
        <f>IF((ROUND(F1313-ROUND($B$13-D1314,2),2)&lt;=0),0,ROUND(F1313-E1314,2))</f>
        <v/>
      </c>
    </row>
    <row r="1315">
      <c r="A1315" s="6" t="n">
        <v>1299</v>
      </c>
      <c r="B1315" s="19">
        <f>IF(B8="monthly",DATE(YEAR(B7)+INT((MONTH(B7)-1+1298)/12),MOD(MONTH(B7)-1+1298,12)+1,1)+(DAY(B7)-1),IF(B8="weekly",B7+9086,IF(B8="biweekly",B7+18172,B7+ROUND((1298*365.25)/24,0))))</f>
        <v/>
      </c>
      <c r="C1315" s="21">
        <f>IF((ROUND(F1314-ROUND($B$13-D1315,2),2)&lt;=0),ROUND(D1315+E1315,2),$B$13)</f>
        <v/>
      </c>
      <c r="D1315" s="21">
        <f>ROUND(F1314*B5/100/B10,2)</f>
        <v/>
      </c>
      <c r="E1315" s="21">
        <f>IF((ROUND(F1314-ROUND($B$13-D1315,2),2)&lt;=0),F1314,ROUND($B$13-D1315,2))</f>
        <v/>
      </c>
      <c r="F1315" s="21">
        <f>IF((ROUND(F1314-ROUND($B$13-D1315,2),2)&lt;=0),0,ROUND(F1314-E1315,2))</f>
        <v/>
      </c>
    </row>
    <row r="1316">
      <c r="A1316" s="6" t="n">
        <v>1300</v>
      </c>
      <c r="B1316" s="19">
        <f>IF(B8="monthly",DATE(YEAR(B7)+INT((MONTH(B7)-1+1299)/12),MOD(MONTH(B7)-1+1299,12)+1,1)+(DAY(B7)-1),IF(B8="weekly",B7+9093,IF(B8="biweekly",B7+18186,B7+ROUND((1299*365.25)/24,0))))</f>
        <v/>
      </c>
      <c r="C1316" s="21">
        <f>IF((ROUND(F1315-ROUND($B$13-D1316,2),2)&lt;=0),ROUND(D1316+E1316,2),$B$13)</f>
        <v/>
      </c>
      <c r="D1316" s="21">
        <f>ROUND(F1315*B5/100/B10,2)</f>
        <v/>
      </c>
      <c r="E1316" s="21">
        <f>IF((ROUND(F1315-ROUND($B$13-D1316,2),2)&lt;=0),F1315,ROUND($B$13-D1316,2))</f>
        <v/>
      </c>
      <c r="F1316" s="21">
        <f>IF((ROUND(F1315-ROUND($B$13-D1316,2),2)&lt;=0),0,ROUND(F1315-E1316,2))</f>
        <v/>
      </c>
    </row>
    <row r="1317">
      <c r="A1317" s="6" t="n">
        <v>1301</v>
      </c>
      <c r="B1317" s="19">
        <f>IF(B8="monthly",DATE(YEAR(B7)+INT((MONTH(B7)-1+1300)/12),MOD(MONTH(B7)-1+1300,12)+1,1)+(DAY(B7)-1),IF(B8="weekly",B7+9100,IF(B8="biweekly",B7+18200,B7+ROUND((1300*365.25)/24,0))))</f>
        <v/>
      </c>
      <c r="C1317" s="21">
        <f>IF((ROUND(F1316-ROUND($B$13-D1317,2),2)&lt;=0),ROUND(D1317+E1317,2),$B$13)</f>
        <v/>
      </c>
      <c r="D1317" s="21">
        <f>ROUND(F1316*B5/100/B10,2)</f>
        <v/>
      </c>
      <c r="E1317" s="21">
        <f>IF((ROUND(F1316-ROUND($B$13-D1317,2),2)&lt;=0),F1316,ROUND($B$13-D1317,2))</f>
        <v/>
      </c>
      <c r="F1317" s="21">
        <f>IF((ROUND(F1316-ROUND($B$13-D1317,2),2)&lt;=0),0,ROUND(F1316-E1317,2))</f>
        <v/>
      </c>
    </row>
    <row r="1318">
      <c r="A1318" s="6" t="n">
        <v>1302</v>
      </c>
      <c r="B1318" s="19">
        <f>IF(B8="monthly",DATE(YEAR(B7)+INT((MONTH(B7)-1+1301)/12),MOD(MONTH(B7)-1+1301,12)+1,1)+(DAY(B7)-1),IF(B8="weekly",B7+9107,IF(B8="biweekly",B7+18214,B7+ROUND((1301*365.25)/24,0))))</f>
        <v/>
      </c>
      <c r="C1318" s="21">
        <f>IF((ROUND(F1317-ROUND($B$13-D1318,2),2)&lt;=0),ROUND(D1318+E1318,2),$B$13)</f>
        <v/>
      </c>
      <c r="D1318" s="21">
        <f>ROUND(F1317*B5/100/B10,2)</f>
        <v/>
      </c>
      <c r="E1318" s="21">
        <f>IF((ROUND(F1317-ROUND($B$13-D1318,2),2)&lt;=0),F1317,ROUND($B$13-D1318,2))</f>
        <v/>
      </c>
      <c r="F1318" s="21">
        <f>IF((ROUND(F1317-ROUND($B$13-D1318,2),2)&lt;=0),0,ROUND(F1317-E1318,2))</f>
        <v/>
      </c>
    </row>
    <row r="1319">
      <c r="A1319" s="6" t="n">
        <v>1303</v>
      </c>
      <c r="B1319" s="19">
        <f>IF(B8="monthly",DATE(YEAR(B7)+INT((MONTH(B7)-1+1302)/12),MOD(MONTH(B7)-1+1302,12)+1,1)+(DAY(B7)-1),IF(B8="weekly",B7+9114,IF(B8="biweekly",B7+18228,B7+ROUND((1302*365.25)/24,0))))</f>
        <v/>
      </c>
      <c r="C1319" s="21">
        <f>IF((ROUND(F1318-ROUND($B$13-D1319,2),2)&lt;=0),ROUND(D1319+E1319,2),$B$13)</f>
        <v/>
      </c>
      <c r="D1319" s="21">
        <f>ROUND(F1318*B5/100/B10,2)</f>
        <v/>
      </c>
      <c r="E1319" s="21">
        <f>IF((ROUND(F1318-ROUND($B$13-D1319,2),2)&lt;=0),F1318,ROUND($B$13-D1319,2))</f>
        <v/>
      </c>
      <c r="F1319" s="21">
        <f>IF((ROUND(F1318-ROUND($B$13-D1319,2),2)&lt;=0),0,ROUND(F1318-E1319,2))</f>
        <v/>
      </c>
    </row>
    <row r="1320">
      <c r="A1320" s="6" t="n">
        <v>1304</v>
      </c>
      <c r="B1320" s="19">
        <f>IF(B8="monthly",DATE(YEAR(B7)+INT((MONTH(B7)-1+1303)/12),MOD(MONTH(B7)-1+1303,12)+1,1)+(DAY(B7)-1),IF(B8="weekly",B7+9121,IF(B8="biweekly",B7+18242,B7+ROUND((1303*365.25)/24,0))))</f>
        <v/>
      </c>
      <c r="C1320" s="21">
        <f>IF((ROUND(F1319-ROUND($B$13-D1320,2),2)&lt;=0),ROUND(D1320+E1320,2),$B$13)</f>
        <v/>
      </c>
      <c r="D1320" s="21">
        <f>ROUND(F1319*B5/100/B10,2)</f>
        <v/>
      </c>
      <c r="E1320" s="21">
        <f>IF((ROUND(F1319-ROUND($B$13-D1320,2),2)&lt;=0),F1319,ROUND($B$13-D1320,2))</f>
        <v/>
      </c>
      <c r="F1320" s="21">
        <f>IF((ROUND(F1319-ROUND($B$13-D1320,2),2)&lt;=0),0,ROUND(F1319-E1320,2))</f>
        <v/>
      </c>
    </row>
    <row r="1321">
      <c r="A1321" s="6" t="n">
        <v>1305</v>
      </c>
      <c r="B1321" s="19">
        <f>IF(B8="monthly",DATE(YEAR(B7)+INT((MONTH(B7)-1+1304)/12),MOD(MONTH(B7)-1+1304,12)+1,1)+(DAY(B7)-1),IF(B8="weekly",B7+9128,IF(B8="biweekly",B7+18256,B7+ROUND((1304*365.25)/24,0))))</f>
        <v/>
      </c>
      <c r="C1321" s="21">
        <f>IF((ROUND(F1320-ROUND($B$13-D1321,2),2)&lt;=0),ROUND(D1321+E1321,2),$B$13)</f>
        <v/>
      </c>
      <c r="D1321" s="21">
        <f>ROUND(F1320*B5/100/B10,2)</f>
        <v/>
      </c>
      <c r="E1321" s="21">
        <f>IF((ROUND(F1320-ROUND($B$13-D1321,2),2)&lt;=0),F1320,ROUND($B$13-D1321,2))</f>
        <v/>
      </c>
      <c r="F1321" s="21">
        <f>IF((ROUND(F1320-ROUND($B$13-D1321,2),2)&lt;=0),0,ROUND(F1320-E1321,2))</f>
        <v/>
      </c>
    </row>
    <row r="1322">
      <c r="A1322" s="6" t="n">
        <v>1306</v>
      </c>
      <c r="B1322" s="19">
        <f>IF(B8="monthly",DATE(YEAR(B7)+INT((MONTH(B7)-1+1305)/12),MOD(MONTH(B7)-1+1305,12)+1,1)+(DAY(B7)-1),IF(B8="weekly",B7+9135,IF(B8="biweekly",B7+18270,B7+ROUND((1305*365.25)/24,0))))</f>
        <v/>
      </c>
      <c r="C1322" s="21">
        <f>IF((ROUND(F1321-ROUND($B$13-D1322,2),2)&lt;=0),ROUND(D1322+E1322,2),$B$13)</f>
        <v/>
      </c>
      <c r="D1322" s="21">
        <f>ROUND(F1321*B5/100/B10,2)</f>
        <v/>
      </c>
      <c r="E1322" s="21">
        <f>IF((ROUND(F1321-ROUND($B$13-D1322,2),2)&lt;=0),F1321,ROUND($B$13-D1322,2))</f>
        <v/>
      </c>
      <c r="F1322" s="21">
        <f>IF((ROUND(F1321-ROUND($B$13-D1322,2),2)&lt;=0),0,ROUND(F1321-E1322,2))</f>
        <v/>
      </c>
    </row>
    <row r="1323">
      <c r="A1323" s="6" t="n">
        <v>1307</v>
      </c>
      <c r="B1323" s="19">
        <f>IF(B8="monthly",DATE(YEAR(B7)+INT((MONTH(B7)-1+1306)/12),MOD(MONTH(B7)-1+1306,12)+1,1)+(DAY(B7)-1),IF(B8="weekly",B7+9142,IF(B8="biweekly",B7+18284,B7+ROUND((1306*365.25)/24,0))))</f>
        <v/>
      </c>
      <c r="C1323" s="21">
        <f>IF((ROUND(F1322-ROUND($B$13-D1323,2),2)&lt;=0),ROUND(D1323+E1323,2),$B$13)</f>
        <v/>
      </c>
      <c r="D1323" s="21">
        <f>ROUND(F1322*B5/100/B10,2)</f>
        <v/>
      </c>
      <c r="E1323" s="21">
        <f>IF((ROUND(F1322-ROUND($B$13-D1323,2),2)&lt;=0),F1322,ROUND($B$13-D1323,2))</f>
        <v/>
      </c>
      <c r="F1323" s="21">
        <f>IF((ROUND(F1322-ROUND($B$13-D1323,2),2)&lt;=0),0,ROUND(F1322-E1323,2))</f>
        <v/>
      </c>
    </row>
    <row r="1324">
      <c r="A1324" s="6" t="n">
        <v>1308</v>
      </c>
      <c r="B1324" s="19">
        <f>IF(B8="monthly",DATE(YEAR(B7)+INT((MONTH(B7)-1+1307)/12),MOD(MONTH(B7)-1+1307,12)+1,1)+(DAY(B7)-1),IF(B8="weekly",B7+9149,IF(B8="biweekly",B7+18298,B7+ROUND((1307*365.25)/24,0))))</f>
        <v/>
      </c>
      <c r="C1324" s="21">
        <f>IF((ROUND(F1323-ROUND($B$13-D1324,2),2)&lt;=0),ROUND(D1324+E1324,2),$B$13)</f>
        <v/>
      </c>
      <c r="D1324" s="21">
        <f>ROUND(F1323*B5/100/B10,2)</f>
        <v/>
      </c>
      <c r="E1324" s="21">
        <f>IF((ROUND(F1323-ROUND($B$13-D1324,2),2)&lt;=0),F1323,ROUND($B$13-D1324,2))</f>
        <v/>
      </c>
      <c r="F1324" s="21">
        <f>IF((ROUND(F1323-ROUND($B$13-D1324,2),2)&lt;=0),0,ROUND(F1323-E1324,2))</f>
        <v/>
      </c>
    </row>
    <row r="1325">
      <c r="A1325" s="6" t="n">
        <v>1309</v>
      </c>
      <c r="B1325" s="19">
        <f>IF(B8="monthly",DATE(YEAR(B7)+INT((MONTH(B7)-1+1308)/12),MOD(MONTH(B7)-1+1308,12)+1,1)+(DAY(B7)-1),IF(B8="weekly",B7+9156,IF(B8="biweekly",B7+18312,B7+ROUND((1308*365.25)/24,0))))</f>
        <v/>
      </c>
      <c r="C1325" s="21">
        <f>IF((ROUND(F1324-ROUND($B$13-D1325,2),2)&lt;=0),ROUND(D1325+E1325,2),$B$13)</f>
        <v/>
      </c>
      <c r="D1325" s="21">
        <f>ROUND(F1324*B5/100/B10,2)</f>
        <v/>
      </c>
      <c r="E1325" s="21">
        <f>IF((ROUND(F1324-ROUND($B$13-D1325,2),2)&lt;=0),F1324,ROUND($B$13-D1325,2))</f>
        <v/>
      </c>
      <c r="F1325" s="21">
        <f>IF((ROUND(F1324-ROUND($B$13-D1325,2),2)&lt;=0),0,ROUND(F1324-E1325,2))</f>
        <v/>
      </c>
    </row>
    <row r="1326">
      <c r="A1326" s="6" t="n">
        <v>1310</v>
      </c>
      <c r="B1326" s="19">
        <f>IF(B8="monthly",DATE(YEAR(B7)+INT((MONTH(B7)-1+1309)/12),MOD(MONTH(B7)-1+1309,12)+1,1)+(DAY(B7)-1),IF(B8="weekly",B7+9163,IF(B8="biweekly",B7+18326,B7+ROUND((1309*365.25)/24,0))))</f>
        <v/>
      </c>
      <c r="C1326" s="21">
        <f>IF((ROUND(F1325-ROUND($B$13-D1326,2),2)&lt;=0),ROUND(D1326+E1326,2),$B$13)</f>
        <v/>
      </c>
      <c r="D1326" s="21">
        <f>ROUND(F1325*B5/100/B10,2)</f>
        <v/>
      </c>
      <c r="E1326" s="21">
        <f>IF((ROUND(F1325-ROUND($B$13-D1326,2),2)&lt;=0),F1325,ROUND($B$13-D1326,2))</f>
        <v/>
      </c>
      <c r="F1326" s="21">
        <f>IF((ROUND(F1325-ROUND($B$13-D1326,2),2)&lt;=0),0,ROUND(F1325-E1326,2))</f>
        <v/>
      </c>
    </row>
    <row r="1327">
      <c r="A1327" s="6" t="n">
        <v>1311</v>
      </c>
      <c r="B1327" s="19">
        <f>IF(B8="monthly",DATE(YEAR(B7)+INT((MONTH(B7)-1+1310)/12),MOD(MONTH(B7)-1+1310,12)+1,1)+(DAY(B7)-1),IF(B8="weekly",B7+9170,IF(B8="biweekly",B7+18340,B7+ROUND((1310*365.25)/24,0))))</f>
        <v/>
      </c>
      <c r="C1327" s="21">
        <f>IF((ROUND(F1326-ROUND($B$13-D1327,2),2)&lt;=0),ROUND(D1327+E1327,2),$B$13)</f>
        <v/>
      </c>
      <c r="D1327" s="21">
        <f>ROUND(F1326*B5/100/B10,2)</f>
        <v/>
      </c>
      <c r="E1327" s="21">
        <f>IF((ROUND(F1326-ROUND($B$13-D1327,2),2)&lt;=0),F1326,ROUND($B$13-D1327,2))</f>
        <v/>
      </c>
      <c r="F1327" s="21">
        <f>IF((ROUND(F1326-ROUND($B$13-D1327,2),2)&lt;=0),0,ROUND(F1326-E1327,2))</f>
        <v/>
      </c>
    </row>
    <row r="1328">
      <c r="A1328" s="6" t="n">
        <v>1312</v>
      </c>
      <c r="B1328" s="19">
        <f>IF(B8="monthly",DATE(YEAR(B7)+INT((MONTH(B7)-1+1311)/12),MOD(MONTH(B7)-1+1311,12)+1,1)+(DAY(B7)-1),IF(B8="weekly",B7+9177,IF(B8="biweekly",B7+18354,B7+ROUND((1311*365.25)/24,0))))</f>
        <v/>
      </c>
      <c r="C1328" s="21">
        <f>IF((ROUND(F1327-ROUND($B$13-D1328,2),2)&lt;=0),ROUND(D1328+E1328,2),$B$13)</f>
        <v/>
      </c>
      <c r="D1328" s="21">
        <f>ROUND(F1327*B5/100/B10,2)</f>
        <v/>
      </c>
      <c r="E1328" s="21">
        <f>IF((ROUND(F1327-ROUND($B$13-D1328,2),2)&lt;=0),F1327,ROUND($B$13-D1328,2))</f>
        <v/>
      </c>
      <c r="F1328" s="21">
        <f>IF((ROUND(F1327-ROUND($B$13-D1328,2),2)&lt;=0),0,ROUND(F1327-E1328,2))</f>
        <v/>
      </c>
    </row>
    <row r="1329">
      <c r="A1329" s="6" t="n">
        <v>1313</v>
      </c>
      <c r="B1329" s="19">
        <f>IF(B8="monthly",DATE(YEAR(B7)+INT((MONTH(B7)-1+1312)/12),MOD(MONTH(B7)-1+1312,12)+1,1)+(DAY(B7)-1),IF(B8="weekly",B7+9184,IF(B8="biweekly",B7+18368,B7+ROUND((1312*365.25)/24,0))))</f>
        <v/>
      </c>
      <c r="C1329" s="21">
        <f>IF((ROUND(F1328-ROUND($B$13-D1329,2),2)&lt;=0),ROUND(D1329+E1329,2),$B$13)</f>
        <v/>
      </c>
      <c r="D1329" s="21">
        <f>ROUND(F1328*B5/100/B10,2)</f>
        <v/>
      </c>
      <c r="E1329" s="21">
        <f>IF((ROUND(F1328-ROUND($B$13-D1329,2),2)&lt;=0),F1328,ROUND($B$13-D1329,2))</f>
        <v/>
      </c>
      <c r="F1329" s="21">
        <f>IF((ROUND(F1328-ROUND($B$13-D1329,2),2)&lt;=0),0,ROUND(F1328-E1329,2))</f>
        <v/>
      </c>
    </row>
    <row r="1330">
      <c r="A1330" s="6" t="n">
        <v>1314</v>
      </c>
      <c r="B1330" s="19">
        <f>IF(B8="monthly",DATE(YEAR(B7)+INT((MONTH(B7)-1+1313)/12),MOD(MONTH(B7)-1+1313,12)+1,1)+(DAY(B7)-1),IF(B8="weekly",B7+9191,IF(B8="biweekly",B7+18382,B7+ROUND((1313*365.25)/24,0))))</f>
        <v/>
      </c>
      <c r="C1330" s="21">
        <f>IF((ROUND(F1329-ROUND($B$13-D1330,2),2)&lt;=0),ROUND(D1330+E1330,2),$B$13)</f>
        <v/>
      </c>
      <c r="D1330" s="21">
        <f>ROUND(F1329*B5/100/B10,2)</f>
        <v/>
      </c>
      <c r="E1330" s="21">
        <f>IF((ROUND(F1329-ROUND($B$13-D1330,2),2)&lt;=0),F1329,ROUND($B$13-D1330,2))</f>
        <v/>
      </c>
      <c r="F1330" s="21">
        <f>IF((ROUND(F1329-ROUND($B$13-D1330,2),2)&lt;=0),0,ROUND(F1329-E1330,2))</f>
        <v/>
      </c>
    </row>
    <row r="1331">
      <c r="A1331" s="6" t="n">
        <v>1315</v>
      </c>
      <c r="B1331" s="19">
        <f>IF(B8="monthly",DATE(YEAR(B7)+INT((MONTH(B7)-1+1314)/12),MOD(MONTH(B7)-1+1314,12)+1,1)+(DAY(B7)-1),IF(B8="weekly",B7+9198,IF(B8="biweekly",B7+18396,B7+ROUND((1314*365.25)/24,0))))</f>
        <v/>
      </c>
      <c r="C1331" s="21">
        <f>IF((ROUND(F1330-ROUND($B$13-D1331,2),2)&lt;=0),ROUND(D1331+E1331,2),$B$13)</f>
        <v/>
      </c>
      <c r="D1331" s="21">
        <f>ROUND(F1330*B5/100/B10,2)</f>
        <v/>
      </c>
      <c r="E1331" s="21">
        <f>IF((ROUND(F1330-ROUND($B$13-D1331,2),2)&lt;=0),F1330,ROUND($B$13-D1331,2))</f>
        <v/>
      </c>
      <c r="F1331" s="21">
        <f>IF((ROUND(F1330-ROUND($B$13-D1331,2),2)&lt;=0),0,ROUND(F1330-E1331,2))</f>
        <v/>
      </c>
    </row>
    <row r="1332">
      <c r="A1332" s="6" t="n">
        <v>1316</v>
      </c>
      <c r="B1332" s="19">
        <f>IF(B8="monthly",DATE(YEAR(B7)+INT((MONTH(B7)-1+1315)/12),MOD(MONTH(B7)-1+1315,12)+1,1)+(DAY(B7)-1),IF(B8="weekly",B7+9205,IF(B8="biweekly",B7+18410,B7+ROUND((1315*365.25)/24,0))))</f>
        <v/>
      </c>
      <c r="C1332" s="21">
        <f>IF((ROUND(F1331-ROUND($B$13-D1332,2),2)&lt;=0),ROUND(D1332+E1332,2),$B$13)</f>
        <v/>
      </c>
      <c r="D1332" s="21">
        <f>ROUND(F1331*B5/100/B10,2)</f>
        <v/>
      </c>
      <c r="E1332" s="21">
        <f>IF((ROUND(F1331-ROUND($B$13-D1332,2),2)&lt;=0),F1331,ROUND($B$13-D1332,2))</f>
        <v/>
      </c>
      <c r="F1332" s="21">
        <f>IF((ROUND(F1331-ROUND($B$13-D1332,2),2)&lt;=0),0,ROUND(F1331-E1332,2))</f>
        <v/>
      </c>
    </row>
    <row r="1333">
      <c r="A1333" s="6" t="n">
        <v>1317</v>
      </c>
      <c r="B1333" s="19">
        <f>IF(B8="monthly",DATE(YEAR(B7)+INT((MONTH(B7)-1+1316)/12),MOD(MONTH(B7)-1+1316,12)+1,1)+(DAY(B7)-1),IF(B8="weekly",B7+9212,IF(B8="biweekly",B7+18424,B7+ROUND((1316*365.25)/24,0))))</f>
        <v/>
      </c>
      <c r="C1333" s="21">
        <f>IF((ROUND(F1332-ROUND($B$13-D1333,2),2)&lt;=0),ROUND(D1333+E1333,2),$B$13)</f>
        <v/>
      </c>
      <c r="D1333" s="21">
        <f>ROUND(F1332*B5/100/B10,2)</f>
        <v/>
      </c>
      <c r="E1333" s="21">
        <f>IF((ROUND(F1332-ROUND($B$13-D1333,2),2)&lt;=0),F1332,ROUND($B$13-D1333,2))</f>
        <v/>
      </c>
      <c r="F1333" s="21">
        <f>IF((ROUND(F1332-ROUND($B$13-D1333,2),2)&lt;=0),0,ROUND(F1332-E1333,2))</f>
        <v/>
      </c>
    </row>
    <row r="1334">
      <c r="A1334" s="6" t="n">
        <v>1318</v>
      </c>
      <c r="B1334" s="19">
        <f>IF(B8="monthly",DATE(YEAR(B7)+INT((MONTH(B7)-1+1317)/12),MOD(MONTH(B7)-1+1317,12)+1,1)+(DAY(B7)-1),IF(B8="weekly",B7+9219,IF(B8="biweekly",B7+18438,B7+ROUND((1317*365.25)/24,0))))</f>
        <v/>
      </c>
      <c r="C1334" s="21">
        <f>IF((ROUND(F1333-ROUND($B$13-D1334,2),2)&lt;=0),ROUND(D1334+E1334,2),$B$13)</f>
        <v/>
      </c>
      <c r="D1334" s="21">
        <f>ROUND(F1333*B5/100/B10,2)</f>
        <v/>
      </c>
      <c r="E1334" s="21">
        <f>IF((ROUND(F1333-ROUND($B$13-D1334,2),2)&lt;=0),F1333,ROUND($B$13-D1334,2))</f>
        <v/>
      </c>
      <c r="F1334" s="21">
        <f>IF((ROUND(F1333-ROUND($B$13-D1334,2),2)&lt;=0),0,ROUND(F1333-E1334,2))</f>
        <v/>
      </c>
    </row>
    <row r="1335">
      <c r="A1335" s="6" t="n">
        <v>1319</v>
      </c>
      <c r="B1335" s="19">
        <f>IF(B8="monthly",DATE(YEAR(B7)+INT((MONTH(B7)-1+1318)/12),MOD(MONTH(B7)-1+1318,12)+1,1)+(DAY(B7)-1),IF(B8="weekly",B7+9226,IF(B8="biweekly",B7+18452,B7+ROUND((1318*365.25)/24,0))))</f>
        <v/>
      </c>
      <c r="C1335" s="21">
        <f>IF((ROUND(F1334-ROUND($B$13-D1335,2),2)&lt;=0),ROUND(D1335+E1335,2),$B$13)</f>
        <v/>
      </c>
      <c r="D1335" s="21">
        <f>ROUND(F1334*B5/100/B10,2)</f>
        <v/>
      </c>
      <c r="E1335" s="21">
        <f>IF((ROUND(F1334-ROUND($B$13-D1335,2),2)&lt;=0),F1334,ROUND($B$13-D1335,2))</f>
        <v/>
      </c>
      <c r="F1335" s="21">
        <f>IF((ROUND(F1334-ROUND($B$13-D1335,2),2)&lt;=0),0,ROUND(F1334-E1335,2))</f>
        <v/>
      </c>
    </row>
    <row r="1336">
      <c r="A1336" s="6" t="n">
        <v>1320</v>
      </c>
      <c r="B1336" s="19">
        <f>IF(B8="monthly",DATE(YEAR(B7)+INT((MONTH(B7)-1+1319)/12),MOD(MONTH(B7)-1+1319,12)+1,1)+(DAY(B7)-1),IF(B8="weekly",B7+9233,IF(B8="biweekly",B7+18466,B7+ROUND((1319*365.25)/24,0))))</f>
        <v/>
      </c>
      <c r="C1336" s="21">
        <f>IF((ROUND(F1335-ROUND($B$13-D1336,2),2)&lt;=0),ROUND(D1336+E1336,2),$B$13)</f>
        <v/>
      </c>
      <c r="D1336" s="21">
        <f>ROUND(F1335*B5/100/B10,2)</f>
        <v/>
      </c>
      <c r="E1336" s="21">
        <f>IF((ROUND(F1335-ROUND($B$13-D1336,2),2)&lt;=0),F1335,ROUND($B$13-D1336,2))</f>
        <v/>
      </c>
      <c r="F1336" s="21">
        <f>IF((ROUND(F1335-ROUND($B$13-D1336,2),2)&lt;=0),0,ROUND(F1335-E1336,2))</f>
        <v/>
      </c>
    </row>
    <row r="1337">
      <c r="A1337" s="6" t="n">
        <v>1321</v>
      </c>
      <c r="B1337" s="19">
        <f>IF(B8="monthly",DATE(YEAR(B7)+INT((MONTH(B7)-1+1320)/12),MOD(MONTH(B7)-1+1320,12)+1,1)+(DAY(B7)-1),IF(B8="weekly",B7+9240,IF(B8="biweekly",B7+18480,B7+ROUND((1320*365.25)/24,0))))</f>
        <v/>
      </c>
      <c r="C1337" s="21">
        <f>IF((ROUND(F1336-ROUND($B$13-D1337,2),2)&lt;=0),ROUND(D1337+E1337,2),$B$13)</f>
        <v/>
      </c>
      <c r="D1337" s="21">
        <f>ROUND(F1336*B5/100/B10,2)</f>
        <v/>
      </c>
      <c r="E1337" s="21">
        <f>IF((ROUND(F1336-ROUND($B$13-D1337,2),2)&lt;=0),F1336,ROUND($B$13-D1337,2))</f>
        <v/>
      </c>
      <c r="F1337" s="21">
        <f>IF((ROUND(F1336-ROUND($B$13-D1337,2),2)&lt;=0),0,ROUND(F1336-E1337,2))</f>
        <v/>
      </c>
    </row>
    <row r="1338">
      <c r="A1338" s="6" t="n">
        <v>1322</v>
      </c>
      <c r="B1338" s="19">
        <f>IF(B8="monthly",DATE(YEAR(B7)+INT((MONTH(B7)-1+1321)/12),MOD(MONTH(B7)-1+1321,12)+1,1)+(DAY(B7)-1),IF(B8="weekly",B7+9247,IF(B8="biweekly",B7+18494,B7+ROUND((1321*365.25)/24,0))))</f>
        <v/>
      </c>
      <c r="C1338" s="21">
        <f>IF((ROUND(F1337-ROUND($B$13-D1338,2),2)&lt;=0),ROUND(D1338+E1338,2),$B$13)</f>
        <v/>
      </c>
      <c r="D1338" s="21">
        <f>ROUND(F1337*B5/100/B10,2)</f>
        <v/>
      </c>
      <c r="E1338" s="21">
        <f>IF((ROUND(F1337-ROUND($B$13-D1338,2),2)&lt;=0),F1337,ROUND($B$13-D1338,2))</f>
        <v/>
      </c>
      <c r="F1338" s="21">
        <f>IF((ROUND(F1337-ROUND($B$13-D1338,2),2)&lt;=0),0,ROUND(F1337-E1338,2))</f>
        <v/>
      </c>
    </row>
    <row r="1339">
      <c r="A1339" s="6" t="n">
        <v>1323</v>
      </c>
      <c r="B1339" s="19">
        <f>IF(B8="monthly",DATE(YEAR(B7)+INT((MONTH(B7)-1+1322)/12),MOD(MONTH(B7)-1+1322,12)+1,1)+(DAY(B7)-1),IF(B8="weekly",B7+9254,IF(B8="biweekly",B7+18508,B7+ROUND((1322*365.25)/24,0))))</f>
        <v/>
      </c>
      <c r="C1339" s="21">
        <f>IF((ROUND(F1338-ROUND($B$13-D1339,2),2)&lt;=0),ROUND(D1339+E1339,2),$B$13)</f>
        <v/>
      </c>
      <c r="D1339" s="21">
        <f>ROUND(F1338*B5/100/B10,2)</f>
        <v/>
      </c>
      <c r="E1339" s="21">
        <f>IF((ROUND(F1338-ROUND($B$13-D1339,2),2)&lt;=0),F1338,ROUND($B$13-D1339,2))</f>
        <v/>
      </c>
      <c r="F1339" s="21">
        <f>IF((ROUND(F1338-ROUND($B$13-D1339,2),2)&lt;=0),0,ROUND(F1338-E1339,2))</f>
        <v/>
      </c>
    </row>
    <row r="1340">
      <c r="A1340" s="6" t="n">
        <v>1324</v>
      </c>
      <c r="B1340" s="19">
        <f>IF(B8="monthly",DATE(YEAR(B7)+INT((MONTH(B7)-1+1323)/12),MOD(MONTH(B7)-1+1323,12)+1,1)+(DAY(B7)-1),IF(B8="weekly",B7+9261,IF(B8="biweekly",B7+18522,B7+ROUND((1323*365.25)/24,0))))</f>
        <v/>
      </c>
      <c r="C1340" s="21">
        <f>IF((ROUND(F1339-ROUND($B$13-D1340,2),2)&lt;=0),ROUND(D1340+E1340,2),$B$13)</f>
        <v/>
      </c>
      <c r="D1340" s="21">
        <f>ROUND(F1339*B5/100/B10,2)</f>
        <v/>
      </c>
      <c r="E1340" s="21">
        <f>IF((ROUND(F1339-ROUND($B$13-D1340,2),2)&lt;=0),F1339,ROUND($B$13-D1340,2))</f>
        <v/>
      </c>
      <c r="F1340" s="21">
        <f>IF((ROUND(F1339-ROUND($B$13-D1340,2),2)&lt;=0),0,ROUND(F1339-E1340,2))</f>
        <v/>
      </c>
    </row>
    <row r="1341">
      <c r="A1341" s="6" t="n">
        <v>1325</v>
      </c>
      <c r="B1341" s="19">
        <f>IF(B8="monthly",DATE(YEAR(B7)+INT((MONTH(B7)-1+1324)/12),MOD(MONTH(B7)-1+1324,12)+1,1)+(DAY(B7)-1),IF(B8="weekly",B7+9268,IF(B8="biweekly",B7+18536,B7+ROUND((1324*365.25)/24,0))))</f>
        <v/>
      </c>
      <c r="C1341" s="21">
        <f>IF((ROUND(F1340-ROUND($B$13-D1341,2),2)&lt;=0),ROUND(D1341+E1341,2),$B$13)</f>
        <v/>
      </c>
      <c r="D1341" s="21">
        <f>ROUND(F1340*B5/100/B10,2)</f>
        <v/>
      </c>
      <c r="E1341" s="21">
        <f>IF((ROUND(F1340-ROUND($B$13-D1341,2),2)&lt;=0),F1340,ROUND($B$13-D1341,2))</f>
        <v/>
      </c>
      <c r="F1341" s="21">
        <f>IF((ROUND(F1340-ROUND($B$13-D1341,2),2)&lt;=0),0,ROUND(F1340-E1341,2))</f>
        <v/>
      </c>
    </row>
    <row r="1342">
      <c r="A1342" s="6" t="n">
        <v>1326</v>
      </c>
      <c r="B1342" s="19">
        <f>IF(B8="monthly",DATE(YEAR(B7)+INT((MONTH(B7)-1+1325)/12),MOD(MONTH(B7)-1+1325,12)+1,1)+(DAY(B7)-1),IF(B8="weekly",B7+9275,IF(B8="biweekly",B7+18550,B7+ROUND((1325*365.25)/24,0))))</f>
        <v/>
      </c>
      <c r="C1342" s="21">
        <f>IF((ROUND(F1341-ROUND($B$13-D1342,2),2)&lt;=0),ROUND(D1342+E1342,2),$B$13)</f>
        <v/>
      </c>
      <c r="D1342" s="21">
        <f>ROUND(F1341*B5/100/B10,2)</f>
        <v/>
      </c>
      <c r="E1342" s="21">
        <f>IF((ROUND(F1341-ROUND($B$13-D1342,2),2)&lt;=0),F1341,ROUND($B$13-D1342,2))</f>
        <v/>
      </c>
      <c r="F1342" s="21">
        <f>IF((ROUND(F1341-ROUND($B$13-D1342,2),2)&lt;=0),0,ROUND(F1341-E1342,2))</f>
        <v/>
      </c>
    </row>
    <row r="1343">
      <c r="A1343" s="6" t="n">
        <v>1327</v>
      </c>
      <c r="B1343" s="19">
        <f>IF(B8="monthly",DATE(YEAR(B7)+INT((MONTH(B7)-1+1326)/12),MOD(MONTH(B7)-1+1326,12)+1,1)+(DAY(B7)-1),IF(B8="weekly",B7+9282,IF(B8="biweekly",B7+18564,B7+ROUND((1326*365.25)/24,0))))</f>
        <v/>
      </c>
      <c r="C1343" s="21">
        <f>IF((ROUND(F1342-ROUND($B$13-D1343,2),2)&lt;=0),ROUND(D1343+E1343,2),$B$13)</f>
        <v/>
      </c>
      <c r="D1343" s="21">
        <f>ROUND(F1342*B5/100/B10,2)</f>
        <v/>
      </c>
      <c r="E1343" s="21">
        <f>IF((ROUND(F1342-ROUND($B$13-D1343,2),2)&lt;=0),F1342,ROUND($B$13-D1343,2))</f>
        <v/>
      </c>
      <c r="F1343" s="21">
        <f>IF((ROUND(F1342-ROUND($B$13-D1343,2),2)&lt;=0),0,ROUND(F1342-E1343,2))</f>
        <v/>
      </c>
    </row>
    <row r="1344">
      <c r="A1344" s="6" t="n">
        <v>1328</v>
      </c>
      <c r="B1344" s="19">
        <f>IF(B8="monthly",DATE(YEAR(B7)+INT((MONTH(B7)-1+1327)/12),MOD(MONTH(B7)-1+1327,12)+1,1)+(DAY(B7)-1),IF(B8="weekly",B7+9289,IF(B8="biweekly",B7+18578,B7+ROUND((1327*365.25)/24,0))))</f>
        <v/>
      </c>
      <c r="C1344" s="21">
        <f>IF((ROUND(F1343-ROUND($B$13-D1344,2),2)&lt;=0),ROUND(D1344+E1344,2),$B$13)</f>
        <v/>
      </c>
      <c r="D1344" s="21">
        <f>ROUND(F1343*B5/100/B10,2)</f>
        <v/>
      </c>
      <c r="E1344" s="21">
        <f>IF((ROUND(F1343-ROUND($B$13-D1344,2),2)&lt;=0),F1343,ROUND($B$13-D1344,2))</f>
        <v/>
      </c>
      <c r="F1344" s="21">
        <f>IF((ROUND(F1343-ROUND($B$13-D1344,2),2)&lt;=0),0,ROUND(F1343-E1344,2))</f>
        <v/>
      </c>
    </row>
    <row r="1345">
      <c r="A1345" s="6" t="n">
        <v>1329</v>
      </c>
      <c r="B1345" s="19">
        <f>IF(B8="monthly",DATE(YEAR(B7)+INT((MONTH(B7)-1+1328)/12),MOD(MONTH(B7)-1+1328,12)+1,1)+(DAY(B7)-1),IF(B8="weekly",B7+9296,IF(B8="biweekly",B7+18592,B7+ROUND((1328*365.25)/24,0))))</f>
        <v/>
      </c>
      <c r="C1345" s="21">
        <f>IF((ROUND(F1344-ROUND($B$13-D1345,2),2)&lt;=0),ROUND(D1345+E1345,2),$B$13)</f>
        <v/>
      </c>
      <c r="D1345" s="21">
        <f>ROUND(F1344*B5/100/B10,2)</f>
        <v/>
      </c>
      <c r="E1345" s="21">
        <f>IF((ROUND(F1344-ROUND($B$13-D1345,2),2)&lt;=0),F1344,ROUND($B$13-D1345,2))</f>
        <v/>
      </c>
      <c r="F1345" s="21">
        <f>IF((ROUND(F1344-ROUND($B$13-D1345,2),2)&lt;=0),0,ROUND(F1344-E1345,2))</f>
        <v/>
      </c>
    </row>
    <row r="1346">
      <c r="A1346" s="6" t="n">
        <v>1330</v>
      </c>
      <c r="B1346" s="19">
        <f>IF(B8="monthly",DATE(YEAR(B7)+INT((MONTH(B7)-1+1329)/12),MOD(MONTH(B7)-1+1329,12)+1,1)+(DAY(B7)-1),IF(B8="weekly",B7+9303,IF(B8="biweekly",B7+18606,B7+ROUND((1329*365.25)/24,0))))</f>
        <v/>
      </c>
      <c r="C1346" s="21">
        <f>IF((ROUND(F1345-ROUND($B$13-D1346,2),2)&lt;=0),ROUND(D1346+E1346,2),$B$13)</f>
        <v/>
      </c>
      <c r="D1346" s="21">
        <f>ROUND(F1345*B5/100/B10,2)</f>
        <v/>
      </c>
      <c r="E1346" s="21">
        <f>IF((ROUND(F1345-ROUND($B$13-D1346,2),2)&lt;=0),F1345,ROUND($B$13-D1346,2))</f>
        <v/>
      </c>
      <c r="F1346" s="21">
        <f>IF((ROUND(F1345-ROUND($B$13-D1346,2),2)&lt;=0),0,ROUND(F1345-E1346,2))</f>
        <v/>
      </c>
    </row>
    <row r="1347">
      <c r="A1347" s="6" t="n">
        <v>1331</v>
      </c>
      <c r="B1347" s="19">
        <f>IF(B8="monthly",DATE(YEAR(B7)+INT((MONTH(B7)-1+1330)/12),MOD(MONTH(B7)-1+1330,12)+1,1)+(DAY(B7)-1),IF(B8="weekly",B7+9310,IF(B8="biweekly",B7+18620,B7+ROUND((1330*365.25)/24,0))))</f>
        <v/>
      </c>
      <c r="C1347" s="21">
        <f>IF((ROUND(F1346-ROUND($B$13-D1347,2),2)&lt;=0),ROUND(D1347+E1347,2),$B$13)</f>
        <v/>
      </c>
      <c r="D1347" s="21">
        <f>ROUND(F1346*B5/100/B10,2)</f>
        <v/>
      </c>
      <c r="E1347" s="21">
        <f>IF((ROUND(F1346-ROUND($B$13-D1347,2),2)&lt;=0),F1346,ROUND($B$13-D1347,2))</f>
        <v/>
      </c>
      <c r="F1347" s="21">
        <f>IF((ROUND(F1346-ROUND($B$13-D1347,2),2)&lt;=0),0,ROUND(F1346-E1347,2))</f>
        <v/>
      </c>
    </row>
    <row r="1348">
      <c r="A1348" s="6" t="n">
        <v>1332</v>
      </c>
      <c r="B1348" s="19">
        <f>IF(B8="monthly",DATE(YEAR(B7)+INT((MONTH(B7)-1+1331)/12),MOD(MONTH(B7)-1+1331,12)+1,1)+(DAY(B7)-1),IF(B8="weekly",B7+9317,IF(B8="biweekly",B7+18634,B7+ROUND((1331*365.25)/24,0))))</f>
        <v/>
      </c>
      <c r="C1348" s="21">
        <f>IF((ROUND(F1347-ROUND($B$13-D1348,2),2)&lt;=0),ROUND(D1348+E1348,2),$B$13)</f>
        <v/>
      </c>
      <c r="D1348" s="21">
        <f>ROUND(F1347*B5/100/B10,2)</f>
        <v/>
      </c>
      <c r="E1348" s="21">
        <f>IF((ROUND(F1347-ROUND($B$13-D1348,2),2)&lt;=0),F1347,ROUND($B$13-D1348,2))</f>
        <v/>
      </c>
      <c r="F1348" s="21">
        <f>IF((ROUND(F1347-ROUND($B$13-D1348,2),2)&lt;=0),0,ROUND(F1347-E1348,2))</f>
        <v/>
      </c>
    </row>
    <row r="1349">
      <c r="A1349" s="6" t="n">
        <v>1333</v>
      </c>
      <c r="B1349" s="19">
        <f>IF(B8="monthly",DATE(YEAR(B7)+INT((MONTH(B7)-1+1332)/12),MOD(MONTH(B7)-1+1332,12)+1,1)+(DAY(B7)-1),IF(B8="weekly",B7+9324,IF(B8="biweekly",B7+18648,B7+ROUND((1332*365.25)/24,0))))</f>
        <v/>
      </c>
      <c r="C1349" s="21">
        <f>IF((ROUND(F1348-ROUND($B$13-D1349,2),2)&lt;=0),ROUND(D1349+E1349,2),$B$13)</f>
        <v/>
      </c>
      <c r="D1349" s="21">
        <f>ROUND(F1348*B5/100/B10,2)</f>
        <v/>
      </c>
      <c r="E1349" s="21">
        <f>IF((ROUND(F1348-ROUND($B$13-D1349,2),2)&lt;=0),F1348,ROUND($B$13-D1349,2))</f>
        <v/>
      </c>
      <c r="F1349" s="21">
        <f>IF((ROUND(F1348-ROUND($B$13-D1349,2),2)&lt;=0),0,ROUND(F1348-E1349,2))</f>
        <v/>
      </c>
    </row>
    <row r="1350">
      <c r="A1350" s="6" t="n">
        <v>1334</v>
      </c>
      <c r="B1350" s="19">
        <f>IF(B8="monthly",DATE(YEAR(B7)+INT((MONTH(B7)-1+1333)/12),MOD(MONTH(B7)-1+1333,12)+1,1)+(DAY(B7)-1),IF(B8="weekly",B7+9331,IF(B8="biweekly",B7+18662,B7+ROUND((1333*365.25)/24,0))))</f>
        <v/>
      </c>
      <c r="C1350" s="21">
        <f>IF((ROUND(F1349-ROUND($B$13-D1350,2),2)&lt;=0),ROUND(D1350+E1350,2),$B$13)</f>
        <v/>
      </c>
      <c r="D1350" s="21">
        <f>ROUND(F1349*B5/100/B10,2)</f>
        <v/>
      </c>
      <c r="E1350" s="21">
        <f>IF((ROUND(F1349-ROUND($B$13-D1350,2),2)&lt;=0),F1349,ROUND($B$13-D1350,2))</f>
        <v/>
      </c>
      <c r="F1350" s="21">
        <f>IF((ROUND(F1349-ROUND($B$13-D1350,2),2)&lt;=0),0,ROUND(F1349-E1350,2))</f>
        <v/>
      </c>
    </row>
    <row r="1351">
      <c r="A1351" s="6" t="n">
        <v>1335</v>
      </c>
      <c r="B1351" s="19">
        <f>IF(B8="monthly",DATE(YEAR(B7)+INT((MONTH(B7)-1+1334)/12),MOD(MONTH(B7)-1+1334,12)+1,1)+(DAY(B7)-1),IF(B8="weekly",B7+9338,IF(B8="biweekly",B7+18676,B7+ROUND((1334*365.25)/24,0))))</f>
        <v/>
      </c>
      <c r="C1351" s="21">
        <f>IF((ROUND(F1350-ROUND($B$13-D1351,2),2)&lt;=0),ROUND(D1351+E1351,2),$B$13)</f>
        <v/>
      </c>
      <c r="D1351" s="21">
        <f>ROUND(F1350*B5/100/B10,2)</f>
        <v/>
      </c>
      <c r="E1351" s="21">
        <f>IF((ROUND(F1350-ROUND($B$13-D1351,2),2)&lt;=0),F1350,ROUND($B$13-D1351,2))</f>
        <v/>
      </c>
      <c r="F1351" s="21">
        <f>IF((ROUND(F1350-ROUND($B$13-D1351,2),2)&lt;=0),0,ROUND(F1350-E1351,2))</f>
        <v/>
      </c>
    </row>
    <row r="1352">
      <c r="A1352" s="6" t="n">
        <v>1336</v>
      </c>
      <c r="B1352" s="19">
        <f>IF(B8="monthly",DATE(YEAR(B7)+INT((MONTH(B7)-1+1335)/12),MOD(MONTH(B7)-1+1335,12)+1,1)+(DAY(B7)-1),IF(B8="weekly",B7+9345,IF(B8="biweekly",B7+18690,B7+ROUND((1335*365.25)/24,0))))</f>
        <v/>
      </c>
      <c r="C1352" s="21">
        <f>IF((ROUND(F1351-ROUND($B$13-D1352,2),2)&lt;=0),ROUND(D1352+E1352,2),$B$13)</f>
        <v/>
      </c>
      <c r="D1352" s="21">
        <f>ROUND(F1351*B5/100/B10,2)</f>
        <v/>
      </c>
      <c r="E1352" s="21">
        <f>IF((ROUND(F1351-ROUND($B$13-D1352,2),2)&lt;=0),F1351,ROUND($B$13-D1352,2))</f>
        <v/>
      </c>
      <c r="F1352" s="21">
        <f>IF((ROUND(F1351-ROUND($B$13-D1352,2),2)&lt;=0),0,ROUND(F1351-E1352,2))</f>
        <v/>
      </c>
    </row>
    <row r="1353">
      <c r="A1353" s="6" t="n">
        <v>1337</v>
      </c>
      <c r="B1353" s="19">
        <f>IF(B8="monthly",DATE(YEAR(B7)+INT((MONTH(B7)-1+1336)/12),MOD(MONTH(B7)-1+1336,12)+1,1)+(DAY(B7)-1),IF(B8="weekly",B7+9352,IF(B8="biweekly",B7+18704,B7+ROUND((1336*365.25)/24,0))))</f>
        <v/>
      </c>
      <c r="C1353" s="21">
        <f>IF((ROUND(F1352-ROUND($B$13-D1353,2),2)&lt;=0),ROUND(D1353+E1353,2),$B$13)</f>
        <v/>
      </c>
      <c r="D1353" s="21">
        <f>ROUND(F1352*B5/100/B10,2)</f>
        <v/>
      </c>
      <c r="E1353" s="21">
        <f>IF((ROUND(F1352-ROUND($B$13-D1353,2),2)&lt;=0),F1352,ROUND($B$13-D1353,2))</f>
        <v/>
      </c>
      <c r="F1353" s="21">
        <f>IF((ROUND(F1352-ROUND($B$13-D1353,2),2)&lt;=0),0,ROUND(F1352-E1353,2))</f>
        <v/>
      </c>
    </row>
    <row r="1354">
      <c r="A1354" s="6" t="n">
        <v>1338</v>
      </c>
      <c r="B1354" s="19">
        <f>IF(B8="monthly",DATE(YEAR(B7)+INT((MONTH(B7)-1+1337)/12),MOD(MONTH(B7)-1+1337,12)+1,1)+(DAY(B7)-1),IF(B8="weekly",B7+9359,IF(B8="biweekly",B7+18718,B7+ROUND((1337*365.25)/24,0))))</f>
        <v/>
      </c>
      <c r="C1354" s="21">
        <f>IF((ROUND(F1353-ROUND($B$13-D1354,2),2)&lt;=0),ROUND(D1354+E1354,2),$B$13)</f>
        <v/>
      </c>
      <c r="D1354" s="21">
        <f>ROUND(F1353*B5/100/B10,2)</f>
        <v/>
      </c>
      <c r="E1354" s="21">
        <f>IF((ROUND(F1353-ROUND($B$13-D1354,2),2)&lt;=0),F1353,ROUND($B$13-D1354,2))</f>
        <v/>
      </c>
      <c r="F1354" s="21">
        <f>IF((ROUND(F1353-ROUND($B$13-D1354,2),2)&lt;=0),0,ROUND(F1353-E1354,2))</f>
        <v/>
      </c>
    </row>
    <row r="1355">
      <c r="A1355" s="6" t="n">
        <v>1339</v>
      </c>
      <c r="B1355" s="19">
        <f>IF(B8="monthly",DATE(YEAR(B7)+INT((MONTH(B7)-1+1338)/12),MOD(MONTH(B7)-1+1338,12)+1,1)+(DAY(B7)-1),IF(B8="weekly",B7+9366,IF(B8="biweekly",B7+18732,B7+ROUND((1338*365.25)/24,0))))</f>
        <v/>
      </c>
      <c r="C1355" s="21">
        <f>IF((ROUND(F1354-ROUND($B$13-D1355,2),2)&lt;=0),ROUND(D1355+E1355,2),$B$13)</f>
        <v/>
      </c>
      <c r="D1355" s="21">
        <f>ROUND(F1354*B5/100/B10,2)</f>
        <v/>
      </c>
      <c r="E1355" s="21">
        <f>IF((ROUND(F1354-ROUND($B$13-D1355,2),2)&lt;=0),F1354,ROUND($B$13-D1355,2))</f>
        <v/>
      </c>
      <c r="F1355" s="21">
        <f>IF((ROUND(F1354-ROUND($B$13-D1355,2),2)&lt;=0),0,ROUND(F1354-E1355,2))</f>
        <v/>
      </c>
    </row>
    <row r="1356">
      <c r="A1356" s="6" t="n">
        <v>1340</v>
      </c>
      <c r="B1356" s="19">
        <f>IF(B8="monthly",DATE(YEAR(B7)+INT((MONTH(B7)-1+1339)/12),MOD(MONTH(B7)-1+1339,12)+1,1)+(DAY(B7)-1),IF(B8="weekly",B7+9373,IF(B8="biweekly",B7+18746,B7+ROUND((1339*365.25)/24,0))))</f>
        <v/>
      </c>
      <c r="C1356" s="21">
        <f>IF((ROUND(F1355-ROUND($B$13-D1356,2),2)&lt;=0),ROUND(D1356+E1356,2),$B$13)</f>
        <v/>
      </c>
      <c r="D1356" s="21">
        <f>ROUND(F1355*B5/100/B10,2)</f>
        <v/>
      </c>
      <c r="E1356" s="21">
        <f>IF((ROUND(F1355-ROUND($B$13-D1356,2),2)&lt;=0),F1355,ROUND($B$13-D1356,2))</f>
        <v/>
      </c>
      <c r="F1356" s="21">
        <f>IF((ROUND(F1355-ROUND($B$13-D1356,2),2)&lt;=0),0,ROUND(F1355-E1356,2))</f>
        <v/>
      </c>
    </row>
    <row r="1357">
      <c r="A1357" s="6" t="n">
        <v>1341</v>
      </c>
      <c r="B1357" s="19">
        <f>IF(B8="monthly",DATE(YEAR(B7)+INT((MONTH(B7)-1+1340)/12),MOD(MONTH(B7)-1+1340,12)+1,1)+(DAY(B7)-1),IF(B8="weekly",B7+9380,IF(B8="biweekly",B7+18760,B7+ROUND((1340*365.25)/24,0))))</f>
        <v/>
      </c>
      <c r="C1357" s="21">
        <f>IF((ROUND(F1356-ROUND($B$13-D1357,2),2)&lt;=0),ROUND(D1357+E1357,2),$B$13)</f>
        <v/>
      </c>
      <c r="D1357" s="21">
        <f>ROUND(F1356*B5/100/B10,2)</f>
        <v/>
      </c>
      <c r="E1357" s="21">
        <f>IF((ROUND(F1356-ROUND($B$13-D1357,2),2)&lt;=0),F1356,ROUND($B$13-D1357,2))</f>
        <v/>
      </c>
      <c r="F1357" s="21">
        <f>IF((ROUND(F1356-ROUND($B$13-D1357,2),2)&lt;=0),0,ROUND(F1356-E1357,2))</f>
        <v/>
      </c>
    </row>
    <row r="1358">
      <c r="A1358" s="6" t="n">
        <v>1342</v>
      </c>
      <c r="B1358" s="19">
        <f>IF(B8="monthly",DATE(YEAR(B7)+INT((MONTH(B7)-1+1341)/12),MOD(MONTH(B7)-1+1341,12)+1,1)+(DAY(B7)-1),IF(B8="weekly",B7+9387,IF(B8="biweekly",B7+18774,B7+ROUND((1341*365.25)/24,0))))</f>
        <v/>
      </c>
      <c r="C1358" s="21">
        <f>IF((ROUND(F1357-ROUND($B$13-D1358,2),2)&lt;=0),ROUND(D1358+E1358,2),$B$13)</f>
        <v/>
      </c>
      <c r="D1358" s="21">
        <f>ROUND(F1357*B5/100/B10,2)</f>
        <v/>
      </c>
      <c r="E1358" s="21">
        <f>IF((ROUND(F1357-ROUND($B$13-D1358,2),2)&lt;=0),F1357,ROUND($B$13-D1358,2))</f>
        <v/>
      </c>
      <c r="F1358" s="21">
        <f>IF((ROUND(F1357-ROUND($B$13-D1358,2),2)&lt;=0),0,ROUND(F1357-E1358,2))</f>
        <v/>
      </c>
    </row>
    <row r="1359">
      <c r="A1359" s="6" t="n">
        <v>1343</v>
      </c>
      <c r="B1359" s="19">
        <f>IF(B8="monthly",DATE(YEAR(B7)+INT((MONTH(B7)-1+1342)/12),MOD(MONTH(B7)-1+1342,12)+1,1)+(DAY(B7)-1),IF(B8="weekly",B7+9394,IF(B8="biweekly",B7+18788,B7+ROUND((1342*365.25)/24,0))))</f>
        <v/>
      </c>
      <c r="C1359" s="21">
        <f>IF((ROUND(F1358-ROUND($B$13-D1359,2),2)&lt;=0),ROUND(D1359+E1359,2),$B$13)</f>
        <v/>
      </c>
      <c r="D1359" s="21">
        <f>ROUND(F1358*B5/100/B10,2)</f>
        <v/>
      </c>
      <c r="E1359" s="21">
        <f>IF((ROUND(F1358-ROUND($B$13-D1359,2),2)&lt;=0),F1358,ROUND($B$13-D1359,2))</f>
        <v/>
      </c>
      <c r="F1359" s="21">
        <f>IF((ROUND(F1358-ROUND($B$13-D1359,2),2)&lt;=0),0,ROUND(F1358-E1359,2))</f>
        <v/>
      </c>
    </row>
    <row r="1360">
      <c r="A1360" s="6" t="n">
        <v>1344</v>
      </c>
      <c r="B1360" s="19">
        <f>IF(B8="monthly",DATE(YEAR(B7)+INT((MONTH(B7)-1+1343)/12),MOD(MONTH(B7)-1+1343,12)+1,1)+(DAY(B7)-1),IF(B8="weekly",B7+9401,IF(B8="biweekly",B7+18802,B7+ROUND((1343*365.25)/24,0))))</f>
        <v/>
      </c>
      <c r="C1360" s="21">
        <f>IF((ROUND(F1359-ROUND($B$13-D1360,2),2)&lt;=0),ROUND(D1360+E1360,2),$B$13)</f>
        <v/>
      </c>
      <c r="D1360" s="21">
        <f>ROUND(F1359*B5/100/B10,2)</f>
        <v/>
      </c>
      <c r="E1360" s="21">
        <f>IF((ROUND(F1359-ROUND($B$13-D1360,2),2)&lt;=0),F1359,ROUND($B$13-D1360,2))</f>
        <v/>
      </c>
      <c r="F1360" s="21">
        <f>IF((ROUND(F1359-ROUND($B$13-D1360,2),2)&lt;=0),0,ROUND(F1359-E1360,2))</f>
        <v/>
      </c>
    </row>
    <row r="1361">
      <c r="A1361" s="6" t="n">
        <v>1345</v>
      </c>
      <c r="B1361" s="19">
        <f>IF(B8="monthly",DATE(YEAR(B7)+INT((MONTH(B7)-1+1344)/12),MOD(MONTH(B7)-1+1344,12)+1,1)+(DAY(B7)-1),IF(B8="weekly",B7+9408,IF(B8="biweekly",B7+18816,B7+ROUND((1344*365.25)/24,0))))</f>
        <v/>
      </c>
      <c r="C1361" s="21">
        <f>IF((ROUND(F1360-ROUND($B$13-D1361,2),2)&lt;=0),ROUND(D1361+E1361,2),$B$13)</f>
        <v/>
      </c>
      <c r="D1361" s="21">
        <f>ROUND(F1360*B5/100/B10,2)</f>
        <v/>
      </c>
      <c r="E1361" s="21">
        <f>IF((ROUND(F1360-ROUND($B$13-D1361,2),2)&lt;=0),F1360,ROUND($B$13-D1361,2))</f>
        <v/>
      </c>
      <c r="F1361" s="21">
        <f>IF((ROUND(F1360-ROUND($B$13-D1361,2),2)&lt;=0),0,ROUND(F1360-E1361,2))</f>
        <v/>
      </c>
    </row>
    <row r="1362">
      <c r="A1362" s="6" t="n">
        <v>1346</v>
      </c>
      <c r="B1362" s="19">
        <f>IF(B8="monthly",DATE(YEAR(B7)+INT((MONTH(B7)-1+1345)/12),MOD(MONTH(B7)-1+1345,12)+1,1)+(DAY(B7)-1),IF(B8="weekly",B7+9415,IF(B8="biweekly",B7+18830,B7+ROUND((1345*365.25)/24,0))))</f>
        <v/>
      </c>
      <c r="C1362" s="21">
        <f>IF((ROUND(F1361-ROUND($B$13-D1362,2),2)&lt;=0),ROUND(D1362+E1362,2),$B$13)</f>
        <v/>
      </c>
      <c r="D1362" s="21">
        <f>ROUND(F1361*B5/100/B10,2)</f>
        <v/>
      </c>
      <c r="E1362" s="21">
        <f>IF((ROUND(F1361-ROUND($B$13-D1362,2),2)&lt;=0),F1361,ROUND($B$13-D1362,2))</f>
        <v/>
      </c>
      <c r="F1362" s="21">
        <f>IF((ROUND(F1361-ROUND($B$13-D1362,2),2)&lt;=0),0,ROUND(F1361-E1362,2))</f>
        <v/>
      </c>
    </row>
    <row r="1363">
      <c r="A1363" s="6" t="n">
        <v>1347</v>
      </c>
      <c r="B1363" s="19">
        <f>IF(B8="monthly",DATE(YEAR(B7)+INT((MONTH(B7)-1+1346)/12),MOD(MONTH(B7)-1+1346,12)+1,1)+(DAY(B7)-1),IF(B8="weekly",B7+9422,IF(B8="biweekly",B7+18844,B7+ROUND((1346*365.25)/24,0))))</f>
        <v/>
      </c>
      <c r="C1363" s="21">
        <f>IF((ROUND(F1362-ROUND($B$13-D1363,2),2)&lt;=0),ROUND(D1363+E1363,2),$B$13)</f>
        <v/>
      </c>
      <c r="D1363" s="21">
        <f>ROUND(F1362*B5/100/B10,2)</f>
        <v/>
      </c>
      <c r="E1363" s="21">
        <f>IF((ROUND(F1362-ROUND($B$13-D1363,2),2)&lt;=0),F1362,ROUND($B$13-D1363,2))</f>
        <v/>
      </c>
      <c r="F1363" s="21">
        <f>IF((ROUND(F1362-ROUND($B$13-D1363,2),2)&lt;=0),0,ROUND(F1362-E1363,2))</f>
        <v/>
      </c>
    </row>
    <row r="1364">
      <c r="A1364" s="6" t="n">
        <v>1348</v>
      </c>
      <c r="B1364" s="19">
        <f>IF(B8="monthly",DATE(YEAR(B7)+INT((MONTH(B7)-1+1347)/12),MOD(MONTH(B7)-1+1347,12)+1,1)+(DAY(B7)-1),IF(B8="weekly",B7+9429,IF(B8="biweekly",B7+18858,B7+ROUND((1347*365.25)/24,0))))</f>
        <v/>
      </c>
      <c r="C1364" s="21">
        <f>IF((ROUND(F1363-ROUND($B$13-D1364,2),2)&lt;=0),ROUND(D1364+E1364,2),$B$13)</f>
        <v/>
      </c>
      <c r="D1364" s="21">
        <f>ROUND(F1363*B5/100/B10,2)</f>
        <v/>
      </c>
      <c r="E1364" s="21">
        <f>IF((ROUND(F1363-ROUND($B$13-D1364,2),2)&lt;=0),F1363,ROUND($B$13-D1364,2))</f>
        <v/>
      </c>
      <c r="F1364" s="21">
        <f>IF((ROUND(F1363-ROUND($B$13-D1364,2),2)&lt;=0),0,ROUND(F1363-E1364,2))</f>
        <v/>
      </c>
    </row>
    <row r="1365">
      <c r="A1365" s="6" t="n">
        <v>1349</v>
      </c>
      <c r="B1365" s="19">
        <f>IF(B8="monthly",DATE(YEAR(B7)+INT((MONTH(B7)-1+1348)/12),MOD(MONTH(B7)-1+1348,12)+1,1)+(DAY(B7)-1),IF(B8="weekly",B7+9436,IF(B8="biweekly",B7+18872,B7+ROUND((1348*365.25)/24,0))))</f>
        <v/>
      </c>
      <c r="C1365" s="21">
        <f>IF((ROUND(F1364-ROUND($B$13-D1365,2),2)&lt;=0),ROUND(D1365+E1365,2),$B$13)</f>
        <v/>
      </c>
      <c r="D1365" s="21">
        <f>ROUND(F1364*B5/100/B10,2)</f>
        <v/>
      </c>
      <c r="E1365" s="21">
        <f>IF((ROUND(F1364-ROUND($B$13-D1365,2),2)&lt;=0),F1364,ROUND($B$13-D1365,2))</f>
        <v/>
      </c>
      <c r="F1365" s="21">
        <f>IF((ROUND(F1364-ROUND($B$13-D1365,2),2)&lt;=0),0,ROUND(F1364-E1365,2))</f>
        <v/>
      </c>
    </row>
    <row r="1366">
      <c r="A1366" s="6" t="n">
        <v>1350</v>
      </c>
      <c r="B1366" s="19">
        <f>IF(B8="monthly",DATE(YEAR(B7)+INT((MONTH(B7)-1+1349)/12),MOD(MONTH(B7)-1+1349,12)+1,1)+(DAY(B7)-1),IF(B8="weekly",B7+9443,IF(B8="biweekly",B7+18886,B7+ROUND((1349*365.25)/24,0))))</f>
        <v/>
      </c>
      <c r="C1366" s="21">
        <f>IF((ROUND(F1365-ROUND($B$13-D1366,2),2)&lt;=0),ROUND(D1366+E1366,2),$B$13)</f>
        <v/>
      </c>
      <c r="D1366" s="21">
        <f>ROUND(F1365*B5/100/B10,2)</f>
        <v/>
      </c>
      <c r="E1366" s="21">
        <f>IF((ROUND(F1365-ROUND($B$13-D1366,2),2)&lt;=0),F1365,ROUND($B$13-D1366,2))</f>
        <v/>
      </c>
      <c r="F1366" s="21">
        <f>IF((ROUND(F1365-ROUND($B$13-D1366,2),2)&lt;=0),0,ROUND(F1365-E1366,2))</f>
        <v/>
      </c>
    </row>
    <row r="1367">
      <c r="A1367" s="6" t="n">
        <v>1351</v>
      </c>
      <c r="B1367" s="19">
        <f>IF(B8="monthly",DATE(YEAR(B7)+INT((MONTH(B7)-1+1350)/12),MOD(MONTH(B7)-1+1350,12)+1,1)+(DAY(B7)-1),IF(B8="weekly",B7+9450,IF(B8="biweekly",B7+18900,B7+ROUND((1350*365.25)/24,0))))</f>
        <v/>
      </c>
      <c r="C1367" s="21">
        <f>IF((ROUND(F1366-ROUND($B$13-D1367,2),2)&lt;=0),ROUND(D1367+E1367,2),$B$13)</f>
        <v/>
      </c>
      <c r="D1367" s="21">
        <f>ROUND(F1366*B5/100/B10,2)</f>
        <v/>
      </c>
      <c r="E1367" s="21">
        <f>IF((ROUND(F1366-ROUND($B$13-D1367,2),2)&lt;=0),F1366,ROUND($B$13-D1367,2))</f>
        <v/>
      </c>
      <c r="F1367" s="21">
        <f>IF((ROUND(F1366-ROUND($B$13-D1367,2),2)&lt;=0),0,ROUND(F1366-E1367,2))</f>
        <v/>
      </c>
    </row>
    <row r="1368">
      <c r="A1368" s="6" t="n">
        <v>1352</v>
      </c>
      <c r="B1368" s="19">
        <f>IF(B8="monthly",DATE(YEAR(B7)+INT((MONTH(B7)-1+1351)/12),MOD(MONTH(B7)-1+1351,12)+1,1)+(DAY(B7)-1),IF(B8="weekly",B7+9457,IF(B8="biweekly",B7+18914,B7+ROUND((1351*365.25)/24,0))))</f>
        <v/>
      </c>
      <c r="C1368" s="21">
        <f>IF((ROUND(F1367-ROUND($B$13-D1368,2),2)&lt;=0),ROUND(D1368+E1368,2),$B$13)</f>
        <v/>
      </c>
      <c r="D1368" s="21">
        <f>ROUND(F1367*B5/100/B10,2)</f>
        <v/>
      </c>
      <c r="E1368" s="21">
        <f>IF((ROUND(F1367-ROUND($B$13-D1368,2),2)&lt;=0),F1367,ROUND($B$13-D1368,2))</f>
        <v/>
      </c>
      <c r="F1368" s="21">
        <f>IF((ROUND(F1367-ROUND($B$13-D1368,2),2)&lt;=0),0,ROUND(F1367-E1368,2))</f>
        <v/>
      </c>
    </row>
    <row r="1369">
      <c r="A1369" s="6" t="n">
        <v>1353</v>
      </c>
      <c r="B1369" s="19">
        <f>IF(B8="monthly",DATE(YEAR(B7)+INT((MONTH(B7)-1+1352)/12),MOD(MONTH(B7)-1+1352,12)+1,1)+(DAY(B7)-1),IF(B8="weekly",B7+9464,IF(B8="biweekly",B7+18928,B7+ROUND((1352*365.25)/24,0))))</f>
        <v/>
      </c>
      <c r="C1369" s="21">
        <f>IF((ROUND(F1368-ROUND($B$13-D1369,2),2)&lt;=0),ROUND(D1369+E1369,2),$B$13)</f>
        <v/>
      </c>
      <c r="D1369" s="21">
        <f>ROUND(F1368*B5/100/B10,2)</f>
        <v/>
      </c>
      <c r="E1369" s="21">
        <f>IF((ROUND(F1368-ROUND($B$13-D1369,2),2)&lt;=0),F1368,ROUND($B$13-D1369,2))</f>
        <v/>
      </c>
      <c r="F1369" s="21">
        <f>IF((ROUND(F1368-ROUND($B$13-D1369,2),2)&lt;=0),0,ROUND(F1368-E1369,2))</f>
        <v/>
      </c>
    </row>
    <row r="1370">
      <c r="A1370" s="6" t="n">
        <v>1354</v>
      </c>
      <c r="B1370" s="19">
        <f>IF(B8="monthly",DATE(YEAR(B7)+INT((MONTH(B7)-1+1353)/12),MOD(MONTH(B7)-1+1353,12)+1,1)+(DAY(B7)-1),IF(B8="weekly",B7+9471,IF(B8="biweekly",B7+18942,B7+ROUND((1353*365.25)/24,0))))</f>
        <v/>
      </c>
      <c r="C1370" s="21">
        <f>IF((ROUND(F1369-ROUND($B$13-D1370,2),2)&lt;=0),ROUND(D1370+E1370,2),$B$13)</f>
        <v/>
      </c>
      <c r="D1370" s="21">
        <f>ROUND(F1369*B5/100/B10,2)</f>
        <v/>
      </c>
      <c r="E1370" s="21">
        <f>IF((ROUND(F1369-ROUND($B$13-D1370,2),2)&lt;=0),F1369,ROUND($B$13-D1370,2))</f>
        <v/>
      </c>
      <c r="F1370" s="21">
        <f>IF((ROUND(F1369-ROUND($B$13-D1370,2),2)&lt;=0),0,ROUND(F1369-E1370,2))</f>
        <v/>
      </c>
    </row>
    <row r="1371">
      <c r="A1371" s="6" t="n">
        <v>1355</v>
      </c>
      <c r="B1371" s="19">
        <f>IF(B8="monthly",DATE(YEAR(B7)+INT((MONTH(B7)-1+1354)/12),MOD(MONTH(B7)-1+1354,12)+1,1)+(DAY(B7)-1),IF(B8="weekly",B7+9478,IF(B8="biweekly",B7+18956,B7+ROUND((1354*365.25)/24,0))))</f>
        <v/>
      </c>
      <c r="C1371" s="21">
        <f>IF((ROUND(F1370-ROUND($B$13-D1371,2),2)&lt;=0),ROUND(D1371+E1371,2),$B$13)</f>
        <v/>
      </c>
      <c r="D1371" s="21">
        <f>ROUND(F1370*B5/100/B10,2)</f>
        <v/>
      </c>
      <c r="E1371" s="21">
        <f>IF((ROUND(F1370-ROUND($B$13-D1371,2),2)&lt;=0),F1370,ROUND($B$13-D1371,2))</f>
        <v/>
      </c>
      <c r="F1371" s="21">
        <f>IF((ROUND(F1370-ROUND($B$13-D1371,2),2)&lt;=0),0,ROUND(F1370-E1371,2))</f>
        <v/>
      </c>
    </row>
    <row r="1372">
      <c r="A1372" s="6" t="n">
        <v>1356</v>
      </c>
      <c r="B1372" s="19">
        <f>IF(B8="monthly",DATE(YEAR(B7)+INT((MONTH(B7)-1+1355)/12),MOD(MONTH(B7)-1+1355,12)+1,1)+(DAY(B7)-1),IF(B8="weekly",B7+9485,IF(B8="biweekly",B7+18970,B7+ROUND((1355*365.25)/24,0))))</f>
        <v/>
      </c>
      <c r="C1372" s="21">
        <f>IF((ROUND(F1371-ROUND($B$13-D1372,2),2)&lt;=0),ROUND(D1372+E1372,2),$B$13)</f>
        <v/>
      </c>
      <c r="D1372" s="21">
        <f>ROUND(F1371*B5/100/B10,2)</f>
        <v/>
      </c>
      <c r="E1372" s="21">
        <f>IF((ROUND(F1371-ROUND($B$13-D1372,2),2)&lt;=0),F1371,ROUND($B$13-D1372,2))</f>
        <v/>
      </c>
      <c r="F1372" s="21">
        <f>IF((ROUND(F1371-ROUND($B$13-D1372,2),2)&lt;=0),0,ROUND(F1371-E1372,2))</f>
        <v/>
      </c>
    </row>
    <row r="1373">
      <c r="A1373" s="6" t="n">
        <v>1357</v>
      </c>
      <c r="B1373" s="19">
        <f>IF(B8="monthly",DATE(YEAR(B7)+INT((MONTH(B7)-1+1356)/12),MOD(MONTH(B7)-1+1356,12)+1,1)+(DAY(B7)-1),IF(B8="weekly",B7+9492,IF(B8="biweekly",B7+18984,B7+ROUND((1356*365.25)/24,0))))</f>
        <v/>
      </c>
      <c r="C1373" s="21">
        <f>IF((ROUND(F1372-ROUND($B$13-D1373,2),2)&lt;=0),ROUND(D1373+E1373,2),$B$13)</f>
        <v/>
      </c>
      <c r="D1373" s="21">
        <f>ROUND(F1372*B5/100/B10,2)</f>
        <v/>
      </c>
      <c r="E1373" s="21">
        <f>IF((ROUND(F1372-ROUND($B$13-D1373,2),2)&lt;=0),F1372,ROUND($B$13-D1373,2))</f>
        <v/>
      </c>
      <c r="F1373" s="21">
        <f>IF((ROUND(F1372-ROUND($B$13-D1373,2),2)&lt;=0),0,ROUND(F1372-E1373,2))</f>
        <v/>
      </c>
    </row>
    <row r="1374">
      <c r="A1374" s="6" t="n">
        <v>1358</v>
      </c>
      <c r="B1374" s="19">
        <f>IF(B8="monthly",DATE(YEAR(B7)+INT((MONTH(B7)-1+1357)/12),MOD(MONTH(B7)-1+1357,12)+1,1)+(DAY(B7)-1),IF(B8="weekly",B7+9499,IF(B8="biweekly",B7+18998,B7+ROUND((1357*365.25)/24,0))))</f>
        <v/>
      </c>
      <c r="C1374" s="21">
        <f>IF((ROUND(F1373-ROUND($B$13-D1374,2),2)&lt;=0),ROUND(D1374+E1374,2),$B$13)</f>
        <v/>
      </c>
      <c r="D1374" s="21">
        <f>ROUND(F1373*B5/100/B10,2)</f>
        <v/>
      </c>
      <c r="E1374" s="21">
        <f>IF((ROUND(F1373-ROUND($B$13-D1374,2),2)&lt;=0),F1373,ROUND($B$13-D1374,2))</f>
        <v/>
      </c>
      <c r="F1374" s="21">
        <f>IF((ROUND(F1373-ROUND($B$13-D1374,2),2)&lt;=0),0,ROUND(F1373-E1374,2))</f>
        <v/>
      </c>
    </row>
    <row r="1375">
      <c r="A1375" s="6" t="n">
        <v>1359</v>
      </c>
      <c r="B1375" s="19">
        <f>IF(B8="monthly",DATE(YEAR(B7)+INT((MONTH(B7)-1+1358)/12),MOD(MONTH(B7)-1+1358,12)+1,1)+(DAY(B7)-1),IF(B8="weekly",B7+9506,IF(B8="biweekly",B7+19012,B7+ROUND((1358*365.25)/24,0))))</f>
        <v/>
      </c>
      <c r="C1375" s="21">
        <f>IF((ROUND(F1374-ROUND($B$13-D1375,2),2)&lt;=0),ROUND(D1375+E1375,2),$B$13)</f>
        <v/>
      </c>
      <c r="D1375" s="21">
        <f>ROUND(F1374*B5/100/B10,2)</f>
        <v/>
      </c>
      <c r="E1375" s="21">
        <f>IF((ROUND(F1374-ROUND($B$13-D1375,2),2)&lt;=0),F1374,ROUND($B$13-D1375,2))</f>
        <v/>
      </c>
      <c r="F1375" s="21">
        <f>IF((ROUND(F1374-ROUND($B$13-D1375,2),2)&lt;=0),0,ROUND(F1374-E1375,2))</f>
        <v/>
      </c>
    </row>
    <row r="1376">
      <c r="A1376" s="6" t="n">
        <v>1360</v>
      </c>
      <c r="B1376" s="19">
        <f>IF(B8="monthly",DATE(YEAR(B7)+INT((MONTH(B7)-1+1359)/12),MOD(MONTH(B7)-1+1359,12)+1,1)+(DAY(B7)-1),IF(B8="weekly",B7+9513,IF(B8="biweekly",B7+19026,B7+ROUND((1359*365.25)/24,0))))</f>
        <v/>
      </c>
      <c r="C1376" s="21">
        <f>IF((ROUND(F1375-ROUND($B$13-D1376,2),2)&lt;=0),ROUND(D1376+E1376,2),$B$13)</f>
        <v/>
      </c>
      <c r="D1376" s="21">
        <f>ROUND(F1375*B5/100/B10,2)</f>
        <v/>
      </c>
      <c r="E1376" s="21">
        <f>IF((ROUND(F1375-ROUND($B$13-D1376,2),2)&lt;=0),F1375,ROUND($B$13-D1376,2))</f>
        <v/>
      </c>
      <c r="F1376" s="21">
        <f>IF((ROUND(F1375-ROUND($B$13-D1376,2),2)&lt;=0),0,ROUND(F1375-E1376,2))</f>
        <v/>
      </c>
    </row>
    <row r="1377">
      <c r="A1377" s="6" t="n">
        <v>1361</v>
      </c>
      <c r="B1377" s="19">
        <f>IF(B8="monthly",DATE(YEAR(B7)+INT((MONTH(B7)-1+1360)/12),MOD(MONTH(B7)-1+1360,12)+1,1)+(DAY(B7)-1),IF(B8="weekly",B7+9520,IF(B8="biweekly",B7+19040,B7+ROUND((1360*365.25)/24,0))))</f>
        <v/>
      </c>
      <c r="C1377" s="21">
        <f>IF((ROUND(F1376-ROUND($B$13-D1377,2),2)&lt;=0),ROUND(D1377+E1377,2),$B$13)</f>
        <v/>
      </c>
      <c r="D1377" s="21">
        <f>ROUND(F1376*B5/100/B10,2)</f>
        <v/>
      </c>
      <c r="E1377" s="21">
        <f>IF((ROUND(F1376-ROUND($B$13-D1377,2),2)&lt;=0),F1376,ROUND($B$13-D1377,2))</f>
        <v/>
      </c>
      <c r="F1377" s="21">
        <f>IF((ROUND(F1376-ROUND($B$13-D1377,2),2)&lt;=0),0,ROUND(F1376-E1377,2))</f>
        <v/>
      </c>
    </row>
    <row r="1378">
      <c r="A1378" s="6" t="n">
        <v>1362</v>
      </c>
      <c r="B1378" s="19">
        <f>IF(B8="monthly",DATE(YEAR(B7)+INT((MONTH(B7)-1+1361)/12),MOD(MONTH(B7)-1+1361,12)+1,1)+(DAY(B7)-1),IF(B8="weekly",B7+9527,IF(B8="biweekly",B7+19054,B7+ROUND((1361*365.25)/24,0))))</f>
        <v/>
      </c>
      <c r="C1378" s="21">
        <f>IF((ROUND(F1377-ROUND($B$13-D1378,2),2)&lt;=0),ROUND(D1378+E1378,2),$B$13)</f>
        <v/>
      </c>
      <c r="D1378" s="21">
        <f>ROUND(F1377*B5/100/B10,2)</f>
        <v/>
      </c>
      <c r="E1378" s="21">
        <f>IF((ROUND(F1377-ROUND($B$13-D1378,2),2)&lt;=0),F1377,ROUND($B$13-D1378,2))</f>
        <v/>
      </c>
      <c r="F1378" s="21">
        <f>IF((ROUND(F1377-ROUND($B$13-D1378,2),2)&lt;=0),0,ROUND(F1377-E1378,2))</f>
        <v/>
      </c>
    </row>
    <row r="1379">
      <c r="A1379" s="6" t="n">
        <v>1363</v>
      </c>
      <c r="B1379" s="19">
        <f>IF(B8="monthly",DATE(YEAR(B7)+INT((MONTH(B7)-1+1362)/12),MOD(MONTH(B7)-1+1362,12)+1,1)+(DAY(B7)-1),IF(B8="weekly",B7+9534,IF(B8="biweekly",B7+19068,B7+ROUND((1362*365.25)/24,0))))</f>
        <v/>
      </c>
      <c r="C1379" s="21">
        <f>IF((ROUND(F1378-ROUND($B$13-D1379,2),2)&lt;=0),ROUND(D1379+E1379,2),$B$13)</f>
        <v/>
      </c>
      <c r="D1379" s="21">
        <f>ROUND(F1378*B5/100/B10,2)</f>
        <v/>
      </c>
      <c r="E1379" s="21">
        <f>IF((ROUND(F1378-ROUND($B$13-D1379,2),2)&lt;=0),F1378,ROUND($B$13-D1379,2))</f>
        <v/>
      </c>
      <c r="F1379" s="21">
        <f>IF((ROUND(F1378-ROUND($B$13-D1379,2),2)&lt;=0),0,ROUND(F1378-E1379,2))</f>
        <v/>
      </c>
    </row>
    <row r="1380">
      <c r="A1380" s="6" t="n">
        <v>1364</v>
      </c>
      <c r="B1380" s="19">
        <f>IF(B8="monthly",DATE(YEAR(B7)+INT((MONTH(B7)-1+1363)/12),MOD(MONTH(B7)-1+1363,12)+1,1)+(DAY(B7)-1),IF(B8="weekly",B7+9541,IF(B8="biweekly",B7+19082,B7+ROUND((1363*365.25)/24,0))))</f>
        <v/>
      </c>
      <c r="C1380" s="21">
        <f>IF((ROUND(F1379-ROUND($B$13-D1380,2),2)&lt;=0),ROUND(D1380+E1380,2),$B$13)</f>
        <v/>
      </c>
      <c r="D1380" s="21">
        <f>ROUND(F1379*B5/100/B10,2)</f>
        <v/>
      </c>
      <c r="E1380" s="21">
        <f>IF((ROUND(F1379-ROUND($B$13-D1380,2),2)&lt;=0),F1379,ROUND($B$13-D1380,2))</f>
        <v/>
      </c>
      <c r="F1380" s="21">
        <f>IF((ROUND(F1379-ROUND($B$13-D1380,2),2)&lt;=0),0,ROUND(F1379-E1380,2))</f>
        <v/>
      </c>
    </row>
    <row r="1381">
      <c r="A1381" s="6" t="n">
        <v>1365</v>
      </c>
      <c r="B1381" s="19">
        <f>IF(B8="monthly",DATE(YEAR(B7)+INT((MONTH(B7)-1+1364)/12),MOD(MONTH(B7)-1+1364,12)+1,1)+(DAY(B7)-1),IF(B8="weekly",B7+9548,IF(B8="biweekly",B7+19096,B7+ROUND((1364*365.25)/24,0))))</f>
        <v/>
      </c>
      <c r="C1381" s="21">
        <f>IF((ROUND(F1380-ROUND($B$13-D1381,2),2)&lt;=0),ROUND(D1381+E1381,2),$B$13)</f>
        <v/>
      </c>
      <c r="D1381" s="21">
        <f>ROUND(F1380*B5/100/B10,2)</f>
        <v/>
      </c>
      <c r="E1381" s="21">
        <f>IF((ROUND(F1380-ROUND($B$13-D1381,2),2)&lt;=0),F1380,ROUND($B$13-D1381,2))</f>
        <v/>
      </c>
      <c r="F1381" s="21">
        <f>IF((ROUND(F1380-ROUND($B$13-D1381,2),2)&lt;=0),0,ROUND(F1380-E1381,2))</f>
        <v/>
      </c>
    </row>
    <row r="1382">
      <c r="A1382" s="6" t="n">
        <v>1366</v>
      </c>
      <c r="B1382" s="19">
        <f>IF(B8="monthly",DATE(YEAR(B7)+INT((MONTH(B7)-1+1365)/12),MOD(MONTH(B7)-1+1365,12)+1,1)+(DAY(B7)-1),IF(B8="weekly",B7+9555,IF(B8="biweekly",B7+19110,B7+ROUND((1365*365.25)/24,0))))</f>
        <v/>
      </c>
      <c r="C1382" s="21">
        <f>IF((ROUND(F1381-ROUND($B$13-D1382,2),2)&lt;=0),ROUND(D1382+E1382,2),$B$13)</f>
        <v/>
      </c>
      <c r="D1382" s="21">
        <f>ROUND(F1381*B5/100/B10,2)</f>
        <v/>
      </c>
      <c r="E1382" s="21">
        <f>IF((ROUND(F1381-ROUND($B$13-D1382,2),2)&lt;=0),F1381,ROUND($B$13-D1382,2))</f>
        <v/>
      </c>
      <c r="F1382" s="21">
        <f>IF((ROUND(F1381-ROUND($B$13-D1382,2),2)&lt;=0),0,ROUND(F1381-E1382,2))</f>
        <v/>
      </c>
    </row>
    <row r="1383">
      <c r="A1383" s="6" t="n">
        <v>1367</v>
      </c>
      <c r="B1383" s="19">
        <f>IF(B8="monthly",DATE(YEAR(B7)+INT((MONTH(B7)-1+1366)/12),MOD(MONTH(B7)-1+1366,12)+1,1)+(DAY(B7)-1),IF(B8="weekly",B7+9562,IF(B8="biweekly",B7+19124,B7+ROUND((1366*365.25)/24,0))))</f>
        <v/>
      </c>
      <c r="C1383" s="21">
        <f>IF((ROUND(F1382-ROUND($B$13-D1383,2),2)&lt;=0),ROUND(D1383+E1383,2),$B$13)</f>
        <v/>
      </c>
      <c r="D1383" s="21">
        <f>ROUND(F1382*B5/100/B10,2)</f>
        <v/>
      </c>
      <c r="E1383" s="21">
        <f>IF((ROUND(F1382-ROUND($B$13-D1383,2),2)&lt;=0),F1382,ROUND($B$13-D1383,2))</f>
        <v/>
      </c>
      <c r="F1383" s="21">
        <f>IF((ROUND(F1382-ROUND($B$13-D1383,2),2)&lt;=0),0,ROUND(F1382-E1383,2))</f>
        <v/>
      </c>
    </row>
    <row r="1384">
      <c r="A1384" s="6" t="n">
        <v>1368</v>
      </c>
      <c r="B1384" s="19">
        <f>IF(B8="monthly",DATE(YEAR(B7)+INT((MONTH(B7)-1+1367)/12),MOD(MONTH(B7)-1+1367,12)+1,1)+(DAY(B7)-1),IF(B8="weekly",B7+9569,IF(B8="biweekly",B7+19138,B7+ROUND((1367*365.25)/24,0))))</f>
        <v/>
      </c>
      <c r="C1384" s="21">
        <f>IF((ROUND(F1383-ROUND($B$13-D1384,2),2)&lt;=0),ROUND(D1384+E1384,2),$B$13)</f>
        <v/>
      </c>
      <c r="D1384" s="21">
        <f>ROUND(F1383*B5/100/B10,2)</f>
        <v/>
      </c>
      <c r="E1384" s="21">
        <f>IF((ROUND(F1383-ROUND($B$13-D1384,2),2)&lt;=0),F1383,ROUND($B$13-D1384,2))</f>
        <v/>
      </c>
      <c r="F1384" s="21">
        <f>IF((ROUND(F1383-ROUND($B$13-D1384,2),2)&lt;=0),0,ROUND(F1383-E1384,2))</f>
        <v/>
      </c>
    </row>
    <row r="1385">
      <c r="A1385" s="6" t="n">
        <v>1369</v>
      </c>
      <c r="B1385" s="19">
        <f>IF(B8="monthly",DATE(YEAR(B7)+INT((MONTH(B7)-1+1368)/12),MOD(MONTH(B7)-1+1368,12)+1,1)+(DAY(B7)-1),IF(B8="weekly",B7+9576,IF(B8="biweekly",B7+19152,B7+ROUND((1368*365.25)/24,0))))</f>
        <v/>
      </c>
      <c r="C1385" s="21">
        <f>IF((ROUND(F1384-ROUND($B$13-D1385,2),2)&lt;=0),ROUND(D1385+E1385,2),$B$13)</f>
        <v/>
      </c>
      <c r="D1385" s="21">
        <f>ROUND(F1384*B5/100/B10,2)</f>
        <v/>
      </c>
      <c r="E1385" s="21">
        <f>IF((ROUND(F1384-ROUND($B$13-D1385,2),2)&lt;=0),F1384,ROUND($B$13-D1385,2))</f>
        <v/>
      </c>
      <c r="F1385" s="21">
        <f>IF((ROUND(F1384-ROUND($B$13-D1385,2),2)&lt;=0),0,ROUND(F1384-E1385,2))</f>
        <v/>
      </c>
    </row>
    <row r="1386">
      <c r="A1386" s="6" t="n">
        <v>1370</v>
      </c>
      <c r="B1386" s="19">
        <f>IF(B8="monthly",DATE(YEAR(B7)+INT((MONTH(B7)-1+1369)/12),MOD(MONTH(B7)-1+1369,12)+1,1)+(DAY(B7)-1),IF(B8="weekly",B7+9583,IF(B8="biweekly",B7+19166,B7+ROUND((1369*365.25)/24,0))))</f>
        <v/>
      </c>
      <c r="C1386" s="21">
        <f>IF((ROUND(F1385-ROUND($B$13-D1386,2),2)&lt;=0),ROUND(D1386+E1386,2),$B$13)</f>
        <v/>
      </c>
      <c r="D1386" s="21">
        <f>ROUND(F1385*B5/100/B10,2)</f>
        <v/>
      </c>
      <c r="E1386" s="21">
        <f>IF((ROUND(F1385-ROUND($B$13-D1386,2),2)&lt;=0),F1385,ROUND($B$13-D1386,2))</f>
        <v/>
      </c>
      <c r="F1386" s="21">
        <f>IF((ROUND(F1385-ROUND($B$13-D1386,2),2)&lt;=0),0,ROUND(F1385-E1386,2))</f>
        <v/>
      </c>
    </row>
    <row r="1387">
      <c r="A1387" s="6" t="n">
        <v>1371</v>
      </c>
      <c r="B1387" s="19">
        <f>IF(B8="monthly",DATE(YEAR(B7)+INT((MONTH(B7)-1+1370)/12),MOD(MONTH(B7)-1+1370,12)+1,1)+(DAY(B7)-1),IF(B8="weekly",B7+9590,IF(B8="biweekly",B7+19180,B7+ROUND((1370*365.25)/24,0))))</f>
        <v/>
      </c>
      <c r="C1387" s="21">
        <f>IF((ROUND(F1386-ROUND($B$13-D1387,2),2)&lt;=0),ROUND(D1387+E1387,2),$B$13)</f>
        <v/>
      </c>
      <c r="D1387" s="21">
        <f>ROUND(F1386*B5/100/B10,2)</f>
        <v/>
      </c>
      <c r="E1387" s="21">
        <f>IF((ROUND(F1386-ROUND($B$13-D1387,2),2)&lt;=0),F1386,ROUND($B$13-D1387,2))</f>
        <v/>
      </c>
      <c r="F1387" s="21">
        <f>IF((ROUND(F1386-ROUND($B$13-D1387,2),2)&lt;=0),0,ROUND(F1386-E1387,2))</f>
        <v/>
      </c>
    </row>
    <row r="1388">
      <c r="A1388" s="6" t="n">
        <v>1372</v>
      </c>
      <c r="B1388" s="19">
        <f>IF(B8="monthly",DATE(YEAR(B7)+INT((MONTH(B7)-1+1371)/12),MOD(MONTH(B7)-1+1371,12)+1,1)+(DAY(B7)-1),IF(B8="weekly",B7+9597,IF(B8="biweekly",B7+19194,B7+ROUND((1371*365.25)/24,0))))</f>
        <v/>
      </c>
      <c r="C1388" s="21">
        <f>IF((ROUND(F1387-ROUND($B$13-D1388,2),2)&lt;=0),ROUND(D1388+E1388,2),$B$13)</f>
        <v/>
      </c>
      <c r="D1388" s="21">
        <f>ROUND(F1387*B5/100/B10,2)</f>
        <v/>
      </c>
      <c r="E1388" s="21">
        <f>IF((ROUND(F1387-ROUND($B$13-D1388,2),2)&lt;=0),F1387,ROUND($B$13-D1388,2))</f>
        <v/>
      </c>
      <c r="F1388" s="21">
        <f>IF((ROUND(F1387-ROUND($B$13-D1388,2),2)&lt;=0),0,ROUND(F1387-E1388,2))</f>
        <v/>
      </c>
    </row>
    <row r="1389">
      <c r="A1389" s="6" t="n">
        <v>1373</v>
      </c>
      <c r="B1389" s="19">
        <f>IF(B8="monthly",DATE(YEAR(B7)+INT((MONTH(B7)-1+1372)/12),MOD(MONTH(B7)-1+1372,12)+1,1)+(DAY(B7)-1),IF(B8="weekly",B7+9604,IF(B8="biweekly",B7+19208,B7+ROUND((1372*365.25)/24,0))))</f>
        <v/>
      </c>
      <c r="C1389" s="21">
        <f>IF((ROUND(F1388-ROUND($B$13-D1389,2),2)&lt;=0),ROUND(D1389+E1389,2),$B$13)</f>
        <v/>
      </c>
      <c r="D1389" s="21">
        <f>ROUND(F1388*B5/100/B10,2)</f>
        <v/>
      </c>
      <c r="E1389" s="21">
        <f>IF((ROUND(F1388-ROUND($B$13-D1389,2),2)&lt;=0),F1388,ROUND($B$13-D1389,2))</f>
        <v/>
      </c>
      <c r="F1389" s="21">
        <f>IF((ROUND(F1388-ROUND($B$13-D1389,2),2)&lt;=0),0,ROUND(F1388-E1389,2))</f>
        <v/>
      </c>
    </row>
    <row r="1390">
      <c r="A1390" s="6" t="n">
        <v>1374</v>
      </c>
      <c r="B1390" s="19">
        <f>IF(B8="monthly",DATE(YEAR(B7)+INT((MONTH(B7)-1+1373)/12),MOD(MONTH(B7)-1+1373,12)+1,1)+(DAY(B7)-1),IF(B8="weekly",B7+9611,IF(B8="biweekly",B7+19222,B7+ROUND((1373*365.25)/24,0))))</f>
        <v/>
      </c>
      <c r="C1390" s="21">
        <f>IF((ROUND(F1389-ROUND($B$13-D1390,2),2)&lt;=0),ROUND(D1390+E1390,2),$B$13)</f>
        <v/>
      </c>
      <c r="D1390" s="21">
        <f>ROUND(F1389*B5/100/B10,2)</f>
        <v/>
      </c>
      <c r="E1390" s="21">
        <f>IF((ROUND(F1389-ROUND($B$13-D1390,2),2)&lt;=0),F1389,ROUND($B$13-D1390,2))</f>
        <v/>
      </c>
      <c r="F1390" s="21">
        <f>IF((ROUND(F1389-ROUND($B$13-D1390,2),2)&lt;=0),0,ROUND(F1389-E1390,2))</f>
        <v/>
      </c>
    </row>
    <row r="1391">
      <c r="A1391" s="6" t="n">
        <v>1375</v>
      </c>
      <c r="B1391" s="19">
        <f>IF(B8="monthly",DATE(YEAR(B7)+INT((MONTH(B7)-1+1374)/12),MOD(MONTH(B7)-1+1374,12)+1,1)+(DAY(B7)-1),IF(B8="weekly",B7+9618,IF(B8="biweekly",B7+19236,B7+ROUND((1374*365.25)/24,0))))</f>
        <v/>
      </c>
      <c r="C1391" s="21">
        <f>IF((ROUND(F1390-ROUND($B$13-D1391,2),2)&lt;=0),ROUND(D1391+E1391,2),$B$13)</f>
        <v/>
      </c>
      <c r="D1391" s="21">
        <f>ROUND(F1390*B5/100/B10,2)</f>
        <v/>
      </c>
      <c r="E1391" s="21">
        <f>IF((ROUND(F1390-ROUND($B$13-D1391,2),2)&lt;=0),F1390,ROUND($B$13-D1391,2))</f>
        <v/>
      </c>
      <c r="F1391" s="21">
        <f>IF((ROUND(F1390-ROUND($B$13-D1391,2),2)&lt;=0),0,ROUND(F1390-E1391,2))</f>
        <v/>
      </c>
    </row>
    <row r="1392">
      <c r="A1392" s="6" t="n">
        <v>1376</v>
      </c>
      <c r="B1392" s="19">
        <f>IF(B8="monthly",DATE(YEAR(B7)+INT((MONTH(B7)-1+1375)/12),MOD(MONTH(B7)-1+1375,12)+1,1)+(DAY(B7)-1),IF(B8="weekly",B7+9625,IF(B8="biweekly",B7+19250,B7+ROUND((1375*365.25)/24,0))))</f>
        <v/>
      </c>
      <c r="C1392" s="21">
        <f>IF((ROUND(F1391-ROUND($B$13-D1392,2),2)&lt;=0),ROUND(D1392+E1392,2),$B$13)</f>
        <v/>
      </c>
      <c r="D1392" s="21">
        <f>ROUND(F1391*B5/100/B10,2)</f>
        <v/>
      </c>
      <c r="E1392" s="21">
        <f>IF((ROUND(F1391-ROUND($B$13-D1392,2),2)&lt;=0),F1391,ROUND($B$13-D1392,2))</f>
        <v/>
      </c>
      <c r="F1392" s="21">
        <f>IF((ROUND(F1391-ROUND($B$13-D1392,2),2)&lt;=0),0,ROUND(F1391-E1392,2))</f>
        <v/>
      </c>
    </row>
    <row r="1393">
      <c r="A1393" s="6" t="n">
        <v>1377</v>
      </c>
      <c r="B1393" s="19">
        <f>IF(B8="monthly",DATE(YEAR(B7)+INT((MONTH(B7)-1+1376)/12),MOD(MONTH(B7)-1+1376,12)+1,1)+(DAY(B7)-1),IF(B8="weekly",B7+9632,IF(B8="biweekly",B7+19264,B7+ROUND((1376*365.25)/24,0))))</f>
        <v/>
      </c>
      <c r="C1393" s="21">
        <f>IF((ROUND(F1392-ROUND($B$13-D1393,2),2)&lt;=0),ROUND(D1393+E1393,2),$B$13)</f>
        <v/>
      </c>
      <c r="D1393" s="21">
        <f>ROUND(F1392*B5/100/B10,2)</f>
        <v/>
      </c>
      <c r="E1393" s="21">
        <f>IF((ROUND(F1392-ROUND($B$13-D1393,2),2)&lt;=0),F1392,ROUND($B$13-D1393,2))</f>
        <v/>
      </c>
      <c r="F1393" s="21">
        <f>IF((ROUND(F1392-ROUND($B$13-D1393,2),2)&lt;=0),0,ROUND(F1392-E1393,2))</f>
        <v/>
      </c>
    </row>
    <row r="1394">
      <c r="A1394" s="6" t="n">
        <v>1378</v>
      </c>
      <c r="B1394" s="19">
        <f>IF(B8="monthly",DATE(YEAR(B7)+INT((MONTH(B7)-1+1377)/12),MOD(MONTH(B7)-1+1377,12)+1,1)+(DAY(B7)-1),IF(B8="weekly",B7+9639,IF(B8="biweekly",B7+19278,B7+ROUND((1377*365.25)/24,0))))</f>
        <v/>
      </c>
      <c r="C1394" s="21">
        <f>IF((ROUND(F1393-ROUND($B$13-D1394,2),2)&lt;=0),ROUND(D1394+E1394,2),$B$13)</f>
        <v/>
      </c>
      <c r="D1394" s="21">
        <f>ROUND(F1393*B5/100/B10,2)</f>
        <v/>
      </c>
      <c r="E1394" s="21">
        <f>IF((ROUND(F1393-ROUND($B$13-D1394,2),2)&lt;=0),F1393,ROUND($B$13-D1394,2))</f>
        <v/>
      </c>
      <c r="F1394" s="21">
        <f>IF((ROUND(F1393-ROUND($B$13-D1394,2),2)&lt;=0),0,ROUND(F1393-E1394,2))</f>
        <v/>
      </c>
    </row>
    <row r="1395">
      <c r="A1395" s="6" t="n">
        <v>1379</v>
      </c>
      <c r="B1395" s="19">
        <f>IF(B8="monthly",DATE(YEAR(B7)+INT((MONTH(B7)-1+1378)/12),MOD(MONTH(B7)-1+1378,12)+1,1)+(DAY(B7)-1),IF(B8="weekly",B7+9646,IF(B8="biweekly",B7+19292,B7+ROUND((1378*365.25)/24,0))))</f>
        <v/>
      </c>
      <c r="C1395" s="21">
        <f>IF((ROUND(F1394-ROUND($B$13-D1395,2),2)&lt;=0),ROUND(D1395+E1395,2),$B$13)</f>
        <v/>
      </c>
      <c r="D1395" s="21">
        <f>ROUND(F1394*B5/100/B10,2)</f>
        <v/>
      </c>
      <c r="E1395" s="21">
        <f>IF((ROUND(F1394-ROUND($B$13-D1395,2),2)&lt;=0),F1394,ROUND($B$13-D1395,2))</f>
        <v/>
      </c>
      <c r="F1395" s="21">
        <f>IF((ROUND(F1394-ROUND($B$13-D1395,2),2)&lt;=0),0,ROUND(F1394-E1395,2))</f>
        <v/>
      </c>
    </row>
    <row r="1396">
      <c r="A1396" s="6" t="n">
        <v>1380</v>
      </c>
      <c r="B1396" s="19">
        <f>IF(B8="monthly",DATE(YEAR(B7)+INT((MONTH(B7)-1+1379)/12),MOD(MONTH(B7)-1+1379,12)+1,1)+(DAY(B7)-1),IF(B8="weekly",B7+9653,IF(B8="biweekly",B7+19306,B7+ROUND((1379*365.25)/24,0))))</f>
        <v/>
      </c>
      <c r="C1396" s="21">
        <f>IF((ROUND(F1395-ROUND($B$13-D1396,2),2)&lt;=0),ROUND(D1396+E1396,2),$B$13)</f>
        <v/>
      </c>
      <c r="D1396" s="21">
        <f>ROUND(F1395*B5/100/B10,2)</f>
        <v/>
      </c>
      <c r="E1396" s="21">
        <f>IF((ROUND(F1395-ROUND($B$13-D1396,2),2)&lt;=0),F1395,ROUND($B$13-D1396,2))</f>
        <v/>
      </c>
      <c r="F1396" s="21">
        <f>IF((ROUND(F1395-ROUND($B$13-D1396,2),2)&lt;=0),0,ROUND(F1395-E1396,2))</f>
        <v/>
      </c>
    </row>
    <row r="1397">
      <c r="A1397" s="6" t="n">
        <v>1381</v>
      </c>
      <c r="B1397" s="19">
        <f>IF(B8="monthly",DATE(YEAR(B7)+INT((MONTH(B7)-1+1380)/12),MOD(MONTH(B7)-1+1380,12)+1,1)+(DAY(B7)-1),IF(B8="weekly",B7+9660,IF(B8="biweekly",B7+19320,B7+ROUND((1380*365.25)/24,0))))</f>
        <v/>
      </c>
      <c r="C1397" s="21">
        <f>IF((ROUND(F1396-ROUND($B$13-D1397,2),2)&lt;=0),ROUND(D1397+E1397,2),$B$13)</f>
        <v/>
      </c>
      <c r="D1397" s="21">
        <f>ROUND(F1396*B5/100/B10,2)</f>
        <v/>
      </c>
      <c r="E1397" s="21">
        <f>IF((ROUND(F1396-ROUND($B$13-D1397,2),2)&lt;=0),F1396,ROUND($B$13-D1397,2))</f>
        <v/>
      </c>
      <c r="F1397" s="21">
        <f>IF((ROUND(F1396-ROUND($B$13-D1397,2),2)&lt;=0),0,ROUND(F1396-E1397,2))</f>
        <v/>
      </c>
    </row>
    <row r="1398">
      <c r="A1398" s="6" t="n">
        <v>1382</v>
      </c>
      <c r="B1398" s="19">
        <f>IF(B8="monthly",DATE(YEAR(B7)+INT((MONTH(B7)-1+1381)/12),MOD(MONTH(B7)-1+1381,12)+1,1)+(DAY(B7)-1),IF(B8="weekly",B7+9667,IF(B8="biweekly",B7+19334,B7+ROUND((1381*365.25)/24,0))))</f>
        <v/>
      </c>
      <c r="C1398" s="21">
        <f>IF((ROUND(F1397-ROUND($B$13-D1398,2),2)&lt;=0),ROUND(D1398+E1398,2),$B$13)</f>
        <v/>
      </c>
      <c r="D1398" s="21">
        <f>ROUND(F1397*B5/100/B10,2)</f>
        <v/>
      </c>
      <c r="E1398" s="21">
        <f>IF((ROUND(F1397-ROUND($B$13-D1398,2),2)&lt;=0),F1397,ROUND($B$13-D1398,2))</f>
        <v/>
      </c>
      <c r="F1398" s="21">
        <f>IF((ROUND(F1397-ROUND($B$13-D1398,2),2)&lt;=0),0,ROUND(F1397-E1398,2))</f>
        <v/>
      </c>
    </row>
    <row r="1399">
      <c r="A1399" s="6" t="n">
        <v>1383</v>
      </c>
      <c r="B1399" s="19">
        <f>IF(B8="monthly",DATE(YEAR(B7)+INT((MONTH(B7)-1+1382)/12),MOD(MONTH(B7)-1+1382,12)+1,1)+(DAY(B7)-1),IF(B8="weekly",B7+9674,IF(B8="biweekly",B7+19348,B7+ROUND((1382*365.25)/24,0))))</f>
        <v/>
      </c>
      <c r="C1399" s="21">
        <f>IF((ROUND(F1398-ROUND($B$13-D1399,2),2)&lt;=0),ROUND(D1399+E1399,2),$B$13)</f>
        <v/>
      </c>
      <c r="D1399" s="21">
        <f>ROUND(F1398*B5/100/B10,2)</f>
        <v/>
      </c>
      <c r="E1399" s="21">
        <f>IF((ROUND(F1398-ROUND($B$13-D1399,2),2)&lt;=0),F1398,ROUND($B$13-D1399,2))</f>
        <v/>
      </c>
      <c r="F1399" s="21">
        <f>IF((ROUND(F1398-ROUND($B$13-D1399,2),2)&lt;=0),0,ROUND(F1398-E1399,2))</f>
        <v/>
      </c>
    </row>
    <row r="1400">
      <c r="A1400" s="6" t="n">
        <v>1384</v>
      </c>
      <c r="B1400" s="19">
        <f>IF(B8="monthly",DATE(YEAR(B7)+INT((MONTH(B7)-1+1383)/12),MOD(MONTH(B7)-1+1383,12)+1,1)+(DAY(B7)-1),IF(B8="weekly",B7+9681,IF(B8="biweekly",B7+19362,B7+ROUND((1383*365.25)/24,0))))</f>
        <v/>
      </c>
      <c r="C1400" s="21">
        <f>IF((ROUND(F1399-ROUND($B$13-D1400,2),2)&lt;=0),ROUND(D1400+E1400,2),$B$13)</f>
        <v/>
      </c>
      <c r="D1400" s="21">
        <f>ROUND(F1399*B5/100/B10,2)</f>
        <v/>
      </c>
      <c r="E1400" s="21">
        <f>IF((ROUND(F1399-ROUND($B$13-D1400,2),2)&lt;=0),F1399,ROUND($B$13-D1400,2))</f>
        <v/>
      </c>
      <c r="F1400" s="21">
        <f>IF((ROUND(F1399-ROUND($B$13-D1400,2),2)&lt;=0),0,ROUND(F1399-E1400,2))</f>
        <v/>
      </c>
    </row>
    <row r="1401">
      <c r="A1401" s="6" t="n">
        <v>1385</v>
      </c>
      <c r="B1401" s="19">
        <f>IF(B8="monthly",DATE(YEAR(B7)+INT((MONTH(B7)-1+1384)/12),MOD(MONTH(B7)-1+1384,12)+1,1)+(DAY(B7)-1),IF(B8="weekly",B7+9688,IF(B8="biweekly",B7+19376,B7+ROUND((1384*365.25)/24,0))))</f>
        <v/>
      </c>
      <c r="C1401" s="21">
        <f>IF((ROUND(F1400-ROUND($B$13-D1401,2),2)&lt;=0),ROUND(D1401+E1401,2),$B$13)</f>
        <v/>
      </c>
      <c r="D1401" s="21">
        <f>ROUND(F1400*B5/100/B10,2)</f>
        <v/>
      </c>
      <c r="E1401" s="21">
        <f>IF((ROUND(F1400-ROUND($B$13-D1401,2),2)&lt;=0),F1400,ROUND($B$13-D1401,2))</f>
        <v/>
      </c>
      <c r="F1401" s="21">
        <f>IF((ROUND(F1400-ROUND($B$13-D1401,2),2)&lt;=0),0,ROUND(F1400-E1401,2))</f>
        <v/>
      </c>
    </row>
    <row r="1402">
      <c r="A1402" s="6" t="n">
        <v>1386</v>
      </c>
      <c r="B1402" s="19">
        <f>IF(B8="monthly",DATE(YEAR(B7)+INT((MONTH(B7)-1+1385)/12),MOD(MONTH(B7)-1+1385,12)+1,1)+(DAY(B7)-1),IF(B8="weekly",B7+9695,IF(B8="biweekly",B7+19390,B7+ROUND((1385*365.25)/24,0))))</f>
        <v/>
      </c>
      <c r="C1402" s="21">
        <f>IF((ROUND(F1401-ROUND($B$13-D1402,2),2)&lt;=0),ROUND(D1402+E1402,2),$B$13)</f>
        <v/>
      </c>
      <c r="D1402" s="21">
        <f>ROUND(F1401*B5/100/B10,2)</f>
        <v/>
      </c>
      <c r="E1402" s="21">
        <f>IF((ROUND(F1401-ROUND($B$13-D1402,2),2)&lt;=0),F1401,ROUND($B$13-D1402,2))</f>
        <v/>
      </c>
      <c r="F1402" s="21">
        <f>IF((ROUND(F1401-ROUND($B$13-D1402,2),2)&lt;=0),0,ROUND(F1401-E1402,2))</f>
        <v/>
      </c>
    </row>
    <row r="1403">
      <c r="A1403" s="6" t="n">
        <v>1387</v>
      </c>
      <c r="B1403" s="19">
        <f>IF(B8="monthly",DATE(YEAR(B7)+INT((MONTH(B7)-1+1386)/12),MOD(MONTH(B7)-1+1386,12)+1,1)+(DAY(B7)-1),IF(B8="weekly",B7+9702,IF(B8="biweekly",B7+19404,B7+ROUND((1386*365.25)/24,0))))</f>
        <v/>
      </c>
      <c r="C1403" s="21">
        <f>IF((ROUND(F1402-ROUND($B$13-D1403,2),2)&lt;=0),ROUND(D1403+E1403,2),$B$13)</f>
        <v/>
      </c>
      <c r="D1403" s="21">
        <f>ROUND(F1402*B5/100/B10,2)</f>
        <v/>
      </c>
      <c r="E1403" s="21">
        <f>IF((ROUND(F1402-ROUND($B$13-D1403,2),2)&lt;=0),F1402,ROUND($B$13-D1403,2))</f>
        <v/>
      </c>
      <c r="F1403" s="21">
        <f>IF((ROUND(F1402-ROUND($B$13-D1403,2),2)&lt;=0),0,ROUND(F1402-E1403,2))</f>
        <v/>
      </c>
    </row>
    <row r="1404">
      <c r="A1404" s="6" t="n">
        <v>1388</v>
      </c>
      <c r="B1404" s="19">
        <f>IF(B8="monthly",DATE(YEAR(B7)+INT((MONTH(B7)-1+1387)/12),MOD(MONTH(B7)-1+1387,12)+1,1)+(DAY(B7)-1),IF(B8="weekly",B7+9709,IF(B8="biweekly",B7+19418,B7+ROUND((1387*365.25)/24,0))))</f>
        <v/>
      </c>
      <c r="C1404" s="21">
        <f>IF((ROUND(F1403-ROUND($B$13-D1404,2),2)&lt;=0),ROUND(D1404+E1404,2),$B$13)</f>
        <v/>
      </c>
      <c r="D1404" s="21">
        <f>ROUND(F1403*B5/100/B10,2)</f>
        <v/>
      </c>
      <c r="E1404" s="21">
        <f>IF((ROUND(F1403-ROUND($B$13-D1404,2),2)&lt;=0),F1403,ROUND($B$13-D1404,2))</f>
        <v/>
      </c>
      <c r="F1404" s="21">
        <f>IF((ROUND(F1403-ROUND($B$13-D1404,2),2)&lt;=0),0,ROUND(F1403-E1404,2))</f>
        <v/>
      </c>
    </row>
    <row r="1405">
      <c r="A1405" s="6" t="n">
        <v>1389</v>
      </c>
      <c r="B1405" s="19">
        <f>IF(B8="monthly",DATE(YEAR(B7)+INT((MONTH(B7)-1+1388)/12),MOD(MONTH(B7)-1+1388,12)+1,1)+(DAY(B7)-1),IF(B8="weekly",B7+9716,IF(B8="biweekly",B7+19432,B7+ROUND((1388*365.25)/24,0))))</f>
        <v/>
      </c>
      <c r="C1405" s="21">
        <f>IF((ROUND(F1404-ROUND($B$13-D1405,2),2)&lt;=0),ROUND(D1405+E1405,2),$B$13)</f>
        <v/>
      </c>
      <c r="D1405" s="21">
        <f>ROUND(F1404*B5/100/B10,2)</f>
        <v/>
      </c>
      <c r="E1405" s="21">
        <f>IF((ROUND(F1404-ROUND($B$13-D1405,2),2)&lt;=0),F1404,ROUND($B$13-D1405,2))</f>
        <v/>
      </c>
      <c r="F1405" s="21">
        <f>IF((ROUND(F1404-ROUND($B$13-D1405,2),2)&lt;=0),0,ROUND(F1404-E1405,2))</f>
        <v/>
      </c>
    </row>
    <row r="1406">
      <c r="A1406" s="6" t="n">
        <v>1390</v>
      </c>
      <c r="B1406" s="19">
        <f>IF(B8="monthly",DATE(YEAR(B7)+INT((MONTH(B7)-1+1389)/12),MOD(MONTH(B7)-1+1389,12)+1,1)+(DAY(B7)-1),IF(B8="weekly",B7+9723,IF(B8="biweekly",B7+19446,B7+ROUND((1389*365.25)/24,0))))</f>
        <v/>
      </c>
      <c r="C1406" s="21">
        <f>IF((ROUND(F1405-ROUND($B$13-D1406,2),2)&lt;=0),ROUND(D1406+E1406,2),$B$13)</f>
        <v/>
      </c>
      <c r="D1406" s="21">
        <f>ROUND(F1405*B5/100/B10,2)</f>
        <v/>
      </c>
      <c r="E1406" s="21">
        <f>IF((ROUND(F1405-ROUND($B$13-D1406,2),2)&lt;=0),F1405,ROUND($B$13-D1406,2))</f>
        <v/>
      </c>
      <c r="F1406" s="21">
        <f>IF((ROUND(F1405-ROUND($B$13-D1406,2),2)&lt;=0),0,ROUND(F1405-E1406,2))</f>
        <v/>
      </c>
    </row>
    <row r="1407">
      <c r="A1407" s="6" t="n">
        <v>1391</v>
      </c>
      <c r="B1407" s="19">
        <f>IF(B8="monthly",DATE(YEAR(B7)+INT((MONTH(B7)-1+1390)/12),MOD(MONTH(B7)-1+1390,12)+1,1)+(DAY(B7)-1),IF(B8="weekly",B7+9730,IF(B8="biweekly",B7+19460,B7+ROUND((1390*365.25)/24,0))))</f>
        <v/>
      </c>
      <c r="C1407" s="21">
        <f>IF((ROUND(F1406-ROUND($B$13-D1407,2),2)&lt;=0),ROUND(D1407+E1407,2),$B$13)</f>
        <v/>
      </c>
      <c r="D1407" s="21">
        <f>ROUND(F1406*B5/100/B10,2)</f>
        <v/>
      </c>
      <c r="E1407" s="21">
        <f>IF((ROUND(F1406-ROUND($B$13-D1407,2),2)&lt;=0),F1406,ROUND($B$13-D1407,2))</f>
        <v/>
      </c>
      <c r="F1407" s="21">
        <f>IF((ROUND(F1406-ROUND($B$13-D1407,2),2)&lt;=0),0,ROUND(F1406-E1407,2))</f>
        <v/>
      </c>
    </row>
    <row r="1408">
      <c r="A1408" s="6" t="n">
        <v>1392</v>
      </c>
      <c r="B1408" s="19">
        <f>IF(B8="monthly",DATE(YEAR(B7)+INT((MONTH(B7)-1+1391)/12),MOD(MONTH(B7)-1+1391,12)+1,1)+(DAY(B7)-1),IF(B8="weekly",B7+9737,IF(B8="biweekly",B7+19474,B7+ROUND((1391*365.25)/24,0))))</f>
        <v/>
      </c>
      <c r="C1408" s="21">
        <f>IF((ROUND(F1407-ROUND($B$13-D1408,2),2)&lt;=0),ROUND(D1408+E1408,2),$B$13)</f>
        <v/>
      </c>
      <c r="D1408" s="21">
        <f>ROUND(F1407*B5/100/B10,2)</f>
        <v/>
      </c>
      <c r="E1408" s="21">
        <f>IF((ROUND(F1407-ROUND($B$13-D1408,2),2)&lt;=0),F1407,ROUND($B$13-D1408,2))</f>
        <v/>
      </c>
      <c r="F1408" s="21">
        <f>IF((ROUND(F1407-ROUND($B$13-D1408,2),2)&lt;=0),0,ROUND(F1407-E1408,2))</f>
        <v/>
      </c>
    </row>
    <row r="1409">
      <c r="A1409" s="6" t="n">
        <v>1393</v>
      </c>
      <c r="B1409" s="19">
        <f>IF(B8="monthly",DATE(YEAR(B7)+INT((MONTH(B7)-1+1392)/12),MOD(MONTH(B7)-1+1392,12)+1,1)+(DAY(B7)-1),IF(B8="weekly",B7+9744,IF(B8="biweekly",B7+19488,B7+ROUND((1392*365.25)/24,0))))</f>
        <v/>
      </c>
      <c r="C1409" s="21">
        <f>IF((ROUND(F1408-ROUND($B$13-D1409,2),2)&lt;=0),ROUND(D1409+E1409,2),$B$13)</f>
        <v/>
      </c>
      <c r="D1409" s="21">
        <f>ROUND(F1408*B5/100/B10,2)</f>
        <v/>
      </c>
      <c r="E1409" s="21">
        <f>IF((ROUND(F1408-ROUND($B$13-D1409,2),2)&lt;=0),F1408,ROUND($B$13-D1409,2))</f>
        <v/>
      </c>
      <c r="F1409" s="21">
        <f>IF((ROUND(F1408-ROUND($B$13-D1409,2),2)&lt;=0),0,ROUND(F1408-E1409,2))</f>
        <v/>
      </c>
    </row>
    <row r="1410">
      <c r="A1410" s="6" t="n">
        <v>1394</v>
      </c>
      <c r="B1410" s="19">
        <f>IF(B8="monthly",DATE(YEAR(B7)+INT((MONTH(B7)-1+1393)/12),MOD(MONTH(B7)-1+1393,12)+1,1)+(DAY(B7)-1),IF(B8="weekly",B7+9751,IF(B8="biweekly",B7+19502,B7+ROUND((1393*365.25)/24,0))))</f>
        <v/>
      </c>
      <c r="C1410" s="21">
        <f>IF((ROUND(F1409-ROUND($B$13-D1410,2),2)&lt;=0),ROUND(D1410+E1410,2),$B$13)</f>
        <v/>
      </c>
      <c r="D1410" s="21">
        <f>ROUND(F1409*B5/100/B10,2)</f>
        <v/>
      </c>
      <c r="E1410" s="21">
        <f>IF((ROUND(F1409-ROUND($B$13-D1410,2),2)&lt;=0),F1409,ROUND($B$13-D1410,2))</f>
        <v/>
      </c>
      <c r="F1410" s="21">
        <f>IF((ROUND(F1409-ROUND($B$13-D1410,2),2)&lt;=0),0,ROUND(F1409-E1410,2))</f>
        <v/>
      </c>
    </row>
    <row r="1411">
      <c r="A1411" s="6" t="n">
        <v>1395</v>
      </c>
      <c r="B1411" s="19">
        <f>IF(B8="monthly",DATE(YEAR(B7)+INT((MONTH(B7)-1+1394)/12),MOD(MONTH(B7)-1+1394,12)+1,1)+(DAY(B7)-1),IF(B8="weekly",B7+9758,IF(B8="biweekly",B7+19516,B7+ROUND((1394*365.25)/24,0))))</f>
        <v/>
      </c>
      <c r="C1411" s="21">
        <f>IF((ROUND(F1410-ROUND($B$13-D1411,2),2)&lt;=0),ROUND(D1411+E1411,2),$B$13)</f>
        <v/>
      </c>
      <c r="D1411" s="21">
        <f>ROUND(F1410*B5/100/B10,2)</f>
        <v/>
      </c>
      <c r="E1411" s="21">
        <f>IF((ROUND(F1410-ROUND($B$13-D1411,2),2)&lt;=0),F1410,ROUND($B$13-D1411,2))</f>
        <v/>
      </c>
      <c r="F1411" s="21">
        <f>IF((ROUND(F1410-ROUND($B$13-D1411,2),2)&lt;=0),0,ROUND(F1410-E1411,2))</f>
        <v/>
      </c>
    </row>
    <row r="1412">
      <c r="A1412" s="6" t="n">
        <v>1396</v>
      </c>
      <c r="B1412" s="19">
        <f>IF(B8="monthly",DATE(YEAR(B7)+INT((MONTH(B7)-1+1395)/12),MOD(MONTH(B7)-1+1395,12)+1,1)+(DAY(B7)-1),IF(B8="weekly",B7+9765,IF(B8="biweekly",B7+19530,B7+ROUND((1395*365.25)/24,0))))</f>
        <v/>
      </c>
      <c r="C1412" s="21">
        <f>IF((ROUND(F1411-ROUND($B$13-D1412,2),2)&lt;=0),ROUND(D1412+E1412,2),$B$13)</f>
        <v/>
      </c>
      <c r="D1412" s="21">
        <f>ROUND(F1411*B5/100/B10,2)</f>
        <v/>
      </c>
      <c r="E1412" s="21">
        <f>IF((ROUND(F1411-ROUND($B$13-D1412,2),2)&lt;=0),F1411,ROUND($B$13-D1412,2))</f>
        <v/>
      </c>
      <c r="F1412" s="21">
        <f>IF((ROUND(F1411-ROUND($B$13-D1412,2),2)&lt;=0),0,ROUND(F1411-E1412,2))</f>
        <v/>
      </c>
    </row>
    <row r="1413">
      <c r="A1413" s="6" t="n">
        <v>1397</v>
      </c>
      <c r="B1413" s="19">
        <f>IF(B8="monthly",DATE(YEAR(B7)+INT((MONTH(B7)-1+1396)/12),MOD(MONTH(B7)-1+1396,12)+1,1)+(DAY(B7)-1),IF(B8="weekly",B7+9772,IF(B8="biweekly",B7+19544,B7+ROUND((1396*365.25)/24,0))))</f>
        <v/>
      </c>
      <c r="C1413" s="21">
        <f>IF((ROUND(F1412-ROUND($B$13-D1413,2),2)&lt;=0),ROUND(D1413+E1413,2),$B$13)</f>
        <v/>
      </c>
      <c r="D1413" s="21">
        <f>ROUND(F1412*B5/100/B10,2)</f>
        <v/>
      </c>
      <c r="E1413" s="21">
        <f>IF((ROUND(F1412-ROUND($B$13-D1413,2),2)&lt;=0),F1412,ROUND($B$13-D1413,2))</f>
        <v/>
      </c>
      <c r="F1413" s="21">
        <f>IF((ROUND(F1412-ROUND($B$13-D1413,2),2)&lt;=0),0,ROUND(F1412-E1413,2))</f>
        <v/>
      </c>
    </row>
    <row r="1414">
      <c r="A1414" s="6" t="n">
        <v>1398</v>
      </c>
      <c r="B1414" s="19">
        <f>IF(B8="monthly",DATE(YEAR(B7)+INT((MONTH(B7)-1+1397)/12),MOD(MONTH(B7)-1+1397,12)+1,1)+(DAY(B7)-1),IF(B8="weekly",B7+9779,IF(B8="biweekly",B7+19558,B7+ROUND((1397*365.25)/24,0))))</f>
        <v/>
      </c>
      <c r="C1414" s="21">
        <f>IF((ROUND(F1413-ROUND($B$13-D1414,2),2)&lt;=0),ROUND(D1414+E1414,2),$B$13)</f>
        <v/>
      </c>
      <c r="D1414" s="21">
        <f>ROUND(F1413*B5/100/B10,2)</f>
        <v/>
      </c>
      <c r="E1414" s="21">
        <f>IF((ROUND(F1413-ROUND($B$13-D1414,2),2)&lt;=0),F1413,ROUND($B$13-D1414,2))</f>
        <v/>
      </c>
      <c r="F1414" s="21">
        <f>IF((ROUND(F1413-ROUND($B$13-D1414,2),2)&lt;=0),0,ROUND(F1413-E1414,2))</f>
        <v/>
      </c>
    </row>
    <row r="1415">
      <c r="A1415" s="6" t="n">
        <v>1399</v>
      </c>
      <c r="B1415" s="19">
        <f>IF(B8="monthly",DATE(YEAR(B7)+INT((MONTH(B7)-1+1398)/12),MOD(MONTH(B7)-1+1398,12)+1,1)+(DAY(B7)-1),IF(B8="weekly",B7+9786,IF(B8="biweekly",B7+19572,B7+ROUND((1398*365.25)/24,0))))</f>
        <v/>
      </c>
      <c r="C1415" s="21">
        <f>IF((ROUND(F1414-ROUND($B$13-D1415,2),2)&lt;=0),ROUND(D1415+E1415,2),$B$13)</f>
        <v/>
      </c>
      <c r="D1415" s="21">
        <f>ROUND(F1414*B5/100/B10,2)</f>
        <v/>
      </c>
      <c r="E1415" s="21">
        <f>IF((ROUND(F1414-ROUND($B$13-D1415,2),2)&lt;=0),F1414,ROUND($B$13-D1415,2))</f>
        <v/>
      </c>
      <c r="F1415" s="21">
        <f>IF((ROUND(F1414-ROUND($B$13-D1415,2),2)&lt;=0),0,ROUND(F1414-E1415,2))</f>
        <v/>
      </c>
    </row>
    <row r="1416">
      <c r="A1416" s="6" t="n">
        <v>1400</v>
      </c>
      <c r="B1416" s="19">
        <f>IF(B8="monthly",DATE(YEAR(B7)+INT((MONTH(B7)-1+1399)/12),MOD(MONTH(B7)-1+1399,12)+1,1)+(DAY(B7)-1),IF(B8="weekly",B7+9793,IF(B8="biweekly",B7+19586,B7+ROUND((1399*365.25)/24,0))))</f>
        <v/>
      </c>
      <c r="C1416" s="21">
        <f>IF((ROUND(F1415-ROUND($B$13-D1416,2),2)&lt;=0),ROUND(D1416+E1416,2),$B$13)</f>
        <v/>
      </c>
      <c r="D1416" s="21">
        <f>ROUND(F1415*B5/100/B10,2)</f>
        <v/>
      </c>
      <c r="E1416" s="21">
        <f>IF((ROUND(F1415-ROUND($B$13-D1416,2),2)&lt;=0),F1415,ROUND($B$13-D1416,2))</f>
        <v/>
      </c>
      <c r="F1416" s="21">
        <f>IF((ROUND(F1415-ROUND($B$13-D1416,2),2)&lt;=0),0,ROUND(F1415-E1416,2))</f>
        <v/>
      </c>
    </row>
    <row r="1417">
      <c r="A1417" s="6" t="n">
        <v>1401</v>
      </c>
      <c r="B1417" s="19">
        <f>IF(B8="monthly",DATE(YEAR(B7)+INT((MONTH(B7)-1+1400)/12),MOD(MONTH(B7)-1+1400,12)+1,1)+(DAY(B7)-1),IF(B8="weekly",B7+9800,IF(B8="biweekly",B7+19600,B7+ROUND((1400*365.25)/24,0))))</f>
        <v/>
      </c>
      <c r="C1417" s="21">
        <f>IF((ROUND(F1416-ROUND($B$13-D1417,2),2)&lt;=0),ROUND(D1417+E1417,2),$B$13)</f>
        <v/>
      </c>
      <c r="D1417" s="21">
        <f>ROUND(F1416*B5/100/B10,2)</f>
        <v/>
      </c>
      <c r="E1417" s="21">
        <f>IF((ROUND(F1416-ROUND($B$13-D1417,2),2)&lt;=0),F1416,ROUND($B$13-D1417,2))</f>
        <v/>
      </c>
      <c r="F1417" s="21">
        <f>IF((ROUND(F1416-ROUND($B$13-D1417,2),2)&lt;=0),0,ROUND(F1416-E1417,2))</f>
        <v/>
      </c>
    </row>
    <row r="1418">
      <c r="A1418" s="6" t="n">
        <v>1402</v>
      </c>
      <c r="B1418" s="19">
        <f>IF(B8="monthly",DATE(YEAR(B7)+INT((MONTH(B7)-1+1401)/12),MOD(MONTH(B7)-1+1401,12)+1,1)+(DAY(B7)-1),IF(B8="weekly",B7+9807,IF(B8="biweekly",B7+19614,B7+ROUND((1401*365.25)/24,0))))</f>
        <v/>
      </c>
      <c r="C1418" s="21">
        <f>IF((ROUND(F1417-ROUND($B$13-D1418,2),2)&lt;=0),ROUND(D1418+E1418,2),$B$13)</f>
        <v/>
      </c>
      <c r="D1418" s="21">
        <f>ROUND(F1417*B5/100/B10,2)</f>
        <v/>
      </c>
      <c r="E1418" s="21">
        <f>IF((ROUND(F1417-ROUND($B$13-D1418,2),2)&lt;=0),F1417,ROUND($B$13-D1418,2))</f>
        <v/>
      </c>
      <c r="F1418" s="21">
        <f>IF((ROUND(F1417-ROUND($B$13-D1418,2),2)&lt;=0),0,ROUND(F1417-E1418,2))</f>
        <v/>
      </c>
    </row>
    <row r="1419">
      <c r="A1419" s="6" t="n">
        <v>1403</v>
      </c>
      <c r="B1419" s="19">
        <f>IF(B8="monthly",DATE(YEAR(B7)+INT((MONTH(B7)-1+1402)/12),MOD(MONTH(B7)-1+1402,12)+1,1)+(DAY(B7)-1),IF(B8="weekly",B7+9814,IF(B8="biweekly",B7+19628,B7+ROUND((1402*365.25)/24,0))))</f>
        <v/>
      </c>
      <c r="C1419" s="21">
        <f>IF((ROUND(F1418-ROUND($B$13-D1419,2),2)&lt;=0),ROUND(D1419+E1419,2),$B$13)</f>
        <v/>
      </c>
      <c r="D1419" s="21">
        <f>ROUND(F1418*B5/100/B10,2)</f>
        <v/>
      </c>
      <c r="E1419" s="21">
        <f>IF((ROUND(F1418-ROUND($B$13-D1419,2),2)&lt;=0),F1418,ROUND($B$13-D1419,2))</f>
        <v/>
      </c>
      <c r="F1419" s="21">
        <f>IF((ROUND(F1418-ROUND($B$13-D1419,2),2)&lt;=0),0,ROUND(F1418-E1419,2))</f>
        <v/>
      </c>
    </row>
    <row r="1420">
      <c r="A1420" s="6" t="n">
        <v>1404</v>
      </c>
      <c r="B1420" s="19">
        <f>IF(B8="monthly",DATE(YEAR(B7)+INT((MONTH(B7)-1+1403)/12),MOD(MONTH(B7)-1+1403,12)+1,1)+(DAY(B7)-1),IF(B8="weekly",B7+9821,IF(B8="biweekly",B7+19642,B7+ROUND((1403*365.25)/24,0))))</f>
        <v/>
      </c>
      <c r="C1420" s="21">
        <f>IF((ROUND(F1419-ROUND($B$13-D1420,2),2)&lt;=0),ROUND(D1420+E1420,2),$B$13)</f>
        <v/>
      </c>
      <c r="D1420" s="21">
        <f>ROUND(F1419*B5/100/B10,2)</f>
        <v/>
      </c>
      <c r="E1420" s="21">
        <f>IF((ROUND(F1419-ROUND($B$13-D1420,2),2)&lt;=0),F1419,ROUND($B$13-D1420,2))</f>
        <v/>
      </c>
      <c r="F1420" s="21">
        <f>IF((ROUND(F1419-ROUND($B$13-D1420,2),2)&lt;=0),0,ROUND(F1419-E1420,2))</f>
        <v/>
      </c>
    </row>
    <row r="1421">
      <c r="A1421" s="6" t="n">
        <v>1405</v>
      </c>
      <c r="B1421" s="19">
        <f>IF(B8="monthly",DATE(YEAR(B7)+INT((MONTH(B7)-1+1404)/12),MOD(MONTH(B7)-1+1404,12)+1,1)+(DAY(B7)-1),IF(B8="weekly",B7+9828,IF(B8="biweekly",B7+19656,B7+ROUND((1404*365.25)/24,0))))</f>
        <v/>
      </c>
      <c r="C1421" s="21">
        <f>IF((ROUND(F1420-ROUND($B$13-D1421,2),2)&lt;=0),ROUND(D1421+E1421,2),$B$13)</f>
        <v/>
      </c>
      <c r="D1421" s="21">
        <f>ROUND(F1420*B5/100/B10,2)</f>
        <v/>
      </c>
      <c r="E1421" s="21">
        <f>IF((ROUND(F1420-ROUND($B$13-D1421,2),2)&lt;=0),F1420,ROUND($B$13-D1421,2))</f>
        <v/>
      </c>
      <c r="F1421" s="21">
        <f>IF((ROUND(F1420-ROUND($B$13-D1421,2),2)&lt;=0),0,ROUND(F1420-E1421,2))</f>
        <v/>
      </c>
    </row>
    <row r="1422">
      <c r="A1422" s="6" t="n">
        <v>1406</v>
      </c>
      <c r="B1422" s="19">
        <f>IF(B8="monthly",DATE(YEAR(B7)+INT((MONTH(B7)-1+1405)/12),MOD(MONTH(B7)-1+1405,12)+1,1)+(DAY(B7)-1),IF(B8="weekly",B7+9835,IF(B8="biweekly",B7+19670,B7+ROUND((1405*365.25)/24,0))))</f>
        <v/>
      </c>
      <c r="C1422" s="21">
        <f>IF((ROUND(F1421-ROUND($B$13-D1422,2),2)&lt;=0),ROUND(D1422+E1422,2),$B$13)</f>
        <v/>
      </c>
      <c r="D1422" s="21">
        <f>ROUND(F1421*B5/100/B10,2)</f>
        <v/>
      </c>
      <c r="E1422" s="21">
        <f>IF((ROUND(F1421-ROUND($B$13-D1422,2),2)&lt;=0),F1421,ROUND($B$13-D1422,2))</f>
        <v/>
      </c>
      <c r="F1422" s="21">
        <f>IF((ROUND(F1421-ROUND($B$13-D1422,2),2)&lt;=0),0,ROUND(F1421-E1422,2))</f>
        <v/>
      </c>
    </row>
    <row r="1423">
      <c r="A1423" s="6" t="n">
        <v>1407</v>
      </c>
      <c r="B1423" s="19">
        <f>IF(B8="monthly",DATE(YEAR(B7)+INT((MONTH(B7)-1+1406)/12),MOD(MONTH(B7)-1+1406,12)+1,1)+(DAY(B7)-1),IF(B8="weekly",B7+9842,IF(B8="biweekly",B7+19684,B7+ROUND((1406*365.25)/24,0))))</f>
        <v/>
      </c>
      <c r="C1423" s="21">
        <f>IF((ROUND(F1422-ROUND($B$13-D1423,2),2)&lt;=0),ROUND(D1423+E1423,2),$B$13)</f>
        <v/>
      </c>
      <c r="D1423" s="21">
        <f>ROUND(F1422*B5/100/B10,2)</f>
        <v/>
      </c>
      <c r="E1423" s="21">
        <f>IF((ROUND(F1422-ROUND($B$13-D1423,2),2)&lt;=0),F1422,ROUND($B$13-D1423,2))</f>
        <v/>
      </c>
      <c r="F1423" s="21">
        <f>IF((ROUND(F1422-ROUND($B$13-D1423,2),2)&lt;=0),0,ROUND(F1422-E1423,2))</f>
        <v/>
      </c>
    </row>
    <row r="1424">
      <c r="A1424" s="6" t="n">
        <v>1408</v>
      </c>
      <c r="B1424" s="19">
        <f>IF(B8="monthly",DATE(YEAR(B7)+INT((MONTH(B7)-1+1407)/12),MOD(MONTH(B7)-1+1407,12)+1,1)+(DAY(B7)-1),IF(B8="weekly",B7+9849,IF(B8="biweekly",B7+19698,B7+ROUND((1407*365.25)/24,0))))</f>
        <v/>
      </c>
      <c r="C1424" s="21">
        <f>IF((ROUND(F1423-ROUND($B$13-D1424,2),2)&lt;=0),ROUND(D1424+E1424,2),$B$13)</f>
        <v/>
      </c>
      <c r="D1424" s="21">
        <f>ROUND(F1423*B5/100/B10,2)</f>
        <v/>
      </c>
      <c r="E1424" s="21">
        <f>IF((ROUND(F1423-ROUND($B$13-D1424,2),2)&lt;=0),F1423,ROUND($B$13-D1424,2))</f>
        <v/>
      </c>
      <c r="F1424" s="21">
        <f>IF((ROUND(F1423-ROUND($B$13-D1424,2),2)&lt;=0),0,ROUND(F1423-E1424,2))</f>
        <v/>
      </c>
    </row>
    <row r="1425">
      <c r="A1425" s="6" t="n">
        <v>1409</v>
      </c>
      <c r="B1425" s="19">
        <f>IF(B8="monthly",DATE(YEAR(B7)+INT((MONTH(B7)-1+1408)/12),MOD(MONTH(B7)-1+1408,12)+1,1)+(DAY(B7)-1),IF(B8="weekly",B7+9856,IF(B8="biweekly",B7+19712,B7+ROUND((1408*365.25)/24,0))))</f>
        <v/>
      </c>
      <c r="C1425" s="21">
        <f>IF((ROUND(F1424-ROUND($B$13-D1425,2),2)&lt;=0),ROUND(D1425+E1425,2),$B$13)</f>
        <v/>
      </c>
      <c r="D1425" s="21">
        <f>ROUND(F1424*B5/100/B10,2)</f>
        <v/>
      </c>
      <c r="E1425" s="21">
        <f>IF((ROUND(F1424-ROUND($B$13-D1425,2),2)&lt;=0),F1424,ROUND($B$13-D1425,2))</f>
        <v/>
      </c>
      <c r="F1425" s="21">
        <f>IF((ROUND(F1424-ROUND($B$13-D1425,2),2)&lt;=0),0,ROUND(F1424-E1425,2))</f>
        <v/>
      </c>
    </row>
    <row r="1426">
      <c r="A1426" s="6" t="n">
        <v>1410</v>
      </c>
      <c r="B1426" s="19">
        <f>IF(B8="monthly",DATE(YEAR(B7)+INT((MONTH(B7)-1+1409)/12),MOD(MONTH(B7)-1+1409,12)+1,1)+(DAY(B7)-1),IF(B8="weekly",B7+9863,IF(B8="biweekly",B7+19726,B7+ROUND((1409*365.25)/24,0))))</f>
        <v/>
      </c>
      <c r="C1426" s="21">
        <f>IF((ROUND(F1425-ROUND($B$13-D1426,2),2)&lt;=0),ROUND(D1426+E1426,2),$B$13)</f>
        <v/>
      </c>
      <c r="D1426" s="21">
        <f>ROUND(F1425*B5/100/B10,2)</f>
        <v/>
      </c>
      <c r="E1426" s="21">
        <f>IF((ROUND(F1425-ROUND($B$13-D1426,2),2)&lt;=0),F1425,ROUND($B$13-D1426,2))</f>
        <v/>
      </c>
      <c r="F1426" s="21">
        <f>IF((ROUND(F1425-ROUND($B$13-D1426,2),2)&lt;=0),0,ROUND(F1425-E1426,2))</f>
        <v/>
      </c>
    </row>
    <row r="1427">
      <c r="A1427" s="6" t="n">
        <v>1411</v>
      </c>
      <c r="B1427" s="19">
        <f>IF(B8="monthly",DATE(YEAR(B7)+INT((MONTH(B7)-1+1410)/12),MOD(MONTH(B7)-1+1410,12)+1,1)+(DAY(B7)-1),IF(B8="weekly",B7+9870,IF(B8="biweekly",B7+19740,B7+ROUND((1410*365.25)/24,0))))</f>
        <v/>
      </c>
      <c r="C1427" s="21">
        <f>IF((ROUND(F1426-ROUND($B$13-D1427,2),2)&lt;=0),ROUND(D1427+E1427,2),$B$13)</f>
        <v/>
      </c>
      <c r="D1427" s="21">
        <f>ROUND(F1426*B5/100/B10,2)</f>
        <v/>
      </c>
      <c r="E1427" s="21">
        <f>IF((ROUND(F1426-ROUND($B$13-D1427,2),2)&lt;=0),F1426,ROUND($B$13-D1427,2))</f>
        <v/>
      </c>
      <c r="F1427" s="21">
        <f>IF((ROUND(F1426-ROUND($B$13-D1427,2),2)&lt;=0),0,ROUND(F1426-E1427,2))</f>
        <v/>
      </c>
    </row>
    <row r="1428">
      <c r="A1428" s="6" t="n">
        <v>1412</v>
      </c>
      <c r="B1428" s="19">
        <f>IF(B8="monthly",DATE(YEAR(B7)+INT((MONTH(B7)-1+1411)/12),MOD(MONTH(B7)-1+1411,12)+1,1)+(DAY(B7)-1),IF(B8="weekly",B7+9877,IF(B8="biweekly",B7+19754,B7+ROUND((1411*365.25)/24,0))))</f>
        <v/>
      </c>
      <c r="C1428" s="21">
        <f>IF((ROUND(F1427-ROUND($B$13-D1428,2),2)&lt;=0),ROUND(D1428+E1428,2),$B$13)</f>
        <v/>
      </c>
      <c r="D1428" s="21">
        <f>ROUND(F1427*B5/100/B10,2)</f>
        <v/>
      </c>
      <c r="E1428" s="21">
        <f>IF((ROUND(F1427-ROUND($B$13-D1428,2),2)&lt;=0),F1427,ROUND($B$13-D1428,2))</f>
        <v/>
      </c>
      <c r="F1428" s="21">
        <f>IF((ROUND(F1427-ROUND($B$13-D1428,2),2)&lt;=0),0,ROUND(F1427-E1428,2))</f>
        <v/>
      </c>
    </row>
    <row r="1429">
      <c r="A1429" s="6" t="n">
        <v>1413</v>
      </c>
      <c r="B1429" s="19">
        <f>IF(B8="monthly",DATE(YEAR(B7)+INT((MONTH(B7)-1+1412)/12),MOD(MONTH(B7)-1+1412,12)+1,1)+(DAY(B7)-1),IF(B8="weekly",B7+9884,IF(B8="biweekly",B7+19768,B7+ROUND((1412*365.25)/24,0))))</f>
        <v/>
      </c>
      <c r="C1429" s="21">
        <f>IF((ROUND(F1428-ROUND($B$13-D1429,2),2)&lt;=0),ROUND(D1429+E1429,2),$B$13)</f>
        <v/>
      </c>
      <c r="D1429" s="21">
        <f>ROUND(F1428*B5/100/B10,2)</f>
        <v/>
      </c>
      <c r="E1429" s="21">
        <f>IF((ROUND(F1428-ROUND($B$13-D1429,2),2)&lt;=0),F1428,ROUND($B$13-D1429,2))</f>
        <v/>
      </c>
      <c r="F1429" s="21">
        <f>IF((ROUND(F1428-ROUND($B$13-D1429,2),2)&lt;=0),0,ROUND(F1428-E1429,2))</f>
        <v/>
      </c>
    </row>
    <row r="1430">
      <c r="A1430" s="6" t="n">
        <v>1414</v>
      </c>
      <c r="B1430" s="19">
        <f>IF(B8="monthly",DATE(YEAR(B7)+INT((MONTH(B7)-1+1413)/12),MOD(MONTH(B7)-1+1413,12)+1,1)+(DAY(B7)-1),IF(B8="weekly",B7+9891,IF(B8="biweekly",B7+19782,B7+ROUND((1413*365.25)/24,0))))</f>
        <v/>
      </c>
      <c r="C1430" s="21">
        <f>IF((ROUND(F1429-ROUND($B$13-D1430,2),2)&lt;=0),ROUND(D1430+E1430,2),$B$13)</f>
        <v/>
      </c>
      <c r="D1430" s="21">
        <f>ROUND(F1429*B5/100/B10,2)</f>
        <v/>
      </c>
      <c r="E1430" s="21">
        <f>IF((ROUND(F1429-ROUND($B$13-D1430,2),2)&lt;=0),F1429,ROUND($B$13-D1430,2))</f>
        <v/>
      </c>
      <c r="F1430" s="21">
        <f>IF((ROUND(F1429-ROUND($B$13-D1430,2),2)&lt;=0),0,ROUND(F1429-E1430,2))</f>
        <v/>
      </c>
    </row>
    <row r="1431">
      <c r="A1431" s="6" t="n">
        <v>1415</v>
      </c>
      <c r="B1431" s="19">
        <f>IF(B8="monthly",DATE(YEAR(B7)+INT((MONTH(B7)-1+1414)/12),MOD(MONTH(B7)-1+1414,12)+1,1)+(DAY(B7)-1),IF(B8="weekly",B7+9898,IF(B8="biweekly",B7+19796,B7+ROUND((1414*365.25)/24,0))))</f>
        <v/>
      </c>
      <c r="C1431" s="21">
        <f>IF((ROUND(F1430-ROUND($B$13-D1431,2),2)&lt;=0),ROUND(D1431+E1431,2),$B$13)</f>
        <v/>
      </c>
      <c r="D1431" s="21">
        <f>ROUND(F1430*B5/100/B10,2)</f>
        <v/>
      </c>
      <c r="E1431" s="21">
        <f>IF((ROUND(F1430-ROUND($B$13-D1431,2),2)&lt;=0),F1430,ROUND($B$13-D1431,2))</f>
        <v/>
      </c>
      <c r="F1431" s="21">
        <f>IF((ROUND(F1430-ROUND($B$13-D1431,2),2)&lt;=0),0,ROUND(F1430-E1431,2))</f>
        <v/>
      </c>
    </row>
    <row r="1432">
      <c r="A1432" s="6" t="n">
        <v>1416</v>
      </c>
      <c r="B1432" s="19">
        <f>IF(B8="monthly",DATE(YEAR(B7)+INT((MONTH(B7)-1+1415)/12),MOD(MONTH(B7)-1+1415,12)+1,1)+(DAY(B7)-1),IF(B8="weekly",B7+9905,IF(B8="biweekly",B7+19810,B7+ROUND((1415*365.25)/24,0))))</f>
        <v/>
      </c>
      <c r="C1432" s="21">
        <f>IF((ROUND(F1431-ROUND($B$13-D1432,2),2)&lt;=0),ROUND(D1432+E1432,2),$B$13)</f>
        <v/>
      </c>
      <c r="D1432" s="21">
        <f>ROUND(F1431*B5/100/B10,2)</f>
        <v/>
      </c>
      <c r="E1432" s="21">
        <f>IF((ROUND(F1431-ROUND($B$13-D1432,2),2)&lt;=0),F1431,ROUND($B$13-D1432,2))</f>
        <v/>
      </c>
      <c r="F1432" s="21">
        <f>IF((ROUND(F1431-ROUND($B$13-D1432,2),2)&lt;=0),0,ROUND(F1431-E1432,2))</f>
        <v/>
      </c>
    </row>
    <row r="1433">
      <c r="A1433" s="6" t="n">
        <v>1417</v>
      </c>
      <c r="B1433" s="19">
        <f>IF(B8="monthly",DATE(YEAR(B7)+INT((MONTH(B7)-1+1416)/12),MOD(MONTH(B7)-1+1416,12)+1,1)+(DAY(B7)-1),IF(B8="weekly",B7+9912,IF(B8="biweekly",B7+19824,B7+ROUND((1416*365.25)/24,0))))</f>
        <v/>
      </c>
      <c r="C1433" s="21">
        <f>IF((ROUND(F1432-ROUND($B$13-D1433,2),2)&lt;=0),ROUND(D1433+E1433,2),$B$13)</f>
        <v/>
      </c>
      <c r="D1433" s="21">
        <f>ROUND(F1432*B5/100/B10,2)</f>
        <v/>
      </c>
      <c r="E1433" s="21">
        <f>IF((ROUND(F1432-ROUND($B$13-D1433,2),2)&lt;=0),F1432,ROUND($B$13-D1433,2))</f>
        <v/>
      </c>
      <c r="F1433" s="21">
        <f>IF((ROUND(F1432-ROUND($B$13-D1433,2),2)&lt;=0),0,ROUND(F1432-E1433,2))</f>
        <v/>
      </c>
    </row>
    <row r="1434">
      <c r="A1434" s="6" t="n">
        <v>1418</v>
      </c>
      <c r="B1434" s="19">
        <f>IF(B8="monthly",DATE(YEAR(B7)+INT((MONTH(B7)-1+1417)/12),MOD(MONTH(B7)-1+1417,12)+1,1)+(DAY(B7)-1),IF(B8="weekly",B7+9919,IF(B8="biweekly",B7+19838,B7+ROUND((1417*365.25)/24,0))))</f>
        <v/>
      </c>
      <c r="C1434" s="21">
        <f>IF((ROUND(F1433-ROUND($B$13-D1434,2),2)&lt;=0),ROUND(D1434+E1434,2),$B$13)</f>
        <v/>
      </c>
      <c r="D1434" s="21">
        <f>ROUND(F1433*B5/100/B10,2)</f>
        <v/>
      </c>
      <c r="E1434" s="21">
        <f>IF((ROUND(F1433-ROUND($B$13-D1434,2),2)&lt;=0),F1433,ROUND($B$13-D1434,2))</f>
        <v/>
      </c>
      <c r="F1434" s="21">
        <f>IF((ROUND(F1433-ROUND($B$13-D1434,2),2)&lt;=0),0,ROUND(F1433-E1434,2))</f>
        <v/>
      </c>
    </row>
    <row r="1435">
      <c r="A1435" s="6" t="n">
        <v>1419</v>
      </c>
      <c r="B1435" s="19">
        <f>IF(B8="monthly",DATE(YEAR(B7)+INT((MONTH(B7)-1+1418)/12),MOD(MONTH(B7)-1+1418,12)+1,1)+(DAY(B7)-1),IF(B8="weekly",B7+9926,IF(B8="biweekly",B7+19852,B7+ROUND((1418*365.25)/24,0))))</f>
        <v/>
      </c>
      <c r="C1435" s="21">
        <f>IF((ROUND(F1434-ROUND($B$13-D1435,2),2)&lt;=0),ROUND(D1435+E1435,2),$B$13)</f>
        <v/>
      </c>
      <c r="D1435" s="21">
        <f>ROUND(F1434*B5/100/B10,2)</f>
        <v/>
      </c>
      <c r="E1435" s="21">
        <f>IF((ROUND(F1434-ROUND($B$13-D1435,2),2)&lt;=0),F1434,ROUND($B$13-D1435,2))</f>
        <v/>
      </c>
      <c r="F1435" s="21">
        <f>IF((ROUND(F1434-ROUND($B$13-D1435,2),2)&lt;=0),0,ROUND(F1434-E1435,2))</f>
        <v/>
      </c>
    </row>
    <row r="1436">
      <c r="A1436" s="6" t="n">
        <v>1420</v>
      </c>
      <c r="B1436" s="19">
        <f>IF(B8="monthly",DATE(YEAR(B7)+INT((MONTH(B7)-1+1419)/12),MOD(MONTH(B7)-1+1419,12)+1,1)+(DAY(B7)-1),IF(B8="weekly",B7+9933,IF(B8="biweekly",B7+19866,B7+ROUND((1419*365.25)/24,0))))</f>
        <v/>
      </c>
      <c r="C1436" s="21">
        <f>IF((ROUND(F1435-ROUND($B$13-D1436,2),2)&lt;=0),ROUND(D1436+E1436,2),$B$13)</f>
        <v/>
      </c>
      <c r="D1436" s="21">
        <f>ROUND(F1435*B5/100/B10,2)</f>
        <v/>
      </c>
      <c r="E1436" s="21">
        <f>IF((ROUND(F1435-ROUND($B$13-D1436,2),2)&lt;=0),F1435,ROUND($B$13-D1436,2))</f>
        <v/>
      </c>
      <c r="F1436" s="21">
        <f>IF((ROUND(F1435-ROUND($B$13-D1436,2),2)&lt;=0),0,ROUND(F1435-E1436,2))</f>
        <v/>
      </c>
    </row>
    <row r="1437">
      <c r="A1437" s="6" t="n">
        <v>1421</v>
      </c>
      <c r="B1437" s="19">
        <f>IF(B8="monthly",DATE(YEAR(B7)+INT((MONTH(B7)-1+1420)/12),MOD(MONTH(B7)-1+1420,12)+1,1)+(DAY(B7)-1),IF(B8="weekly",B7+9940,IF(B8="biweekly",B7+19880,B7+ROUND((1420*365.25)/24,0))))</f>
        <v/>
      </c>
      <c r="C1437" s="21">
        <f>IF((ROUND(F1436-ROUND($B$13-D1437,2),2)&lt;=0),ROUND(D1437+E1437,2),$B$13)</f>
        <v/>
      </c>
      <c r="D1437" s="21">
        <f>ROUND(F1436*B5/100/B10,2)</f>
        <v/>
      </c>
      <c r="E1437" s="21">
        <f>IF((ROUND(F1436-ROUND($B$13-D1437,2),2)&lt;=0),F1436,ROUND($B$13-D1437,2))</f>
        <v/>
      </c>
      <c r="F1437" s="21">
        <f>IF((ROUND(F1436-ROUND($B$13-D1437,2),2)&lt;=0),0,ROUND(F1436-E1437,2))</f>
        <v/>
      </c>
    </row>
    <row r="1438">
      <c r="A1438" s="6" t="n">
        <v>1422</v>
      </c>
      <c r="B1438" s="19">
        <f>IF(B8="monthly",DATE(YEAR(B7)+INT((MONTH(B7)-1+1421)/12),MOD(MONTH(B7)-1+1421,12)+1,1)+(DAY(B7)-1),IF(B8="weekly",B7+9947,IF(B8="biweekly",B7+19894,B7+ROUND((1421*365.25)/24,0))))</f>
        <v/>
      </c>
      <c r="C1438" s="21">
        <f>IF((ROUND(F1437-ROUND($B$13-D1438,2),2)&lt;=0),ROUND(D1438+E1438,2),$B$13)</f>
        <v/>
      </c>
      <c r="D1438" s="21">
        <f>ROUND(F1437*B5/100/B10,2)</f>
        <v/>
      </c>
      <c r="E1438" s="21">
        <f>IF((ROUND(F1437-ROUND($B$13-D1438,2),2)&lt;=0),F1437,ROUND($B$13-D1438,2))</f>
        <v/>
      </c>
      <c r="F1438" s="21">
        <f>IF((ROUND(F1437-ROUND($B$13-D1438,2),2)&lt;=0),0,ROUND(F1437-E1438,2))</f>
        <v/>
      </c>
    </row>
    <row r="1439">
      <c r="A1439" s="6" t="n">
        <v>1423</v>
      </c>
      <c r="B1439" s="19">
        <f>IF(B8="monthly",DATE(YEAR(B7)+INT((MONTH(B7)-1+1422)/12),MOD(MONTH(B7)-1+1422,12)+1,1)+(DAY(B7)-1),IF(B8="weekly",B7+9954,IF(B8="biweekly",B7+19908,B7+ROUND((1422*365.25)/24,0))))</f>
        <v/>
      </c>
      <c r="C1439" s="21">
        <f>IF((ROUND(F1438-ROUND($B$13-D1439,2),2)&lt;=0),ROUND(D1439+E1439,2),$B$13)</f>
        <v/>
      </c>
      <c r="D1439" s="21">
        <f>ROUND(F1438*B5/100/B10,2)</f>
        <v/>
      </c>
      <c r="E1439" s="21">
        <f>IF((ROUND(F1438-ROUND($B$13-D1439,2),2)&lt;=0),F1438,ROUND($B$13-D1439,2))</f>
        <v/>
      </c>
      <c r="F1439" s="21">
        <f>IF((ROUND(F1438-ROUND($B$13-D1439,2),2)&lt;=0),0,ROUND(F1438-E1439,2))</f>
        <v/>
      </c>
    </row>
    <row r="1440">
      <c r="A1440" s="6" t="n">
        <v>1424</v>
      </c>
      <c r="B1440" s="19">
        <f>IF(B8="monthly",DATE(YEAR(B7)+INT((MONTH(B7)-1+1423)/12),MOD(MONTH(B7)-1+1423,12)+1,1)+(DAY(B7)-1),IF(B8="weekly",B7+9961,IF(B8="biweekly",B7+19922,B7+ROUND((1423*365.25)/24,0))))</f>
        <v/>
      </c>
      <c r="C1440" s="21">
        <f>IF((ROUND(F1439-ROUND($B$13-D1440,2),2)&lt;=0),ROUND(D1440+E1440,2),$B$13)</f>
        <v/>
      </c>
      <c r="D1440" s="21">
        <f>ROUND(F1439*B5/100/B10,2)</f>
        <v/>
      </c>
      <c r="E1440" s="21">
        <f>IF((ROUND(F1439-ROUND($B$13-D1440,2),2)&lt;=0),F1439,ROUND($B$13-D1440,2))</f>
        <v/>
      </c>
      <c r="F1440" s="21">
        <f>IF((ROUND(F1439-ROUND($B$13-D1440,2),2)&lt;=0),0,ROUND(F1439-E1440,2))</f>
        <v/>
      </c>
    </row>
    <row r="1441">
      <c r="A1441" s="6" t="n">
        <v>1425</v>
      </c>
      <c r="B1441" s="19">
        <f>IF(B8="monthly",DATE(YEAR(B7)+INT((MONTH(B7)-1+1424)/12),MOD(MONTH(B7)-1+1424,12)+1,1)+(DAY(B7)-1),IF(B8="weekly",B7+9968,IF(B8="biweekly",B7+19936,B7+ROUND((1424*365.25)/24,0))))</f>
        <v/>
      </c>
      <c r="C1441" s="21">
        <f>IF((ROUND(F1440-ROUND($B$13-D1441,2),2)&lt;=0),ROUND(D1441+E1441,2),$B$13)</f>
        <v/>
      </c>
      <c r="D1441" s="21">
        <f>ROUND(F1440*B5/100/B10,2)</f>
        <v/>
      </c>
      <c r="E1441" s="21">
        <f>IF((ROUND(F1440-ROUND($B$13-D1441,2),2)&lt;=0),F1440,ROUND($B$13-D1441,2))</f>
        <v/>
      </c>
      <c r="F1441" s="21">
        <f>IF((ROUND(F1440-ROUND($B$13-D1441,2),2)&lt;=0),0,ROUND(F1440-E1441,2))</f>
        <v/>
      </c>
    </row>
    <row r="1442">
      <c r="A1442" s="6" t="n">
        <v>1426</v>
      </c>
      <c r="B1442" s="19">
        <f>IF(B8="monthly",DATE(YEAR(B7)+INT((MONTH(B7)-1+1425)/12),MOD(MONTH(B7)-1+1425,12)+1,1)+(DAY(B7)-1),IF(B8="weekly",B7+9975,IF(B8="biweekly",B7+19950,B7+ROUND((1425*365.25)/24,0))))</f>
        <v/>
      </c>
      <c r="C1442" s="21">
        <f>IF((ROUND(F1441-ROUND($B$13-D1442,2),2)&lt;=0),ROUND(D1442+E1442,2),$B$13)</f>
        <v/>
      </c>
      <c r="D1442" s="21">
        <f>ROUND(F1441*B5/100/B10,2)</f>
        <v/>
      </c>
      <c r="E1442" s="21">
        <f>IF((ROUND(F1441-ROUND($B$13-D1442,2),2)&lt;=0),F1441,ROUND($B$13-D1442,2))</f>
        <v/>
      </c>
      <c r="F1442" s="21">
        <f>IF((ROUND(F1441-ROUND($B$13-D1442,2),2)&lt;=0),0,ROUND(F1441-E1442,2))</f>
        <v/>
      </c>
    </row>
    <row r="1443">
      <c r="A1443" s="6" t="n">
        <v>1427</v>
      </c>
      <c r="B1443" s="19">
        <f>IF(B8="monthly",DATE(YEAR(B7)+INT((MONTH(B7)-1+1426)/12),MOD(MONTH(B7)-1+1426,12)+1,1)+(DAY(B7)-1),IF(B8="weekly",B7+9982,IF(B8="biweekly",B7+19964,B7+ROUND((1426*365.25)/24,0))))</f>
        <v/>
      </c>
      <c r="C1443" s="21">
        <f>IF((ROUND(F1442-ROUND($B$13-D1443,2),2)&lt;=0),ROUND(D1443+E1443,2),$B$13)</f>
        <v/>
      </c>
      <c r="D1443" s="21">
        <f>ROUND(F1442*B5/100/B10,2)</f>
        <v/>
      </c>
      <c r="E1443" s="21">
        <f>IF((ROUND(F1442-ROUND($B$13-D1443,2),2)&lt;=0),F1442,ROUND($B$13-D1443,2))</f>
        <v/>
      </c>
      <c r="F1443" s="21">
        <f>IF((ROUND(F1442-ROUND($B$13-D1443,2),2)&lt;=0),0,ROUND(F1442-E1443,2))</f>
        <v/>
      </c>
    </row>
    <row r="1444">
      <c r="A1444" s="6" t="n">
        <v>1428</v>
      </c>
      <c r="B1444" s="19">
        <f>IF(B8="monthly",DATE(YEAR(B7)+INT((MONTH(B7)-1+1427)/12),MOD(MONTH(B7)-1+1427,12)+1,1)+(DAY(B7)-1),IF(B8="weekly",B7+9989,IF(B8="biweekly",B7+19978,B7+ROUND((1427*365.25)/24,0))))</f>
        <v/>
      </c>
      <c r="C1444" s="21">
        <f>IF((ROUND(F1443-ROUND($B$13-D1444,2),2)&lt;=0),ROUND(D1444+E1444,2),$B$13)</f>
        <v/>
      </c>
      <c r="D1444" s="21">
        <f>ROUND(F1443*B5/100/B10,2)</f>
        <v/>
      </c>
      <c r="E1444" s="21">
        <f>IF((ROUND(F1443-ROUND($B$13-D1444,2),2)&lt;=0),F1443,ROUND($B$13-D1444,2))</f>
        <v/>
      </c>
      <c r="F1444" s="21">
        <f>IF((ROUND(F1443-ROUND($B$13-D1444,2),2)&lt;=0),0,ROUND(F1443-E1444,2))</f>
        <v/>
      </c>
    </row>
    <row r="1445">
      <c r="A1445" s="6" t="n">
        <v>1429</v>
      </c>
      <c r="B1445" s="19">
        <f>IF(B8="monthly",DATE(YEAR(B7)+INT((MONTH(B7)-1+1428)/12),MOD(MONTH(B7)-1+1428,12)+1,1)+(DAY(B7)-1),IF(B8="weekly",B7+9996,IF(B8="biweekly",B7+19992,B7+ROUND((1428*365.25)/24,0))))</f>
        <v/>
      </c>
      <c r="C1445" s="21">
        <f>IF((ROUND(F1444-ROUND($B$13-D1445,2),2)&lt;=0),ROUND(D1445+E1445,2),$B$13)</f>
        <v/>
      </c>
      <c r="D1445" s="21">
        <f>ROUND(F1444*B5/100/B10,2)</f>
        <v/>
      </c>
      <c r="E1445" s="21">
        <f>IF((ROUND(F1444-ROUND($B$13-D1445,2),2)&lt;=0),F1444,ROUND($B$13-D1445,2))</f>
        <v/>
      </c>
      <c r="F1445" s="21">
        <f>IF((ROUND(F1444-ROUND($B$13-D1445,2),2)&lt;=0),0,ROUND(F1444-E1445,2))</f>
        <v/>
      </c>
    </row>
    <row r="1446">
      <c r="A1446" s="6" t="n">
        <v>1430</v>
      </c>
      <c r="B1446" s="19">
        <f>IF(B8="monthly",DATE(YEAR(B7)+INT((MONTH(B7)-1+1429)/12),MOD(MONTH(B7)-1+1429,12)+1,1)+(DAY(B7)-1),IF(B8="weekly",B7+10003,IF(B8="biweekly",B7+20006,B7+ROUND((1429*365.25)/24,0))))</f>
        <v/>
      </c>
      <c r="C1446" s="21">
        <f>IF((ROUND(F1445-ROUND($B$13-D1446,2),2)&lt;=0),ROUND(D1446+E1446,2),$B$13)</f>
        <v/>
      </c>
      <c r="D1446" s="21">
        <f>ROUND(F1445*B5/100/B10,2)</f>
        <v/>
      </c>
      <c r="E1446" s="21">
        <f>IF((ROUND(F1445-ROUND($B$13-D1446,2),2)&lt;=0),F1445,ROUND($B$13-D1446,2))</f>
        <v/>
      </c>
      <c r="F1446" s="21">
        <f>IF((ROUND(F1445-ROUND($B$13-D1446,2),2)&lt;=0),0,ROUND(F1445-E1446,2))</f>
        <v/>
      </c>
    </row>
    <row r="1447">
      <c r="A1447" s="6" t="n">
        <v>1431</v>
      </c>
      <c r="B1447" s="19">
        <f>IF(B8="monthly",DATE(YEAR(B7)+INT((MONTH(B7)-1+1430)/12),MOD(MONTH(B7)-1+1430,12)+1,1)+(DAY(B7)-1),IF(B8="weekly",B7+10010,IF(B8="biweekly",B7+20020,B7+ROUND((1430*365.25)/24,0))))</f>
        <v/>
      </c>
      <c r="C1447" s="21">
        <f>IF((ROUND(F1446-ROUND($B$13-D1447,2),2)&lt;=0),ROUND(D1447+E1447,2),$B$13)</f>
        <v/>
      </c>
      <c r="D1447" s="21">
        <f>ROUND(F1446*B5/100/B10,2)</f>
        <v/>
      </c>
      <c r="E1447" s="21">
        <f>IF((ROUND(F1446-ROUND($B$13-D1447,2),2)&lt;=0),F1446,ROUND($B$13-D1447,2))</f>
        <v/>
      </c>
      <c r="F1447" s="21">
        <f>IF((ROUND(F1446-ROUND($B$13-D1447,2),2)&lt;=0),0,ROUND(F1446-E1447,2))</f>
        <v/>
      </c>
    </row>
    <row r="1448">
      <c r="A1448" s="6" t="n">
        <v>1432</v>
      </c>
      <c r="B1448" s="19">
        <f>IF(B8="monthly",DATE(YEAR(B7)+INT((MONTH(B7)-1+1431)/12),MOD(MONTH(B7)-1+1431,12)+1,1)+(DAY(B7)-1),IF(B8="weekly",B7+10017,IF(B8="biweekly",B7+20034,B7+ROUND((1431*365.25)/24,0))))</f>
        <v/>
      </c>
      <c r="C1448" s="21">
        <f>IF((ROUND(F1447-ROUND($B$13-D1448,2),2)&lt;=0),ROUND(D1448+E1448,2),$B$13)</f>
        <v/>
      </c>
      <c r="D1448" s="21">
        <f>ROUND(F1447*B5/100/B10,2)</f>
        <v/>
      </c>
      <c r="E1448" s="21">
        <f>IF((ROUND(F1447-ROUND($B$13-D1448,2),2)&lt;=0),F1447,ROUND($B$13-D1448,2))</f>
        <v/>
      </c>
      <c r="F1448" s="21">
        <f>IF((ROUND(F1447-ROUND($B$13-D1448,2),2)&lt;=0),0,ROUND(F1447-E1448,2))</f>
        <v/>
      </c>
    </row>
    <row r="1449">
      <c r="A1449" s="6" t="n">
        <v>1433</v>
      </c>
      <c r="B1449" s="19">
        <f>IF(B8="monthly",DATE(YEAR(B7)+INT((MONTH(B7)-1+1432)/12),MOD(MONTH(B7)-1+1432,12)+1,1)+(DAY(B7)-1),IF(B8="weekly",B7+10024,IF(B8="biweekly",B7+20048,B7+ROUND((1432*365.25)/24,0))))</f>
        <v/>
      </c>
      <c r="C1449" s="21">
        <f>IF((ROUND(F1448-ROUND($B$13-D1449,2),2)&lt;=0),ROUND(D1449+E1449,2),$B$13)</f>
        <v/>
      </c>
      <c r="D1449" s="21">
        <f>ROUND(F1448*B5/100/B10,2)</f>
        <v/>
      </c>
      <c r="E1449" s="21">
        <f>IF((ROUND(F1448-ROUND($B$13-D1449,2),2)&lt;=0),F1448,ROUND($B$13-D1449,2))</f>
        <v/>
      </c>
      <c r="F1449" s="21">
        <f>IF((ROUND(F1448-ROUND($B$13-D1449,2),2)&lt;=0),0,ROUND(F1448-E1449,2))</f>
        <v/>
      </c>
    </row>
    <row r="1450">
      <c r="A1450" s="6" t="n">
        <v>1434</v>
      </c>
      <c r="B1450" s="19">
        <f>IF(B8="monthly",DATE(YEAR(B7)+INT((MONTH(B7)-1+1433)/12),MOD(MONTH(B7)-1+1433,12)+1,1)+(DAY(B7)-1),IF(B8="weekly",B7+10031,IF(B8="biweekly",B7+20062,B7+ROUND((1433*365.25)/24,0))))</f>
        <v/>
      </c>
      <c r="C1450" s="21">
        <f>IF((ROUND(F1449-ROUND($B$13-D1450,2),2)&lt;=0),ROUND(D1450+E1450,2),$B$13)</f>
        <v/>
      </c>
      <c r="D1450" s="21">
        <f>ROUND(F1449*B5/100/B10,2)</f>
        <v/>
      </c>
      <c r="E1450" s="21">
        <f>IF((ROUND(F1449-ROUND($B$13-D1450,2),2)&lt;=0),F1449,ROUND($B$13-D1450,2))</f>
        <v/>
      </c>
      <c r="F1450" s="21">
        <f>IF((ROUND(F1449-ROUND($B$13-D1450,2),2)&lt;=0),0,ROUND(F1449-E1450,2))</f>
        <v/>
      </c>
    </row>
    <row r="1451">
      <c r="A1451" s="6" t="n">
        <v>1435</v>
      </c>
      <c r="B1451" s="19">
        <f>IF(B8="monthly",DATE(YEAR(B7)+INT((MONTH(B7)-1+1434)/12),MOD(MONTH(B7)-1+1434,12)+1,1)+(DAY(B7)-1),IF(B8="weekly",B7+10038,IF(B8="biweekly",B7+20076,B7+ROUND((1434*365.25)/24,0))))</f>
        <v/>
      </c>
      <c r="C1451" s="21">
        <f>IF((ROUND(F1450-ROUND($B$13-D1451,2),2)&lt;=0),ROUND(D1451+E1451,2),$B$13)</f>
        <v/>
      </c>
      <c r="D1451" s="21">
        <f>ROUND(F1450*B5/100/B10,2)</f>
        <v/>
      </c>
      <c r="E1451" s="21">
        <f>IF((ROUND(F1450-ROUND($B$13-D1451,2),2)&lt;=0),F1450,ROUND($B$13-D1451,2))</f>
        <v/>
      </c>
      <c r="F1451" s="21">
        <f>IF((ROUND(F1450-ROUND($B$13-D1451,2),2)&lt;=0),0,ROUND(F1450-E1451,2))</f>
        <v/>
      </c>
    </row>
    <row r="1452">
      <c r="A1452" s="6" t="n">
        <v>1436</v>
      </c>
      <c r="B1452" s="19">
        <f>IF(B8="monthly",DATE(YEAR(B7)+INT((MONTH(B7)-1+1435)/12),MOD(MONTH(B7)-1+1435,12)+1,1)+(DAY(B7)-1),IF(B8="weekly",B7+10045,IF(B8="biweekly",B7+20090,B7+ROUND((1435*365.25)/24,0))))</f>
        <v/>
      </c>
      <c r="C1452" s="21">
        <f>IF((ROUND(F1451-ROUND($B$13-D1452,2),2)&lt;=0),ROUND(D1452+E1452,2),$B$13)</f>
        <v/>
      </c>
      <c r="D1452" s="21">
        <f>ROUND(F1451*B5/100/B10,2)</f>
        <v/>
      </c>
      <c r="E1452" s="21">
        <f>IF((ROUND(F1451-ROUND($B$13-D1452,2),2)&lt;=0),F1451,ROUND($B$13-D1452,2))</f>
        <v/>
      </c>
      <c r="F1452" s="21">
        <f>IF((ROUND(F1451-ROUND($B$13-D1452,2),2)&lt;=0),0,ROUND(F1451-E1452,2))</f>
        <v/>
      </c>
    </row>
    <row r="1453">
      <c r="A1453" s="6" t="n">
        <v>1437</v>
      </c>
      <c r="B1453" s="19">
        <f>IF(B8="monthly",DATE(YEAR(B7)+INT((MONTH(B7)-1+1436)/12),MOD(MONTH(B7)-1+1436,12)+1,1)+(DAY(B7)-1),IF(B8="weekly",B7+10052,IF(B8="biweekly",B7+20104,B7+ROUND((1436*365.25)/24,0))))</f>
        <v/>
      </c>
      <c r="C1453" s="21">
        <f>IF((ROUND(F1452-ROUND($B$13-D1453,2),2)&lt;=0),ROUND(D1453+E1453,2),$B$13)</f>
        <v/>
      </c>
      <c r="D1453" s="21">
        <f>ROUND(F1452*B5/100/B10,2)</f>
        <v/>
      </c>
      <c r="E1453" s="21">
        <f>IF((ROUND(F1452-ROUND($B$13-D1453,2),2)&lt;=0),F1452,ROUND($B$13-D1453,2))</f>
        <v/>
      </c>
      <c r="F1453" s="21">
        <f>IF((ROUND(F1452-ROUND($B$13-D1453,2),2)&lt;=0),0,ROUND(F1452-E1453,2))</f>
        <v/>
      </c>
    </row>
    <row r="1454">
      <c r="A1454" s="6" t="n">
        <v>1438</v>
      </c>
      <c r="B1454" s="19">
        <f>IF(B8="monthly",DATE(YEAR(B7)+INT((MONTH(B7)-1+1437)/12),MOD(MONTH(B7)-1+1437,12)+1,1)+(DAY(B7)-1),IF(B8="weekly",B7+10059,IF(B8="biweekly",B7+20118,B7+ROUND((1437*365.25)/24,0))))</f>
        <v/>
      </c>
      <c r="C1454" s="21">
        <f>IF((ROUND(F1453-ROUND($B$13-D1454,2),2)&lt;=0),ROUND(D1454+E1454,2),$B$13)</f>
        <v/>
      </c>
      <c r="D1454" s="21">
        <f>ROUND(F1453*B5/100/B10,2)</f>
        <v/>
      </c>
      <c r="E1454" s="21">
        <f>IF((ROUND(F1453-ROUND($B$13-D1454,2),2)&lt;=0),F1453,ROUND($B$13-D1454,2))</f>
        <v/>
      </c>
      <c r="F1454" s="21">
        <f>IF((ROUND(F1453-ROUND($B$13-D1454,2),2)&lt;=0),0,ROUND(F1453-E1454,2))</f>
        <v/>
      </c>
    </row>
    <row r="1455">
      <c r="A1455" s="6" t="n">
        <v>1439</v>
      </c>
      <c r="B1455" s="19">
        <f>IF(B8="monthly",DATE(YEAR(B7)+INT((MONTH(B7)-1+1438)/12),MOD(MONTH(B7)-1+1438,12)+1,1)+(DAY(B7)-1),IF(B8="weekly",B7+10066,IF(B8="biweekly",B7+20132,B7+ROUND((1438*365.25)/24,0))))</f>
        <v/>
      </c>
      <c r="C1455" s="21">
        <f>IF((ROUND(F1454-ROUND($B$13-D1455,2),2)&lt;=0),ROUND(D1455+E1455,2),$B$13)</f>
        <v/>
      </c>
      <c r="D1455" s="21">
        <f>ROUND(F1454*B5/100/B10,2)</f>
        <v/>
      </c>
      <c r="E1455" s="21">
        <f>IF((ROUND(F1454-ROUND($B$13-D1455,2),2)&lt;=0),F1454,ROUND($B$13-D1455,2))</f>
        <v/>
      </c>
      <c r="F1455" s="21">
        <f>IF((ROUND(F1454-ROUND($B$13-D1455,2),2)&lt;=0),0,ROUND(F1454-E1455,2))</f>
        <v/>
      </c>
    </row>
    <row r="1456">
      <c r="A1456" s="6" t="n">
        <v>1440</v>
      </c>
      <c r="B1456" s="19">
        <f>IF(B8="monthly",DATE(YEAR(B7)+INT((MONTH(B7)-1+1439)/12),MOD(MONTH(B7)-1+1439,12)+1,1)+(DAY(B7)-1),IF(B8="weekly",B7+10073,IF(B8="biweekly",B7+20146,B7+ROUND((1439*365.25)/24,0))))</f>
        <v/>
      </c>
      <c r="C1456" s="21">
        <f>IF((ROUND(F1455-ROUND($B$13-D1456,2),2)&lt;=0),ROUND(D1456+E1456,2),$B$13)</f>
        <v/>
      </c>
      <c r="D1456" s="21">
        <f>ROUND(F1455*B5/100/B10,2)</f>
        <v/>
      </c>
      <c r="E1456" s="21">
        <f>IF((ROUND(F1455-ROUND($B$13-D1456,2),2)&lt;=0),F1455,ROUND($B$13-D1456,2))</f>
        <v/>
      </c>
      <c r="F1456" s="21">
        <f>IF((ROUND(F1455-ROUND($B$13-D1456,2),2)&lt;=0),0,ROUND(F1455-E1456,2))</f>
        <v/>
      </c>
    </row>
    <row r="1457">
      <c r="A1457" s="6" t="n">
        <v>1441</v>
      </c>
      <c r="B1457" s="19">
        <f>IF(B8="monthly",DATE(YEAR(B7)+INT((MONTH(B7)-1+1440)/12),MOD(MONTH(B7)-1+1440,12)+1,1)+(DAY(B7)-1),IF(B8="weekly",B7+10080,IF(B8="biweekly",B7+20160,B7+ROUND((1440*365.25)/24,0))))</f>
        <v/>
      </c>
      <c r="C1457" s="21">
        <f>IF((ROUND(F1456-ROUND($B$13-D1457,2),2)&lt;=0),ROUND(D1457+E1457,2),$B$13)</f>
        <v/>
      </c>
      <c r="D1457" s="21">
        <f>ROUND(F1456*B5/100/B10,2)</f>
        <v/>
      </c>
      <c r="E1457" s="21">
        <f>IF((ROUND(F1456-ROUND($B$13-D1457,2),2)&lt;=0),F1456,ROUND($B$13-D1457,2))</f>
        <v/>
      </c>
      <c r="F1457" s="21">
        <f>IF((ROUND(F1456-ROUND($B$13-D1457,2),2)&lt;=0),0,ROUND(F1456-E1457,2))</f>
        <v/>
      </c>
    </row>
    <row r="1458">
      <c r="A1458" s="6" t="n">
        <v>1442</v>
      </c>
      <c r="B1458" s="19">
        <f>IF(B8="monthly",DATE(YEAR(B7)+INT((MONTH(B7)-1+1441)/12),MOD(MONTH(B7)-1+1441,12)+1,1)+(DAY(B7)-1),IF(B8="weekly",B7+10087,IF(B8="biweekly",B7+20174,B7+ROUND((1441*365.25)/24,0))))</f>
        <v/>
      </c>
      <c r="C1458" s="21">
        <f>IF((ROUND(F1457-ROUND($B$13-D1458,2),2)&lt;=0),ROUND(D1458+E1458,2),$B$13)</f>
        <v/>
      </c>
      <c r="D1458" s="21">
        <f>ROUND(F1457*B5/100/B10,2)</f>
        <v/>
      </c>
      <c r="E1458" s="21">
        <f>IF((ROUND(F1457-ROUND($B$13-D1458,2),2)&lt;=0),F1457,ROUND($B$13-D1458,2))</f>
        <v/>
      </c>
      <c r="F1458" s="21">
        <f>IF((ROUND(F1457-ROUND($B$13-D1458,2),2)&lt;=0),0,ROUND(F1457-E1458,2))</f>
        <v/>
      </c>
    </row>
    <row r="1459">
      <c r="A1459" s="6" t="n">
        <v>1443</v>
      </c>
      <c r="B1459" s="19">
        <f>IF(B8="monthly",DATE(YEAR(B7)+INT((MONTH(B7)-1+1442)/12),MOD(MONTH(B7)-1+1442,12)+1,1)+(DAY(B7)-1),IF(B8="weekly",B7+10094,IF(B8="biweekly",B7+20188,B7+ROUND((1442*365.25)/24,0))))</f>
        <v/>
      </c>
      <c r="C1459" s="21">
        <f>IF((ROUND(F1458-ROUND($B$13-D1459,2),2)&lt;=0),ROUND(D1459+E1459,2),$B$13)</f>
        <v/>
      </c>
      <c r="D1459" s="21">
        <f>ROUND(F1458*B5/100/B10,2)</f>
        <v/>
      </c>
      <c r="E1459" s="21">
        <f>IF((ROUND(F1458-ROUND($B$13-D1459,2),2)&lt;=0),F1458,ROUND($B$13-D1459,2))</f>
        <v/>
      </c>
      <c r="F1459" s="21">
        <f>IF((ROUND(F1458-ROUND($B$13-D1459,2),2)&lt;=0),0,ROUND(F1458-E1459,2))</f>
        <v/>
      </c>
    </row>
    <row r="1460">
      <c r="A1460" s="6" t="n">
        <v>1444</v>
      </c>
      <c r="B1460" s="19">
        <f>IF(B8="monthly",DATE(YEAR(B7)+INT((MONTH(B7)-1+1443)/12),MOD(MONTH(B7)-1+1443,12)+1,1)+(DAY(B7)-1),IF(B8="weekly",B7+10101,IF(B8="biweekly",B7+20202,B7+ROUND((1443*365.25)/24,0))))</f>
        <v/>
      </c>
      <c r="C1460" s="21">
        <f>IF((ROUND(F1459-ROUND($B$13-D1460,2),2)&lt;=0),ROUND(D1460+E1460,2),$B$13)</f>
        <v/>
      </c>
      <c r="D1460" s="21">
        <f>ROUND(F1459*B5/100/B10,2)</f>
        <v/>
      </c>
      <c r="E1460" s="21">
        <f>IF((ROUND(F1459-ROUND($B$13-D1460,2),2)&lt;=0),F1459,ROUND($B$13-D1460,2))</f>
        <v/>
      </c>
      <c r="F1460" s="21">
        <f>IF((ROUND(F1459-ROUND($B$13-D1460,2),2)&lt;=0),0,ROUND(F1459-E1460,2))</f>
        <v/>
      </c>
    </row>
    <row r="1461">
      <c r="A1461" s="6" t="n">
        <v>1445</v>
      </c>
      <c r="B1461" s="19">
        <f>IF(B8="monthly",DATE(YEAR(B7)+INT((MONTH(B7)-1+1444)/12),MOD(MONTH(B7)-1+1444,12)+1,1)+(DAY(B7)-1),IF(B8="weekly",B7+10108,IF(B8="biweekly",B7+20216,B7+ROUND((1444*365.25)/24,0))))</f>
        <v/>
      </c>
      <c r="C1461" s="21">
        <f>IF((ROUND(F1460-ROUND($B$13-D1461,2),2)&lt;=0),ROUND(D1461+E1461,2),$B$13)</f>
        <v/>
      </c>
      <c r="D1461" s="21">
        <f>ROUND(F1460*B5/100/B10,2)</f>
        <v/>
      </c>
      <c r="E1461" s="21">
        <f>IF((ROUND(F1460-ROUND($B$13-D1461,2),2)&lt;=0),F1460,ROUND($B$13-D1461,2))</f>
        <v/>
      </c>
      <c r="F1461" s="21">
        <f>IF((ROUND(F1460-ROUND($B$13-D1461,2),2)&lt;=0),0,ROUND(F1460-E1461,2))</f>
        <v/>
      </c>
    </row>
    <row r="1462">
      <c r="A1462" s="6" t="n">
        <v>1446</v>
      </c>
      <c r="B1462" s="19">
        <f>IF(B8="monthly",DATE(YEAR(B7)+INT((MONTH(B7)-1+1445)/12),MOD(MONTH(B7)-1+1445,12)+1,1)+(DAY(B7)-1),IF(B8="weekly",B7+10115,IF(B8="biweekly",B7+20230,B7+ROUND((1445*365.25)/24,0))))</f>
        <v/>
      </c>
      <c r="C1462" s="21">
        <f>IF((ROUND(F1461-ROUND($B$13-D1462,2),2)&lt;=0),ROUND(D1462+E1462,2),$B$13)</f>
        <v/>
      </c>
      <c r="D1462" s="21">
        <f>ROUND(F1461*B5/100/B10,2)</f>
        <v/>
      </c>
      <c r="E1462" s="21">
        <f>IF((ROUND(F1461-ROUND($B$13-D1462,2),2)&lt;=0),F1461,ROUND($B$13-D1462,2))</f>
        <v/>
      </c>
      <c r="F1462" s="21">
        <f>IF((ROUND(F1461-ROUND($B$13-D1462,2),2)&lt;=0),0,ROUND(F1461-E1462,2))</f>
        <v/>
      </c>
    </row>
    <row r="1463">
      <c r="A1463" s="6" t="n">
        <v>1447</v>
      </c>
      <c r="B1463" s="19">
        <f>IF(B8="monthly",DATE(YEAR(B7)+INT((MONTH(B7)-1+1446)/12),MOD(MONTH(B7)-1+1446,12)+1,1)+(DAY(B7)-1),IF(B8="weekly",B7+10122,IF(B8="biweekly",B7+20244,B7+ROUND((1446*365.25)/24,0))))</f>
        <v/>
      </c>
      <c r="C1463" s="21">
        <f>IF((ROUND(F1462-ROUND($B$13-D1463,2),2)&lt;=0),ROUND(D1463+E1463,2),$B$13)</f>
        <v/>
      </c>
      <c r="D1463" s="21">
        <f>ROUND(F1462*B5/100/B10,2)</f>
        <v/>
      </c>
      <c r="E1463" s="21">
        <f>IF((ROUND(F1462-ROUND($B$13-D1463,2),2)&lt;=0),F1462,ROUND($B$13-D1463,2))</f>
        <v/>
      </c>
      <c r="F1463" s="21">
        <f>IF((ROUND(F1462-ROUND($B$13-D1463,2),2)&lt;=0),0,ROUND(F1462-E1463,2))</f>
        <v/>
      </c>
    </row>
    <row r="1464">
      <c r="A1464" s="6" t="n">
        <v>1448</v>
      </c>
      <c r="B1464" s="19">
        <f>IF(B8="monthly",DATE(YEAR(B7)+INT((MONTH(B7)-1+1447)/12),MOD(MONTH(B7)-1+1447,12)+1,1)+(DAY(B7)-1),IF(B8="weekly",B7+10129,IF(B8="biweekly",B7+20258,B7+ROUND((1447*365.25)/24,0))))</f>
        <v/>
      </c>
      <c r="C1464" s="21">
        <f>IF((ROUND(F1463-ROUND($B$13-D1464,2),2)&lt;=0),ROUND(D1464+E1464,2),$B$13)</f>
        <v/>
      </c>
      <c r="D1464" s="21">
        <f>ROUND(F1463*B5/100/B10,2)</f>
        <v/>
      </c>
      <c r="E1464" s="21">
        <f>IF((ROUND(F1463-ROUND($B$13-D1464,2),2)&lt;=0),F1463,ROUND($B$13-D1464,2))</f>
        <v/>
      </c>
      <c r="F1464" s="21">
        <f>IF((ROUND(F1463-ROUND($B$13-D1464,2),2)&lt;=0),0,ROUND(F1463-E1464,2))</f>
        <v/>
      </c>
    </row>
    <row r="1465">
      <c r="A1465" s="6" t="n">
        <v>1449</v>
      </c>
      <c r="B1465" s="19">
        <f>IF(B8="monthly",DATE(YEAR(B7)+INT((MONTH(B7)-1+1448)/12),MOD(MONTH(B7)-1+1448,12)+1,1)+(DAY(B7)-1),IF(B8="weekly",B7+10136,IF(B8="biweekly",B7+20272,B7+ROUND((1448*365.25)/24,0))))</f>
        <v/>
      </c>
      <c r="C1465" s="21">
        <f>IF((ROUND(F1464-ROUND($B$13-D1465,2),2)&lt;=0),ROUND(D1465+E1465,2),$B$13)</f>
        <v/>
      </c>
      <c r="D1465" s="21">
        <f>ROUND(F1464*B5/100/B10,2)</f>
        <v/>
      </c>
      <c r="E1465" s="21">
        <f>IF((ROUND(F1464-ROUND($B$13-D1465,2),2)&lt;=0),F1464,ROUND($B$13-D1465,2))</f>
        <v/>
      </c>
      <c r="F1465" s="21">
        <f>IF((ROUND(F1464-ROUND($B$13-D1465,2),2)&lt;=0),0,ROUND(F1464-E1465,2))</f>
        <v/>
      </c>
    </row>
    <row r="1466">
      <c r="A1466" s="6" t="n">
        <v>1450</v>
      </c>
      <c r="B1466" s="19">
        <f>IF(B8="monthly",DATE(YEAR(B7)+INT((MONTH(B7)-1+1449)/12),MOD(MONTH(B7)-1+1449,12)+1,1)+(DAY(B7)-1),IF(B8="weekly",B7+10143,IF(B8="biweekly",B7+20286,B7+ROUND((1449*365.25)/24,0))))</f>
        <v/>
      </c>
      <c r="C1466" s="21">
        <f>IF((ROUND(F1465-ROUND($B$13-D1466,2),2)&lt;=0),ROUND(D1466+E1466,2),$B$13)</f>
        <v/>
      </c>
      <c r="D1466" s="21">
        <f>ROUND(F1465*B5/100/B10,2)</f>
        <v/>
      </c>
      <c r="E1466" s="21">
        <f>IF((ROUND(F1465-ROUND($B$13-D1466,2),2)&lt;=0),F1465,ROUND($B$13-D1466,2))</f>
        <v/>
      </c>
      <c r="F1466" s="21">
        <f>IF((ROUND(F1465-ROUND($B$13-D1466,2),2)&lt;=0),0,ROUND(F1465-E1466,2))</f>
        <v/>
      </c>
    </row>
    <row r="1467">
      <c r="A1467" s="6" t="n">
        <v>1451</v>
      </c>
      <c r="B1467" s="19">
        <f>IF(B8="monthly",DATE(YEAR(B7)+INT((MONTH(B7)-1+1450)/12),MOD(MONTH(B7)-1+1450,12)+1,1)+(DAY(B7)-1),IF(B8="weekly",B7+10150,IF(B8="biweekly",B7+20300,B7+ROUND((1450*365.25)/24,0))))</f>
        <v/>
      </c>
      <c r="C1467" s="21">
        <f>IF((ROUND(F1466-ROUND($B$13-D1467,2),2)&lt;=0),ROUND(D1467+E1467,2),$B$13)</f>
        <v/>
      </c>
      <c r="D1467" s="21">
        <f>ROUND(F1466*B5/100/B10,2)</f>
        <v/>
      </c>
      <c r="E1467" s="21">
        <f>IF((ROUND(F1466-ROUND($B$13-D1467,2),2)&lt;=0),F1466,ROUND($B$13-D1467,2))</f>
        <v/>
      </c>
      <c r="F1467" s="21">
        <f>IF((ROUND(F1466-ROUND($B$13-D1467,2),2)&lt;=0),0,ROUND(F1466-E1467,2))</f>
        <v/>
      </c>
    </row>
    <row r="1468">
      <c r="A1468" s="6" t="n">
        <v>1452</v>
      </c>
      <c r="B1468" s="19">
        <f>IF(B8="monthly",DATE(YEAR(B7)+INT((MONTH(B7)-1+1451)/12),MOD(MONTH(B7)-1+1451,12)+1,1)+(DAY(B7)-1),IF(B8="weekly",B7+10157,IF(B8="biweekly",B7+20314,B7+ROUND((1451*365.25)/24,0))))</f>
        <v/>
      </c>
      <c r="C1468" s="21">
        <f>IF((ROUND(F1467-ROUND($B$13-D1468,2),2)&lt;=0),ROUND(D1468+E1468,2),$B$13)</f>
        <v/>
      </c>
      <c r="D1468" s="21">
        <f>ROUND(F1467*B5/100/B10,2)</f>
        <v/>
      </c>
      <c r="E1468" s="21">
        <f>IF((ROUND(F1467-ROUND($B$13-D1468,2),2)&lt;=0),F1467,ROUND($B$13-D1468,2))</f>
        <v/>
      </c>
      <c r="F1468" s="21">
        <f>IF((ROUND(F1467-ROUND($B$13-D1468,2),2)&lt;=0),0,ROUND(F1467-E1468,2))</f>
        <v/>
      </c>
    </row>
    <row r="1469">
      <c r="A1469" s="6" t="n">
        <v>1453</v>
      </c>
      <c r="B1469" s="19">
        <f>IF(B8="monthly",DATE(YEAR(B7)+INT((MONTH(B7)-1+1452)/12),MOD(MONTH(B7)-1+1452,12)+1,1)+(DAY(B7)-1),IF(B8="weekly",B7+10164,IF(B8="biweekly",B7+20328,B7+ROUND((1452*365.25)/24,0))))</f>
        <v/>
      </c>
      <c r="C1469" s="21">
        <f>IF((ROUND(F1468-ROUND($B$13-D1469,2),2)&lt;=0),ROUND(D1469+E1469,2),$B$13)</f>
        <v/>
      </c>
      <c r="D1469" s="21">
        <f>ROUND(F1468*B5/100/B10,2)</f>
        <v/>
      </c>
      <c r="E1469" s="21">
        <f>IF((ROUND(F1468-ROUND($B$13-D1469,2),2)&lt;=0),F1468,ROUND($B$13-D1469,2))</f>
        <v/>
      </c>
      <c r="F1469" s="21">
        <f>IF((ROUND(F1468-ROUND($B$13-D1469,2),2)&lt;=0),0,ROUND(F1468-E1469,2))</f>
        <v/>
      </c>
    </row>
    <row r="1470">
      <c r="A1470" s="6" t="n">
        <v>1454</v>
      </c>
      <c r="B1470" s="19">
        <f>IF(B8="monthly",DATE(YEAR(B7)+INT((MONTH(B7)-1+1453)/12),MOD(MONTH(B7)-1+1453,12)+1,1)+(DAY(B7)-1),IF(B8="weekly",B7+10171,IF(B8="biweekly",B7+20342,B7+ROUND((1453*365.25)/24,0))))</f>
        <v/>
      </c>
      <c r="C1470" s="21">
        <f>IF((ROUND(F1469-ROUND($B$13-D1470,2),2)&lt;=0),ROUND(D1470+E1470,2),$B$13)</f>
        <v/>
      </c>
      <c r="D1470" s="21">
        <f>ROUND(F1469*B5/100/B10,2)</f>
        <v/>
      </c>
      <c r="E1470" s="21">
        <f>IF((ROUND(F1469-ROUND($B$13-D1470,2),2)&lt;=0),F1469,ROUND($B$13-D1470,2))</f>
        <v/>
      </c>
      <c r="F1470" s="21">
        <f>IF((ROUND(F1469-ROUND($B$13-D1470,2),2)&lt;=0),0,ROUND(F1469-E1470,2))</f>
        <v/>
      </c>
    </row>
    <row r="1471">
      <c r="A1471" s="6" t="n">
        <v>1455</v>
      </c>
      <c r="B1471" s="19">
        <f>IF(B8="monthly",DATE(YEAR(B7)+INT((MONTH(B7)-1+1454)/12),MOD(MONTH(B7)-1+1454,12)+1,1)+(DAY(B7)-1),IF(B8="weekly",B7+10178,IF(B8="biweekly",B7+20356,B7+ROUND((1454*365.25)/24,0))))</f>
        <v/>
      </c>
      <c r="C1471" s="21">
        <f>IF((ROUND(F1470-ROUND($B$13-D1471,2),2)&lt;=0),ROUND(D1471+E1471,2),$B$13)</f>
        <v/>
      </c>
      <c r="D1471" s="21">
        <f>ROUND(F1470*B5/100/B10,2)</f>
        <v/>
      </c>
      <c r="E1471" s="21">
        <f>IF((ROUND(F1470-ROUND($B$13-D1471,2),2)&lt;=0),F1470,ROUND($B$13-D1471,2))</f>
        <v/>
      </c>
      <c r="F1471" s="21">
        <f>IF((ROUND(F1470-ROUND($B$13-D1471,2),2)&lt;=0),0,ROUND(F1470-E1471,2))</f>
        <v/>
      </c>
    </row>
    <row r="1472">
      <c r="A1472" s="6" t="n">
        <v>1456</v>
      </c>
      <c r="B1472" s="19">
        <f>IF(B8="monthly",DATE(YEAR(B7)+INT((MONTH(B7)-1+1455)/12),MOD(MONTH(B7)-1+1455,12)+1,1)+(DAY(B7)-1),IF(B8="weekly",B7+10185,IF(B8="biweekly",B7+20370,B7+ROUND((1455*365.25)/24,0))))</f>
        <v/>
      </c>
      <c r="C1472" s="21">
        <f>IF((ROUND(F1471-ROUND($B$13-D1472,2),2)&lt;=0),ROUND(D1472+E1472,2),$B$13)</f>
        <v/>
      </c>
      <c r="D1472" s="21">
        <f>ROUND(F1471*B5/100/B10,2)</f>
        <v/>
      </c>
      <c r="E1472" s="21">
        <f>IF((ROUND(F1471-ROUND($B$13-D1472,2),2)&lt;=0),F1471,ROUND($B$13-D1472,2))</f>
        <v/>
      </c>
      <c r="F1472" s="21">
        <f>IF((ROUND(F1471-ROUND($B$13-D1472,2),2)&lt;=0),0,ROUND(F1471-E1472,2))</f>
        <v/>
      </c>
    </row>
    <row r="1473">
      <c r="A1473" s="6" t="n">
        <v>1457</v>
      </c>
      <c r="B1473" s="19">
        <f>IF(B8="monthly",DATE(YEAR(B7)+INT((MONTH(B7)-1+1456)/12),MOD(MONTH(B7)-1+1456,12)+1,1)+(DAY(B7)-1),IF(B8="weekly",B7+10192,IF(B8="biweekly",B7+20384,B7+ROUND((1456*365.25)/24,0))))</f>
        <v/>
      </c>
      <c r="C1473" s="21">
        <f>IF((ROUND(F1472-ROUND($B$13-D1473,2),2)&lt;=0),ROUND(D1473+E1473,2),$B$13)</f>
        <v/>
      </c>
      <c r="D1473" s="21">
        <f>ROUND(F1472*B5/100/B10,2)</f>
        <v/>
      </c>
      <c r="E1473" s="21">
        <f>IF((ROUND(F1472-ROUND($B$13-D1473,2),2)&lt;=0),F1472,ROUND($B$13-D1473,2))</f>
        <v/>
      </c>
      <c r="F1473" s="21">
        <f>IF((ROUND(F1472-ROUND($B$13-D1473,2),2)&lt;=0),0,ROUND(F1472-E1473,2))</f>
        <v/>
      </c>
    </row>
    <row r="1474">
      <c r="A1474" s="6" t="n">
        <v>1458</v>
      </c>
      <c r="B1474" s="19">
        <f>IF(B8="monthly",DATE(YEAR(B7)+INT((MONTH(B7)-1+1457)/12),MOD(MONTH(B7)-1+1457,12)+1,1)+(DAY(B7)-1),IF(B8="weekly",B7+10199,IF(B8="biweekly",B7+20398,B7+ROUND((1457*365.25)/24,0))))</f>
        <v/>
      </c>
      <c r="C1474" s="21">
        <f>IF((ROUND(F1473-ROUND($B$13-D1474,2),2)&lt;=0),ROUND(D1474+E1474,2),$B$13)</f>
        <v/>
      </c>
      <c r="D1474" s="21">
        <f>ROUND(F1473*B5/100/B10,2)</f>
        <v/>
      </c>
      <c r="E1474" s="21">
        <f>IF((ROUND(F1473-ROUND($B$13-D1474,2),2)&lt;=0),F1473,ROUND($B$13-D1474,2))</f>
        <v/>
      </c>
      <c r="F1474" s="21">
        <f>IF((ROUND(F1473-ROUND($B$13-D1474,2),2)&lt;=0),0,ROUND(F1473-E1474,2))</f>
        <v/>
      </c>
    </row>
    <row r="1475">
      <c r="A1475" s="6" t="n">
        <v>1459</v>
      </c>
      <c r="B1475" s="19">
        <f>IF(B8="monthly",DATE(YEAR(B7)+INT((MONTH(B7)-1+1458)/12),MOD(MONTH(B7)-1+1458,12)+1,1)+(DAY(B7)-1),IF(B8="weekly",B7+10206,IF(B8="biweekly",B7+20412,B7+ROUND((1458*365.25)/24,0))))</f>
        <v/>
      </c>
      <c r="C1475" s="21">
        <f>IF((ROUND(F1474-ROUND($B$13-D1475,2),2)&lt;=0),ROUND(D1475+E1475,2),$B$13)</f>
        <v/>
      </c>
      <c r="D1475" s="21">
        <f>ROUND(F1474*B5/100/B10,2)</f>
        <v/>
      </c>
      <c r="E1475" s="21">
        <f>IF((ROUND(F1474-ROUND($B$13-D1475,2),2)&lt;=0),F1474,ROUND($B$13-D1475,2))</f>
        <v/>
      </c>
      <c r="F1475" s="21">
        <f>IF((ROUND(F1474-ROUND($B$13-D1475,2),2)&lt;=0),0,ROUND(F1474-E1475,2))</f>
        <v/>
      </c>
    </row>
    <row r="1476">
      <c r="A1476" s="6" t="n">
        <v>1460</v>
      </c>
      <c r="B1476" s="19">
        <f>IF(B8="monthly",DATE(YEAR(B7)+INT((MONTH(B7)-1+1459)/12),MOD(MONTH(B7)-1+1459,12)+1,1)+(DAY(B7)-1),IF(B8="weekly",B7+10213,IF(B8="biweekly",B7+20426,B7+ROUND((1459*365.25)/24,0))))</f>
        <v/>
      </c>
      <c r="C1476" s="21">
        <f>IF((ROUND(F1475-ROUND($B$13-D1476,2),2)&lt;=0),ROUND(D1476+E1476,2),$B$13)</f>
        <v/>
      </c>
      <c r="D1476" s="21">
        <f>ROUND(F1475*B5/100/B10,2)</f>
        <v/>
      </c>
      <c r="E1476" s="21">
        <f>IF((ROUND(F1475-ROUND($B$13-D1476,2),2)&lt;=0),F1475,ROUND($B$13-D1476,2))</f>
        <v/>
      </c>
      <c r="F1476" s="21">
        <f>IF((ROUND(F1475-ROUND($B$13-D1476,2),2)&lt;=0),0,ROUND(F1475-E1476,2))</f>
        <v/>
      </c>
    </row>
    <row r="1477">
      <c r="A1477" s="6" t="n">
        <v>1461</v>
      </c>
      <c r="B1477" s="19">
        <f>IF(B8="monthly",DATE(YEAR(B7)+INT((MONTH(B7)-1+1460)/12),MOD(MONTH(B7)-1+1460,12)+1,1)+(DAY(B7)-1),IF(B8="weekly",B7+10220,IF(B8="biweekly",B7+20440,B7+ROUND((1460*365.25)/24,0))))</f>
        <v/>
      </c>
      <c r="C1477" s="21">
        <f>IF((ROUND(F1476-ROUND($B$13-D1477,2),2)&lt;=0),ROUND(D1477+E1477,2),$B$13)</f>
        <v/>
      </c>
      <c r="D1477" s="21">
        <f>ROUND(F1476*B5/100/B10,2)</f>
        <v/>
      </c>
      <c r="E1477" s="21">
        <f>IF((ROUND(F1476-ROUND($B$13-D1477,2),2)&lt;=0),F1476,ROUND($B$13-D1477,2))</f>
        <v/>
      </c>
      <c r="F1477" s="21">
        <f>IF((ROUND(F1476-ROUND($B$13-D1477,2),2)&lt;=0),0,ROUND(F1476-E1477,2))</f>
        <v/>
      </c>
    </row>
    <row r="1478">
      <c r="A1478" s="6" t="n">
        <v>1462</v>
      </c>
      <c r="B1478" s="19">
        <f>IF(B8="monthly",DATE(YEAR(B7)+INT((MONTH(B7)-1+1461)/12),MOD(MONTH(B7)-1+1461,12)+1,1)+(DAY(B7)-1),IF(B8="weekly",B7+10227,IF(B8="biweekly",B7+20454,B7+ROUND((1461*365.25)/24,0))))</f>
        <v/>
      </c>
      <c r="C1478" s="21">
        <f>IF((ROUND(F1477-ROUND($B$13-D1478,2),2)&lt;=0),ROUND(D1478+E1478,2),$B$13)</f>
        <v/>
      </c>
      <c r="D1478" s="21">
        <f>ROUND(F1477*B5/100/B10,2)</f>
        <v/>
      </c>
      <c r="E1478" s="21">
        <f>IF((ROUND(F1477-ROUND($B$13-D1478,2),2)&lt;=0),F1477,ROUND($B$13-D1478,2))</f>
        <v/>
      </c>
      <c r="F1478" s="21">
        <f>IF((ROUND(F1477-ROUND($B$13-D1478,2),2)&lt;=0),0,ROUND(F1477-E1478,2))</f>
        <v/>
      </c>
    </row>
    <row r="1479">
      <c r="A1479" s="6" t="n">
        <v>1463</v>
      </c>
      <c r="B1479" s="19">
        <f>IF(B8="monthly",DATE(YEAR(B7)+INT((MONTH(B7)-1+1462)/12),MOD(MONTH(B7)-1+1462,12)+1,1)+(DAY(B7)-1),IF(B8="weekly",B7+10234,IF(B8="biweekly",B7+20468,B7+ROUND((1462*365.25)/24,0))))</f>
        <v/>
      </c>
      <c r="C1479" s="21">
        <f>IF((ROUND(F1478-ROUND($B$13-D1479,2),2)&lt;=0),ROUND(D1479+E1479,2),$B$13)</f>
        <v/>
      </c>
      <c r="D1479" s="21">
        <f>ROUND(F1478*B5/100/B10,2)</f>
        <v/>
      </c>
      <c r="E1479" s="21">
        <f>IF((ROUND(F1478-ROUND($B$13-D1479,2),2)&lt;=0),F1478,ROUND($B$13-D1479,2))</f>
        <v/>
      </c>
      <c r="F1479" s="21">
        <f>IF((ROUND(F1478-ROUND($B$13-D1479,2),2)&lt;=0),0,ROUND(F1478-E1479,2))</f>
        <v/>
      </c>
    </row>
    <row r="1480">
      <c r="A1480" s="6" t="n">
        <v>1464</v>
      </c>
      <c r="B1480" s="19">
        <f>IF(B8="monthly",DATE(YEAR(B7)+INT((MONTH(B7)-1+1463)/12),MOD(MONTH(B7)-1+1463,12)+1,1)+(DAY(B7)-1),IF(B8="weekly",B7+10241,IF(B8="biweekly",B7+20482,B7+ROUND((1463*365.25)/24,0))))</f>
        <v/>
      </c>
      <c r="C1480" s="21">
        <f>IF((ROUND(F1479-ROUND($B$13-D1480,2),2)&lt;=0),ROUND(D1480+E1480,2),$B$13)</f>
        <v/>
      </c>
      <c r="D1480" s="21">
        <f>ROUND(F1479*B5/100/B10,2)</f>
        <v/>
      </c>
      <c r="E1480" s="21">
        <f>IF((ROUND(F1479-ROUND($B$13-D1480,2),2)&lt;=0),F1479,ROUND($B$13-D1480,2))</f>
        <v/>
      </c>
      <c r="F1480" s="21">
        <f>IF((ROUND(F1479-ROUND($B$13-D1480,2),2)&lt;=0),0,ROUND(F1479-E1480,2))</f>
        <v/>
      </c>
    </row>
    <row r="1481">
      <c r="A1481" s="6" t="n">
        <v>1465</v>
      </c>
      <c r="B1481" s="19">
        <f>IF(B8="monthly",DATE(YEAR(B7)+INT((MONTH(B7)-1+1464)/12),MOD(MONTH(B7)-1+1464,12)+1,1)+(DAY(B7)-1),IF(B8="weekly",B7+10248,IF(B8="biweekly",B7+20496,B7+ROUND((1464*365.25)/24,0))))</f>
        <v/>
      </c>
      <c r="C1481" s="21">
        <f>IF((ROUND(F1480-ROUND($B$13-D1481,2),2)&lt;=0),ROUND(D1481+E1481,2),$B$13)</f>
        <v/>
      </c>
      <c r="D1481" s="21">
        <f>ROUND(F1480*B5/100/B10,2)</f>
        <v/>
      </c>
      <c r="E1481" s="21">
        <f>IF((ROUND(F1480-ROUND($B$13-D1481,2),2)&lt;=0),F1480,ROUND($B$13-D1481,2))</f>
        <v/>
      </c>
      <c r="F1481" s="21">
        <f>IF((ROUND(F1480-ROUND($B$13-D1481,2),2)&lt;=0),0,ROUND(F1480-E1481,2))</f>
        <v/>
      </c>
    </row>
    <row r="1482">
      <c r="A1482" s="6" t="n">
        <v>1466</v>
      </c>
      <c r="B1482" s="19">
        <f>IF(B8="monthly",DATE(YEAR(B7)+INT((MONTH(B7)-1+1465)/12),MOD(MONTH(B7)-1+1465,12)+1,1)+(DAY(B7)-1),IF(B8="weekly",B7+10255,IF(B8="biweekly",B7+20510,B7+ROUND((1465*365.25)/24,0))))</f>
        <v/>
      </c>
      <c r="C1482" s="21">
        <f>IF((ROUND(F1481-ROUND($B$13-D1482,2),2)&lt;=0),ROUND(D1482+E1482,2),$B$13)</f>
        <v/>
      </c>
      <c r="D1482" s="21">
        <f>ROUND(F1481*B5/100/B10,2)</f>
        <v/>
      </c>
      <c r="E1482" s="21">
        <f>IF((ROUND(F1481-ROUND($B$13-D1482,2),2)&lt;=0),F1481,ROUND($B$13-D1482,2))</f>
        <v/>
      </c>
      <c r="F1482" s="21">
        <f>IF((ROUND(F1481-ROUND($B$13-D1482,2),2)&lt;=0),0,ROUND(F1481-E1482,2))</f>
        <v/>
      </c>
    </row>
    <row r="1483">
      <c r="A1483" s="6" t="n">
        <v>1467</v>
      </c>
      <c r="B1483" s="19">
        <f>IF(B8="monthly",DATE(YEAR(B7)+INT((MONTH(B7)-1+1466)/12),MOD(MONTH(B7)-1+1466,12)+1,1)+(DAY(B7)-1),IF(B8="weekly",B7+10262,IF(B8="biweekly",B7+20524,B7+ROUND((1466*365.25)/24,0))))</f>
        <v/>
      </c>
      <c r="C1483" s="21">
        <f>IF((ROUND(F1482-ROUND($B$13-D1483,2),2)&lt;=0),ROUND(D1483+E1483,2),$B$13)</f>
        <v/>
      </c>
      <c r="D1483" s="21">
        <f>ROUND(F1482*B5/100/B10,2)</f>
        <v/>
      </c>
      <c r="E1483" s="21">
        <f>IF((ROUND(F1482-ROUND($B$13-D1483,2),2)&lt;=0),F1482,ROUND($B$13-D1483,2))</f>
        <v/>
      </c>
      <c r="F1483" s="21">
        <f>IF((ROUND(F1482-ROUND($B$13-D1483,2),2)&lt;=0),0,ROUND(F1482-E1483,2))</f>
        <v/>
      </c>
    </row>
    <row r="1484">
      <c r="A1484" s="6" t="n">
        <v>1468</v>
      </c>
      <c r="B1484" s="19">
        <f>IF(B8="monthly",DATE(YEAR(B7)+INT((MONTH(B7)-1+1467)/12),MOD(MONTH(B7)-1+1467,12)+1,1)+(DAY(B7)-1),IF(B8="weekly",B7+10269,IF(B8="biweekly",B7+20538,B7+ROUND((1467*365.25)/24,0))))</f>
        <v/>
      </c>
      <c r="C1484" s="21">
        <f>IF((ROUND(F1483-ROUND($B$13-D1484,2),2)&lt;=0),ROUND(D1484+E1484,2),$B$13)</f>
        <v/>
      </c>
      <c r="D1484" s="21">
        <f>ROUND(F1483*B5/100/B10,2)</f>
        <v/>
      </c>
      <c r="E1484" s="21">
        <f>IF((ROUND(F1483-ROUND($B$13-D1484,2),2)&lt;=0),F1483,ROUND($B$13-D1484,2))</f>
        <v/>
      </c>
      <c r="F1484" s="21">
        <f>IF((ROUND(F1483-ROUND($B$13-D1484,2),2)&lt;=0),0,ROUND(F1483-E1484,2))</f>
        <v/>
      </c>
    </row>
    <row r="1485">
      <c r="A1485" s="6" t="n">
        <v>1469</v>
      </c>
      <c r="B1485" s="19">
        <f>IF(B8="monthly",DATE(YEAR(B7)+INT((MONTH(B7)-1+1468)/12),MOD(MONTH(B7)-1+1468,12)+1,1)+(DAY(B7)-1),IF(B8="weekly",B7+10276,IF(B8="biweekly",B7+20552,B7+ROUND((1468*365.25)/24,0))))</f>
        <v/>
      </c>
      <c r="C1485" s="21">
        <f>IF((ROUND(F1484-ROUND($B$13-D1485,2),2)&lt;=0),ROUND(D1485+E1485,2),$B$13)</f>
        <v/>
      </c>
      <c r="D1485" s="21">
        <f>ROUND(F1484*B5/100/B10,2)</f>
        <v/>
      </c>
      <c r="E1485" s="21">
        <f>IF((ROUND(F1484-ROUND($B$13-D1485,2),2)&lt;=0),F1484,ROUND($B$13-D1485,2))</f>
        <v/>
      </c>
      <c r="F1485" s="21">
        <f>IF((ROUND(F1484-ROUND($B$13-D1485,2),2)&lt;=0),0,ROUND(F1484-E1485,2))</f>
        <v/>
      </c>
    </row>
    <row r="1486">
      <c r="A1486" s="6" t="n">
        <v>1470</v>
      </c>
      <c r="B1486" s="19">
        <f>IF(B8="monthly",DATE(YEAR(B7)+INT((MONTH(B7)-1+1469)/12),MOD(MONTH(B7)-1+1469,12)+1,1)+(DAY(B7)-1),IF(B8="weekly",B7+10283,IF(B8="biweekly",B7+20566,B7+ROUND((1469*365.25)/24,0))))</f>
        <v/>
      </c>
      <c r="C1486" s="21">
        <f>IF((ROUND(F1485-ROUND($B$13-D1486,2),2)&lt;=0),ROUND(D1486+E1486,2),$B$13)</f>
        <v/>
      </c>
      <c r="D1486" s="21">
        <f>ROUND(F1485*B5/100/B10,2)</f>
        <v/>
      </c>
      <c r="E1486" s="21">
        <f>IF((ROUND(F1485-ROUND($B$13-D1486,2),2)&lt;=0),F1485,ROUND($B$13-D1486,2))</f>
        <v/>
      </c>
      <c r="F1486" s="21">
        <f>IF((ROUND(F1485-ROUND($B$13-D1486,2),2)&lt;=0),0,ROUND(F1485-E1486,2))</f>
        <v/>
      </c>
    </row>
    <row r="1487">
      <c r="A1487" s="6" t="n">
        <v>1471</v>
      </c>
      <c r="B1487" s="19">
        <f>IF(B8="monthly",DATE(YEAR(B7)+INT((MONTH(B7)-1+1470)/12),MOD(MONTH(B7)-1+1470,12)+1,1)+(DAY(B7)-1),IF(B8="weekly",B7+10290,IF(B8="biweekly",B7+20580,B7+ROUND((1470*365.25)/24,0))))</f>
        <v/>
      </c>
      <c r="C1487" s="21">
        <f>IF((ROUND(F1486-ROUND($B$13-D1487,2),2)&lt;=0),ROUND(D1487+E1487,2),$B$13)</f>
        <v/>
      </c>
      <c r="D1487" s="21">
        <f>ROUND(F1486*B5/100/B10,2)</f>
        <v/>
      </c>
      <c r="E1487" s="21">
        <f>IF((ROUND(F1486-ROUND($B$13-D1487,2),2)&lt;=0),F1486,ROUND($B$13-D1487,2))</f>
        <v/>
      </c>
      <c r="F1487" s="21">
        <f>IF((ROUND(F1486-ROUND($B$13-D1487,2),2)&lt;=0),0,ROUND(F1486-E1487,2))</f>
        <v/>
      </c>
    </row>
    <row r="1488">
      <c r="A1488" s="6" t="n">
        <v>1472</v>
      </c>
      <c r="B1488" s="19">
        <f>IF(B8="monthly",DATE(YEAR(B7)+INT((MONTH(B7)-1+1471)/12),MOD(MONTH(B7)-1+1471,12)+1,1)+(DAY(B7)-1),IF(B8="weekly",B7+10297,IF(B8="biweekly",B7+20594,B7+ROUND((1471*365.25)/24,0))))</f>
        <v/>
      </c>
      <c r="C1488" s="21">
        <f>IF((ROUND(F1487-ROUND($B$13-D1488,2),2)&lt;=0),ROUND(D1488+E1488,2),$B$13)</f>
        <v/>
      </c>
      <c r="D1488" s="21">
        <f>ROUND(F1487*B5/100/B10,2)</f>
        <v/>
      </c>
      <c r="E1488" s="21">
        <f>IF((ROUND(F1487-ROUND($B$13-D1488,2),2)&lt;=0),F1487,ROUND($B$13-D1488,2))</f>
        <v/>
      </c>
      <c r="F1488" s="21">
        <f>IF((ROUND(F1487-ROUND($B$13-D1488,2),2)&lt;=0),0,ROUND(F1487-E1488,2))</f>
        <v/>
      </c>
    </row>
    <row r="1489">
      <c r="A1489" s="6" t="n">
        <v>1473</v>
      </c>
      <c r="B1489" s="19">
        <f>IF(B8="monthly",DATE(YEAR(B7)+INT((MONTH(B7)-1+1472)/12),MOD(MONTH(B7)-1+1472,12)+1,1)+(DAY(B7)-1),IF(B8="weekly",B7+10304,IF(B8="biweekly",B7+20608,B7+ROUND((1472*365.25)/24,0))))</f>
        <v/>
      </c>
      <c r="C1489" s="21">
        <f>IF((ROUND(F1488-ROUND($B$13-D1489,2),2)&lt;=0),ROUND(D1489+E1489,2),$B$13)</f>
        <v/>
      </c>
      <c r="D1489" s="21">
        <f>ROUND(F1488*B5/100/B10,2)</f>
        <v/>
      </c>
      <c r="E1489" s="21">
        <f>IF((ROUND(F1488-ROUND($B$13-D1489,2),2)&lt;=0),F1488,ROUND($B$13-D1489,2))</f>
        <v/>
      </c>
      <c r="F1489" s="21">
        <f>IF((ROUND(F1488-ROUND($B$13-D1489,2),2)&lt;=0),0,ROUND(F1488-E1489,2))</f>
        <v/>
      </c>
    </row>
    <row r="1490">
      <c r="A1490" s="6" t="n">
        <v>1474</v>
      </c>
      <c r="B1490" s="19">
        <f>IF(B8="monthly",DATE(YEAR(B7)+INT((MONTH(B7)-1+1473)/12),MOD(MONTH(B7)-1+1473,12)+1,1)+(DAY(B7)-1),IF(B8="weekly",B7+10311,IF(B8="biweekly",B7+20622,B7+ROUND((1473*365.25)/24,0))))</f>
        <v/>
      </c>
      <c r="C1490" s="21">
        <f>IF((ROUND(F1489-ROUND($B$13-D1490,2),2)&lt;=0),ROUND(D1490+E1490,2),$B$13)</f>
        <v/>
      </c>
      <c r="D1490" s="21">
        <f>ROUND(F1489*B5/100/B10,2)</f>
        <v/>
      </c>
      <c r="E1490" s="21">
        <f>IF((ROUND(F1489-ROUND($B$13-D1490,2),2)&lt;=0),F1489,ROUND($B$13-D1490,2))</f>
        <v/>
      </c>
      <c r="F1490" s="21">
        <f>IF((ROUND(F1489-ROUND($B$13-D1490,2),2)&lt;=0),0,ROUND(F1489-E1490,2))</f>
        <v/>
      </c>
    </row>
    <row r="1491">
      <c r="A1491" s="6" t="n">
        <v>1475</v>
      </c>
      <c r="B1491" s="19">
        <f>IF(B8="monthly",DATE(YEAR(B7)+INT((MONTH(B7)-1+1474)/12),MOD(MONTH(B7)-1+1474,12)+1,1)+(DAY(B7)-1),IF(B8="weekly",B7+10318,IF(B8="biweekly",B7+20636,B7+ROUND((1474*365.25)/24,0))))</f>
        <v/>
      </c>
      <c r="C1491" s="21">
        <f>IF((ROUND(F1490-ROUND($B$13-D1491,2),2)&lt;=0),ROUND(D1491+E1491,2),$B$13)</f>
        <v/>
      </c>
      <c r="D1491" s="21">
        <f>ROUND(F1490*B5/100/B10,2)</f>
        <v/>
      </c>
      <c r="E1491" s="21">
        <f>IF((ROUND(F1490-ROUND($B$13-D1491,2),2)&lt;=0),F1490,ROUND($B$13-D1491,2))</f>
        <v/>
      </c>
      <c r="F1491" s="21">
        <f>IF((ROUND(F1490-ROUND($B$13-D1491,2),2)&lt;=0),0,ROUND(F1490-E1491,2))</f>
        <v/>
      </c>
    </row>
    <row r="1492">
      <c r="A1492" s="6" t="n">
        <v>1476</v>
      </c>
      <c r="B1492" s="19">
        <f>IF(B8="monthly",DATE(YEAR(B7)+INT((MONTH(B7)-1+1475)/12),MOD(MONTH(B7)-1+1475,12)+1,1)+(DAY(B7)-1),IF(B8="weekly",B7+10325,IF(B8="biweekly",B7+20650,B7+ROUND((1475*365.25)/24,0))))</f>
        <v/>
      </c>
      <c r="C1492" s="21">
        <f>IF((ROUND(F1491-ROUND($B$13-D1492,2),2)&lt;=0),ROUND(D1492+E1492,2),$B$13)</f>
        <v/>
      </c>
      <c r="D1492" s="21">
        <f>ROUND(F1491*B5/100/B10,2)</f>
        <v/>
      </c>
      <c r="E1492" s="21">
        <f>IF((ROUND(F1491-ROUND($B$13-D1492,2),2)&lt;=0),F1491,ROUND($B$13-D1492,2))</f>
        <v/>
      </c>
      <c r="F1492" s="21">
        <f>IF((ROUND(F1491-ROUND($B$13-D1492,2),2)&lt;=0),0,ROUND(F1491-E1492,2))</f>
        <v/>
      </c>
    </row>
    <row r="1493">
      <c r="A1493" s="6" t="n">
        <v>1477</v>
      </c>
      <c r="B1493" s="19">
        <f>IF(B8="monthly",DATE(YEAR(B7)+INT((MONTH(B7)-1+1476)/12),MOD(MONTH(B7)-1+1476,12)+1,1)+(DAY(B7)-1),IF(B8="weekly",B7+10332,IF(B8="biweekly",B7+20664,B7+ROUND((1476*365.25)/24,0))))</f>
        <v/>
      </c>
      <c r="C1493" s="21">
        <f>IF((ROUND(F1492-ROUND($B$13-D1493,2),2)&lt;=0),ROUND(D1493+E1493,2),$B$13)</f>
        <v/>
      </c>
      <c r="D1493" s="21">
        <f>ROUND(F1492*B5/100/B10,2)</f>
        <v/>
      </c>
      <c r="E1493" s="21">
        <f>IF((ROUND(F1492-ROUND($B$13-D1493,2),2)&lt;=0),F1492,ROUND($B$13-D1493,2))</f>
        <v/>
      </c>
      <c r="F1493" s="21">
        <f>IF((ROUND(F1492-ROUND($B$13-D1493,2),2)&lt;=0),0,ROUND(F1492-E1493,2))</f>
        <v/>
      </c>
    </row>
    <row r="1494">
      <c r="A1494" s="6" t="n">
        <v>1478</v>
      </c>
      <c r="B1494" s="19">
        <f>IF(B8="monthly",DATE(YEAR(B7)+INT((MONTH(B7)-1+1477)/12),MOD(MONTH(B7)-1+1477,12)+1,1)+(DAY(B7)-1),IF(B8="weekly",B7+10339,IF(B8="biweekly",B7+20678,B7+ROUND((1477*365.25)/24,0))))</f>
        <v/>
      </c>
      <c r="C1494" s="21">
        <f>IF((ROUND(F1493-ROUND($B$13-D1494,2),2)&lt;=0),ROUND(D1494+E1494,2),$B$13)</f>
        <v/>
      </c>
      <c r="D1494" s="21">
        <f>ROUND(F1493*B5/100/B10,2)</f>
        <v/>
      </c>
      <c r="E1494" s="21">
        <f>IF((ROUND(F1493-ROUND($B$13-D1494,2),2)&lt;=0),F1493,ROUND($B$13-D1494,2))</f>
        <v/>
      </c>
      <c r="F1494" s="21">
        <f>IF((ROUND(F1493-ROUND($B$13-D1494,2),2)&lt;=0),0,ROUND(F1493-E1494,2))</f>
        <v/>
      </c>
    </row>
    <row r="1495">
      <c r="A1495" s="6" t="n">
        <v>1479</v>
      </c>
      <c r="B1495" s="19">
        <f>IF(B8="monthly",DATE(YEAR(B7)+INT((MONTH(B7)-1+1478)/12),MOD(MONTH(B7)-1+1478,12)+1,1)+(DAY(B7)-1),IF(B8="weekly",B7+10346,IF(B8="biweekly",B7+20692,B7+ROUND((1478*365.25)/24,0))))</f>
        <v/>
      </c>
      <c r="C1495" s="21">
        <f>IF((ROUND(F1494-ROUND($B$13-D1495,2),2)&lt;=0),ROUND(D1495+E1495,2),$B$13)</f>
        <v/>
      </c>
      <c r="D1495" s="21">
        <f>ROUND(F1494*B5/100/B10,2)</f>
        <v/>
      </c>
      <c r="E1495" s="21">
        <f>IF((ROUND(F1494-ROUND($B$13-D1495,2),2)&lt;=0),F1494,ROUND($B$13-D1495,2))</f>
        <v/>
      </c>
      <c r="F1495" s="21">
        <f>IF((ROUND(F1494-ROUND($B$13-D1495,2),2)&lt;=0),0,ROUND(F1494-E1495,2))</f>
        <v/>
      </c>
    </row>
    <row r="1496">
      <c r="A1496" s="6" t="n">
        <v>1480</v>
      </c>
      <c r="B1496" s="19">
        <f>IF(B8="monthly",DATE(YEAR(B7)+INT((MONTH(B7)-1+1479)/12),MOD(MONTH(B7)-1+1479,12)+1,1)+(DAY(B7)-1),IF(B8="weekly",B7+10353,IF(B8="biweekly",B7+20706,B7+ROUND((1479*365.25)/24,0))))</f>
        <v/>
      </c>
      <c r="C1496" s="21">
        <f>IF((ROUND(F1495-ROUND($B$13-D1496,2),2)&lt;=0),ROUND(D1496+E1496,2),$B$13)</f>
        <v/>
      </c>
      <c r="D1496" s="21">
        <f>ROUND(F1495*B5/100/B10,2)</f>
        <v/>
      </c>
      <c r="E1496" s="21">
        <f>IF((ROUND(F1495-ROUND($B$13-D1496,2),2)&lt;=0),F1495,ROUND($B$13-D1496,2))</f>
        <v/>
      </c>
      <c r="F1496" s="21">
        <f>IF((ROUND(F1495-ROUND($B$13-D1496,2),2)&lt;=0),0,ROUND(F1495-E1496,2))</f>
        <v/>
      </c>
    </row>
    <row r="1497">
      <c r="A1497" s="6" t="n">
        <v>1481</v>
      </c>
      <c r="B1497" s="19">
        <f>IF(B8="monthly",DATE(YEAR(B7)+INT((MONTH(B7)-1+1480)/12),MOD(MONTH(B7)-1+1480,12)+1,1)+(DAY(B7)-1),IF(B8="weekly",B7+10360,IF(B8="biweekly",B7+20720,B7+ROUND((1480*365.25)/24,0))))</f>
        <v/>
      </c>
      <c r="C1497" s="21">
        <f>IF((ROUND(F1496-ROUND($B$13-D1497,2),2)&lt;=0),ROUND(D1497+E1497,2),$B$13)</f>
        <v/>
      </c>
      <c r="D1497" s="21">
        <f>ROUND(F1496*B5/100/B10,2)</f>
        <v/>
      </c>
      <c r="E1497" s="21">
        <f>IF((ROUND(F1496-ROUND($B$13-D1497,2),2)&lt;=0),F1496,ROUND($B$13-D1497,2))</f>
        <v/>
      </c>
      <c r="F1497" s="21">
        <f>IF((ROUND(F1496-ROUND($B$13-D1497,2),2)&lt;=0),0,ROUND(F1496-E1497,2))</f>
        <v/>
      </c>
    </row>
    <row r="1498">
      <c r="A1498" s="6" t="n">
        <v>1482</v>
      </c>
      <c r="B1498" s="19">
        <f>IF(B8="monthly",DATE(YEAR(B7)+INT((MONTH(B7)-1+1481)/12),MOD(MONTH(B7)-1+1481,12)+1,1)+(DAY(B7)-1),IF(B8="weekly",B7+10367,IF(B8="biweekly",B7+20734,B7+ROUND((1481*365.25)/24,0))))</f>
        <v/>
      </c>
      <c r="C1498" s="21">
        <f>IF((ROUND(F1497-ROUND($B$13-D1498,2),2)&lt;=0),ROUND(D1498+E1498,2),$B$13)</f>
        <v/>
      </c>
      <c r="D1498" s="21">
        <f>ROUND(F1497*B5/100/B10,2)</f>
        <v/>
      </c>
      <c r="E1498" s="21">
        <f>IF((ROUND(F1497-ROUND($B$13-D1498,2),2)&lt;=0),F1497,ROUND($B$13-D1498,2))</f>
        <v/>
      </c>
      <c r="F1498" s="21">
        <f>IF((ROUND(F1497-ROUND($B$13-D1498,2),2)&lt;=0),0,ROUND(F1497-E1498,2))</f>
        <v/>
      </c>
    </row>
    <row r="1499">
      <c r="A1499" s="6" t="n">
        <v>1483</v>
      </c>
      <c r="B1499" s="19">
        <f>IF(B8="monthly",DATE(YEAR(B7)+INT((MONTH(B7)-1+1482)/12),MOD(MONTH(B7)-1+1482,12)+1,1)+(DAY(B7)-1),IF(B8="weekly",B7+10374,IF(B8="biweekly",B7+20748,B7+ROUND((1482*365.25)/24,0))))</f>
        <v/>
      </c>
      <c r="C1499" s="21">
        <f>IF((ROUND(F1498-ROUND($B$13-D1499,2),2)&lt;=0),ROUND(D1499+E1499,2),$B$13)</f>
        <v/>
      </c>
      <c r="D1499" s="21">
        <f>ROUND(F1498*B5/100/B10,2)</f>
        <v/>
      </c>
      <c r="E1499" s="21">
        <f>IF((ROUND(F1498-ROUND($B$13-D1499,2),2)&lt;=0),F1498,ROUND($B$13-D1499,2))</f>
        <v/>
      </c>
      <c r="F1499" s="21">
        <f>IF((ROUND(F1498-ROUND($B$13-D1499,2),2)&lt;=0),0,ROUND(F1498-E1499,2))</f>
        <v/>
      </c>
    </row>
    <row r="1500">
      <c r="A1500" s="6" t="n">
        <v>1484</v>
      </c>
      <c r="B1500" s="19">
        <f>IF(B8="monthly",DATE(YEAR(B7)+INT((MONTH(B7)-1+1483)/12),MOD(MONTH(B7)-1+1483,12)+1,1)+(DAY(B7)-1),IF(B8="weekly",B7+10381,IF(B8="biweekly",B7+20762,B7+ROUND((1483*365.25)/24,0))))</f>
        <v/>
      </c>
      <c r="C1500" s="21">
        <f>IF((ROUND(F1499-ROUND($B$13-D1500,2),2)&lt;=0),ROUND(D1500+E1500,2),$B$13)</f>
        <v/>
      </c>
      <c r="D1500" s="21">
        <f>ROUND(F1499*B5/100/B10,2)</f>
        <v/>
      </c>
      <c r="E1500" s="21">
        <f>IF((ROUND(F1499-ROUND($B$13-D1500,2),2)&lt;=0),F1499,ROUND($B$13-D1500,2))</f>
        <v/>
      </c>
      <c r="F1500" s="21">
        <f>IF((ROUND(F1499-ROUND($B$13-D1500,2),2)&lt;=0),0,ROUND(F1499-E1500,2))</f>
        <v/>
      </c>
    </row>
    <row r="1501">
      <c r="A1501" s="6" t="n">
        <v>1485</v>
      </c>
      <c r="B1501" s="19">
        <f>IF(B8="monthly",DATE(YEAR(B7)+INT((MONTH(B7)-1+1484)/12),MOD(MONTH(B7)-1+1484,12)+1,1)+(DAY(B7)-1),IF(B8="weekly",B7+10388,IF(B8="biweekly",B7+20776,B7+ROUND((1484*365.25)/24,0))))</f>
        <v/>
      </c>
      <c r="C1501" s="21">
        <f>IF((ROUND(F1500-ROUND($B$13-D1501,2),2)&lt;=0),ROUND(D1501+E1501,2),$B$13)</f>
        <v/>
      </c>
      <c r="D1501" s="21">
        <f>ROUND(F1500*B5/100/B10,2)</f>
        <v/>
      </c>
      <c r="E1501" s="21">
        <f>IF((ROUND(F1500-ROUND($B$13-D1501,2),2)&lt;=0),F1500,ROUND($B$13-D1501,2))</f>
        <v/>
      </c>
      <c r="F1501" s="21">
        <f>IF((ROUND(F1500-ROUND($B$13-D1501,2),2)&lt;=0),0,ROUND(F1500-E1501,2))</f>
        <v/>
      </c>
    </row>
    <row r="1502">
      <c r="A1502" s="6" t="n">
        <v>1486</v>
      </c>
      <c r="B1502" s="19">
        <f>IF(B8="monthly",DATE(YEAR(B7)+INT((MONTH(B7)-1+1485)/12),MOD(MONTH(B7)-1+1485,12)+1,1)+(DAY(B7)-1),IF(B8="weekly",B7+10395,IF(B8="biweekly",B7+20790,B7+ROUND((1485*365.25)/24,0))))</f>
        <v/>
      </c>
      <c r="C1502" s="21">
        <f>IF((ROUND(F1501-ROUND($B$13-D1502,2),2)&lt;=0),ROUND(D1502+E1502,2),$B$13)</f>
        <v/>
      </c>
      <c r="D1502" s="21">
        <f>ROUND(F1501*B5/100/B10,2)</f>
        <v/>
      </c>
      <c r="E1502" s="21">
        <f>IF((ROUND(F1501-ROUND($B$13-D1502,2),2)&lt;=0),F1501,ROUND($B$13-D1502,2))</f>
        <v/>
      </c>
      <c r="F1502" s="21">
        <f>IF((ROUND(F1501-ROUND($B$13-D1502,2),2)&lt;=0),0,ROUND(F1501-E1502,2))</f>
        <v/>
      </c>
    </row>
    <row r="1503">
      <c r="A1503" s="6" t="n">
        <v>1487</v>
      </c>
      <c r="B1503" s="19">
        <f>IF(B8="monthly",DATE(YEAR(B7)+INT((MONTH(B7)-1+1486)/12),MOD(MONTH(B7)-1+1486,12)+1,1)+(DAY(B7)-1),IF(B8="weekly",B7+10402,IF(B8="biweekly",B7+20804,B7+ROUND((1486*365.25)/24,0))))</f>
        <v/>
      </c>
      <c r="C1503" s="21">
        <f>IF((ROUND(F1502-ROUND($B$13-D1503,2),2)&lt;=0),ROUND(D1503+E1503,2),$B$13)</f>
        <v/>
      </c>
      <c r="D1503" s="21">
        <f>ROUND(F1502*B5/100/B10,2)</f>
        <v/>
      </c>
      <c r="E1503" s="21">
        <f>IF((ROUND(F1502-ROUND($B$13-D1503,2),2)&lt;=0),F1502,ROUND($B$13-D1503,2))</f>
        <v/>
      </c>
      <c r="F1503" s="21">
        <f>IF((ROUND(F1502-ROUND($B$13-D1503,2),2)&lt;=0),0,ROUND(F1502-E1503,2))</f>
        <v/>
      </c>
    </row>
    <row r="1504">
      <c r="A1504" s="6" t="n">
        <v>1488</v>
      </c>
      <c r="B1504" s="19">
        <f>IF(B8="monthly",DATE(YEAR(B7)+INT((MONTH(B7)-1+1487)/12),MOD(MONTH(B7)-1+1487,12)+1,1)+(DAY(B7)-1),IF(B8="weekly",B7+10409,IF(B8="biweekly",B7+20818,B7+ROUND((1487*365.25)/24,0))))</f>
        <v/>
      </c>
      <c r="C1504" s="21">
        <f>IF((ROUND(F1503-ROUND($B$13-D1504,2),2)&lt;=0),ROUND(D1504+E1504,2),$B$13)</f>
        <v/>
      </c>
      <c r="D1504" s="21">
        <f>ROUND(F1503*B5/100/B10,2)</f>
        <v/>
      </c>
      <c r="E1504" s="21">
        <f>IF((ROUND(F1503-ROUND($B$13-D1504,2),2)&lt;=0),F1503,ROUND($B$13-D1504,2))</f>
        <v/>
      </c>
      <c r="F1504" s="21">
        <f>IF((ROUND(F1503-ROUND($B$13-D1504,2),2)&lt;=0),0,ROUND(F1503-E1504,2))</f>
        <v/>
      </c>
    </row>
    <row r="1505">
      <c r="A1505" s="6" t="n">
        <v>1489</v>
      </c>
      <c r="B1505" s="19">
        <f>IF(B8="monthly",DATE(YEAR(B7)+INT((MONTH(B7)-1+1488)/12),MOD(MONTH(B7)-1+1488,12)+1,1)+(DAY(B7)-1),IF(B8="weekly",B7+10416,IF(B8="biweekly",B7+20832,B7+ROUND((1488*365.25)/24,0))))</f>
        <v/>
      </c>
      <c r="C1505" s="21">
        <f>IF((ROUND(F1504-ROUND($B$13-D1505,2),2)&lt;=0),ROUND(D1505+E1505,2),$B$13)</f>
        <v/>
      </c>
      <c r="D1505" s="21">
        <f>ROUND(F1504*B5/100/B10,2)</f>
        <v/>
      </c>
      <c r="E1505" s="21">
        <f>IF((ROUND(F1504-ROUND($B$13-D1505,2),2)&lt;=0),F1504,ROUND($B$13-D1505,2))</f>
        <v/>
      </c>
      <c r="F1505" s="21">
        <f>IF((ROUND(F1504-ROUND($B$13-D1505,2),2)&lt;=0),0,ROUND(F1504-E1505,2))</f>
        <v/>
      </c>
    </row>
    <row r="1506">
      <c r="A1506" s="6" t="n">
        <v>1490</v>
      </c>
      <c r="B1506" s="19">
        <f>IF(B8="monthly",DATE(YEAR(B7)+INT((MONTH(B7)-1+1489)/12),MOD(MONTH(B7)-1+1489,12)+1,1)+(DAY(B7)-1),IF(B8="weekly",B7+10423,IF(B8="biweekly",B7+20846,B7+ROUND((1489*365.25)/24,0))))</f>
        <v/>
      </c>
      <c r="C1506" s="21">
        <f>IF((ROUND(F1505-ROUND($B$13-D1506,2),2)&lt;=0),ROUND(D1506+E1506,2),$B$13)</f>
        <v/>
      </c>
      <c r="D1506" s="21">
        <f>ROUND(F1505*B5/100/B10,2)</f>
        <v/>
      </c>
      <c r="E1506" s="21">
        <f>IF((ROUND(F1505-ROUND($B$13-D1506,2),2)&lt;=0),F1505,ROUND($B$13-D1506,2))</f>
        <v/>
      </c>
      <c r="F1506" s="21">
        <f>IF((ROUND(F1505-ROUND($B$13-D1506,2),2)&lt;=0),0,ROUND(F1505-E1506,2))</f>
        <v/>
      </c>
    </row>
    <row r="1507">
      <c r="A1507" s="6" t="n">
        <v>1491</v>
      </c>
      <c r="B1507" s="19">
        <f>IF(B8="monthly",DATE(YEAR(B7)+INT((MONTH(B7)-1+1490)/12),MOD(MONTH(B7)-1+1490,12)+1,1)+(DAY(B7)-1),IF(B8="weekly",B7+10430,IF(B8="biweekly",B7+20860,B7+ROUND((1490*365.25)/24,0))))</f>
        <v/>
      </c>
      <c r="C1507" s="21">
        <f>IF((ROUND(F1506-ROUND($B$13-D1507,2),2)&lt;=0),ROUND(D1507+E1507,2),$B$13)</f>
        <v/>
      </c>
      <c r="D1507" s="21">
        <f>ROUND(F1506*B5/100/B10,2)</f>
        <v/>
      </c>
      <c r="E1507" s="21">
        <f>IF((ROUND(F1506-ROUND($B$13-D1507,2),2)&lt;=0),F1506,ROUND($B$13-D1507,2))</f>
        <v/>
      </c>
      <c r="F1507" s="21">
        <f>IF((ROUND(F1506-ROUND($B$13-D1507,2),2)&lt;=0),0,ROUND(F1506-E1507,2))</f>
        <v/>
      </c>
    </row>
    <row r="1508">
      <c r="A1508" s="6" t="n">
        <v>1492</v>
      </c>
      <c r="B1508" s="19">
        <f>IF(B8="monthly",DATE(YEAR(B7)+INT((MONTH(B7)-1+1491)/12),MOD(MONTH(B7)-1+1491,12)+1,1)+(DAY(B7)-1),IF(B8="weekly",B7+10437,IF(B8="biweekly",B7+20874,B7+ROUND((1491*365.25)/24,0))))</f>
        <v/>
      </c>
      <c r="C1508" s="21">
        <f>IF((ROUND(F1507-ROUND($B$13-D1508,2),2)&lt;=0),ROUND(D1508+E1508,2),$B$13)</f>
        <v/>
      </c>
      <c r="D1508" s="21">
        <f>ROUND(F1507*B5/100/B10,2)</f>
        <v/>
      </c>
      <c r="E1508" s="21">
        <f>IF((ROUND(F1507-ROUND($B$13-D1508,2),2)&lt;=0),F1507,ROUND($B$13-D1508,2))</f>
        <v/>
      </c>
      <c r="F1508" s="21">
        <f>IF((ROUND(F1507-ROUND($B$13-D1508,2),2)&lt;=0),0,ROUND(F1507-E1508,2))</f>
        <v/>
      </c>
    </row>
    <row r="1509">
      <c r="A1509" s="6" t="n">
        <v>1493</v>
      </c>
      <c r="B1509" s="19">
        <f>IF(B8="monthly",DATE(YEAR(B7)+INT((MONTH(B7)-1+1492)/12),MOD(MONTH(B7)-1+1492,12)+1,1)+(DAY(B7)-1),IF(B8="weekly",B7+10444,IF(B8="biweekly",B7+20888,B7+ROUND((1492*365.25)/24,0))))</f>
        <v/>
      </c>
      <c r="C1509" s="21">
        <f>IF((ROUND(F1508-ROUND($B$13-D1509,2),2)&lt;=0),ROUND(D1509+E1509,2),$B$13)</f>
        <v/>
      </c>
      <c r="D1509" s="21">
        <f>ROUND(F1508*B5/100/B10,2)</f>
        <v/>
      </c>
      <c r="E1509" s="21">
        <f>IF((ROUND(F1508-ROUND($B$13-D1509,2),2)&lt;=0),F1508,ROUND($B$13-D1509,2))</f>
        <v/>
      </c>
      <c r="F1509" s="21">
        <f>IF((ROUND(F1508-ROUND($B$13-D1509,2),2)&lt;=0),0,ROUND(F1508-E1509,2))</f>
        <v/>
      </c>
    </row>
    <row r="1510">
      <c r="A1510" s="6" t="n">
        <v>1494</v>
      </c>
      <c r="B1510" s="19">
        <f>IF(B8="monthly",DATE(YEAR(B7)+INT((MONTH(B7)-1+1493)/12),MOD(MONTH(B7)-1+1493,12)+1,1)+(DAY(B7)-1),IF(B8="weekly",B7+10451,IF(B8="biweekly",B7+20902,B7+ROUND((1493*365.25)/24,0))))</f>
        <v/>
      </c>
      <c r="C1510" s="21">
        <f>IF((ROUND(F1509-ROUND($B$13-D1510,2),2)&lt;=0),ROUND(D1510+E1510,2),$B$13)</f>
        <v/>
      </c>
      <c r="D1510" s="21">
        <f>ROUND(F1509*B5/100/B10,2)</f>
        <v/>
      </c>
      <c r="E1510" s="21">
        <f>IF((ROUND(F1509-ROUND($B$13-D1510,2),2)&lt;=0),F1509,ROUND($B$13-D1510,2))</f>
        <v/>
      </c>
      <c r="F1510" s="21">
        <f>IF((ROUND(F1509-ROUND($B$13-D1510,2),2)&lt;=0),0,ROUND(F1509-E1510,2))</f>
        <v/>
      </c>
    </row>
    <row r="1511">
      <c r="A1511" s="6" t="n">
        <v>1495</v>
      </c>
      <c r="B1511" s="19">
        <f>IF(B8="monthly",DATE(YEAR(B7)+INT((MONTH(B7)-1+1494)/12),MOD(MONTH(B7)-1+1494,12)+1,1)+(DAY(B7)-1),IF(B8="weekly",B7+10458,IF(B8="biweekly",B7+20916,B7+ROUND((1494*365.25)/24,0))))</f>
        <v/>
      </c>
      <c r="C1511" s="21">
        <f>IF((ROUND(F1510-ROUND($B$13-D1511,2),2)&lt;=0),ROUND(D1511+E1511,2),$B$13)</f>
        <v/>
      </c>
      <c r="D1511" s="21">
        <f>ROUND(F1510*B5/100/B10,2)</f>
        <v/>
      </c>
      <c r="E1511" s="21">
        <f>IF((ROUND(F1510-ROUND($B$13-D1511,2),2)&lt;=0),F1510,ROUND($B$13-D1511,2))</f>
        <v/>
      </c>
      <c r="F1511" s="21">
        <f>IF((ROUND(F1510-ROUND($B$13-D1511,2),2)&lt;=0),0,ROUND(F1510-E1511,2))</f>
        <v/>
      </c>
    </row>
    <row r="1512">
      <c r="A1512" s="6" t="n">
        <v>1496</v>
      </c>
      <c r="B1512" s="19">
        <f>IF(B8="monthly",DATE(YEAR(B7)+INT((MONTH(B7)-1+1495)/12),MOD(MONTH(B7)-1+1495,12)+1,1)+(DAY(B7)-1),IF(B8="weekly",B7+10465,IF(B8="biweekly",B7+20930,B7+ROUND((1495*365.25)/24,0))))</f>
        <v/>
      </c>
      <c r="C1512" s="21">
        <f>IF((ROUND(F1511-ROUND($B$13-D1512,2),2)&lt;=0),ROUND(D1512+E1512,2),$B$13)</f>
        <v/>
      </c>
      <c r="D1512" s="21">
        <f>ROUND(F1511*B5/100/B10,2)</f>
        <v/>
      </c>
      <c r="E1512" s="21">
        <f>IF((ROUND(F1511-ROUND($B$13-D1512,2),2)&lt;=0),F1511,ROUND($B$13-D1512,2))</f>
        <v/>
      </c>
      <c r="F1512" s="21">
        <f>IF((ROUND(F1511-ROUND($B$13-D1512,2),2)&lt;=0),0,ROUND(F1511-E1512,2))</f>
        <v/>
      </c>
    </row>
    <row r="1513">
      <c r="A1513" s="6" t="n">
        <v>1497</v>
      </c>
      <c r="B1513" s="19">
        <f>IF(B8="monthly",DATE(YEAR(B7)+INT((MONTH(B7)-1+1496)/12),MOD(MONTH(B7)-1+1496,12)+1,1)+(DAY(B7)-1),IF(B8="weekly",B7+10472,IF(B8="biweekly",B7+20944,B7+ROUND((1496*365.25)/24,0))))</f>
        <v/>
      </c>
      <c r="C1513" s="21">
        <f>IF((ROUND(F1512-ROUND($B$13-D1513,2),2)&lt;=0),ROUND(D1513+E1513,2),$B$13)</f>
        <v/>
      </c>
      <c r="D1513" s="21">
        <f>ROUND(F1512*B5/100/B10,2)</f>
        <v/>
      </c>
      <c r="E1513" s="21">
        <f>IF((ROUND(F1512-ROUND($B$13-D1513,2),2)&lt;=0),F1512,ROUND($B$13-D1513,2))</f>
        <v/>
      </c>
      <c r="F1513" s="21">
        <f>IF((ROUND(F1512-ROUND($B$13-D1513,2),2)&lt;=0),0,ROUND(F1512-E1513,2))</f>
        <v/>
      </c>
    </row>
    <row r="1514">
      <c r="A1514" s="6" t="n">
        <v>1498</v>
      </c>
      <c r="B1514" s="19">
        <f>IF(B8="monthly",DATE(YEAR(B7)+INT((MONTH(B7)-1+1497)/12),MOD(MONTH(B7)-1+1497,12)+1,1)+(DAY(B7)-1),IF(B8="weekly",B7+10479,IF(B8="biweekly",B7+20958,B7+ROUND((1497*365.25)/24,0))))</f>
        <v/>
      </c>
      <c r="C1514" s="21">
        <f>IF((ROUND(F1513-ROUND($B$13-D1514,2),2)&lt;=0),ROUND(D1514+E1514,2),$B$13)</f>
        <v/>
      </c>
      <c r="D1514" s="21">
        <f>ROUND(F1513*B5/100/B10,2)</f>
        <v/>
      </c>
      <c r="E1514" s="21">
        <f>IF((ROUND(F1513-ROUND($B$13-D1514,2),2)&lt;=0),F1513,ROUND($B$13-D1514,2))</f>
        <v/>
      </c>
      <c r="F1514" s="21">
        <f>IF((ROUND(F1513-ROUND($B$13-D1514,2),2)&lt;=0),0,ROUND(F1513-E1514,2))</f>
        <v/>
      </c>
    </row>
    <row r="1515">
      <c r="A1515" s="6" t="n">
        <v>1499</v>
      </c>
      <c r="B1515" s="19">
        <f>IF(B8="monthly",DATE(YEAR(B7)+INT((MONTH(B7)-1+1498)/12),MOD(MONTH(B7)-1+1498,12)+1,1)+(DAY(B7)-1),IF(B8="weekly",B7+10486,IF(B8="biweekly",B7+20972,B7+ROUND((1498*365.25)/24,0))))</f>
        <v/>
      </c>
      <c r="C1515" s="21">
        <f>IF((ROUND(F1514-ROUND($B$13-D1515,2),2)&lt;=0),ROUND(D1515+E1515,2),$B$13)</f>
        <v/>
      </c>
      <c r="D1515" s="21">
        <f>ROUND(F1514*B5/100/B10,2)</f>
        <v/>
      </c>
      <c r="E1515" s="21">
        <f>IF((ROUND(F1514-ROUND($B$13-D1515,2),2)&lt;=0),F1514,ROUND($B$13-D1515,2))</f>
        <v/>
      </c>
      <c r="F1515" s="21">
        <f>IF((ROUND(F1514-ROUND($B$13-D1515,2),2)&lt;=0),0,ROUND(F1514-E1515,2))</f>
        <v/>
      </c>
    </row>
    <row r="1516">
      <c r="A1516" s="6" t="n">
        <v>1500</v>
      </c>
      <c r="B1516" s="19">
        <f>IF(B8="monthly",DATE(YEAR(B7)+INT((MONTH(B7)-1+1499)/12),MOD(MONTH(B7)-1+1499,12)+1,1)+(DAY(B7)-1),IF(B8="weekly",B7+10493,IF(B8="biweekly",B7+20986,B7+ROUND((1499*365.25)/24,0))))</f>
        <v/>
      </c>
      <c r="C1516" s="21">
        <f>IF((ROUND(F1515-ROUND($B$13-D1516,2),2)&lt;=0),ROUND(D1516+E1516,2),$B$13)</f>
        <v/>
      </c>
      <c r="D1516" s="21">
        <f>ROUND(F1515*B5/100/B10,2)</f>
        <v/>
      </c>
      <c r="E1516" s="21">
        <f>IF((ROUND(F1515-ROUND($B$13-D1516,2),2)&lt;=0),F1515,ROUND($B$13-D1516,2))</f>
        <v/>
      </c>
      <c r="F1516" s="21">
        <f>IF((ROUND(F1515-ROUND($B$13-D1516,2),2)&lt;=0),0,ROUND(F1515-E1516,2))</f>
        <v/>
      </c>
    </row>
    <row r="1517">
      <c r="A1517" s="6" t="n">
        <v>1501</v>
      </c>
      <c r="B1517" s="19">
        <f>IF(B8="monthly",DATE(YEAR(B7)+INT((MONTH(B7)-1+1500)/12),MOD(MONTH(B7)-1+1500,12)+1,1)+(DAY(B7)-1),IF(B8="weekly",B7+10500,IF(B8="biweekly",B7+21000,B7+ROUND((1500*365.25)/24,0))))</f>
        <v/>
      </c>
      <c r="C1517" s="21">
        <f>IF((ROUND(F1516-ROUND($B$13-D1517,2),2)&lt;=0),ROUND(D1517+E1517,2),$B$13)</f>
        <v/>
      </c>
      <c r="D1517" s="21">
        <f>ROUND(F1516*B5/100/B10,2)</f>
        <v/>
      </c>
      <c r="E1517" s="21">
        <f>IF((ROUND(F1516-ROUND($B$13-D1517,2),2)&lt;=0),F1516,ROUND($B$13-D1517,2))</f>
        <v/>
      </c>
      <c r="F1517" s="21">
        <f>IF((ROUND(F1516-ROUND($B$13-D1517,2),2)&lt;=0),0,ROUND(F1516-E1517,2))</f>
        <v/>
      </c>
    </row>
    <row r="1518">
      <c r="A1518" s="6" t="n">
        <v>1502</v>
      </c>
      <c r="B1518" s="19">
        <f>IF(B8="monthly",DATE(YEAR(B7)+INT((MONTH(B7)-1+1501)/12),MOD(MONTH(B7)-1+1501,12)+1,1)+(DAY(B7)-1),IF(B8="weekly",B7+10507,IF(B8="biweekly",B7+21014,B7+ROUND((1501*365.25)/24,0))))</f>
        <v/>
      </c>
      <c r="C1518" s="21">
        <f>IF((ROUND(F1517-ROUND($B$13-D1518,2),2)&lt;=0),ROUND(D1518+E1518,2),$B$13)</f>
        <v/>
      </c>
      <c r="D1518" s="21">
        <f>ROUND(F1517*B5/100/B10,2)</f>
        <v/>
      </c>
      <c r="E1518" s="21">
        <f>IF((ROUND(F1517-ROUND($B$13-D1518,2),2)&lt;=0),F1517,ROUND($B$13-D1518,2))</f>
        <v/>
      </c>
      <c r="F1518" s="21">
        <f>IF((ROUND(F1517-ROUND($B$13-D1518,2),2)&lt;=0),0,ROUND(F1517-E1518,2))</f>
        <v/>
      </c>
    </row>
    <row r="1519">
      <c r="A1519" s="6" t="n">
        <v>1503</v>
      </c>
      <c r="B1519" s="19">
        <f>IF(B8="monthly",DATE(YEAR(B7)+INT((MONTH(B7)-1+1502)/12),MOD(MONTH(B7)-1+1502,12)+1,1)+(DAY(B7)-1),IF(B8="weekly",B7+10514,IF(B8="biweekly",B7+21028,B7+ROUND((1502*365.25)/24,0))))</f>
        <v/>
      </c>
      <c r="C1519" s="21">
        <f>IF((ROUND(F1518-ROUND($B$13-D1519,2),2)&lt;=0),ROUND(D1519+E1519,2),$B$13)</f>
        <v/>
      </c>
      <c r="D1519" s="21">
        <f>ROUND(F1518*B5/100/B10,2)</f>
        <v/>
      </c>
      <c r="E1519" s="21">
        <f>IF((ROUND(F1518-ROUND($B$13-D1519,2),2)&lt;=0),F1518,ROUND($B$13-D1519,2))</f>
        <v/>
      </c>
      <c r="F1519" s="21">
        <f>IF((ROUND(F1518-ROUND($B$13-D1519,2),2)&lt;=0),0,ROUND(F1518-E1519,2))</f>
        <v/>
      </c>
    </row>
    <row r="1520">
      <c r="A1520" s="6" t="n">
        <v>1504</v>
      </c>
      <c r="B1520" s="19">
        <f>IF(B8="monthly",DATE(YEAR(B7)+INT((MONTH(B7)-1+1503)/12),MOD(MONTH(B7)-1+1503,12)+1,1)+(DAY(B7)-1),IF(B8="weekly",B7+10521,IF(B8="biweekly",B7+21042,B7+ROUND((1503*365.25)/24,0))))</f>
        <v/>
      </c>
      <c r="C1520" s="21">
        <f>IF((ROUND(F1519-ROUND($B$13-D1520,2),2)&lt;=0),ROUND(D1520+E1520,2),$B$13)</f>
        <v/>
      </c>
      <c r="D1520" s="21">
        <f>ROUND(F1519*B5/100/B10,2)</f>
        <v/>
      </c>
      <c r="E1520" s="21">
        <f>IF((ROUND(F1519-ROUND($B$13-D1520,2),2)&lt;=0),F1519,ROUND($B$13-D1520,2))</f>
        <v/>
      </c>
      <c r="F1520" s="21">
        <f>IF((ROUND(F1519-ROUND($B$13-D1520,2),2)&lt;=0),0,ROUND(F1519-E1520,2))</f>
        <v/>
      </c>
    </row>
    <row r="1521">
      <c r="A1521" s="6" t="n">
        <v>1505</v>
      </c>
      <c r="B1521" s="19">
        <f>IF(B8="monthly",DATE(YEAR(B7)+INT((MONTH(B7)-1+1504)/12),MOD(MONTH(B7)-1+1504,12)+1,1)+(DAY(B7)-1),IF(B8="weekly",B7+10528,IF(B8="biweekly",B7+21056,B7+ROUND((1504*365.25)/24,0))))</f>
        <v/>
      </c>
      <c r="C1521" s="21">
        <f>IF((ROUND(F1520-ROUND($B$13-D1521,2),2)&lt;=0),ROUND(D1521+E1521,2),$B$13)</f>
        <v/>
      </c>
      <c r="D1521" s="21">
        <f>ROUND(F1520*B5/100/B10,2)</f>
        <v/>
      </c>
      <c r="E1521" s="21">
        <f>IF((ROUND(F1520-ROUND($B$13-D1521,2),2)&lt;=0),F1520,ROUND($B$13-D1521,2))</f>
        <v/>
      </c>
      <c r="F1521" s="21">
        <f>IF((ROUND(F1520-ROUND($B$13-D1521,2),2)&lt;=0),0,ROUND(F1520-E1521,2))</f>
        <v/>
      </c>
    </row>
    <row r="1522">
      <c r="A1522" s="6" t="n">
        <v>1506</v>
      </c>
      <c r="B1522" s="19">
        <f>IF(B8="monthly",DATE(YEAR(B7)+INT((MONTH(B7)-1+1505)/12),MOD(MONTH(B7)-1+1505,12)+1,1)+(DAY(B7)-1),IF(B8="weekly",B7+10535,IF(B8="biweekly",B7+21070,B7+ROUND((1505*365.25)/24,0))))</f>
        <v/>
      </c>
      <c r="C1522" s="21">
        <f>IF((ROUND(F1521-ROUND($B$13-D1522,2),2)&lt;=0),ROUND(D1522+E1522,2),$B$13)</f>
        <v/>
      </c>
      <c r="D1522" s="21">
        <f>ROUND(F1521*B5/100/B10,2)</f>
        <v/>
      </c>
      <c r="E1522" s="21">
        <f>IF((ROUND(F1521-ROUND($B$13-D1522,2),2)&lt;=0),F1521,ROUND($B$13-D1522,2))</f>
        <v/>
      </c>
      <c r="F1522" s="21">
        <f>IF((ROUND(F1521-ROUND($B$13-D1522,2),2)&lt;=0),0,ROUND(F1521-E1522,2))</f>
        <v/>
      </c>
    </row>
    <row r="1523">
      <c r="A1523" s="6" t="n">
        <v>1507</v>
      </c>
      <c r="B1523" s="19">
        <f>IF(B8="monthly",DATE(YEAR(B7)+INT((MONTH(B7)-1+1506)/12),MOD(MONTH(B7)-1+1506,12)+1,1)+(DAY(B7)-1),IF(B8="weekly",B7+10542,IF(B8="biweekly",B7+21084,B7+ROUND((1506*365.25)/24,0))))</f>
        <v/>
      </c>
      <c r="C1523" s="21">
        <f>IF((ROUND(F1522-ROUND($B$13-D1523,2),2)&lt;=0),ROUND(D1523+E1523,2),$B$13)</f>
        <v/>
      </c>
      <c r="D1523" s="21">
        <f>ROUND(F1522*B5/100/B10,2)</f>
        <v/>
      </c>
      <c r="E1523" s="21">
        <f>IF((ROUND(F1522-ROUND($B$13-D1523,2),2)&lt;=0),F1522,ROUND($B$13-D1523,2))</f>
        <v/>
      </c>
      <c r="F1523" s="21">
        <f>IF((ROUND(F1522-ROUND($B$13-D1523,2),2)&lt;=0),0,ROUND(F1522-E1523,2))</f>
        <v/>
      </c>
    </row>
    <row r="1524">
      <c r="A1524" s="6" t="n">
        <v>1508</v>
      </c>
      <c r="B1524" s="19">
        <f>IF(B8="monthly",DATE(YEAR(B7)+INT((MONTH(B7)-1+1507)/12),MOD(MONTH(B7)-1+1507,12)+1,1)+(DAY(B7)-1),IF(B8="weekly",B7+10549,IF(B8="biweekly",B7+21098,B7+ROUND((1507*365.25)/24,0))))</f>
        <v/>
      </c>
      <c r="C1524" s="21">
        <f>IF((ROUND(F1523-ROUND($B$13-D1524,2),2)&lt;=0),ROUND(D1524+E1524,2),$B$13)</f>
        <v/>
      </c>
      <c r="D1524" s="21">
        <f>ROUND(F1523*B5/100/B10,2)</f>
        <v/>
      </c>
      <c r="E1524" s="21">
        <f>IF((ROUND(F1523-ROUND($B$13-D1524,2),2)&lt;=0),F1523,ROUND($B$13-D1524,2))</f>
        <v/>
      </c>
      <c r="F1524" s="21">
        <f>IF((ROUND(F1523-ROUND($B$13-D1524,2),2)&lt;=0),0,ROUND(F1523-E1524,2))</f>
        <v/>
      </c>
    </row>
    <row r="1525">
      <c r="A1525" s="6" t="n">
        <v>1509</v>
      </c>
      <c r="B1525" s="19">
        <f>IF(B8="monthly",DATE(YEAR(B7)+INT((MONTH(B7)-1+1508)/12),MOD(MONTH(B7)-1+1508,12)+1,1)+(DAY(B7)-1),IF(B8="weekly",B7+10556,IF(B8="biweekly",B7+21112,B7+ROUND((1508*365.25)/24,0))))</f>
        <v/>
      </c>
      <c r="C1525" s="21">
        <f>IF((ROUND(F1524-ROUND($B$13-D1525,2),2)&lt;=0),ROUND(D1525+E1525,2),$B$13)</f>
        <v/>
      </c>
      <c r="D1525" s="21">
        <f>ROUND(F1524*B5/100/B10,2)</f>
        <v/>
      </c>
      <c r="E1525" s="21">
        <f>IF((ROUND(F1524-ROUND($B$13-D1525,2),2)&lt;=0),F1524,ROUND($B$13-D1525,2))</f>
        <v/>
      </c>
      <c r="F1525" s="21">
        <f>IF((ROUND(F1524-ROUND($B$13-D1525,2),2)&lt;=0),0,ROUND(F1524-E1525,2))</f>
        <v/>
      </c>
    </row>
    <row r="1526">
      <c r="A1526" s="6" t="n">
        <v>1510</v>
      </c>
      <c r="B1526" s="19">
        <f>IF(B8="monthly",DATE(YEAR(B7)+INT((MONTH(B7)-1+1509)/12),MOD(MONTH(B7)-1+1509,12)+1,1)+(DAY(B7)-1),IF(B8="weekly",B7+10563,IF(B8="biweekly",B7+21126,B7+ROUND((1509*365.25)/24,0))))</f>
        <v/>
      </c>
      <c r="C1526" s="21">
        <f>IF((ROUND(F1525-ROUND($B$13-D1526,2),2)&lt;=0),ROUND(D1526+E1526,2),$B$13)</f>
        <v/>
      </c>
      <c r="D1526" s="21">
        <f>ROUND(F1525*B5/100/B10,2)</f>
        <v/>
      </c>
      <c r="E1526" s="21">
        <f>IF((ROUND(F1525-ROUND($B$13-D1526,2),2)&lt;=0),F1525,ROUND($B$13-D1526,2))</f>
        <v/>
      </c>
      <c r="F1526" s="21">
        <f>IF((ROUND(F1525-ROUND($B$13-D1526,2),2)&lt;=0),0,ROUND(F1525-E1526,2))</f>
        <v/>
      </c>
    </row>
    <row r="1527">
      <c r="A1527" s="6" t="n">
        <v>1511</v>
      </c>
      <c r="B1527" s="19">
        <f>IF(B8="monthly",DATE(YEAR(B7)+INT((MONTH(B7)-1+1510)/12),MOD(MONTH(B7)-1+1510,12)+1,1)+(DAY(B7)-1),IF(B8="weekly",B7+10570,IF(B8="biweekly",B7+21140,B7+ROUND((1510*365.25)/24,0))))</f>
        <v/>
      </c>
      <c r="C1527" s="21">
        <f>IF((ROUND(F1526-ROUND($B$13-D1527,2),2)&lt;=0),ROUND(D1527+E1527,2),$B$13)</f>
        <v/>
      </c>
      <c r="D1527" s="21">
        <f>ROUND(F1526*B5/100/B10,2)</f>
        <v/>
      </c>
      <c r="E1527" s="21">
        <f>IF((ROUND(F1526-ROUND($B$13-D1527,2),2)&lt;=0),F1526,ROUND($B$13-D1527,2))</f>
        <v/>
      </c>
      <c r="F1527" s="21">
        <f>IF((ROUND(F1526-ROUND($B$13-D1527,2),2)&lt;=0),0,ROUND(F1526-E1527,2))</f>
        <v/>
      </c>
    </row>
    <row r="1528">
      <c r="A1528" s="6" t="n">
        <v>1512</v>
      </c>
      <c r="B1528" s="19">
        <f>IF(B8="monthly",DATE(YEAR(B7)+INT((MONTH(B7)-1+1511)/12),MOD(MONTH(B7)-1+1511,12)+1,1)+(DAY(B7)-1),IF(B8="weekly",B7+10577,IF(B8="biweekly",B7+21154,B7+ROUND((1511*365.25)/24,0))))</f>
        <v/>
      </c>
      <c r="C1528" s="21">
        <f>IF((ROUND(F1527-ROUND($B$13-D1528,2),2)&lt;=0),ROUND(D1528+E1528,2),$B$13)</f>
        <v/>
      </c>
      <c r="D1528" s="21">
        <f>ROUND(F1527*B5/100/B10,2)</f>
        <v/>
      </c>
      <c r="E1528" s="21">
        <f>IF((ROUND(F1527-ROUND($B$13-D1528,2),2)&lt;=0),F1527,ROUND($B$13-D1528,2))</f>
        <v/>
      </c>
      <c r="F1528" s="21">
        <f>IF((ROUND(F1527-ROUND($B$13-D1528,2),2)&lt;=0),0,ROUND(F1527-E1528,2))</f>
        <v/>
      </c>
    </row>
    <row r="1529">
      <c r="A1529" s="6" t="n">
        <v>1513</v>
      </c>
      <c r="B1529" s="19">
        <f>IF(B8="monthly",DATE(YEAR(B7)+INT((MONTH(B7)-1+1512)/12),MOD(MONTH(B7)-1+1512,12)+1,1)+(DAY(B7)-1),IF(B8="weekly",B7+10584,IF(B8="biweekly",B7+21168,B7+ROUND((1512*365.25)/24,0))))</f>
        <v/>
      </c>
      <c r="C1529" s="21">
        <f>IF((ROUND(F1528-ROUND($B$13-D1529,2),2)&lt;=0),ROUND(D1529+E1529,2),$B$13)</f>
        <v/>
      </c>
      <c r="D1529" s="21">
        <f>ROUND(F1528*B5/100/B10,2)</f>
        <v/>
      </c>
      <c r="E1529" s="21">
        <f>IF((ROUND(F1528-ROUND($B$13-D1529,2),2)&lt;=0),F1528,ROUND($B$13-D1529,2))</f>
        <v/>
      </c>
      <c r="F1529" s="21">
        <f>IF((ROUND(F1528-ROUND($B$13-D1529,2),2)&lt;=0),0,ROUND(F1528-E1529,2))</f>
        <v/>
      </c>
    </row>
    <row r="1530">
      <c r="A1530" s="6" t="n">
        <v>1514</v>
      </c>
      <c r="B1530" s="19">
        <f>IF(B8="monthly",DATE(YEAR(B7)+INT((MONTH(B7)-1+1513)/12),MOD(MONTH(B7)-1+1513,12)+1,1)+(DAY(B7)-1),IF(B8="weekly",B7+10591,IF(B8="biweekly",B7+21182,B7+ROUND((1513*365.25)/24,0))))</f>
        <v/>
      </c>
      <c r="C1530" s="21">
        <f>IF((ROUND(F1529-ROUND($B$13-D1530,2),2)&lt;=0),ROUND(D1530+E1530,2),$B$13)</f>
        <v/>
      </c>
      <c r="D1530" s="21">
        <f>ROUND(F1529*B5/100/B10,2)</f>
        <v/>
      </c>
      <c r="E1530" s="21">
        <f>IF((ROUND(F1529-ROUND($B$13-D1530,2),2)&lt;=0),F1529,ROUND($B$13-D1530,2))</f>
        <v/>
      </c>
      <c r="F1530" s="21">
        <f>IF((ROUND(F1529-ROUND($B$13-D1530,2),2)&lt;=0),0,ROUND(F1529-E1530,2))</f>
        <v/>
      </c>
    </row>
    <row r="1531">
      <c r="A1531" s="6" t="n">
        <v>1515</v>
      </c>
      <c r="B1531" s="19">
        <f>IF(B8="monthly",DATE(YEAR(B7)+INT((MONTH(B7)-1+1514)/12),MOD(MONTH(B7)-1+1514,12)+1,1)+(DAY(B7)-1),IF(B8="weekly",B7+10598,IF(B8="biweekly",B7+21196,B7+ROUND((1514*365.25)/24,0))))</f>
        <v/>
      </c>
      <c r="C1531" s="21">
        <f>IF((ROUND(F1530-ROUND($B$13-D1531,2),2)&lt;=0),ROUND(D1531+E1531,2),$B$13)</f>
        <v/>
      </c>
      <c r="D1531" s="21">
        <f>ROUND(F1530*B5/100/B10,2)</f>
        <v/>
      </c>
      <c r="E1531" s="21">
        <f>IF((ROUND(F1530-ROUND($B$13-D1531,2),2)&lt;=0),F1530,ROUND($B$13-D1531,2))</f>
        <v/>
      </c>
      <c r="F1531" s="21">
        <f>IF((ROUND(F1530-ROUND($B$13-D1531,2),2)&lt;=0),0,ROUND(F1530-E1531,2))</f>
        <v/>
      </c>
    </row>
    <row r="1532">
      <c r="A1532" s="6" t="n">
        <v>1516</v>
      </c>
      <c r="B1532" s="19">
        <f>IF(B8="monthly",DATE(YEAR(B7)+INT((MONTH(B7)-1+1515)/12),MOD(MONTH(B7)-1+1515,12)+1,1)+(DAY(B7)-1),IF(B8="weekly",B7+10605,IF(B8="biweekly",B7+21210,B7+ROUND((1515*365.25)/24,0))))</f>
        <v/>
      </c>
      <c r="C1532" s="21">
        <f>IF((ROUND(F1531-ROUND($B$13-D1532,2),2)&lt;=0),ROUND(D1532+E1532,2),$B$13)</f>
        <v/>
      </c>
      <c r="D1532" s="21">
        <f>ROUND(F1531*B5/100/B10,2)</f>
        <v/>
      </c>
      <c r="E1532" s="21">
        <f>IF((ROUND(F1531-ROUND($B$13-D1532,2),2)&lt;=0),F1531,ROUND($B$13-D1532,2))</f>
        <v/>
      </c>
      <c r="F1532" s="21">
        <f>IF((ROUND(F1531-ROUND($B$13-D1532,2),2)&lt;=0),0,ROUND(F1531-E1532,2))</f>
        <v/>
      </c>
    </row>
    <row r="1533">
      <c r="A1533" s="6" t="n">
        <v>1517</v>
      </c>
      <c r="B1533" s="19">
        <f>IF(B8="monthly",DATE(YEAR(B7)+INT((MONTH(B7)-1+1516)/12),MOD(MONTH(B7)-1+1516,12)+1,1)+(DAY(B7)-1),IF(B8="weekly",B7+10612,IF(B8="biweekly",B7+21224,B7+ROUND((1516*365.25)/24,0))))</f>
        <v/>
      </c>
      <c r="C1533" s="21">
        <f>IF((ROUND(F1532-ROUND($B$13-D1533,2),2)&lt;=0),ROUND(D1533+E1533,2),$B$13)</f>
        <v/>
      </c>
      <c r="D1533" s="21">
        <f>ROUND(F1532*B5/100/B10,2)</f>
        <v/>
      </c>
      <c r="E1533" s="21">
        <f>IF((ROUND(F1532-ROUND($B$13-D1533,2),2)&lt;=0),F1532,ROUND($B$13-D1533,2))</f>
        <v/>
      </c>
      <c r="F1533" s="21">
        <f>IF((ROUND(F1532-ROUND($B$13-D1533,2),2)&lt;=0),0,ROUND(F1532-E1533,2))</f>
        <v/>
      </c>
    </row>
    <row r="1534">
      <c r="A1534" s="6" t="n">
        <v>1518</v>
      </c>
      <c r="B1534" s="19">
        <f>IF(B8="monthly",DATE(YEAR(B7)+INT((MONTH(B7)-1+1517)/12),MOD(MONTH(B7)-1+1517,12)+1,1)+(DAY(B7)-1),IF(B8="weekly",B7+10619,IF(B8="biweekly",B7+21238,B7+ROUND((1517*365.25)/24,0))))</f>
        <v/>
      </c>
      <c r="C1534" s="21">
        <f>IF((ROUND(F1533-ROUND($B$13-D1534,2),2)&lt;=0),ROUND(D1534+E1534,2),$B$13)</f>
        <v/>
      </c>
      <c r="D1534" s="21">
        <f>ROUND(F1533*B5/100/B10,2)</f>
        <v/>
      </c>
      <c r="E1534" s="21">
        <f>IF((ROUND(F1533-ROUND($B$13-D1534,2),2)&lt;=0),F1533,ROUND($B$13-D1534,2))</f>
        <v/>
      </c>
      <c r="F1534" s="21">
        <f>IF((ROUND(F1533-ROUND($B$13-D1534,2),2)&lt;=0),0,ROUND(F1533-E1534,2))</f>
        <v/>
      </c>
    </row>
    <row r="1535">
      <c r="A1535" s="6" t="n">
        <v>1519</v>
      </c>
      <c r="B1535" s="19">
        <f>IF(B8="monthly",DATE(YEAR(B7)+INT((MONTH(B7)-1+1518)/12),MOD(MONTH(B7)-1+1518,12)+1,1)+(DAY(B7)-1),IF(B8="weekly",B7+10626,IF(B8="biweekly",B7+21252,B7+ROUND((1518*365.25)/24,0))))</f>
        <v/>
      </c>
      <c r="C1535" s="21">
        <f>IF((ROUND(F1534-ROUND($B$13-D1535,2),2)&lt;=0),ROUND(D1535+E1535,2),$B$13)</f>
        <v/>
      </c>
      <c r="D1535" s="21">
        <f>ROUND(F1534*B5/100/B10,2)</f>
        <v/>
      </c>
      <c r="E1535" s="21">
        <f>IF((ROUND(F1534-ROUND($B$13-D1535,2),2)&lt;=0),F1534,ROUND($B$13-D1535,2))</f>
        <v/>
      </c>
      <c r="F1535" s="21">
        <f>IF((ROUND(F1534-ROUND($B$13-D1535,2),2)&lt;=0),0,ROUND(F1534-E1535,2))</f>
        <v/>
      </c>
    </row>
    <row r="1536">
      <c r="A1536" s="6" t="n">
        <v>1520</v>
      </c>
      <c r="B1536" s="19">
        <f>IF(B8="monthly",DATE(YEAR(B7)+INT((MONTH(B7)-1+1519)/12),MOD(MONTH(B7)-1+1519,12)+1,1)+(DAY(B7)-1),IF(B8="weekly",B7+10633,IF(B8="biweekly",B7+21266,B7+ROUND((1519*365.25)/24,0))))</f>
        <v/>
      </c>
      <c r="C1536" s="21">
        <f>IF((ROUND(F1535-ROUND($B$13-D1536,2),2)&lt;=0),ROUND(D1536+E1536,2),$B$13)</f>
        <v/>
      </c>
      <c r="D1536" s="21">
        <f>ROUND(F1535*B5/100/B10,2)</f>
        <v/>
      </c>
      <c r="E1536" s="21">
        <f>IF((ROUND(F1535-ROUND($B$13-D1536,2),2)&lt;=0),F1535,ROUND($B$13-D1536,2))</f>
        <v/>
      </c>
      <c r="F1536" s="21">
        <f>IF((ROUND(F1535-ROUND($B$13-D1536,2),2)&lt;=0),0,ROUND(F1535-E1536,2))</f>
        <v/>
      </c>
    </row>
    <row r="1537">
      <c r="A1537" s="6" t="n">
        <v>1521</v>
      </c>
      <c r="B1537" s="19">
        <f>IF(B8="monthly",DATE(YEAR(B7)+INT((MONTH(B7)-1+1520)/12),MOD(MONTH(B7)-1+1520,12)+1,1)+(DAY(B7)-1),IF(B8="weekly",B7+10640,IF(B8="biweekly",B7+21280,B7+ROUND((1520*365.25)/24,0))))</f>
        <v/>
      </c>
      <c r="C1537" s="21">
        <f>IF((ROUND(F1536-ROUND($B$13-D1537,2),2)&lt;=0),ROUND(D1537+E1537,2),$B$13)</f>
        <v/>
      </c>
      <c r="D1537" s="21">
        <f>ROUND(F1536*B5/100/B10,2)</f>
        <v/>
      </c>
      <c r="E1537" s="21">
        <f>IF((ROUND(F1536-ROUND($B$13-D1537,2),2)&lt;=0),F1536,ROUND($B$13-D1537,2))</f>
        <v/>
      </c>
      <c r="F1537" s="21">
        <f>IF((ROUND(F1536-ROUND($B$13-D1537,2),2)&lt;=0),0,ROUND(F1536-E1537,2))</f>
        <v/>
      </c>
    </row>
    <row r="1538">
      <c r="A1538" s="6" t="n">
        <v>1522</v>
      </c>
      <c r="B1538" s="19">
        <f>IF(B8="monthly",DATE(YEAR(B7)+INT((MONTH(B7)-1+1521)/12),MOD(MONTH(B7)-1+1521,12)+1,1)+(DAY(B7)-1),IF(B8="weekly",B7+10647,IF(B8="biweekly",B7+21294,B7+ROUND((1521*365.25)/24,0))))</f>
        <v/>
      </c>
      <c r="C1538" s="21">
        <f>IF((ROUND(F1537-ROUND($B$13-D1538,2),2)&lt;=0),ROUND(D1538+E1538,2),$B$13)</f>
        <v/>
      </c>
      <c r="D1538" s="21">
        <f>ROUND(F1537*B5/100/B10,2)</f>
        <v/>
      </c>
      <c r="E1538" s="21">
        <f>IF((ROUND(F1537-ROUND($B$13-D1538,2),2)&lt;=0),F1537,ROUND($B$13-D1538,2))</f>
        <v/>
      </c>
      <c r="F1538" s="21">
        <f>IF((ROUND(F1537-ROUND($B$13-D1538,2),2)&lt;=0),0,ROUND(F1537-E1538,2))</f>
        <v/>
      </c>
    </row>
    <row r="1539">
      <c r="A1539" s="6" t="n">
        <v>1523</v>
      </c>
      <c r="B1539" s="19">
        <f>IF(B8="monthly",DATE(YEAR(B7)+INT((MONTH(B7)-1+1522)/12),MOD(MONTH(B7)-1+1522,12)+1,1)+(DAY(B7)-1),IF(B8="weekly",B7+10654,IF(B8="biweekly",B7+21308,B7+ROUND((1522*365.25)/24,0))))</f>
        <v/>
      </c>
      <c r="C1539" s="21">
        <f>IF((ROUND(F1538-ROUND($B$13-D1539,2),2)&lt;=0),ROUND(D1539+E1539,2),$B$13)</f>
        <v/>
      </c>
      <c r="D1539" s="21">
        <f>ROUND(F1538*B5/100/B10,2)</f>
        <v/>
      </c>
      <c r="E1539" s="21">
        <f>IF((ROUND(F1538-ROUND($B$13-D1539,2),2)&lt;=0),F1538,ROUND($B$13-D1539,2))</f>
        <v/>
      </c>
      <c r="F1539" s="21">
        <f>IF((ROUND(F1538-ROUND($B$13-D1539,2),2)&lt;=0),0,ROUND(F1538-E1539,2))</f>
        <v/>
      </c>
    </row>
    <row r="1540">
      <c r="A1540" s="6" t="n">
        <v>1524</v>
      </c>
      <c r="B1540" s="19">
        <f>IF(B8="monthly",DATE(YEAR(B7)+INT((MONTH(B7)-1+1523)/12),MOD(MONTH(B7)-1+1523,12)+1,1)+(DAY(B7)-1),IF(B8="weekly",B7+10661,IF(B8="biweekly",B7+21322,B7+ROUND((1523*365.25)/24,0))))</f>
        <v/>
      </c>
      <c r="C1540" s="21">
        <f>IF((ROUND(F1539-ROUND($B$13-D1540,2),2)&lt;=0),ROUND(D1540+E1540,2),$B$13)</f>
        <v/>
      </c>
      <c r="D1540" s="21">
        <f>ROUND(F1539*B5/100/B10,2)</f>
        <v/>
      </c>
      <c r="E1540" s="21">
        <f>IF((ROUND(F1539-ROUND($B$13-D1540,2),2)&lt;=0),F1539,ROUND($B$13-D1540,2))</f>
        <v/>
      </c>
      <c r="F1540" s="21">
        <f>IF((ROUND(F1539-ROUND($B$13-D1540,2),2)&lt;=0),0,ROUND(F1539-E1540,2))</f>
        <v/>
      </c>
    </row>
    <row r="1541">
      <c r="A1541" s="6" t="n">
        <v>1525</v>
      </c>
      <c r="B1541" s="19">
        <f>IF(B8="monthly",DATE(YEAR(B7)+INT((MONTH(B7)-1+1524)/12),MOD(MONTH(B7)-1+1524,12)+1,1)+(DAY(B7)-1),IF(B8="weekly",B7+10668,IF(B8="biweekly",B7+21336,B7+ROUND((1524*365.25)/24,0))))</f>
        <v/>
      </c>
      <c r="C1541" s="21">
        <f>IF((ROUND(F1540-ROUND($B$13-D1541,2),2)&lt;=0),ROUND(D1541+E1541,2),$B$13)</f>
        <v/>
      </c>
      <c r="D1541" s="21">
        <f>ROUND(F1540*B5/100/B10,2)</f>
        <v/>
      </c>
      <c r="E1541" s="21">
        <f>IF((ROUND(F1540-ROUND($B$13-D1541,2),2)&lt;=0),F1540,ROUND($B$13-D1541,2))</f>
        <v/>
      </c>
      <c r="F1541" s="21">
        <f>IF((ROUND(F1540-ROUND($B$13-D1541,2),2)&lt;=0),0,ROUND(F1540-E1541,2))</f>
        <v/>
      </c>
    </row>
    <row r="1542">
      <c r="A1542" s="6" t="n">
        <v>1526</v>
      </c>
      <c r="B1542" s="19">
        <f>IF(B8="monthly",DATE(YEAR(B7)+INT((MONTH(B7)-1+1525)/12),MOD(MONTH(B7)-1+1525,12)+1,1)+(DAY(B7)-1),IF(B8="weekly",B7+10675,IF(B8="biweekly",B7+21350,B7+ROUND((1525*365.25)/24,0))))</f>
        <v/>
      </c>
      <c r="C1542" s="21">
        <f>IF((ROUND(F1541-ROUND($B$13-D1542,2),2)&lt;=0),ROUND(D1542+E1542,2),$B$13)</f>
        <v/>
      </c>
      <c r="D1542" s="21">
        <f>ROUND(F1541*B5/100/B10,2)</f>
        <v/>
      </c>
      <c r="E1542" s="21">
        <f>IF((ROUND(F1541-ROUND($B$13-D1542,2),2)&lt;=0),F1541,ROUND($B$13-D1542,2))</f>
        <v/>
      </c>
      <c r="F1542" s="21">
        <f>IF((ROUND(F1541-ROUND($B$13-D1542,2),2)&lt;=0),0,ROUND(F1541-E1542,2))</f>
        <v/>
      </c>
    </row>
    <row r="1543">
      <c r="A1543" s="6" t="n">
        <v>1527</v>
      </c>
      <c r="B1543" s="19">
        <f>IF(B8="monthly",DATE(YEAR(B7)+INT((MONTH(B7)-1+1526)/12),MOD(MONTH(B7)-1+1526,12)+1,1)+(DAY(B7)-1),IF(B8="weekly",B7+10682,IF(B8="biweekly",B7+21364,B7+ROUND((1526*365.25)/24,0))))</f>
        <v/>
      </c>
      <c r="C1543" s="21">
        <f>IF((ROUND(F1542-ROUND($B$13-D1543,2),2)&lt;=0),ROUND(D1543+E1543,2),$B$13)</f>
        <v/>
      </c>
      <c r="D1543" s="21">
        <f>ROUND(F1542*B5/100/B10,2)</f>
        <v/>
      </c>
      <c r="E1543" s="21">
        <f>IF((ROUND(F1542-ROUND($B$13-D1543,2),2)&lt;=0),F1542,ROUND($B$13-D1543,2))</f>
        <v/>
      </c>
      <c r="F1543" s="21">
        <f>IF((ROUND(F1542-ROUND($B$13-D1543,2),2)&lt;=0),0,ROUND(F1542-E1543,2))</f>
        <v/>
      </c>
    </row>
    <row r="1544">
      <c r="A1544" s="6" t="n">
        <v>1528</v>
      </c>
      <c r="B1544" s="19">
        <f>IF(B8="monthly",DATE(YEAR(B7)+INT((MONTH(B7)-1+1527)/12),MOD(MONTH(B7)-1+1527,12)+1,1)+(DAY(B7)-1),IF(B8="weekly",B7+10689,IF(B8="biweekly",B7+21378,B7+ROUND((1527*365.25)/24,0))))</f>
        <v/>
      </c>
      <c r="C1544" s="21">
        <f>IF((ROUND(F1543-ROUND($B$13-D1544,2),2)&lt;=0),ROUND(D1544+E1544,2),$B$13)</f>
        <v/>
      </c>
      <c r="D1544" s="21">
        <f>ROUND(F1543*B5/100/B10,2)</f>
        <v/>
      </c>
      <c r="E1544" s="21">
        <f>IF((ROUND(F1543-ROUND($B$13-D1544,2),2)&lt;=0),F1543,ROUND($B$13-D1544,2))</f>
        <v/>
      </c>
      <c r="F1544" s="21">
        <f>IF((ROUND(F1543-ROUND($B$13-D1544,2),2)&lt;=0),0,ROUND(F1543-E1544,2))</f>
        <v/>
      </c>
    </row>
    <row r="1545">
      <c r="A1545" s="6" t="n">
        <v>1529</v>
      </c>
      <c r="B1545" s="19">
        <f>IF(B8="monthly",DATE(YEAR(B7)+INT((MONTH(B7)-1+1528)/12),MOD(MONTH(B7)-1+1528,12)+1,1)+(DAY(B7)-1),IF(B8="weekly",B7+10696,IF(B8="biweekly",B7+21392,B7+ROUND((1528*365.25)/24,0))))</f>
        <v/>
      </c>
      <c r="C1545" s="21">
        <f>IF((ROUND(F1544-ROUND($B$13-D1545,2),2)&lt;=0),ROUND(D1545+E1545,2),$B$13)</f>
        <v/>
      </c>
      <c r="D1545" s="21">
        <f>ROUND(F1544*B5/100/B10,2)</f>
        <v/>
      </c>
      <c r="E1545" s="21">
        <f>IF((ROUND(F1544-ROUND($B$13-D1545,2),2)&lt;=0),F1544,ROUND($B$13-D1545,2))</f>
        <v/>
      </c>
      <c r="F1545" s="21">
        <f>IF((ROUND(F1544-ROUND($B$13-D1545,2),2)&lt;=0),0,ROUND(F1544-E1545,2))</f>
        <v/>
      </c>
    </row>
    <row r="1546">
      <c r="A1546" s="6" t="n">
        <v>1530</v>
      </c>
      <c r="B1546" s="19">
        <f>IF(B8="monthly",DATE(YEAR(B7)+INT((MONTH(B7)-1+1529)/12),MOD(MONTH(B7)-1+1529,12)+1,1)+(DAY(B7)-1),IF(B8="weekly",B7+10703,IF(B8="biweekly",B7+21406,B7+ROUND((1529*365.25)/24,0))))</f>
        <v/>
      </c>
      <c r="C1546" s="21">
        <f>IF((ROUND(F1545-ROUND($B$13-D1546,2),2)&lt;=0),ROUND(D1546+E1546,2),$B$13)</f>
        <v/>
      </c>
      <c r="D1546" s="21">
        <f>ROUND(F1545*B5/100/B10,2)</f>
        <v/>
      </c>
      <c r="E1546" s="21">
        <f>IF((ROUND(F1545-ROUND($B$13-D1546,2),2)&lt;=0),F1545,ROUND($B$13-D1546,2))</f>
        <v/>
      </c>
      <c r="F1546" s="21">
        <f>IF((ROUND(F1545-ROUND($B$13-D1546,2),2)&lt;=0),0,ROUND(F1545-E1546,2))</f>
        <v/>
      </c>
    </row>
    <row r="1547">
      <c r="A1547" s="6" t="n">
        <v>1531</v>
      </c>
      <c r="B1547" s="19">
        <f>IF(B8="monthly",DATE(YEAR(B7)+INT((MONTH(B7)-1+1530)/12),MOD(MONTH(B7)-1+1530,12)+1,1)+(DAY(B7)-1),IF(B8="weekly",B7+10710,IF(B8="biweekly",B7+21420,B7+ROUND((1530*365.25)/24,0))))</f>
        <v/>
      </c>
      <c r="C1547" s="21">
        <f>IF((ROUND(F1546-ROUND($B$13-D1547,2),2)&lt;=0),ROUND(D1547+E1547,2),$B$13)</f>
        <v/>
      </c>
      <c r="D1547" s="21">
        <f>ROUND(F1546*B5/100/B10,2)</f>
        <v/>
      </c>
      <c r="E1547" s="21">
        <f>IF((ROUND(F1546-ROUND($B$13-D1547,2),2)&lt;=0),F1546,ROUND($B$13-D1547,2))</f>
        <v/>
      </c>
      <c r="F1547" s="21">
        <f>IF((ROUND(F1546-ROUND($B$13-D1547,2),2)&lt;=0),0,ROUND(F1546-E1547,2))</f>
        <v/>
      </c>
    </row>
    <row r="1548">
      <c r="A1548" s="6" t="n">
        <v>1532</v>
      </c>
      <c r="B1548" s="19">
        <f>IF(B8="monthly",DATE(YEAR(B7)+INT((MONTH(B7)-1+1531)/12),MOD(MONTH(B7)-1+1531,12)+1,1)+(DAY(B7)-1),IF(B8="weekly",B7+10717,IF(B8="biweekly",B7+21434,B7+ROUND((1531*365.25)/24,0))))</f>
        <v/>
      </c>
      <c r="C1548" s="21">
        <f>IF((ROUND(F1547-ROUND($B$13-D1548,2),2)&lt;=0),ROUND(D1548+E1548,2),$B$13)</f>
        <v/>
      </c>
      <c r="D1548" s="21">
        <f>ROUND(F1547*B5/100/B10,2)</f>
        <v/>
      </c>
      <c r="E1548" s="21">
        <f>IF((ROUND(F1547-ROUND($B$13-D1548,2),2)&lt;=0),F1547,ROUND($B$13-D1548,2))</f>
        <v/>
      </c>
      <c r="F1548" s="21">
        <f>IF((ROUND(F1547-ROUND($B$13-D1548,2),2)&lt;=0),0,ROUND(F1547-E1548,2))</f>
        <v/>
      </c>
    </row>
    <row r="1549">
      <c r="A1549" s="6" t="n">
        <v>1533</v>
      </c>
      <c r="B1549" s="19">
        <f>IF(B8="monthly",DATE(YEAR(B7)+INT((MONTH(B7)-1+1532)/12),MOD(MONTH(B7)-1+1532,12)+1,1)+(DAY(B7)-1),IF(B8="weekly",B7+10724,IF(B8="biweekly",B7+21448,B7+ROUND((1532*365.25)/24,0))))</f>
        <v/>
      </c>
      <c r="C1549" s="21">
        <f>IF((ROUND(F1548-ROUND($B$13-D1549,2),2)&lt;=0),ROUND(D1549+E1549,2),$B$13)</f>
        <v/>
      </c>
      <c r="D1549" s="21">
        <f>ROUND(F1548*B5/100/B10,2)</f>
        <v/>
      </c>
      <c r="E1549" s="21">
        <f>IF((ROUND(F1548-ROUND($B$13-D1549,2),2)&lt;=0),F1548,ROUND($B$13-D1549,2))</f>
        <v/>
      </c>
      <c r="F1549" s="21">
        <f>IF((ROUND(F1548-ROUND($B$13-D1549,2),2)&lt;=0),0,ROUND(F1548-E1549,2))</f>
        <v/>
      </c>
    </row>
    <row r="1550">
      <c r="A1550" s="6" t="n">
        <v>1534</v>
      </c>
      <c r="B1550" s="19">
        <f>IF(B8="monthly",DATE(YEAR(B7)+INT((MONTH(B7)-1+1533)/12),MOD(MONTH(B7)-1+1533,12)+1,1)+(DAY(B7)-1),IF(B8="weekly",B7+10731,IF(B8="biweekly",B7+21462,B7+ROUND((1533*365.25)/24,0))))</f>
        <v/>
      </c>
      <c r="C1550" s="21">
        <f>IF((ROUND(F1549-ROUND($B$13-D1550,2),2)&lt;=0),ROUND(D1550+E1550,2),$B$13)</f>
        <v/>
      </c>
      <c r="D1550" s="21">
        <f>ROUND(F1549*B5/100/B10,2)</f>
        <v/>
      </c>
      <c r="E1550" s="21">
        <f>IF((ROUND(F1549-ROUND($B$13-D1550,2),2)&lt;=0),F1549,ROUND($B$13-D1550,2))</f>
        <v/>
      </c>
      <c r="F1550" s="21">
        <f>IF((ROUND(F1549-ROUND($B$13-D1550,2),2)&lt;=0),0,ROUND(F1549-E1550,2))</f>
        <v/>
      </c>
    </row>
    <row r="1551">
      <c r="A1551" s="6" t="n">
        <v>1535</v>
      </c>
      <c r="B1551" s="19">
        <f>IF(B8="monthly",DATE(YEAR(B7)+INT((MONTH(B7)-1+1534)/12),MOD(MONTH(B7)-1+1534,12)+1,1)+(DAY(B7)-1),IF(B8="weekly",B7+10738,IF(B8="biweekly",B7+21476,B7+ROUND((1534*365.25)/24,0))))</f>
        <v/>
      </c>
      <c r="C1551" s="21">
        <f>IF((ROUND(F1550-ROUND($B$13-D1551,2),2)&lt;=0),ROUND(D1551+E1551,2),$B$13)</f>
        <v/>
      </c>
      <c r="D1551" s="21">
        <f>ROUND(F1550*B5/100/B10,2)</f>
        <v/>
      </c>
      <c r="E1551" s="21">
        <f>IF((ROUND(F1550-ROUND($B$13-D1551,2),2)&lt;=0),F1550,ROUND($B$13-D1551,2))</f>
        <v/>
      </c>
      <c r="F1551" s="21">
        <f>IF((ROUND(F1550-ROUND($B$13-D1551,2),2)&lt;=0),0,ROUND(F1550-E1551,2))</f>
        <v/>
      </c>
    </row>
    <row r="1552">
      <c r="A1552" s="6" t="n">
        <v>1536</v>
      </c>
      <c r="B1552" s="19">
        <f>IF(B8="monthly",DATE(YEAR(B7)+INT((MONTH(B7)-1+1535)/12),MOD(MONTH(B7)-1+1535,12)+1,1)+(DAY(B7)-1),IF(B8="weekly",B7+10745,IF(B8="biweekly",B7+21490,B7+ROUND((1535*365.25)/24,0))))</f>
        <v/>
      </c>
      <c r="C1552" s="21">
        <f>IF((ROUND(F1551-ROUND($B$13-D1552,2),2)&lt;=0),ROUND(D1552+E1552,2),$B$13)</f>
        <v/>
      </c>
      <c r="D1552" s="21">
        <f>ROUND(F1551*B5/100/B10,2)</f>
        <v/>
      </c>
      <c r="E1552" s="21">
        <f>IF((ROUND(F1551-ROUND($B$13-D1552,2),2)&lt;=0),F1551,ROUND($B$13-D1552,2))</f>
        <v/>
      </c>
      <c r="F1552" s="21">
        <f>IF((ROUND(F1551-ROUND($B$13-D1552,2),2)&lt;=0),0,ROUND(F1551-E1552,2))</f>
        <v/>
      </c>
    </row>
    <row r="1553">
      <c r="A1553" s="6" t="n">
        <v>1537</v>
      </c>
      <c r="B1553" s="19">
        <f>IF(B8="monthly",DATE(YEAR(B7)+INT((MONTH(B7)-1+1536)/12),MOD(MONTH(B7)-1+1536,12)+1,1)+(DAY(B7)-1),IF(B8="weekly",B7+10752,IF(B8="biweekly",B7+21504,B7+ROUND((1536*365.25)/24,0))))</f>
        <v/>
      </c>
      <c r="C1553" s="21">
        <f>IF((ROUND(F1552-ROUND($B$13-D1553,2),2)&lt;=0),ROUND(D1553+E1553,2),$B$13)</f>
        <v/>
      </c>
      <c r="D1553" s="21">
        <f>ROUND(F1552*B5/100/B10,2)</f>
        <v/>
      </c>
      <c r="E1553" s="21">
        <f>IF((ROUND(F1552-ROUND($B$13-D1553,2),2)&lt;=0),F1552,ROUND($B$13-D1553,2))</f>
        <v/>
      </c>
      <c r="F1553" s="21">
        <f>IF((ROUND(F1552-ROUND($B$13-D1553,2),2)&lt;=0),0,ROUND(F1552-E1553,2))</f>
        <v/>
      </c>
    </row>
    <row r="1554">
      <c r="A1554" s="6" t="n">
        <v>1538</v>
      </c>
      <c r="B1554" s="19">
        <f>IF(B8="monthly",DATE(YEAR(B7)+INT((MONTH(B7)-1+1537)/12),MOD(MONTH(B7)-1+1537,12)+1,1)+(DAY(B7)-1),IF(B8="weekly",B7+10759,IF(B8="biweekly",B7+21518,B7+ROUND((1537*365.25)/24,0))))</f>
        <v/>
      </c>
      <c r="C1554" s="21">
        <f>IF((ROUND(F1553-ROUND($B$13-D1554,2),2)&lt;=0),ROUND(D1554+E1554,2),$B$13)</f>
        <v/>
      </c>
      <c r="D1554" s="21">
        <f>ROUND(F1553*B5/100/B10,2)</f>
        <v/>
      </c>
      <c r="E1554" s="21">
        <f>IF((ROUND(F1553-ROUND($B$13-D1554,2),2)&lt;=0),F1553,ROUND($B$13-D1554,2))</f>
        <v/>
      </c>
      <c r="F1554" s="21">
        <f>IF((ROUND(F1553-ROUND($B$13-D1554,2),2)&lt;=0),0,ROUND(F1553-E1554,2))</f>
        <v/>
      </c>
    </row>
    <row r="1555">
      <c r="A1555" s="6" t="n">
        <v>1539</v>
      </c>
      <c r="B1555" s="19">
        <f>IF(B8="monthly",DATE(YEAR(B7)+INT((MONTH(B7)-1+1538)/12),MOD(MONTH(B7)-1+1538,12)+1,1)+(DAY(B7)-1),IF(B8="weekly",B7+10766,IF(B8="biweekly",B7+21532,B7+ROUND((1538*365.25)/24,0))))</f>
        <v/>
      </c>
      <c r="C1555" s="21">
        <f>IF((ROUND(F1554-ROUND($B$13-D1555,2),2)&lt;=0),ROUND(D1555+E1555,2),$B$13)</f>
        <v/>
      </c>
      <c r="D1555" s="21">
        <f>ROUND(F1554*B5/100/B10,2)</f>
        <v/>
      </c>
      <c r="E1555" s="21">
        <f>IF((ROUND(F1554-ROUND($B$13-D1555,2),2)&lt;=0),F1554,ROUND($B$13-D1555,2))</f>
        <v/>
      </c>
      <c r="F1555" s="21">
        <f>IF((ROUND(F1554-ROUND($B$13-D1555,2),2)&lt;=0),0,ROUND(F1554-E1555,2))</f>
        <v/>
      </c>
    </row>
    <row r="1556">
      <c r="A1556" s="6" t="n">
        <v>1540</v>
      </c>
      <c r="B1556" s="19">
        <f>IF(B8="monthly",DATE(YEAR(B7)+INT((MONTH(B7)-1+1539)/12),MOD(MONTH(B7)-1+1539,12)+1,1)+(DAY(B7)-1),IF(B8="weekly",B7+10773,IF(B8="biweekly",B7+21546,B7+ROUND((1539*365.25)/24,0))))</f>
        <v/>
      </c>
      <c r="C1556" s="21">
        <f>IF((ROUND(F1555-ROUND($B$13-D1556,2),2)&lt;=0),ROUND(D1556+E1556,2),$B$13)</f>
        <v/>
      </c>
      <c r="D1556" s="21">
        <f>ROUND(F1555*B5/100/B10,2)</f>
        <v/>
      </c>
      <c r="E1556" s="21">
        <f>IF((ROUND(F1555-ROUND($B$13-D1556,2),2)&lt;=0),F1555,ROUND($B$13-D1556,2))</f>
        <v/>
      </c>
      <c r="F1556" s="21">
        <f>IF((ROUND(F1555-ROUND($B$13-D1556,2),2)&lt;=0),0,ROUND(F1555-E1556,2))</f>
        <v/>
      </c>
    </row>
    <row r="1557">
      <c r="A1557" s="6" t="n">
        <v>1541</v>
      </c>
      <c r="B1557" s="19">
        <f>IF(B8="monthly",DATE(YEAR(B7)+INT((MONTH(B7)-1+1540)/12),MOD(MONTH(B7)-1+1540,12)+1,1)+(DAY(B7)-1),IF(B8="weekly",B7+10780,IF(B8="biweekly",B7+21560,B7+ROUND((1540*365.25)/24,0))))</f>
        <v/>
      </c>
      <c r="C1557" s="21">
        <f>IF((ROUND(F1556-ROUND($B$13-D1557,2),2)&lt;=0),ROUND(D1557+E1557,2),$B$13)</f>
        <v/>
      </c>
      <c r="D1557" s="21">
        <f>ROUND(F1556*B5/100/B10,2)</f>
        <v/>
      </c>
      <c r="E1557" s="21">
        <f>IF((ROUND(F1556-ROUND($B$13-D1557,2),2)&lt;=0),F1556,ROUND($B$13-D1557,2))</f>
        <v/>
      </c>
      <c r="F1557" s="21">
        <f>IF((ROUND(F1556-ROUND($B$13-D1557,2),2)&lt;=0),0,ROUND(F1556-E1557,2))</f>
        <v/>
      </c>
    </row>
    <row r="1558">
      <c r="A1558" s="6" t="n">
        <v>1542</v>
      </c>
      <c r="B1558" s="19">
        <f>IF(B8="monthly",DATE(YEAR(B7)+INT((MONTH(B7)-1+1541)/12),MOD(MONTH(B7)-1+1541,12)+1,1)+(DAY(B7)-1),IF(B8="weekly",B7+10787,IF(B8="biweekly",B7+21574,B7+ROUND((1541*365.25)/24,0))))</f>
        <v/>
      </c>
      <c r="C1558" s="21">
        <f>IF((ROUND(F1557-ROUND($B$13-D1558,2),2)&lt;=0),ROUND(D1558+E1558,2),$B$13)</f>
        <v/>
      </c>
      <c r="D1558" s="21">
        <f>ROUND(F1557*B5/100/B10,2)</f>
        <v/>
      </c>
      <c r="E1558" s="21">
        <f>IF((ROUND(F1557-ROUND($B$13-D1558,2),2)&lt;=0),F1557,ROUND($B$13-D1558,2))</f>
        <v/>
      </c>
      <c r="F1558" s="21">
        <f>IF((ROUND(F1557-ROUND($B$13-D1558,2),2)&lt;=0),0,ROUND(F1557-E1558,2))</f>
        <v/>
      </c>
    </row>
    <row r="1559">
      <c r="A1559" s="6" t="n">
        <v>1543</v>
      </c>
      <c r="B1559" s="19">
        <f>IF(B8="monthly",DATE(YEAR(B7)+INT((MONTH(B7)-1+1542)/12),MOD(MONTH(B7)-1+1542,12)+1,1)+(DAY(B7)-1),IF(B8="weekly",B7+10794,IF(B8="biweekly",B7+21588,B7+ROUND((1542*365.25)/24,0))))</f>
        <v/>
      </c>
      <c r="C1559" s="21">
        <f>IF((ROUND(F1558-ROUND($B$13-D1559,2),2)&lt;=0),ROUND(D1559+E1559,2),$B$13)</f>
        <v/>
      </c>
      <c r="D1559" s="21">
        <f>ROUND(F1558*B5/100/B10,2)</f>
        <v/>
      </c>
      <c r="E1559" s="21">
        <f>IF((ROUND(F1558-ROUND($B$13-D1559,2),2)&lt;=0),F1558,ROUND($B$13-D1559,2))</f>
        <v/>
      </c>
      <c r="F1559" s="21">
        <f>IF((ROUND(F1558-ROUND($B$13-D1559,2),2)&lt;=0),0,ROUND(F1558-E1559,2))</f>
        <v/>
      </c>
    </row>
    <row r="1560">
      <c r="A1560" s="6" t="n">
        <v>1544</v>
      </c>
      <c r="B1560" s="19">
        <f>IF(B8="monthly",DATE(YEAR(B7)+INT((MONTH(B7)-1+1543)/12),MOD(MONTH(B7)-1+1543,12)+1,1)+(DAY(B7)-1),IF(B8="weekly",B7+10801,IF(B8="biweekly",B7+21602,B7+ROUND((1543*365.25)/24,0))))</f>
        <v/>
      </c>
      <c r="C1560" s="21">
        <f>IF((ROUND(F1559-ROUND($B$13-D1560,2),2)&lt;=0),ROUND(D1560+E1560,2),$B$13)</f>
        <v/>
      </c>
      <c r="D1560" s="21">
        <f>ROUND(F1559*B5/100/B10,2)</f>
        <v/>
      </c>
      <c r="E1560" s="21">
        <f>IF((ROUND(F1559-ROUND($B$13-D1560,2),2)&lt;=0),F1559,ROUND($B$13-D1560,2))</f>
        <v/>
      </c>
      <c r="F1560" s="21">
        <f>IF((ROUND(F1559-ROUND($B$13-D1560,2),2)&lt;=0),0,ROUND(F1559-E1560,2))</f>
        <v/>
      </c>
    </row>
    <row r="1561">
      <c r="A1561" s="6" t="n">
        <v>1545</v>
      </c>
      <c r="B1561" s="19">
        <f>IF(B8="monthly",DATE(YEAR(B7)+INT((MONTH(B7)-1+1544)/12),MOD(MONTH(B7)-1+1544,12)+1,1)+(DAY(B7)-1),IF(B8="weekly",B7+10808,IF(B8="biweekly",B7+21616,B7+ROUND((1544*365.25)/24,0))))</f>
        <v/>
      </c>
      <c r="C1561" s="21">
        <f>IF((ROUND(F1560-ROUND($B$13-D1561,2),2)&lt;=0),ROUND(D1561+E1561,2),$B$13)</f>
        <v/>
      </c>
      <c r="D1561" s="21">
        <f>ROUND(F1560*B5/100/B10,2)</f>
        <v/>
      </c>
      <c r="E1561" s="21">
        <f>IF((ROUND(F1560-ROUND($B$13-D1561,2),2)&lt;=0),F1560,ROUND($B$13-D1561,2))</f>
        <v/>
      </c>
      <c r="F1561" s="21">
        <f>IF((ROUND(F1560-ROUND($B$13-D1561,2),2)&lt;=0),0,ROUND(F1560-E1561,2))</f>
        <v/>
      </c>
    </row>
    <row r="1562">
      <c r="A1562" s="6" t="n">
        <v>1546</v>
      </c>
      <c r="B1562" s="19">
        <f>IF(B8="monthly",DATE(YEAR(B7)+INT((MONTH(B7)-1+1545)/12),MOD(MONTH(B7)-1+1545,12)+1,1)+(DAY(B7)-1),IF(B8="weekly",B7+10815,IF(B8="biweekly",B7+21630,B7+ROUND((1545*365.25)/24,0))))</f>
        <v/>
      </c>
      <c r="C1562" s="21">
        <f>IF((ROUND(F1561-ROUND($B$13-D1562,2),2)&lt;=0),ROUND(D1562+E1562,2),$B$13)</f>
        <v/>
      </c>
      <c r="D1562" s="21">
        <f>ROUND(F1561*B5/100/B10,2)</f>
        <v/>
      </c>
      <c r="E1562" s="21">
        <f>IF((ROUND(F1561-ROUND($B$13-D1562,2),2)&lt;=0),F1561,ROUND($B$13-D1562,2))</f>
        <v/>
      </c>
      <c r="F1562" s="21">
        <f>IF((ROUND(F1561-ROUND($B$13-D1562,2),2)&lt;=0),0,ROUND(F1561-E1562,2))</f>
        <v/>
      </c>
    </row>
    <row r="1563">
      <c r="A1563" s="6" t="n">
        <v>1547</v>
      </c>
      <c r="B1563" s="19">
        <f>IF(B8="monthly",DATE(YEAR(B7)+INT((MONTH(B7)-1+1546)/12),MOD(MONTH(B7)-1+1546,12)+1,1)+(DAY(B7)-1),IF(B8="weekly",B7+10822,IF(B8="biweekly",B7+21644,B7+ROUND((1546*365.25)/24,0))))</f>
        <v/>
      </c>
      <c r="C1563" s="21">
        <f>IF((ROUND(F1562-ROUND($B$13-D1563,2),2)&lt;=0),ROUND(D1563+E1563,2),$B$13)</f>
        <v/>
      </c>
      <c r="D1563" s="21">
        <f>ROUND(F1562*B5/100/B10,2)</f>
        <v/>
      </c>
      <c r="E1563" s="21">
        <f>IF((ROUND(F1562-ROUND($B$13-D1563,2),2)&lt;=0),F1562,ROUND($B$13-D1563,2))</f>
        <v/>
      </c>
      <c r="F1563" s="21">
        <f>IF((ROUND(F1562-ROUND($B$13-D1563,2),2)&lt;=0),0,ROUND(F1562-E1563,2))</f>
        <v/>
      </c>
    </row>
    <row r="1564">
      <c r="A1564" s="6" t="n">
        <v>1548</v>
      </c>
      <c r="B1564" s="19">
        <f>IF(B8="monthly",DATE(YEAR(B7)+INT((MONTH(B7)-1+1547)/12),MOD(MONTH(B7)-1+1547,12)+1,1)+(DAY(B7)-1),IF(B8="weekly",B7+10829,IF(B8="biweekly",B7+21658,B7+ROUND((1547*365.25)/24,0))))</f>
        <v/>
      </c>
      <c r="C1564" s="21">
        <f>IF((ROUND(F1563-ROUND($B$13-D1564,2),2)&lt;=0),ROUND(D1564+E1564,2),$B$13)</f>
        <v/>
      </c>
      <c r="D1564" s="21">
        <f>ROUND(F1563*B5/100/B10,2)</f>
        <v/>
      </c>
      <c r="E1564" s="21">
        <f>IF((ROUND(F1563-ROUND($B$13-D1564,2),2)&lt;=0),F1563,ROUND($B$13-D1564,2))</f>
        <v/>
      </c>
      <c r="F1564" s="21">
        <f>IF((ROUND(F1563-ROUND($B$13-D1564,2),2)&lt;=0),0,ROUND(F1563-E1564,2))</f>
        <v/>
      </c>
    </row>
    <row r="1565">
      <c r="A1565" s="6" t="n">
        <v>1549</v>
      </c>
      <c r="B1565" s="19">
        <f>IF(B8="monthly",DATE(YEAR(B7)+INT((MONTH(B7)-1+1548)/12),MOD(MONTH(B7)-1+1548,12)+1,1)+(DAY(B7)-1),IF(B8="weekly",B7+10836,IF(B8="biweekly",B7+21672,B7+ROUND((1548*365.25)/24,0))))</f>
        <v/>
      </c>
      <c r="C1565" s="21">
        <f>IF((ROUND(F1564-ROUND($B$13-D1565,2),2)&lt;=0),ROUND(D1565+E1565,2),$B$13)</f>
        <v/>
      </c>
      <c r="D1565" s="21">
        <f>ROUND(F1564*B5/100/B10,2)</f>
        <v/>
      </c>
      <c r="E1565" s="21">
        <f>IF((ROUND(F1564-ROUND($B$13-D1565,2),2)&lt;=0),F1564,ROUND($B$13-D1565,2))</f>
        <v/>
      </c>
      <c r="F1565" s="21">
        <f>IF((ROUND(F1564-ROUND($B$13-D1565,2),2)&lt;=0),0,ROUND(F1564-E1565,2))</f>
        <v/>
      </c>
    </row>
    <row r="1566">
      <c r="A1566" s="6" t="n">
        <v>1550</v>
      </c>
      <c r="B1566" s="19">
        <f>IF(B8="monthly",DATE(YEAR(B7)+INT((MONTH(B7)-1+1549)/12),MOD(MONTH(B7)-1+1549,12)+1,1)+(DAY(B7)-1),IF(B8="weekly",B7+10843,IF(B8="biweekly",B7+21686,B7+ROUND((1549*365.25)/24,0))))</f>
        <v/>
      </c>
      <c r="C1566" s="21">
        <f>IF((ROUND(F1565-ROUND($B$13-D1566,2),2)&lt;=0),ROUND(D1566+E1566,2),$B$13)</f>
        <v/>
      </c>
      <c r="D1566" s="21">
        <f>ROUND(F1565*B5/100/B10,2)</f>
        <v/>
      </c>
      <c r="E1566" s="21">
        <f>IF((ROUND(F1565-ROUND($B$13-D1566,2),2)&lt;=0),F1565,ROUND($B$13-D1566,2))</f>
        <v/>
      </c>
      <c r="F1566" s="21">
        <f>IF((ROUND(F1565-ROUND($B$13-D1566,2),2)&lt;=0),0,ROUND(F1565-E1566,2))</f>
        <v/>
      </c>
    </row>
    <row r="1567">
      <c r="A1567" s="6" t="n">
        <v>1551</v>
      </c>
      <c r="B1567" s="19">
        <f>IF(B8="monthly",DATE(YEAR(B7)+INT((MONTH(B7)-1+1550)/12),MOD(MONTH(B7)-1+1550,12)+1,1)+(DAY(B7)-1),IF(B8="weekly",B7+10850,IF(B8="biweekly",B7+21700,B7+ROUND((1550*365.25)/24,0))))</f>
        <v/>
      </c>
      <c r="C1567" s="21">
        <f>IF((ROUND(F1566-ROUND($B$13-D1567,2),2)&lt;=0),ROUND(D1567+E1567,2),$B$13)</f>
        <v/>
      </c>
      <c r="D1567" s="21">
        <f>ROUND(F1566*B5/100/B10,2)</f>
        <v/>
      </c>
      <c r="E1567" s="21">
        <f>IF((ROUND(F1566-ROUND($B$13-D1567,2),2)&lt;=0),F1566,ROUND($B$13-D1567,2))</f>
        <v/>
      </c>
      <c r="F1567" s="21">
        <f>IF((ROUND(F1566-ROUND($B$13-D1567,2),2)&lt;=0),0,ROUND(F1566-E1567,2))</f>
        <v/>
      </c>
    </row>
    <row r="1568">
      <c r="A1568" s="6" t="n">
        <v>1552</v>
      </c>
      <c r="B1568" s="19">
        <f>IF(B8="monthly",DATE(YEAR(B7)+INT((MONTH(B7)-1+1551)/12),MOD(MONTH(B7)-1+1551,12)+1,1)+(DAY(B7)-1),IF(B8="weekly",B7+10857,IF(B8="biweekly",B7+21714,B7+ROUND((1551*365.25)/24,0))))</f>
        <v/>
      </c>
      <c r="C1568" s="21">
        <f>IF((ROUND(F1567-ROUND($B$13-D1568,2),2)&lt;=0),ROUND(D1568+E1568,2),$B$13)</f>
        <v/>
      </c>
      <c r="D1568" s="21">
        <f>ROUND(F1567*B5/100/B10,2)</f>
        <v/>
      </c>
      <c r="E1568" s="21">
        <f>IF((ROUND(F1567-ROUND($B$13-D1568,2),2)&lt;=0),F1567,ROUND($B$13-D1568,2))</f>
        <v/>
      </c>
      <c r="F1568" s="21">
        <f>IF((ROUND(F1567-ROUND($B$13-D1568,2),2)&lt;=0),0,ROUND(F1567-E1568,2))</f>
        <v/>
      </c>
    </row>
    <row r="1569">
      <c r="A1569" s="6" t="n">
        <v>1553</v>
      </c>
      <c r="B1569" s="19">
        <f>IF(B8="monthly",DATE(YEAR(B7)+INT((MONTH(B7)-1+1552)/12),MOD(MONTH(B7)-1+1552,12)+1,1)+(DAY(B7)-1),IF(B8="weekly",B7+10864,IF(B8="biweekly",B7+21728,B7+ROUND((1552*365.25)/24,0))))</f>
        <v/>
      </c>
      <c r="C1569" s="21">
        <f>IF((ROUND(F1568-ROUND($B$13-D1569,2),2)&lt;=0),ROUND(D1569+E1569,2),$B$13)</f>
        <v/>
      </c>
      <c r="D1569" s="21">
        <f>ROUND(F1568*B5/100/B10,2)</f>
        <v/>
      </c>
      <c r="E1569" s="21">
        <f>IF((ROUND(F1568-ROUND($B$13-D1569,2),2)&lt;=0),F1568,ROUND($B$13-D1569,2))</f>
        <v/>
      </c>
      <c r="F1569" s="21">
        <f>IF((ROUND(F1568-ROUND($B$13-D1569,2),2)&lt;=0),0,ROUND(F1568-E1569,2))</f>
        <v/>
      </c>
    </row>
    <row r="1570">
      <c r="A1570" s="6" t="n">
        <v>1554</v>
      </c>
      <c r="B1570" s="19">
        <f>IF(B8="monthly",DATE(YEAR(B7)+INT((MONTH(B7)-1+1553)/12),MOD(MONTH(B7)-1+1553,12)+1,1)+(DAY(B7)-1),IF(B8="weekly",B7+10871,IF(B8="biweekly",B7+21742,B7+ROUND((1553*365.25)/24,0))))</f>
        <v/>
      </c>
      <c r="C1570" s="21">
        <f>IF((ROUND(F1569-ROUND($B$13-D1570,2),2)&lt;=0),ROUND(D1570+E1570,2),$B$13)</f>
        <v/>
      </c>
      <c r="D1570" s="21">
        <f>ROUND(F1569*B5/100/B10,2)</f>
        <v/>
      </c>
      <c r="E1570" s="21">
        <f>IF((ROUND(F1569-ROUND($B$13-D1570,2),2)&lt;=0),F1569,ROUND($B$13-D1570,2))</f>
        <v/>
      </c>
      <c r="F1570" s="21">
        <f>IF((ROUND(F1569-ROUND($B$13-D1570,2),2)&lt;=0),0,ROUND(F1569-E1570,2))</f>
        <v/>
      </c>
    </row>
    <row r="1571">
      <c r="A1571" s="6" t="n">
        <v>1555</v>
      </c>
      <c r="B1571" s="19">
        <f>IF(B8="monthly",DATE(YEAR(B7)+INT((MONTH(B7)-1+1554)/12),MOD(MONTH(B7)-1+1554,12)+1,1)+(DAY(B7)-1),IF(B8="weekly",B7+10878,IF(B8="biweekly",B7+21756,B7+ROUND((1554*365.25)/24,0))))</f>
        <v/>
      </c>
      <c r="C1571" s="21">
        <f>IF((ROUND(F1570-ROUND($B$13-D1571,2),2)&lt;=0),ROUND(D1571+E1571,2),$B$13)</f>
        <v/>
      </c>
      <c r="D1571" s="21">
        <f>ROUND(F1570*B5/100/B10,2)</f>
        <v/>
      </c>
      <c r="E1571" s="21">
        <f>IF((ROUND(F1570-ROUND($B$13-D1571,2),2)&lt;=0),F1570,ROUND($B$13-D1571,2))</f>
        <v/>
      </c>
      <c r="F1571" s="21">
        <f>IF((ROUND(F1570-ROUND($B$13-D1571,2),2)&lt;=0),0,ROUND(F1570-E1571,2))</f>
        <v/>
      </c>
    </row>
    <row r="1572">
      <c r="A1572" s="6" t="n">
        <v>1556</v>
      </c>
      <c r="B1572" s="19">
        <f>IF(B8="monthly",DATE(YEAR(B7)+INT((MONTH(B7)-1+1555)/12),MOD(MONTH(B7)-1+1555,12)+1,1)+(DAY(B7)-1),IF(B8="weekly",B7+10885,IF(B8="biweekly",B7+21770,B7+ROUND((1555*365.25)/24,0))))</f>
        <v/>
      </c>
      <c r="C1572" s="21">
        <f>IF((ROUND(F1571-ROUND($B$13-D1572,2),2)&lt;=0),ROUND(D1572+E1572,2),$B$13)</f>
        <v/>
      </c>
      <c r="D1572" s="21">
        <f>ROUND(F1571*B5/100/B10,2)</f>
        <v/>
      </c>
      <c r="E1572" s="21">
        <f>IF((ROUND(F1571-ROUND($B$13-D1572,2),2)&lt;=0),F1571,ROUND($B$13-D1572,2))</f>
        <v/>
      </c>
      <c r="F1572" s="21">
        <f>IF((ROUND(F1571-ROUND($B$13-D1572,2),2)&lt;=0),0,ROUND(F1571-E1572,2))</f>
        <v/>
      </c>
    </row>
    <row r="1573">
      <c r="A1573" s="6" t="n">
        <v>1557</v>
      </c>
      <c r="B1573" s="19">
        <f>IF(B8="monthly",DATE(YEAR(B7)+INT((MONTH(B7)-1+1556)/12),MOD(MONTH(B7)-1+1556,12)+1,1)+(DAY(B7)-1),IF(B8="weekly",B7+10892,IF(B8="biweekly",B7+21784,B7+ROUND((1556*365.25)/24,0))))</f>
        <v/>
      </c>
      <c r="C1573" s="21">
        <f>IF((ROUND(F1572-ROUND($B$13-D1573,2),2)&lt;=0),ROUND(D1573+E1573,2),$B$13)</f>
        <v/>
      </c>
      <c r="D1573" s="21">
        <f>ROUND(F1572*B5/100/B10,2)</f>
        <v/>
      </c>
      <c r="E1573" s="21">
        <f>IF((ROUND(F1572-ROUND($B$13-D1573,2),2)&lt;=0),F1572,ROUND($B$13-D1573,2))</f>
        <v/>
      </c>
      <c r="F1573" s="21">
        <f>IF((ROUND(F1572-ROUND($B$13-D1573,2),2)&lt;=0),0,ROUND(F1572-E1573,2))</f>
        <v/>
      </c>
    </row>
    <row r="1574">
      <c r="A1574" s="6" t="n">
        <v>1558</v>
      </c>
      <c r="B1574" s="19">
        <f>IF(B8="monthly",DATE(YEAR(B7)+INT((MONTH(B7)-1+1557)/12),MOD(MONTH(B7)-1+1557,12)+1,1)+(DAY(B7)-1),IF(B8="weekly",B7+10899,IF(B8="biweekly",B7+21798,B7+ROUND((1557*365.25)/24,0))))</f>
        <v/>
      </c>
      <c r="C1574" s="21">
        <f>IF((ROUND(F1573-ROUND($B$13-D1574,2),2)&lt;=0),ROUND(D1574+E1574,2),$B$13)</f>
        <v/>
      </c>
      <c r="D1574" s="21">
        <f>ROUND(F1573*B5/100/B10,2)</f>
        <v/>
      </c>
      <c r="E1574" s="21">
        <f>IF((ROUND(F1573-ROUND($B$13-D1574,2),2)&lt;=0),F1573,ROUND($B$13-D1574,2))</f>
        <v/>
      </c>
      <c r="F1574" s="21">
        <f>IF((ROUND(F1573-ROUND($B$13-D1574,2),2)&lt;=0),0,ROUND(F1573-E1574,2))</f>
        <v/>
      </c>
    </row>
    <row r="1575">
      <c r="A1575" s="6" t="n">
        <v>1559</v>
      </c>
      <c r="B1575" s="19">
        <f>IF(B8="monthly",DATE(YEAR(B7)+INT((MONTH(B7)-1+1558)/12),MOD(MONTH(B7)-1+1558,12)+1,1)+(DAY(B7)-1),IF(B8="weekly",B7+10906,IF(B8="biweekly",B7+21812,B7+ROUND((1558*365.25)/24,0))))</f>
        <v/>
      </c>
      <c r="C1575" s="21">
        <f>IF((ROUND(F1574-ROUND($B$13-D1575,2),2)&lt;=0),ROUND(D1575+E1575,2),$B$13)</f>
        <v/>
      </c>
      <c r="D1575" s="21">
        <f>ROUND(F1574*B5/100/B10,2)</f>
        <v/>
      </c>
      <c r="E1575" s="21">
        <f>IF((ROUND(F1574-ROUND($B$13-D1575,2),2)&lt;=0),F1574,ROUND($B$13-D1575,2))</f>
        <v/>
      </c>
      <c r="F1575" s="21">
        <f>IF((ROUND(F1574-ROUND($B$13-D1575,2),2)&lt;=0),0,ROUND(F1574-E1575,2))</f>
        <v/>
      </c>
    </row>
    <row r="1576">
      <c r="A1576" s="6" t="n">
        <v>1560</v>
      </c>
      <c r="B1576" s="19">
        <f>IF(B8="monthly",DATE(YEAR(B7)+INT((MONTH(B7)-1+1559)/12),MOD(MONTH(B7)-1+1559,12)+1,1)+(DAY(B7)-1),IF(B8="weekly",B7+10913,IF(B8="biweekly",B7+21826,B7+ROUND((1559*365.25)/24,0))))</f>
        <v/>
      </c>
      <c r="C1576" s="21">
        <f>IF((ROUND(F1575-ROUND($B$13-D1576,2),2)&lt;=0),ROUND(D1576+E1576,2),$B$13)</f>
        <v/>
      </c>
      <c r="D1576" s="21">
        <f>ROUND(F1575*B5/100/B10,2)</f>
        <v/>
      </c>
      <c r="E1576" s="21">
        <f>IF((ROUND(F1575-ROUND($B$13-D1576,2),2)&lt;=0),F1575,ROUND($B$13-D1576,2))</f>
        <v/>
      </c>
      <c r="F1576" s="21">
        <f>IF((ROUND(F1575-ROUND($B$13-D1576,2),2)&lt;=0),0,ROUND(F1575-E1576,2))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1"/>
  <sheetViews>
    <sheetView workbookViewId="0">
      <pane ySplit="14" topLeftCell="A1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Extra Monthly Payment Savings</t>
        </is>
      </c>
    </row>
    <row r="2">
      <c r="A2" s="2" t="inlineStr">
        <is>
          <t>Standalone single-loan calculator: baseline (fixed 360-row-bounded term) vs. the same loan with an extra monthly principal payment (runs until payoff, self-stabilizing at $0 once paid off -- see PaymentFrequency sheet for the same pattern).</t>
        </is>
      </c>
    </row>
    <row r="3"/>
    <row r="4">
      <c r="A4" s="17" t="inlineStr">
        <is>
          <t>Loan amount ($)</t>
        </is>
      </c>
      <c r="B4" s="9" t="n">
        <v>300000</v>
      </c>
    </row>
    <row r="5">
      <c r="A5" s="17" t="inlineStr">
        <is>
          <t>Annual interest rate (%)</t>
        </is>
      </c>
      <c r="B5" s="8" t="n">
        <v>6.5</v>
      </c>
    </row>
    <row r="6">
      <c r="A6" s="17" t="inlineStr">
        <is>
          <t>Term (months)</t>
        </is>
      </c>
      <c r="B6" s="23" t="n">
        <v>360</v>
      </c>
    </row>
    <row r="7">
      <c r="A7" s="17" t="inlineStr">
        <is>
          <t>Extra monthly payment ($)</t>
        </is>
      </c>
      <c r="B7" s="9" t="n">
        <v>200</v>
      </c>
    </row>
    <row r="8">
      <c r="A8" s="17" t="inlineStr">
        <is>
          <t>Start date</t>
        </is>
      </c>
      <c r="B8" s="7" t="inlineStr">
        <is>
          <t>2024-01-01</t>
        </is>
      </c>
    </row>
    <row r="9"/>
    <row r="10">
      <c r="A10" s="17" t="inlineStr">
        <is>
          <t>Base monthly payment</t>
        </is>
      </c>
      <c r="B10" s="21">
        <f>ROUND(-PMT(B5/100/12,B6,B4),2)</f>
        <v/>
      </c>
    </row>
    <row r="11">
      <c r="A11" s="17" t="inlineStr">
        <is>
          <t>Payment with extra</t>
        </is>
      </c>
      <c r="B11" s="21">
        <f>ROUND(B10+B7,2)</f>
        <v/>
      </c>
    </row>
    <row r="12"/>
    <row r="13"/>
    <row r="14">
      <c r="A14" s="5" t="inlineStr">
        <is>
          <t>Month</t>
        </is>
      </c>
      <c r="B14" s="5" t="inlineStr">
        <is>
          <t>Date</t>
        </is>
      </c>
      <c r="C14" s="5" t="inlineStr">
        <is>
          <t>Baseline: Interest</t>
        </is>
      </c>
      <c r="D14" s="5" t="inlineStr">
        <is>
          <t>Baseline: Principal</t>
        </is>
      </c>
      <c r="E14" s="5" t="inlineStr">
        <is>
          <t>Baseline: Balance</t>
        </is>
      </c>
      <c r="F14" s="5" t="inlineStr">
        <is>
          <t>With Extra: Interest</t>
        </is>
      </c>
      <c r="G14" s="5" t="inlineStr">
        <is>
          <t>With Extra: Principal</t>
        </is>
      </c>
      <c r="H14" s="5" t="inlineStr">
        <is>
          <t>With Extra: Balance</t>
        </is>
      </c>
    </row>
    <row r="15">
      <c r="A15" s="6" t="n">
        <v>1</v>
      </c>
      <c r="B15" s="19">
        <f>DATE(YEAR(B8)+INT((MONTH(B8)-1+0)/12),MOD(MONTH(B8)-1+0,12)+1,1)+(DAY(B8)-1)</f>
        <v/>
      </c>
      <c r="C15" s="21">
        <f>ROUND(B4*B5/100/12,2)</f>
        <v/>
      </c>
      <c r="D15" s="21">
        <f>IF((OR(ROUND(B4-ROUND($B$10-C15,2),2)&lt;=0,1=B6)),B4,ROUND($B$10-C15,2))</f>
        <v/>
      </c>
      <c r="E15" s="21">
        <f>IF((OR(ROUND(B4-ROUND($B$10-C15,2),2)&lt;=0,1=B6)),0,ROUND(B4-D15,2))</f>
        <v/>
      </c>
      <c r="F15" s="21">
        <f>ROUND(B4*B5/100/12,2)</f>
        <v/>
      </c>
      <c r="G15" s="21">
        <f>IF((ROUND(B4-ROUND($B$11-F15,2),2)&lt;=0),B4,ROUND($B$11-F15,2))</f>
        <v/>
      </c>
      <c r="H15" s="21">
        <f>IF((ROUND(B4-ROUND($B$11-F15,2),2)&lt;=0),0,ROUND(B4-G15,2))</f>
        <v/>
      </c>
    </row>
    <row r="16">
      <c r="A16" s="6" t="n">
        <v>2</v>
      </c>
      <c r="B16" s="19">
        <f>DATE(YEAR(B8)+INT((MONTH(B8)-1+1)/12),MOD(MONTH(B8)-1+1,12)+1,1)+(DAY(B8)-1)</f>
        <v/>
      </c>
      <c r="C16" s="21">
        <f>ROUND(E15*B5/100/12,2)</f>
        <v/>
      </c>
      <c r="D16" s="21">
        <f>IF((OR(ROUND(E15-ROUND($B$10-C16,2),2)&lt;=0,2=B6)),E15,ROUND($B$10-C16,2))</f>
        <v/>
      </c>
      <c r="E16" s="21">
        <f>IF((OR(ROUND(E15-ROUND($B$10-C16,2),2)&lt;=0,2=B6)),0,ROUND(E15-D16,2))</f>
        <v/>
      </c>
      <c r="F16" s="21">
        <f>ROUND(H15*B5/100/12,2)</f>
        <v/>
      </c>
      <c r="G16" s="21">
        <f>IF((ROUND(H15-ROUND($B$11-F16,2),2)&lt;=0),H15,ROUND($B$11-F16,2))</f>
        <v/>
      </c>
      <c r="H16" s="21">
        <f>IF((ROUND(H15-ROUND($B$11-F16,2),2)&lt;=0),0,ROUND(H15-G16,2))</f>
        <v/>
      </c>
    </row>
    <row r="17">
      <c r="A17" s="6" t="n">
        <v>3</v>
      </c>
      <c r="B17" s="19">
        <f>DATE(YEAR(B8)+INT((MONTH(B8)-1+2)/12),MOD(MONTH(B8)-1+2,12)+1,1)+(DAY(B8)-1)</f>
        <v/>
      </c>
      <c r="C17" s="21">
        <f>ROUND(E16*B5/100/12,2)</f>
        <v/>
      </c>
      <c r="D17" s="21">
        <f>IF((OR(ROUND(E16-ROUND($B$10-C17,2),2)&lt;=0,3=B6)),E16,ROUND($B$10-C17,2))</f>
        <v/>
      </c>
      <c r="E17" s="21">
        <f>IF((OR(ROUND(E16-ROUND($B$10-C17,2),2)&lt;=0,3=B6)),0,ROUND(E16-D17,2))</f>
        <v/>
      </c>
      <c r="F17" s="21">
        <f>ROUND(H16*B5/100/12,2)</f>
        <v/>
      </c>
      <c r="G17" s="21">
        <f>IF((ROUND(H16-ROUND($B$11-F17,2),2)&lt;=0),H16,ROUND($B$11-F17,2))</f>
        <v/>
      </c>
      <c r="H17" s="21">
        <f>IF((ROUND(H16-ROUND($B$11-F17,2),2)&lt;=0),0,ROUND(H16-G17,2))</f>
        <v/>
      </c>
    </row>
    <row r="18">
      <c r="A18" s="6" t="n">
        <v>4</v>
      </c>
      <c r="B18" s="19">
        <f>DATE(YEAR(B8)+INT((MONTH(B8)-1+3)/12),MOD(MONTH(B8)-1+3,12)+1,1)+(DAY(B8)-1)</f>
        <v/>
      </c>
      <c r="C18" s="21">
        <f>ROUND(E17*B5/100/12,2)</f>
        <v/>
      </c>
      <c r="D18" s="21">
        <f>IF((OR(ROUND(E17-ROUND($B$10-C18,2),2)&lt;=0,4=B6)),E17,ROUND($B$10-C18,2))</f>
        <v/>
      </c>
      <c r="E18" s="21">
        <f>IF((OR(ROUND(E17-ROUND($B$10-C18,2),2)&lt;=0,4=B6)),0,ROUND(E17-D18,2))</f>
        <v/>
      </c>
      <c r="F18" s="21">
        <f>ROUND(H17*B5/100/12,2)</f>
        <v/>
      </c>
      <c r="G18" s="21">
        <f>IF((ROUND(H17-ROUND($B$11-F18,2),2)&lt;=0),H17,ROUND($B$11-F18,2))</f>
        <v/>
      </c>
      <c r="H18" s="21">
        <f>IF((ROUND(H17-ROUND($B$11-F18,2),2)&lt;=0),0,ROUND(H17-G18,2))</f>
        <v/>
      </c>
    </row>
    <row r="19">
      <c r="A19" s="6" t="n">
        <v>5</v>
      </c>
      <c r="B19" s="19">
        <f>DATE(YEAR(B8)+INT((MONTH(B8)-1+4)/12),MOD(MONTH(B8)-1+4,12)+1,1)+(DAY(B8)-1)</f>
        <v/>
      </c>
      <c r="C19" s="21">
        <f>ROUND(E18*B5/100/12,2)</f>
        <v/>
      </c>
      <c r="D19" s="21">
        <f>IF((OR(ROUND(E18-ROUND($B$10-C19,2),2)&lt;=0,5=B6)),E18,ROUND($B$10-C19,2))</f>
        <v/>
      </c>
      <c r="E19" s="21">
        <f>IF((OR(ROUND(E18-ROUND($B$10-C19,2),2)&lt;=0,5=B6)),0,ROUND(E18-D19,2))</f>
        <v/>
      </c>
      <c r="F19" s="21">
        <f>ROUND(H18*B5/100/12,2)</f>
        <v/>
      </c>
      <c r="G19" s="21">
        <f>IF((ROUND(H18-ROUND($B$11-F19,2),2)&lt;=0),H18,ROUND($B$11-F19,2))</f>
        <v/>
      </c>
      <c r="H19" s="21">
        <f>IF((ROUND(H18-ROUND($B$11-F19,2),2)&lt;=0),0,ROUND(H18-G19,2))</f>
        <v/>
      </c>
    </row>
    <row r="20">
      <c r="A20" s="6" t="n">
        <v>6</v>
      </c>
      <c r="B20" s="19">
        <f>DATE(YEAR(B8)+INT((MONTH(B8)-1+5)/12),MOD(MONTH(B8)-1+5,12)+1,1)+(DAY(B8)-1)</f>
        <v/>
      </c>
      <c r="C20" s="21">
        <f>ROUND(E19*B5/100/12,2)</f>
        <v/>
      </c>
      <c r="D20" s="21">
        <f>IF((OR(ROUND(E19-ROUND($B$10-C20,2),2)&lt;=0,6=B6)),E19,ROUND($B$10-C20,2))</f>
        <v/>
      </c>
      <c r="E20" s="21">
        <f>IF((OR(ROUND(E19-ROUND($B$10-C20,2),2)&lt;=0,6=B6)),0,ROUND(E19-D20,2))</f>
        <v/>
      </c>
      <c r="F20" s="21">
        <f>ROUND(H19*B5/100/12,2)</f>
        <v/>
      </c>
      <c r="G20" s="21">
        <f>IF((ROUND(H19-ROUND($B$11-F20,2),2)&lt;=0),H19,ROUND($B$11-F20,2))</f>
        <v/>
      </c>
      <c r="H20" s="21">
        <f>IF((ROUND(H19-ROUND($B$11-F20,2),2)&lt;=0),0,ROUND(H19-G20,2))</f>
        <v/>
      </c>
    </row>
    <row r="21">
      <c r="A21" s="6" t="n">
        <v>7</v>
      </c>
      <c r="B21" s="19">
        <f>DATE(YEAR(B8)+INT((MONTH(B8)-1+6)/12),MOD(MONTH(B8)-1+6,12)+1,1)+(DAY(B8)-1)</f>
        <v/>
      </c>
      <c r="C21" s="21">
        <f>ROUND(E20*B5/100/12,2)</f>
        <v/>
      </c>
      <c r="D21" s="21">
        <f>IF((OR(ROUND(E20-ROUND($B$10-C21,2),2)&lt;=0,7=B6)),E20,ROUND($B$10-C21,2))</f>
        <v/>
      </c>
      <c r="E21" s="21">
        <f>IF((OR(ROUND(E20-ROUND($B$10-C21,2),2)&lt;=0,7=B6)),0,ROUND(E20-D21,2))</f>
        <v/>
      </c>
      <c r="F21" s="21">
        <f>ROUND(H20*B5/100/12,2)</f>
        <v/>
      </c>
      <c r="G21" s="21">
        <f>IF((ROUND(H20-ROUND($B$11-F21,2),2)&lt;=0),H20,ROUND($B$11-F21,2))</f>
        <v/>
      </c>
      <c r="H21" s="21">
        <f>IF((ROUND(H20-ROUND($B$11-F21,2),2)&lt;=0),0,ROUND(H20-G21,2))</f>
        <v/>
      </c>
    </row>
    <row r="22">
      <c r="A22" s="6" t="n">
        <v>8</v>
      </c>
      <c r="B22" s="19">
        <f>DATE(YEAR(B8)+INT((MONTH(B8)-1+7)/12),MOD(MONTH(B8)-1+7,12)+1,1)+(DAY(B8)-1)</f>
        <v/>
      </c>
      <c r="C22" s="21">
        <f>ROUND(E21*B5/100/12,2)</f>
        <v/>
      </c>
      <c r="D22" s="21">
        <f>IF((OR(ROUND(E21-ROUND($B$10-C22,2),2)&lt;=0,8=B6)),E21,ROUND($B$10-C22,2))</f>
        <v/>
      </c>
      <c r="E22" s="21">
        <f>IF((OR(ROUND(E21-ROUND($B$10-C22,2),2)&lt;=0,8=B6)),0,ROUND(E21-D22,2))</f>
        <v/>
      </c>
      <c r="F22" s="21">
        <f>ROUND(H21*B5/100/12,2)</f>
        <v/>
      </c>
      <c r="G22" s="21">
        <f>IF((ROUND(H21-ROUND($B$11-F22,2),2)&lt;=0),H21,ROUND($B$11-F22,2))</f>
        <v/>
      </c>
      <c r="H22" s="21">
        <f>IF((ROUND(H21-ROUND($B$11-F22,2),2)&lt;=0),0,ROUND(H21-G22,2))</f>
        <v/>
      </c>
    </row>
    <row r="23">
      <c r="A23" s="6" t="n">
        <v>9</v>
      </c>
      <c r="B23" s="19">
        <f>DATE(YEAR(B8)+INT((MONTH(B8)-1+8)/12),MOD(MONTH(B8)-1+8,12)+1,1)+(DAY(B8)-1)</f>
        <v/>
      </c>
      <c r="C23" s="21">
        <f>ROUND(E22*B5/100/12,2)</f>
        <v/>
      </c>
      <c r="D23" s="21">
        <f>IF((OR(ROUND(E22-ROUND($B$10-C23,2),2)&lt;=0,9=B6)),E22,ROUND($B$10-C23,2))</f>
        <v/>
      </c>
      <c r="E23" s="21">
        <f>IF((OR(ROUND(E22-ROUND($B$10-C23,2),2)&lt;=0,9=B6)),0,ROUND(E22-D23,2))</f>
        <v/>
      </c>
      <c r="F23" s="21">
        <f>ROUND(H22*B5/100/12,2)</f>
        <v/>
      </c>
      <c r="G23" s="21">
        <f>IF((ROUND(H22-ROUND($B$11-F23,2),2)&lt;=0),H22,ROUND($B$11-F23,2))</f>
        <v/>
      </c>
      <c r="H23" s="21">
        <f>IF((ROUND(H22-ROUND($B$11-F23,2),2)&lt;=0),0,ROUND(H22-G23,2))</f>
        <v/>
      </c>
    </row>
    <row r="24">
      <c r="A24" s="6" t="n">
        <v>10</v>
      </c>
      <c r="B24" s="19">
        <f>DATE(YEAR(B8)+INT((MONTH(B8)-1+9)/12),MOD(MONTH(B8)-1+9,12)+1,1)+(DAY(B8)-1)</f>
        <v/>
      </c>
      <c r="C24" s="21">
        <f>ROUND(E23*B5/100/12,2)</f>
        <v/>
      </c>
      <c r="D24" s="21">
        <f>IF((OR(ROUND(E23-ROUND($B$10-C24,2),2)&lt;=0,10=B6)),E23,ROUND($B$10-C24,2))</f>
        <v/>
      </c>
      <c r="E24" s="21">
        <f>IF((OR(ROUND(E23-ROUND($B$10-C24,2),2)&lt;=0,10=B6)),0,ROUND(E23-D24,2))</f>
        <v/>
      </c>
      <c r="F24" s="21">
        <f>ROUND(H23*B5/100/12,2)</f>
        <v/>
      </c>
      <c r="G24" s="21">
        <f>IF((ROUND(H23-ROUND($B$11-F24,2),2)&lt;=0),H23,ROUND($B$11-F24,2))</f>
        <v/>
      </c>
      <c r="H24" s="21">
        <f>IF((ROUND(H23-ROUND($B$11-F24,2),2)&lt;=0),0,ROUND(H23-G24,2))</f>
        <v/>
      </c>
    </row>
    <row r="25">
      <c r="A25" s="6" t="n">
        <v>11</v>
      </c>
      <c r="B25" s="19">
        <f>DATE(YEAR(B8)+INT((MONTH(B8)-1+10)/12),MOD(MONTH(B8)-1+10,12)+1,1)+(DAY(B8)-1)</f>
        <v/>
      </c>
      <c r="C25" s="21">
        <f>ROUND(E24*B5/100/12,2)</f>
        <v/>
      </c>
      <c r="D25" s="21">
        <f>IF((OR(ROUND(E24-ROUND($B$10-C25,2),2)&lt;=0,11=B6)),E24,ROUND($B$10-C25,2))</f>
        <v/>
      </c>
      <c r="E25" s="21">
        <f>IF((OR(ROUND(E24-ROUND($B$10-C25,2),2)&lt;=0,11=B6)),0,ROUND(E24-D25,2))</f>
        <v/>
      </c>
      <c r="F25" s="21">
        <f>ROUND(H24*B5/100/12,2)</f>
        <v/>
      </c>
      <c r="G25" s="21">
        <f>IF((ROUND(H24-ROUND($B$11-F25,2),2)&lt;=0),H24,ROUND($B$11-F25,2))</f>
        <v/>
      </c>
      <c r="H25" s="21">
        <f>IF((ROUND(H24-ROUND($B$11-F25,2),2)&lt;=0),0,ROUND(H24-G25,2))</f>
        <v/>
      </c>
    </row>
    <row r="26">
      <c r="A26" s="6" t="n">
        <v>12</v>
      </c>
      <c r="B26" s="19">
        <f>DATE(YEAR(B8)+INT((MONTH(B8)-1+11)/12),MOD(MONTH(B8)-1+11,12)+1,1)+(DAY(B8)-1)</f>
        <v/>
      </c>
      <c r="C26" s="21">
        <f>ROUND(E25*B5/100/12,2)</f>
        <v/>
      </c>
      <c r="D26" s="21">
        <f>IF((OR(ROUND(E25-ROUND($B$10-C26,2),2)&lt;=0,12=B6)),E25,ROUND($B$10-C26,2))</f>
        <v/>
      </c>
      <c r="E26" s="21">
        <f>IF((OR(ROUND(E25-ROUND($B$10-C26,2),2)&lt;=0,12=B6)),0,ROUND(E25-D26,2))</f>
        <v/>
      </c>
      <c r="F26" s="21">
        <f>ROUND(H25*B5/100/12,2)</f>
        <v/>
      </c>
      <c r="G26" s="21">
        <f>IF((ROUND(H25-ROUND($B$11-F26,2),2)&lt;=0),H25,ROUND($B$11-F26,2))</f>
        <v/>
      </c>
      <c r="H26" s="21">
        <f>IF((ROUND(H25-ROUND($B$11-F26,2),2)&lt;=0),0,ROUND(H25-G26,2))</f>
        <v/>
      </c>
    </row>
    <row r="27">
      <c r="A27" s="6" t="n">
        <v>13</v>
      </c>
      <c r="B27" s="19">
        <f>DATE(YEAR(B8)+INT((MONTH(B8)-1+12)/12),MOD(MONTH(B8)-1+12,12)+1,1)+(DAY(B8)-1)</f>
        <v/>
      </c>
      <c r="C27" s="21">
        <f>ROUND(E26*B5/100/12,2)</f>
        <v/>
      </c>
      <c r="D27" s="21">
        <f>IF((OR(ROUND(E26-ROUND($B$10-C27,2),2)&lt;=0,13=B6)),E26,ROUND($B$10-C27,2))</f>
        <v/>
      </c>
      <c r="E27" s="21">
        <f>IF((OR(ROUND(E26-ROUND($B$10-C27,2),2)&lt;=0,13=B6)),0,ROUND(E26-D27,2))</f>
        <v/>
      </c>
      <c r="F27" s="21">
        <f>ROUND(H26*B5/100/12,2)</f>
        <v/>
      </c>
      <c r="G27" s="21">
        <f>IF((ROUND(H26-ROUND($B$11-F27,2),2)&lt;=0),H26,ROUND($B$11-F27,2))</f>
        <v/>
      </c>
      <c r="H27" s="21">
        <f>IF((ROUND(H26-ROUND($B$11-F27,2),2)&lt;=0),0,ROUND(H26-G27,2))</f>
        <v/>
      </c>
    </row>
    <row r="28">
      <c r="A28" s="6" t="n">
        <v>14</v>
      </c>
      <c r="B28" s="19">
        <f>DATE(YEAR(B8)+INT((MONTH(B8)-1+13)/12),MOD(MONTH(B8)-1+13,12)+1,1)+(DAY(B8)-1)</f>
        <v/>
      </c>
      <c r="C28" s="21">
        <f>ROUND(E27*B5/100/12,2)</f>
        <v/>
      </c>
      <c r="D28" s="21">
        <f>IF((OR(ROUND(E27-ROUND($B$10-C28,2),2)&lt;=0,14=B6)),E27,ROUND($B$10-C28,2))</f>
        <v/>
      </c>
      <c r="E28" s="21">
        <f>IF((OR(ROUND(E27-ROUND($B$10-C28,2),2)&lt;=0,14=B6)),0,ROUND(E27-D28,2))</f>
        <v/>
      </c>
      <c r="F28" s="21">
        <f>ROUND(H27*B5/100/12,2)</f>
        <v/>
      </c>
      <c r="G28" s="21">
        <f>IF((ROUND(H27-ROUND($B$11-F28,2),2)&lt;=0),H27,ROUND($B$11-F28,2))</f>
        <v/>
      </c>
      <c r="H28" s="21">
        <f>IF((ROUND(H27-ROUND($B$11-F28,2),2)&lt;=0),0,ROUND(H27-G28,2))</f>
        <v/>
      </c>
    </row>
    <row r="29">
      <c r="A29" s="6" t="n">
        <v>15</v>
      </c>
      <c r="B29" s="19">
        <f>DATE(YEAR(B8)+INT((MONTH(B8)-1+14)/12),MOD(MONTH(B8)-1+14,12)+1,1)+(DAY(B8)-1)</f>
        <v/>
      </c>
      <c r="C29" s="21">
        <f>ROUND(E28*B5/100/12,2)</f>
        <v/>
      </c>
      <c r="D29" s="21">
        <f>IF((OR(ROUND(E28-ROUND($B$10-C29,2),2)&lt;=0,15=B6)),E28,ROUND($B$10-C29,2))</f>
        <v/>
      </c>
      <c r="E29" s="21">
        <f>IF((OR(ROUND(E28-ROUND($B$10-C29,2),2)&lt;=0,15=B6)),0,ROUND(E28-D29,2))</f>
        <v/>
      </c>
      <c r="F29" s="21">
        <f>ROUND(H28*B5/100/12,2)</f>
        <v/>
      </c>
      <c r="G29" s="21">
        <f>IF((ROUND(H28-ROUND($B$11-F29,2),2)&lt;=0),H28,ROUND($B$11-F29,2))</f>
        <v/>
      </c>
      <c r="H29" s="21">
        <f>IF((ROUND(H28-ROUND($B$11-F29,2),2)&lt;=0),0,ROUND(H28-G29,2))</f>
        <v/>
      </c>
    </row>
    <row r="30">
      <c r="A30" s="6" t="n">
        <v>16</v>
      </c>
      <c r="B30" s="19">
        <f>DATE(YEAR(B8)+INT((MONTH(B8)-1+15)/12),MOD(MONTH(B8)-1+15,12)+1,1)+(DAY(B8)-1)</f>
        <v/>
      </c>
      <c r="C30" s="21">
        <f>ROUND(E29*B5/100/12,2)</f>
        <v/>
      </c>
      <c r="D30" s="21">
        <f>IF((OR(ROUND(E29-ROUND($B$10-C30,2),2)&lt;=0,16=B6)),E29,ROUND($B$10-C30,2))</f>
        <v/>
      </c>
      <c r="E30" s="21">
        <f>IF((OR(ROUND(E29-ROUND($B$10-C30,2),2)&lt;=0,16=B6)),0,ROUND(E29-D30,2))</f>
        <v/>
      </c>
      <c r="F30" s="21">
        <f>ROUND(H29*B5/100/12,2)</f>
        <v/>
      </c>
      <c r="G30" s="21">
        <f>IF((ROUND(H29-ROUND($B$11-F30,2),2)&lt;=0),H29,ROUND($B$11-F30,2))</f>
        <v/>
      </c>
      <c r="H30" s="21">
        <f>IF((ROUND(H29-ROUND($B$11-F30,2),2)&lt;=0),0,ROUND(H29-G30,2))</f>
        <v/>
      </c>
    </row>
    <row r="31">
      <c r="A31" s="6" t="n">
        <v>17</v>
      </c>
      <c r="B31" s="19">
        <f>DATE(YEAR(B8)+INT((MONTH(B8)-1+16)/12),MOD(MONTH(B8)-1+16,12)+1,1)+(DAY(B8)-1)</f>
        <v/>
      </c>
      <c r="C31" s="21">
        <f>ROUND(E30*B5/100/12,2)</f>
        <v/>
      </c>
      <c r="D31" s="21">
        <f>IF((OR(ROUND(E30-ROUND($B$10-C31,2),2)&lt;=0,17=B6)),E30,ROUND($B$10-C31,2))</f>
        <v/>
      </c>
      <c r="E31" s="21">
        <f>IF((OR(ROUND(E30-ROUND($B$10-C31,2),2)&lt;=0,17=B6)),0,ROUND(E30-D31,2))</f>
        <v/>
      </c>
      <c r="F31" s="21">
        <f>ROUND(H30*B5/100/12,2)</f>
        <v/>
      </c>
      <c r="G31" s="21">
        <f>IF((ROUND(H30-ROUND($B$11-F31,2),2)&lt;=0),H30,ROUND($B$11-F31,2))</f>
        <v/>
      </c>
      <c r="H31" s="21">
        <f>IF((ROUND(H30-ROUND($B$11-F31,2),2)&lt;=0),0,ROUND(H30-G31,2))</f>
        <v/>
      </c>
    </row>
    <row r="32">
      <c r="A32" s="6" t="n">
        <v>18</v>
      </c>
      <c r="B32" s="19">
        <f>DATE(YEAR(B8)+INT((MONTH(B8)-1+17)/12),MOD(MONTH(B8)-1+17,12)+1,1)+(DAY(B8)-1)</f>
        <v/>
      </c>
      <c r="C32" s="21">
        <f>ROUND(E31*B5/100/12,2)</f>
        <v/>
      </c>
      <c r="D32" s="21">
        <f>IF((OR(ROUND(E31-ROUND($B$10-C32,2),2)&lt;=0,18=B6)),E31,ROUND($B$10-C32,2))</f>
        <v/>
      </c>
      <c r="E32" s="21">
        <f>IF((OR(ROUND(E31-ROUND($B$10-C32,2),2)&lt;=0,18=B6)),0,ROUND(E31-D32,2))</f>
        <v/>
      </c>
      <c r="F32" s="21">
        <f>ROUND(H31*B5/100/12,2)</f>
        <v/>
      </c>
      <c r="G32" s="21">
        <f>IF((ROUND(H31-ROUND($B$11-F32,2),2)&lt;=0),H31,ROUND($B$11-F32,2))</f>
        <v/>
      </c>
      <c r="H32" s="21">
        <f>IF((ROUND(H31-ROUND($B$11-F32,2),2)&lt;=0),0,ROUND(H31-G32,2))</f>
        <v/>
      </c>
    </row>
    <row r="33">
      <c r="A33" s="6" t="n">
        <v>19</v>
      </c>
      <c r="B33" s="19">
        <f>DATE(YEAR(B8)+INT((MONTH(B8)-1+18)/12),MOD(MONTH(B8)-1+18,12)+1,1)+(DAY(B8)-1)</f>
        <v/>
      </c>
      <c r="C33" s="21">
        <f>ROUND(E32*B5/100/12,2)</f>
        <v/>
      </c>
      <c r="D33" s="21">
        <f>IF((OR(ROUND(E32-ROUND($B$10-C33,2),2)&lt;=0,19=B6)),E32,ROUND($B$10-C33,2))</f>
        <v/>
      </c>
      <c r="E33" s="21">
        <f>IF((OR(ROUND(E32-ROUND($B$10-C33,2),2)&lt;=0,19=B6)),0,ROUND(E32-D33,2))</f>
        <v/>
      </c>
      <c r="F33" s="21">
        <f>ROUND(H32*B5/100/12,2)</f>
        <v/>
      </c>
      <c r="G33" s="21">
        <f>IF((ROUND(H32-ROUND($B$11-F33,2),2)&lt;=0),H32,ROUND($B$11-F33,2))</f>
        <v/>
      </c>
      <c r="H33" s="21">
        <f>IF((ROUND(H32-ROUND($B$11-F33,2),2)&lt;=0),0,ROUND(H32-G33,2))</f>
        <v/>
      </c>
    </row>
    <row r="34">
      <c r="A34" s="6" t="n">
        <v>20</v>
      </c>
      <c r="B34" s="19">
        <f>DATE(YEAR(B8)+INT((MONTH(B8)-1+19)/12),MOD(MONTH(B8)-1+19,12)+1,1)+(DAY(B8)-1)</f>
        <v/>
      </c>
      <c r="C34" s="21">
        <f>ROUND(E33*B5/100/12,2)</f>
        <v/>
      </c>
      <c r="D34" s="21">
        <f>IF((OR(ROUND(E33-ROUND($B$10-C34,2),2)&lt;=0,20=B6)),E33,ROUND($B$10-C34,2))</f>
        <v/>
      </c>
      <c r="E34" s="21">
        <f>IF((OR(ROUND(E33-ROUND($B$10-C34,2),2)&lt;=0,20=B6)),0,ROUND(E33-D34,2))</f>
        <v/>
      </c>
      <c r="F34" s="21">
        <f>ROUND(H33*B5/100/12,2)</f>
        <v/>
      </c>
      <c r="G34" s="21">
        <f>IF((ROUND(H33-ROUND($B$11-F34,2),2)&lt;=0),H33,ROUND($B$11-F34,2))</f>
        <v/>
      </c>
      <c r="H34" s="21">
        <f>IF((ROUND(H33-ROUND($B$11-F34,2),2)&lt;=0),0,ROUND(H33-G34,2))</f>
        <v/>
      </c>
    </row>
    <row r="35">
      <c r="A35" s="6" t="n">
        <v>21</v>
      </c>
      <c r="B35" s="19">
        <f>DATE(YEAR(B8)+INT((MONTH(B8)-1+20)/12),MOD(MONTH(B8)-1+20,12)+1,1)+(DAY(B8)-1)</f>
        <v/>
      </c>
      <c r="C35" s="21">
        <f>ROUND(E34*B5/100/12,2)</f>
        <v/>
      </c>
      <c r="D35" s="21">
        <f>IF((OR(ROUND(E34-ROUND($B$10-C35,2),2)&lt;=0,21=B6)),E34,ROUND($B$10-C35,2))</f>
        <v/>
      </c>
      <c r="E35" s="21">
        <f>IF((OR(ROUND(E34-ROUND($B$10-C35,2),2)&lt;=0,21=B6)),0,ROUND(E34-D35,2))</f>
        <v/>
      </c>
      <c r="F35" s="21">
        <f>ROUND(H34*B5/100/12,2)</f>
        <v/>
      </c>
      <c r="G35" s="21">
        <f>IF((ROUND(H34-ROUND($B$11-F35,2),2)&lt;=0),H34,ROUND($B$11-F35,2))</f>
        <v/>
      </c>
      <c r="H35" s="21">
        <f>IF((ROUND(H34-ROUND($B$11-F35,2),2)&lt;=0),0,ROUND(H34-G35,2))</f>
        <v/>
      </c>
    </row>
    <row r="36">
      <c r="A36" s="6" t="n">
        <v>22</v>
      </c>
      <c r="B36" s="19">
        <f>DATE(YEAR(B8)+INT((MONTH(B8)-1+21)/12),MOD(MONTH(B8)-1+21,12)+1,1)+(DAY(B8)-1)</f>
        <v/>
      </c>
      <c r="C36" s="21">
        <f>ROUND(E35*B5/100/12,2)</f>
        <v/>
      </c>
      <c r="D36" s="21">
        <f>IF((OR(ROUND(E35-ROUND($B$10-C36,2),2)&lt;=0,22=B6)),E35,ROUND($B$10-C36,2))</f>
        <v/>
      </c>
      <c r="E36" s="21">
        <f>IF((OR(ROUND(E35-ROUND($B$10-C36,2),2)&lt;=0,22=B6)),0,ROUND(E35-D36,2))</f>
        <v/>
      </c>
      <c r="F36" s="21">
        <f>ROUND(H35*B5/100/12,2)</f>
        <v/>
      </c>
      <c r="G36" s="21">
        <f>IF((ROUND(H35-ROUND($B$11-F36,2),2)&lt;=0),H35,ROUND($B$11-F36,2))</f>
        <v/>
      </c>
      <c r="H36" s="21">
        <f>IF((ROUND(H35-ROUND($B$11-F36,2),2)&lt;=0),0,ROUND(H35-G36,2))</f>
        <v/>
      </c>
    </row>
    <row r="37">
      <c r="A37" s="6" t="n">
        <v>23</v>
      </c>
      <c r="B37" s="19">
        <f>DATE(YEAR(B8)+INT((MONTH(B8)-1+22)/12),MOD(MONTH(B8)-1+22,12)+1,1)+(DAY(B8)-1)</f>
        <v/>
      </c>
      <c r="C37" s="21">
        <f>ROUND(E36*B5/100/12,2)</f>
        <v/>
      </c>
      <c r="D37" s="21">
        <f>IF((OR(ROUND(E36-ROUND($B$10-C37,2),2)&lt;=0,23=B6)),E36,ROUND($B$10-C37,2))</f>
        <v/>
      </c>
      <c r="E37" s="21">
        <f>IF((OR(ROUND(E36-ROUND($B$10-C37,2),2)&lt;=0,23=B6)),0,ROUND(E36-D37,2))</f>
        <v/>
      </c>
      <c r="F37" s="21">
        <f>ROUND(H36*B5/100/12,2)</f>
        <v/>
      </c>
      <c r="G37" s="21">
        <f>IF((ROUND(H36-ROUND($B$11-F37,2),2)&lt;=0),H36,ROUND($B$11-F37,2))</f>
        <v/>
      </c>
      <c r="H37" s="21">
        <f>IF((ROUND(H36-ROUND($B$11-F37,2),2)&lt;=0),0,ROUND(H36-G37,2))</f>
        <v/>
      </c>
    </row>
    <row r="38">
      <c r="A38" s="6" t="n">
        <v>24</v>
      </c>
      <c r="B38" s="19">
        <f>DATE(YEAR(B8)+INT((MONTH(B8)-1+23)/12),MOD(MONTH(B8)-1+23,12)+1,1)+(DAY(B8)-1)</f>
        <v/>
      </c>
      <c r="C38" s="21">
        <f>ROUND(E37*B5/100/12,2)</f>
        <v/>
      </c>
      <c r="D38" s="21">
        <f>IF((OR(ROUND(E37-ROUND($B$10-C38,2),2)&lt;=0,24=B6)),E37,ROUND($B$10-C38,2))</f>
        <v/>
      </c>
      <c r="E38" s="21">
        <f>IF((OR(ROUND(E37-ROUND($B$10-C38,2),2)&lt;=0,24=B6)),0,ROUND(E37-D38,2))</f>
        <v/>
      </c>
      <c r="F38" s="21">
        <f>ROUND(H37*B5/100/12,2)</f>
        <v/>
      </c>
      <c r="G38" s="21">
        <f>IF((ROUND(H37-ROUND($B$11-F38,2),2)&lt;=0),H37,ROUND($B$11-F38,2))</f>
        <v/>
      </c>
      <c r="H38" s="21">
        <f>IF((ROUND(H37-ROUND($B$11-F38,2),2)&lt;=0),0,ROUND(H37-G38,2))</f>
        <v/>
      </c>
    </row>
    <row r="39">
      <c r="A39" s="6" t="n">
        <v>25</v>
      </c>
      <c r="B39" s="19">
        <f>DATE(YEAR(B8)+INT((MONTH(B8)-1+24)/12),MOD(MONTH(B8)-1+24,12)+1,1)+(DAY(B8)-1)</f>
        <v/>
      </c>
      <c r="C39" s="21">
        <f>ROUND(E38*B5/100/12,2)</f>
        <v/>
      </c>
      <c r="D39" s="21">
        <f>IF((OR(ROUND(E38-ROUND($B$10-C39,2),2)&lt;=0,25=B6)),E38,ROUND($B$10-C39,2))</f>
        <v/>
      </c>
      <c r="E39" s="21">
        <f>IF((OR(ROUND(E38-ROUND($B$10-C39,2),2)&lt;=0,25=B6)),0,ROUND(E38-D39,2))</f>
        <v/>
      </c>
      <c r="F39" s="21">
        <f>ROUND(H38*B5/100/12,2)</f>
        <v/>
      </c>
      <c r="G39" s="21">
        <f>IF((ROUND(H38-ROUND($B$11-F39,2),2)&lt;=0),H38,ROUND($B$11-F39,2))</f>
        <v/>
      </c>
      <c r="H39" s="21">
        <f>IF((ROUND(H38-ROUND($B$11-F39,2),2)&lt;=0),0,ROUND(H38-G39,2))</f>
        <v/>
      </c>
    </row>
    <row r="40">
      <c r="A40" s="6" t="n">
        <v>26</v>
      </c>
      <c r="B40" s="19">
        <f>DATE(YEAR(B8)+INT((MONTH(B8)-1+25)/12),MOD(MONTH(B8)-1+25,12)+1,1)+(DAY(B8)-1)</f>
        <v/>
      </c>
      <c r="C40" s="21">
        <f>ROUND(E39*B5/100/12,2)</f>
        <v/>
      </c>
      <c r="D40" s="21">
        <f>IF((OR(ROUND(E39-ROUND($B$10-C40,2),2)&lt;=0,26=B6)),E39,ROUND($B$10-C40,2))</f>
        <v/>
      </c>
      <c r="E40" s="21">
        <f>IF((OR(ROUND(E39-ROUND($B$10-C40,2),2)&lt;=0,26=B6)),0,ROUND(E39-D40,2))</f>
        <v/>
      </c>
      <c r="F40" s="21">
        <f>ROUND(H39*B5/100/12,2)</f>
        <v/>
      </c>
      <c r="G40" s="21">
        <f>IF((ROUND(H39-ROUND($B$11-F40,2),2)&lt;=0),H39,ROUND($B$11-F40,2))</f>
        <v/>
      </c>
      <c r="H40" s="21">
        <f>IF((ROUND(H39-ROUND($B$11-F40,2),2)&lt;=0),0,ROUND(H39-G40,2))</f>
        <v/>
      </c>
    </row>
    <row r="41">
      <c r="A41" s="6" t="n">
        <v>27</v>
      </c>
      <c r="B41" s="19">
        <f>DATE(YEAR(B8)+INT((MONTH(B8)-1+26)/12),MOD(MONTH(B8)-1+26,12)+1,1)+(DAY(B8)-1)</f>
        <v/>
      </c>
      <c r="C41" s="21">
        <f>ROUND(E40*B5/100/12,2)</f>
        <v/>
      </c>
      <c r="D41" s="21">
        <f>IF((OR(ROUND(E40-ROUND($B$10-C41,2),2)&lt;=0,27=B6)),E40,ROUND($B$10-C41,2))</f>
        <v/>
      </c>
      <c r="E41" s="21">
        <f>IF((OR(ROUND(E40-ROUND($B$10-C41,2),2)&lt;=0,27=B6)),0,ROUND(E40-D41,2))</f>
        <v/>
      </c>
      <c r="F41" s="21">
        <f>ROUND(H40*B5/100/12,2)</f>
        <v/>
      </c>
      <c r="G41" s="21">
        <f>IF((ROUND(H40-ROUND($B$11-F41,2),2)&lt;=0),H40,ROUND($B$11-F41,2))</f>
        <v/>
      </c>
      <c r="H41" s="21">
        <f>IF((ROUND(H40-ROUND($B$11-F41,2),2)&lt;=0),0,ROUND(H40-G41,2))</f>
        <v/>
      </c>
    </row>
    <row r="42">
      <c r="A42" s="6" t="n">
        <v>28</v>
      </c>
      <c r="B42" s="19">
        <f>DATE(YEAR(B8)+INT((MONTH(B8)-1+27)/12),MOD(MONTH(B8)-1+27,12)+1,1)+(DAY(B8)-1)</f>
        <v/>
      </c>
      <c r="C42" s="21">
        <f>ROUND(E41*B5/100/12,2)</f>
        <v/>
      </c>
      <c r="D42" s="21">
        <f>IF((OR(ROUND(E41-ROUND($B$10-C42,2),2)&lt;=0,28=B6)),E41,ROUND($B$10-C42,2))</f>
        <v/>
      </c>
      <c r="E42" s="21">
        <f>IF((OR(ROUND(E41-ROUND($B$10-C42,2),2)&lt;=0,28=B6)),0,ROUND(E41-D42,2))</f>
        <v/>
      </c>
      <c r="F42" s="21">
        <f>ROUND(H41*B5/100/12,2)</f>
        <v/>
      </c>
      <c r="G42" s="21">
        <f>IF((ROUND(H41-ROUND($B$11-F42,2),2)&lt;=0),H41,ROUND($B$11-F42,2))</f>
        <v/>
      </c>
      <c r="H42" s="21">
        <f>IF((ROUND(H41-ROUND($B$11-F42,2),2)&lt;=0),0,ROUND(H41-G42,2))</f>
        <v/>
      </c>
    </row>
    <row r="43">
      <c r="A43" s="6" t="n">
        <v>29</v>
      </c>
      <c r="B43" s="19">
        <f>DATE(YEAR(B8)+INT((MONTH(B8)-1+28)/12),MOD(MONTH(B8)-1+28,12)+1,1)+(DAY(B8)-1)</f>
        <v/>
      </c>
      <c r="C43" s="21">
        <f>ROUND(E42*B5/100/12,2)</f>
        <v/>
      </c>
      <c r="D43" s="21">
        <f>IF((OR(ROUND(E42-ROUND($B$10-C43,2),2)&lt;=0,29=B6)),E42,ROUND($B$10-C43,2))</f>
        <v/>
      </c>
      <c r="E43" s="21">
        <f>IF((OR(ROUND(E42-ROUND($B$10-C43,2),2)&lt;=0,29=B6)),0,ROUND(E42-D43,2))</f>
        <v/>
      </c>
      <c r="F43" s="21">
        <f>ROUND(H42*B5/100/12,2)</f>
        <v/>
      </c>
      <c r="G43" s="21">
        <f>IF((ROUND(H42-ROUND($B$11-F43,2),2)&lt;=0),H42,ROUND($B$11-F43,2))</f>
        <v/>
      </c>
      <c r="H43" s="21">
        <f>IF((ROUND(H42-ROUND($B$11-F43,2),2)&lt;=0),0,ROUND(H42-G43,2))</f>
        <v/>
      </c>
    </row>
    <row r="44">
      <c r="A44" s="6" t="n">
        <v>30</v>
      </c>
      <c r="B44" s="19">
        <f>DATE(YEAR(B8)+INT((MONTH(B8)-1+29)/12),MOD(MONTH(B8)-1+29,12)+1,1)+(DAY(B8)-1)</f>
        <v/>
      </c>
      <c r="C44" s="21">
        <f>ROUND(E43*B5/100/12,2)</f>
        <v/>
      </c>
      <c r="D44" s="21">
        <f>IF((OR(ROUND(E43-ROUND($B$10-C44,2),2)&lt;=0,30=B6)),E43,ROUND($B$10-C44,2))</f>
        <v/>
      </c>
      <c r="E44" s="21">
        <f>IF((OR(ROUND(E43-ROUND($B$10-C44,2),2)&lt;=0,30=B6)),0,ROUND(E43-D44,2))</f>
        <v/>
      </c>
      <c r="F44" s="21">
        <f>ROUND(H43*B5/100/12,2)</f>
        <v/>
      </c>
      <c r="G44" s="21">
        <f>IF((ROUND(H43-ROUND($B$11-F44,2),2)&lt;=0),H43,ROUND($B$11-F44,2))</f>
        <v/>
      </c>
      <c r="H44" s="21">
        <f>IF((ROUND(H43-ROUND($B$11-F44,2),2)&lt;=0),0,ROUND(H43-G44,2))</f>
        <v/>
      </c>
    </row>
    <row r="45">
      <c r="A45" s="6" t="n">
        <v>31</v>
      </c>
      <c r="B45" s="19">
        <f>DATE(YEAR(B8)+INT((MONTH(B8)-1+30)/12),MOD(MONTH(B8)-1+30,12)+1,1)+(DAY(B8)-1)</f>
        <v/>
      </c>
      <c r="C45" s="21">
        <f>ROUND(E44*B5/100/12,2)</f>
        <v/>
      </c>
      <c r="D45" s="21">
        <f>IF((OR(ROUND(E44-ROUND($B$10-C45,2),2)&lt;=0,31=B6)),E44,ROUND($B$10-C45,2))</f>
        <v/>
      </c>
      <c r="E45" s="21">
        <f>IF((OR(ROUND(E44-ROUND($B$10-C45,2),2)&lt;=0,31=B6)),0,ROUND(E44-D45,2))</f>
        <v/>
      </c>
      <c r="F45" s="21">
        <f>ROUND(H44*B5/100/12,2)</f>
        <v/>
      </c>
      <c r="G45" s="21">
        <f>IF((ROUND(H44-ROUND($B$11-F45,2),2)&lt;=0),H44,ROUND($B$11-F45,2))</f>
        <v/>
      </c>
      <c r="H45" s="21">
        <f>IF((ROUND(H44-ROUND($B$11-F45,2),2)&lt;=0),0,ROUND(H44-G45,2))</f>
        <v/>
      </c>
    </row>
    <row r="46">
      <c r="A46" s="6" t="n">
        <v>32</v>
      </c>
      <c r="B46" s="19">
        <f>DATE(YEAR(B8)+INT((MONTH(B8)-1+31)/12),MOD(MONTH(B8)-1+31,12)+1,1)+(DAY(B8)-1)</f>
        <v/>
      </c>
      <c r="C46" s="21">
        <f>ROUND(E45*B5/100/12,2)</f>
        <v/>
      </c>
      <c r="D46" s="21">
        <f>IF((OR(ROUND(E45-ROUND($B$10-C46,2),2)&lt;=0,32=B6)),E45,ROUND($B$10-C46,2))</f>
        <v/>
      </c>
      <c r="E46" s="21">
        <f>IF((OR(ROUND(E45-ROUND($B$10-C46,2),2)&lt;=0,32=B6)),0,ROUND(E45-D46,2))</f>
        <v/>
      </c>
      <c r="F46" s="21">
        <f>ROUND(H45*B5/100/12,2)</f>
        <v/>
      </c>
      <c r="G46" s="21">
        <f>IF((ROUND(H45-ROUND($B$11-F46,2),2)&lt;=0),H45,ROUND($B$11-F46,2))</f>
        <v/>
      </c>
      <c r="H46" s="21">
        <f>IF((ROUND(H45-ROUND($B$11-F46,2),2)&lt;=0),0,ROUND(H45-G46,2))</f>
        <v/>
      </c>
    </row>
    <row r="47">
      <c r="A47" s="6" t="n">
        <v>33</v>
      </c>
      <c r="B47" s="19">
        <f>DATE(YEAR(B8)+INT((MONTH(B8)-1+32)/12),MOD(MONTH(B8)-1+32,12)+1,1)+(DAY(B8)-1)</f>
        <v/>
      </c>
      <c r="C47" s="21">
        <f>ROUND(E46*B5/100/12,2)</f>
        <v/>
      </c>
      <c r="D47" s="21">
        <f>IF((OR(ROUND(E46-ROUND($B$10-C47,2),2)&lt;=0,33=B6)),E46,ROUND($B$10-C47,2))</f>
        <v/>
      </c>
      <c r="E47" s="21">
        <f>IF((OR(ROUND(E46-ROUND($B$10-C47,2),2)&lt;=0,33=B6)),0,ROUND(E46-D47,2))</f>
        <v/>
      </c>
      <c r="F47" s="21">
        <f>ROUND(H46*B5/100/12,2)</f>
        <v/>
      </c>
      <c r="G47" s="21">
        <f>IF((ROUND(H46-ROUND($B$11-F47,2),2)&lt;=0),H46,ROUND($B$11-F47,2))</f>
        <v/>
      </c>
      <c r="H47" s="21">
        <f>IF((ROUND(H46-ROUND($B$11-F47,2),2)&lt;=0),0,ROUND(H46-G47,2))</f>
        <v/>
      </c>
    </row>
    <row r="48">
      <c r="A48" s="6" t="n">
        <v>34</v>
      </c>
      <c r="B48" s="19">
        <f>DATE(YEAR(B8)+INT((MONTH(B8)-1+33)/12),MOD(MONTH(B8)-1+33,12)+1,1)+(DAY(B8)-1)</f>
        <v/>
      </c>
      <c r="C48" s="21">
        <f>ROUND(E47*B5/100/12,2)</f>
        <v/>
      </c>
      <c r="D48" s="21">
        <f>IF((OR(ROUND(E47-ROUND($B$10-C48,2),2)&lt;=0,34=B6)),E47,ROUND($B$10-C48,2))</f>
        <v/>
      </c>
      <c r="E48" s="21">
        <f>IF((OR(ROUND(E47-ROUND($B$10-C48,2),2)&lt;=0,34=B6)),0,ROUND(E47-D48,2))</f>
        <v/>
      </c>
      <c r="F48" s="21">
        <f>ROUND(H47*B5/100/12,2)</f>
        <v/>
      </c>
      <c r="G48" s="21">
        <f>IF((ROUND(H47-ROUND($B$11-F48,2),2)&lt;=0),H47,ROUND($B$11-F48,2))</f>
        <v/>
      </c>
      <c r="H48" s="21">
        <f>IF((ROUND(H47-ROUND($B$11-F48,2),2)&lt;=0),0,ROUND(H47-G48,2))</f>
        <v/>
      </c>
    </row>
    <row r="49">
      <c r="A49" s="6" t="n">
        <v>35</v>
      </c>
      <c r="B49" s="19">
        <f>DATE(YEAR(B8)+INT((MONTH(B8)-1+34)/12),MOD(MONTH(B8)-1+34,12)+1,1)+(DAY(B8)-1)</f>
        <v/>
      </c>
      <c r="C49" s="21">
        <f>ROUND(E48*B5/100/12,2)</f>
        <v/>
      </c>
      <c r="D49" s="21">
        <f>IF((OR(ROUND(E48-ROUND($B$10-C49,2),2)&lt;=0,35=B6)),E48,ROUND($B$10-C49,2))</f>
        <v/>
      </c>
      <c r="E49" s="21">
        <f>IF((OR(ROUND(E48-ROUND($B$10-C49,2),2)&lt;=0,35=B6)),0,ROUND(E48-D49,2))</f>
        <v/>
      </c>
      <c r="F49" s="21">
        <f>ROUND(H48*B5/100/12,2)</f>
        <v/>
      </c>
      <c r="G49" s="21">
        <f>IF((ROUND(H48-ROUND($B$11-F49,2),2)&lt;=0),H48,ROUND($B$11-F49,2))</f>
        <v/>
      </c>
      <c r="H49" s="21">
        <f>IF((ROUND(H48-ROUND($B$11-F49,2),2)&lt;=0),0,ROUND(H48-G49,2))</f>
        <v/>
      </c>
    </row>
    <row r="50">
      <c r="A50" s="6" t="n">
        <v>36</v>
      </c>
      <c r="B50" s="19">
        <f>DATE(YEAR(B8)+INT((MONTH(B8)-1+35)/12),MOD(MONTH(B8)-1+35,12)+1,1)+(DAY(B8)-1)</f>
        <v/>
      </c>
      <c r="C50" s="21">
        <f>ROUND(E49*B5/100/12,2)</f>
        <v/>
      </c>
      <c r="D50" s="21">
        <f>IF((OR(ROUND(E49-ROUND($B$10-C50,2),2)&lt;=0,36=B6)),E49,ROUND($B$10-C50,2))</f>
        <v/>
      </c>
      <c r="E50" s="21">
        <f>IF((OR(ROUND(E49-ROUND($B$10-C50,2),2)&lt;=0,36=B6)),0,ROUND(E49-D50,2))</f>
        <v/>
      </c>
      <c r="F50" s="21">
        <f>ROUND(H49*B5/100/12,2)</f>
        <v/>
      </c>
      <c r="G50" s="21">
        <f>IF((ROUND(H49-ROUND($B$11-F50,2),2)&lt;=0),H49,ROUND($B$11-F50,2))</f>
        <v/>
      </c>
      <c r="H50" s="21">
        <f>IF((ROUND(H49-ROUND($B$11-F50,2),2)&lt;=0),0,ROUND(H49-G50,2))</f>
        <v/>
      </c>
    </row>
    <row r="51">
      <c r="A51" s="6" t="n">
        <v>37</v>
      </c>
      <c r="B51" s="19">
        <f>DATE(YEAR(B8)+INT((MONTH(B8)-1+36)/12),MOD(MONTH(B8)-1+36,12)+1,1)+(DAY(B8)-1)</f>
        <v/>
      </c>
      <c r="C51" s="21">
        <f>ROUND(E50*B5/100/12,2)</f>
        <v/>
      </c>
      <c r="D51" s="21">
        <f>IF((OR(ROUND(E50-ROUND($B$10-C51,2),2)&lt;=0,37=B6)),E50,ROUND($B$10-C51,2))</f>
        <v/>
      </c>
      <c r="E51" s="21">
        <f>IF((OR(ROUND(E50-ROUND($B$10-C51,2),2)&lt;=0,37=B6)),0,ROUND(E50-D51,2))</f>
        <v/>
      </c>
      <c r="F51" s="21">
        <f>ROUND(H50*B5/100/12,2)</f>
        <v/>
      </c>
      <c r="G51" s="21">
        <f>IF((ROUND(H50-ROUND($B$11-F51,2),2)&lt;=0),H50,ROUND($B$11-F51,2))</f>
        <v/>
      </c>
      <c r="H51" s="21">
        <f>IF((ROUND(H50-ROUND($B$11-F51,2),2)&lt;=0),0,ROUND(H50-G51,2))</f>
        <v/>
      </c>
    </row>
    <row r="52">
      <c r="A52" s="6" t="n">
        <v>38</v>
      </c>
      <c r="B52" s="19">
        <f>DATE(YEAR(B8)+INT((MONTH(B8)-1+37)/12),MOD(MONTH(B8)-1+37,12)+1,1)+(DAY(B8)-1)</f>
        <v/>
      </c>
      <c r="C52" s="21">
        <f>ROUND(E51*B5/100/12,2)</f>
        <v/>
      </c>
      <c r="D52" s="21">
        <f>IF((OR(ROUND(E51-ROUND($B$10-C52,2),2)&lt;=0,38=B6)),E51,ROUND($B$10-C52,2))</f>
        <v/>
      </c>
      <c r="E52" s="21">
        <f>IF((OR(ROUND(E51-ROUND($B$10-C52,2),2)&lt;=0,38=B6)),0,ROUND(E51-D52,2))</f>
        <v/>
      </c>
      <c r="F52" s="21">
        <f>ROUND(H51*B5/100/12,2)</f>
        <v/>
      </c>
      <c r="G52" s="21">
        <f>IF((ROUND(H51-ROUND($B$11-F52,2),2)&lt;=0),H51,ROUND($B$11-F52,2))</f>
        <v/>
      </c>
      <c r="H52" s="21">
        <f>IF((ROUND(H51-ROUND($B$11-F52,2),2)&lt;=0),0,ROUND(H51-G52,2))</f>
        <v/>
      </c>
    </row>
    <row r="53">
      <c r="A53" s="6" t="n">
        <v>39</v>
      </c>
      <c r="B53" s="19">
        <f>DATE(YEAR(B8)+INT((MONTH(B8)-1+38)/12),MOD(MONTH(B8)-1+38,12)+1,1)+(DAY(B8)-1)</f>
        <v/>
      </c>
      <c r="C53" s="21">
        <f>ROUND(E52*B5/100/12,2)</f>
        <v/>
      </c>
      <c r="D53" s="21">
        <f>IF((OR(ROUND(E52-ROUND($B$10-C53,2),2)&lt;=0,39=B6)),E52,ROUND($B$10-C53,2))</f>
        <v/>
      </c>
      <c r="E53" s="21">
        <f>IF((OR(ROUND(E52-ROUND($B$10-C53,2),2)&lt;=0,39=B6)),0,ROUND(E52-D53,2))</f>
        <v/>
      </c>
      <c r="F53" s="21">
        <f>ROUND(H52*B5/100/12,2)</f>
        <v/>
      </c>
      <c r="G53" s="21">
        <f>IF((ROUND(H52-ROUND($B$11-F53,2),2)&lt;=0),H52,ROUND($B$11-F53,2))</f>
        <v/>
      </c>
      <c r="H53" s="21">
        <f>IF((ROUND(H52-ROUND($B$11-F53,2),2)&lt;=0),0,ROUND(H52-G53,2))</f>
        <v/>
      </c>
    </row>
    <row r="54">
      <c r="A54" s="6" t="n">
        <v>40</v>
      </c>
      <c r="B54" s="19">
        <f>DATE(YEAR(B8)+INT((MONTH(B8)-1+39)/12),MOD(MONTH(B8)-1+39,12)+1,1)+(DAY(B8)-1)</f>
        <v/>
      </c>
      <c r="C54" s="21">
        <f>ROUND(E53*B5/100/12,2)</f>
        <v/>
      </c>
      <c r="D54" s="21">
        <f>IF((OR(ROUND(E53-ROUND($B$10-C54,2),2)&lt;=0,40=B6)),E53,ROUND($B$10-C54,2))</f>
        <v/>
      </c>
      <c r="E54" s="21">
        <f>IF((OR(ROUND(E53-ROUND($B$10-C54,2),2)&lt;=0,40=B6)),0,ROUND(E53-D54,2))</f>
        <v/>
      </c>
      <c r="F54" s="21">
        <f>ROUND(H53*B5/100/12,2)</f>
        <v/>
      </c>
      <c r="G54" s="21">
        <f>IF((ROUND(H53-ROUND($B$11-F54,2),2)&lt;=0),H53,ROUND($B$11-F54,2))</f>
        <v/>
      </c>
      <c r="H54" s="21">
        <f>IF((ROUND(H53-ROUND($B$11-F54,2),2)&lt;=0),0,ROUND(H53-G54,2))</f>
        <v/>
      </c>
    </row>
    <row r="55">
      <c r="A55" s="6" t="n">
        <v>41</v>
      </c>
      <c r="B55" s="19">
        <f>DATE(YEAR(B8)+INT((MONTH(B8)-1+40)/12),MOD(MONTH(B8)-1+40,12)+1,1)+(DAY(B8)-1)</f>
        <v/>
      </c>
      <c r="C55" s="21">
        <f>ROUND(E54*B5/100/12,2)</f>
        <v/>
      </c>
      <c r="D55" s="21">
        <f>IF((OR(ROUND(E54-ROUND($B$10-C55,2),2)&lt;=0,41=B6)),E54,ROUND($B$10-C55,2))</f>
        <v/>
      </c>
      <c r="E55" s="21">
        <f>IF((OR(ROUND(E54-ROUND($B$10-C55,2),2)&lt;=0,41=B6)),0,ROUND(E54-D55,2))</f>
        <v/>
      </c>
      <c r="F55" s="21">
        <f>ROUND(H54*B5/100/12,2)</f>
        <v/>
      </c>
      <c r="G55" s="21">
        <f>IF((ROUND(H54-ROUND($B$11-F55,2),2)&lt;=0),H54,ROUND($B$11-F55,2))</f>
        <v/>
      </c>
      <c r="H55" s="21">
        <f>IF((ROUND(H54-ROUND($B$11-F55,2),2)&lt;=0),0,ROUND(H54-G55,2))</f>
        <v/>
      </c>
    </row>
    <row r="56">
      <c r="A56" s="6" t="n">
        <v>42</v>
      </c>
      <c r="B56" s="19">
        <f>DATE(YEAR(B8)+INT((MONTH(B8)-1+41)/12),MOD(MONTH(B8)-1+41,12)+1,1)+(DAY(B8)-1)</f>
        <v/>
      </c>
      <c r="C56" s="21">
        <f>ROUND(E55*B5/100/12,2)</f>
        <v/>
      </c>
      <c r="D56" s="21">
        <f>IF((OR(ROUND(E55-ROUND($B$10-C56,2),2)&lt;=0,42=B6)),E55,ROUND($B$10-C56,2))</f>
        <v/>
      </c>
      <c r="E56" s="21">
        <f>IF((OR(ROUND(E55-ROUND($B$10-C56,2),2)&lt;=0,42=B6)),0,ROUND(E55-D56,2))</f>
        <v/>
      </c>
      <c r="F56" s="21">
        <f>ROUND(H55*B5/100/12,2)</f>
        <v/>
      </c>
      <c r="G56" s="21">
        <f>IF((ROUND(H55-ROUND($B$11-F56,2),2)&lt;=0),H55,ROUND($B$11-F56,2))</f>
        <v/>
      </c>
      <c r="H56" s="21">
        <f>IF((ROUND(H55-ROUND($B$11-F56,2),2)&lt;=0),0,ROUND(H55-G56,2))</f>
        <v/>
      </c>
    </row>
    <row r="57">
      <c r="A57" s="6" t="n">
        <v>43</v>
      </c>
      <c r="B57" s="19">
        <f>DATE(YEAR(B8)+INT((MONTH(B8)-1+42)/12),MOD(MONTH(B8)-1+42,12)+1,1)+(DAY(B8)-1)</f>
        <v/>
      </c>
      <c r="C57" s="21">
        <f>ROUND(E56*B5/100/12,2)</f>
        <v/>
      </c>
      <c r="D57" s="21">
        <f>IF((OR(ROUND(E56-ROUND($B$10-C57,2),2)&lt;=0,43=B6)),E56,ROUND($B$10-C57,2))</f>
        <v/>
      </c>
      <c r="E57" s="21">
        <f>IF((OR(ROUND(E56-ROUND($B$10-C57,2),2)&lt;=0,43=B6)),0,ROUND(E56-D57,2))</f>
        <v/>
      </c>
      <c r="F57" s="21">
        <f>ROUND(H56*B5/100/12,2)</f>
        <v/>
      </c>
      <c r="G57" s="21">
        <f>IF((ROUND(H56-ROUND($B$11-F57,2),2)&lt;=0),H56,ROUND($B$11-F57,2))</f>
        <v/>
      </c>
      <c r="H57" s="21">
        <f>IF((ROUND(H56-ROUND($B$11-F57,2),2)&lt;=0),0,ROUND(H56-G57,2))</f>
        <v/>
      </c>
    </row>
    <row r="58">
      <c r="A58" s="6" t="n">
        <v>44</v>
      </c>
      <c r="B58" s="19">
        <f>DATE(YEAR(B8)+INT((MONTH(B8)-1+43)/12),MOD(MONTH(B8)-1+43,12)+1,1)+(DAY(B8)-1)</f>
        <v/>
      </c>
      <c r="C58" s="21">
        <f>ROUND(E57*B5/100/12,2)</f>
        <v/>
      </c>
      <c r="D58" s="21">
        <f>IF((OR(ROUND(E57-ROUND($B$10-C58,2),2)&lt;=0,44=B6)),E57,ROUND($B$10-C58,2))</f>
        <v/>
      </c>
      <c r="E58" s="21">
        <f>IF((OR(ROUND(E57-ROUND($B$10-C58,2),2)&lt;=0,44=B6)),0,ROUND(E57-D58,2))</f>
        <v/>
      </c>
      <c r="F58" s="21">
        <f>ROUND(H57*B5/100/12,2)</f>
        <v/>
      </c>
      <c r="G58" s="21">
        <f>IF((ROUND(H57-ROUND($B$11-F58,2),2)&lt;=0),H57,ROUND($B$11-F58,2))</f>
        <v/>
      </c>
      <c r="H58" s="21">
        <f>IF((ROUND(H57-ROUND($B$11-F58,2),2)&lt;=0),0,ROUND(H57-G58,2))</f>
        <v/>
      </c>
    </row>
    <row r="59">
      <c r="A59" s="6" t="n">
        <v>45</v>
      </c>
      <c r="B59" s="19">
        <f>DATE(YEAR(B8)+INT((MONTH(B8)-1+44)/12),MOD(MONTH(B8)-1+44,12)+1,1)+(DAY(B8)-1)</f>
        <v/>
      </c>
      <c r="C59" s="21">
        <f>ROUND(E58*B5/100/12,2)</f>
        <v/>
      </c>
      <c r="D59" s="21">
        <f>IF((OR(ROUND(E58-ROUND($B$10-C59,2),2)&lt;=0,45=B6)),E58,ROUND($B$10-C59,2))</f>
        <v/>
      </c>
      <c r="E59" s="21">
        <f>IF((OR(ROUND(E58-ROUND($B$10-C59,2),2)&lt;=0,45=B6)),0,ROUND(E58-D59,2))</f>
        <v/>
      </c>
      <c r="F59" s="21">
        <f>ROUND(H58*B5/100/12,2)</f>
        <v/>
      </c>
      <c r="G59" s="21">
        <f>IF((ROUND(H58-ROUND($B$11-F59,2),2)&lt;=0),H58,ROUND($B$11-F59,2))</f>
        <v/>
      </c>
      <c r="H59" s="21">
        <f>IF((ROUND(H58-ROUND($B$11-F59,2),2)&lt;=0),0,ROUND(H58-G59,2))</f>
        <v/>
      </c>
    </row>
    <row r="60">
      <c r="A60" s="6" t="n">
        <v>46</v>
      </c>
      <c r="B60" s="19">
        <f>DATE(YEAR(B8)+INT((MONTH(B8)-1+45)/12),MOD(MONTH(B8)-1+45,12)+1,1)+(DAY(B8)-1)</f>
        <v/>
      </c>
      <c r="C60" s="21">
        <f>ROUND(E59*B5/100/12,2)</f>
        <v/>
      </c>
      <c r="D60" s="21">
        <f>IF((OR(ROUND(E59-ROUND($B$10-C60,2),2)&lt;=0,46=B6)),E59,ROUND($B$10-C60,2))</f>
        <v/>
      </c>
      <c r="E60" s="21">
        <f>IF((OR(ROUND(E59-ROUND($B$10-C60,2),2)&lt;=0,46=B6)),0,ROUND(E59-D60,2))</f>
        <v/>
      </c>
      <c r="F60" s="21">
        <f>ROUND(H59*B5/100/12,2)</f>
        <v/>
      </c>
      <c r="G60" s="21">
        <f>IF((ROUND(H59-ROUND($B$11-F60,2),2)&lt;=0),H59,ROUND($B$11-F60,2))</f>
        <v/>
      </c>
      <c r="H60" s="21">
        <f>IF((ROUND(H59-ROUND($B$11-F60,2),2)&lt;=0),0,ROUND(H59-G60,2))</f>
        <v/>
      </c>
    </row>
    <row r="61">
      <c r="A61" s="6" t="n">
        <v>47</v>
      </c>
      <c r="B61" s="19">
        <f>DATE(YEAR(B8)+INT((MONTH(B8)-1+46)/12),MOD(MONTH(B8)-1+46,12)+1,1)+(DAY(B8)-1)</f>
        <v/>
      </c>
      <c r="C61" s="21">
        <f>ROUND(E60*B5/100/12,2)</f>
        <v/>
      </c>
      <c r="D61" s="21">
        <f>IF((OR(ROUND(E60-ROUND($B$10-C61,2),2)&lt;=0,47=B6)),E60,ROUND($B$10-C61,2))</f>
        <v/>
      </c>
      <c r="E61" s="21">
        <f>IF((OR(ROUND(E60-ROUND($B$10-C61,2),2)&lt;=0,47=B6)),0,ROUND(E60-D61,2))</f>
        <v/>
      </c>
      <c r="F61" s="21">
        <f>ROUND(H60*B5/100/12,2)</f>
        <v/>
      </c>
      <c r="G61" s="21">
        <f>IF((ROUND(H60-ROUND($B$11-F61,2),2)&lt;=0),H60,ROUND($B$11-F61,2))</f>
        <v/>
      </c>
      <c r="H61" s="21">
        <f>IF((ROUND(H60-ROUND($B$11-F61,2),2)&lt;=0),0,ROUND(H60-G61,2))</f>
        <v/>
      </c>
    </row>
    <row r="62">
      <c r="A62" s="6" t="n">
        <v>48</v>
      </c>
      <c r="B62" s="19">
        <f>DATE(YEAR(B8)+INT((MONTH(B8)-1+47)/12),MOD(MONTH(B8)-1+47,12)+1,1)+(DAY(B8)-1)</f>
        <v/>
      </c>
      <c r="C62" s="21">
        <f>ROUND(E61*B5/100/12,2)</f>
        <v/>
      </c>
      <c r="D62" s="21">
        <f>IF((OR(ROUND(E61-ROUND($B$10-C62,2),2)&lt;=0,48=B6)),E61,ROUND($B$10-C62,2))</f>
        <v/>
      </c>
      <c r="E62" s="21">
        <f>IF((OR(ROUND(E61-ROUND($B$10-C62,2),2)&lt;=0,48=B6)),0,ROUND(E61-D62,2))</f>
        <v/>
      </c>
      <c r="F62" s="21">
        <f>ROUND(H61*B5/100/12,2)</f>
        <v/>
      </c>
      <c r="G62" s="21">
        <f>IF((ROUND(H61-ROUND($B$11-F62,2),2)&lt;=0),H61,ROUND($B$11-F62,2))</f>
        <v/>
      </c>
      <c r="H62" s="21">
        <f>IF((ROUND(H61-ROUND($B$11-F62,2),2)&lt;=0),0,ROUND(H61-G62,2))</f>
        <v/>
      </c>
    </row>
    <row r="63">
      <c r="A63" s="6" t="n">
        <v>49</v>
      </c>
      <c r="B63" s="19">
        <f>DATE(YEAR(B8)+INT((MONTH(B8)-1+48)/12),MOD(MONTH(B8)-1+48,12)+1,1)+(DAY(B8)-1)</f>
        <v/>
      </c>
      <c r="C63" s="21">
        <f>ROUND(E62*B5/100/12,2)</f>
        <v/>
      </c>
      <c r="D63" s="21">
        <f>IF((OR(ROUND(E62-ROUND($B$10-C63,2),2)&lt;=0,49=B6)),E62,ROUND($B$10-C63,2))</f>
        <v/>
      </c>
      <c r="E63" s="21">
        <f>IF((OR(ROUND(E62-ROUND($B$10-C63,2),2)&lt;=0,49=B6)),0,ROUND(E62-D63,2))</f>
        <v/>
      </c>
      <c r="F63" s="21">
        <f>ROUND(H62*B5/100/12,2)</f>
        <v/>
      </c>
      <c r="G63" s="21">
        <f>IF((ROUND(H62-ROUND($B$11-F63,2),2)&lt;=0),H62,ROUND($B$11-F63,2))</f>
        <v/>
      </c>
      <c r="H63" s="21">
        <f>IF((ROUND(H62-ROUND($B$11-F63,2),2)&lt;=0),0,ROUND(H62-G63,2))</f>
        <v/>
      </c>
    </row>
    <row r="64">
      <c r="A64" s="6" t="n">
        <v>50</v>
      </c>
      <c r="B64" s="19">
        <f>DATE(YEAR(B8)+INT((MONTH(B8)-1+49)/12),MOD(MONTH(B8)-1+49,12)+1,1)+(DAY(B8)-1)</f>
        <v/>
      </c>
      <c r="C64" s="21">
        <f>ROUND(E63*B5/100/12,2)</f>
        <v/>
      </c>
      <c r="D64" s="21">
        <f>IF((OR(ROUND(E63-ROUND($B$10-C64,2),2)&lt;=0,50=B6)),E63,ROUND($B$10-C64,2))</f>
        <v/>
      </c>
      <c r="E64" s="21">
        <f>IF((OR(ROUND(E63-ROUND($B$10-C64,2),2)&lt;=0,50=B6)),0,ROUND(E63-D64,2))</f>
        <v/>
      </c>
      <c r="F64" s="21">
        <f>ROUND(H63*B5/100/12,2)</f>
        <v/>
      </c>
      <c r="G64" s="21">
        <f>IF((ROUND(H63-ROUND($B$11-F64,2),2)&lt;=0),H63,ROUND($B$11-F64,2))</f>
        <v/>
      </c>
      <c r="H64" s="21">
        <f>IF((ROUND(H63-ROUND($B$11-F64,2),2)&lt;=0),0,ROUND(H63-G64,2))</f>
        <v/>
      </c>
    </row>
    <row r="65">
      <c r="A65" s="6" t="n">
        <v>51</v>
      </c>
      <c r="B65" s="19">
        <f>DATE(YEAR(B8)+INT((MONTH(B8)-1+50)/12),MOD(MONTH(B8)-1+50,12)+1,1)+(DAY(B8)-1)</f>
        <v/>
      </c>
      <c r="C65" s="21">
        <f>ROUND(E64*B5/100/12,2)</f>
        <v/>
      </c>
      <c r="D65" s="21">
        <f>IF((OR(ROUND(E64-ROUND($B$10-C65,2),2)&lt;=0,51=B6)),E64,ROUND($B$10-C65,2))</f>
        <v/>
      </c>
      <c r="E65" s="21">
        <f>IF((OR(ROUND(E64-ROUND($B$10-C65,2),2)&lt;=0,51=B6)),0,ROUND(E64-D65,2))</f>
        <v/>
      </c>
      <c r="F65" s="21">
        <f>ROUND(H64*B5/100/12,2)</f>
        <v/>
      </c>
      <c r="G65" s="21">
        <f>IF((ROUND(H64-ROUND($B$11-F65,2),2)&lt;=0),H64,ROUND($B$11-F65,2))</f>
        <v/>
      </c>
      <c r="H65" s="21">
        <f>IF((ROUND(H64-ROUND($B$11-F65,2),2)&lt;=0),0,ROUND(H64-G65,2))</f>
        <v/>
      </c>
    </row>
    <row r="66">
      <c r="A66" s="6" t="n">
        <v>52</v>
      </c>
      <c r="B66" s="19">
        <f>DATE(YEAR(B8)+INT((MONTH(B8)-1+51)/12),MOD(MONTH(B8)-1+51,12)+1,1)+(DAY(B8)-1)</f>
        <v/>
      </c>
      <c r="C66" s="21">
        <f>ROUND(E65*B5/100/12,2)</f>
        <v/>
      </c>
      <c r="D66" s="21">
        <f>IF((OR(ROUND(E65-ROUND($B$10-C66,2),2)&lt;=0,52=B6)),E65,ROUND($B$10-C66,2))</f>
        <v/>
      </c>
      <c r="E66" s="21">
        <f>IF((OR(ROUND(E65-ROUND($B$10-C66,2),2)&lt;=0,52=B6)),0,ROUND(E65-D66,2))</f>
        <v/>
      </c>
      <c r="F66" s="21">
        <f>ROUND(H65*B5/100/12,2)</f>
        <v/>
      </c>
      <c r="G66" s="21">
        <f>IF((ROUND(H65-ROUND($B$11-F66,2),2)&lt;=0),H65,ROUND($B$11-F66,2))</f>
        <v/>
      </c>
      <c r="H66" s="21">
        <f>IF((ROUND(H65-ROUND($B$11-F66,2),2)&lt;=0),0,ROUND(H65-G66,2))</f>
        <v/>
      </c>
    </row>
    <row r="67">
      <c r="A67" s="6" t="n">
        <v>53</v>
      </c>
      <c r="B67" s="19">
        <f>DATE(YEAR(B8)+INT((MONTH(B8)-1+52)/12),MOD(MONTH(B8)-1+52,12)+1,1)+(DAY(B8)-1)</f>
        <v/>
      </c>
      <c r="C67" s="21">
        <f>ROUND(E66*B5/100/12,2)</f>
        <v/>
      </c>
      <c r="D67" s="21">
        <f>IF((OR(ROUND(E66-ROUND($B$10-C67,2),2)&lt;=0,53=B6)),E66,ROUND($B$10-C67,2))</f>
        <v/>
      </c>
      <c r="E67" s="21">
        <f>IF((OR(ROUND(E66-ROUND($B$10-C67,2),2)&lt;=0,53=B6)),0,ROUND(E66-D67,2))</f>
        <v/>
      </c>
      <c r="F67" s="21">
        <f>ROUND(H66*B5/100/12,2)</f>
        <v/>
      </c>
      <c r="G67" s="21">
        <f>IF((ROUND(H66-ROUND($B$11-F67,2),2)&lt;=0),H66,ROUND($B$11-F67,2))</f>
        <v/>
      </c>
      <c r="H67" s="21">
        <f>IF((ROUND(H66-ROUND($B$11-F67,2),2)&lt;=0),0,ROUND(H66-G67,2))</f>
        <v/>
      </c>
    </row>
    <row r="68">
      <c r="A68" s="6" t="n">
        <v>54</v>
      </c>
      <c r="B68" s="19">
        <f>DATE(YEAR(B8)+INT((MONTH(B8)-1+53)/12),MOD(MONTH(B8)-1+53,12)+1,1)+(DAY(B8)-1)</f>
        <v/>
      </c>
      <c r="C68" s="21">
        <f>ROUND(E67*B5/100/12,2)</f>
        <v/>
      </c>
      <c r="D68" s="21">
        <f>IF((OR(ROUND(E67-ROUND($B$10-C68,2),2)&lt;=0,54=B6)),E67,ROUND($B$10-C68,2))</f>
        <v/>
      </c>
      <c r="E68" s="21">
        <f>IF((OR(ROUND(E67-ROUND($B$10-C68,2),2)&lt;=0,54=B6)),0,ROUND(E67-D68,2))</f>
        <v/>
      </c>
      <c r="F68" s="21">
        <f>ROUND(H67*B5/100/12,2)</f>
        <v/>
      </c>
      <c r="G68" s="21">
        <f>IF((ROUND(H67-ROUND($B$11-F68,2),2)&lt;=0),H67,ROUND($B$11-F68,2))</f>
        <v/>
      </c>
      <c r="H68" s="21">
        <f>IF((ROUND(H67-ROUND($B$11-F68,2),2)&lt;=0),0,ROUND(H67-G68,2))</f>
        <v/>
      </c>
    </row>
    <row r="69">
      <c r="A69" s="6" t="n">
        <v>55</v>
      </c>
      <c r="B69" s="19">
        <f>DATE(YEAR(B8)+INT((MONTH(B8)-1+54)/12),MOD(MONTH(B8)-1+54,12)+1,1)+(DAY(B8)-1)</f>
        <v/>
      </c>
      <c r="C69" s="21">
        <f>ROUND(E68*B5/100/12,2)</f>
        <v/>
      </c>
      <c r="D69" s="21">
        <f>IF((OR(ROUND(E68-ROUND($B$10-C69,2),2)&lt;=0,55=B6)),E68,ROUND($B$10-C69,2))</f>
        <v/>
      </c>
      <c r="E69" s="21">
        <f>IF((OR(ROUND(E68-ROUND($B$10-C69,2),2)&lt;=0,55=B6)),0,ROUND(E68-D69,2))</f>
        <v/>
      </c>
      <c r="F69" s="21">
        <f>ROUND(H68*B5/100/12,2)</f>
        <v/>
      </c>
      <c r="G69" s="21">
        <f>IF((ROUND(H68-ROUND($B$11-F69,2),2)&lt;=0),H68,ROUND($B$11-F69,2))</f>
        <v/>
      </c>
      <c r="H69" s="21">
        <f>IF((ROUND(H68-ROUND($B$11-F69,2),2)&lt;=0),0,ROUND(H68-G69,2))</f>
        <v/>
      </c>
    </row>
    <row r="70">
      <c r="A70" s="6" t="n">
        <v>56</v>
      </c>
      <c r="B70" s="19">
        <f>DATE(YEAR(B8)+INT((MONTH(B8)-1+55)/12),MOD(MONTH(B8)-1+55,12)+1,1)+(DAY(B8)-1)</f>
        <v/>
      </c>
      <c r="C70" s="21">
        <f>ROUND(E69*B5/100/12,2)</f>
        <v/>
      </c>
      <c r="D70" s="21">
        <f>IF((OR(ROUND(E69-ROUND($B$10-C70,2),2)&lt;=0,56=B6)),E69,ROUND($B$10-C70,2))</f>
        <v/>
      </c>
      <c r="E70" s="21">
        <f>IF((OR(ROUND(E69-ROUND($B$10-C70,2),2)&lt;=0,56=B6)),0,ROUND(E69-D70,2))</f>
        <v/>
      </c>
      <c r="F70" s="21">
        <f>ROUND(H69*B5/100/12,2)</f>
        <v/>
      </c>
      <c r="G70" s="21">
        <f>IF((ROUND(H69-ROUND($B$11-F70,2),2)&lt;=0),H69,ROUND($B$11-F70,2))</f>
        <v/>
      </c>
      <c r="H70" s="21">
        <f>IF((ROUND(H69-ROUND($B$11-F70,2),2)&lt;=0),0,ROUND(H69-G70,2))</f>
        <v/>
      </c>
    </row>
    <row r="71">
      <c r="A71" s="6" t="n">
        <v>57</v>
      </c>
      <c r="B71" s="19">
        <f>DATE(YEAR(B8)+INT((MONTH(B8)-1+56)/12),MOD(MONTH(B8)-1+56,12)+1,1)+(DAY(B8)-1)</f>
        <v/>
      </c>
      <c r="C71" s="21">
        <f>ROUND(E70*B5/100/12,2)</f>
        <v/>
      </c>
      <c r="D71" s="21">
        <f>IF((OR(ROUND(E70-ROUND($B$10-C71,2),2)&lt;=0,57=B6)),E70,ROUND($B$10-C71,2))</f>
        <v/>
      </c>
      <c r="E71" s="21">
        <f>IF((OR(ROUND(E70-ROUND($B$10-C71,2),2)&lt;=0,57=B6)),0,ROUND(E70-D71,2))</f>
        <v/>
      </c>
      <c r="F71" s="21">
        <f>ROUND(H70*B5/100/12,2)</f>
        <v/>
      </c>
      <c r="G71" s="21">
        <f>IF((ROUND(H70-ROUND($B$11-F71,2),2)&lt;=0),H70,ROUND($B$11-F71,2))</f>
        <v/>
      </c>
      <c r="H71" s="21">
        <f>IF((ROUND(H70-ROUND($B$11-F71,2),2)&lt;=0),0,ROUND(H70-G71,2))</f>
        <v/>
      </c>
    </row>
    <row r="72">
      <c r="A72" s="6" t="n">
        <v>58</v>
      </c>
      <c r="B72" s="19">
        <f>DATE(YEAR(B8)+INT((MONTH(B8)-1+57)/12),MOD(MONTH(B8)-1+57,12)+1,1)+(DAY(B8)-1)</f>
        <v/>
      </c>
      <c r="C72" s="21">
        <f>ROUND(E71*B5/100/12,2)</f>
        <v/>
      </c>
      <c r="D72" s="21">
        <f>IF((OR(ROUND(E71-ROUND($B$10-C72,2),2)&lt;=0,58=B6)),E71,ROUND($B$10-C72,2))</f>
        <v/>
      </c>
      <c r="E72" s="21">
        <f>IF((OR(ROUND(E71-ROUND($B$10-C72,2),2)&lt;=0,58=B6)),0,ROUND(E71-D72,2))</f>
        <v/>
      </c>
      <c r="F72" s="21">
        <f>ROUND(H71*B5/100/12,2)</f>
        <v/>
      </c>
      <c r="G72" s="21">
        <f>IF((ROUND(H71-ROUND($B$11-F72,2),2)&lt;=0),H71,ROUND($B$11-F72,2))</f>
        <v/>
      </c>
      <c r="H72" s="21">
        <f>IF((ROUND(H71-ROUND($B$11-F72,2),2)&lt;=0),0,ROUND(H71-G72,2))</f>
        <v/>
      </c>
    </row>
    <row r="73">
      <c r="A73" s="6" t="n">
        <v>59</v>
      </c>
      <c r="B73" s="19">
        <f>DATE(YEAR(B8)+INT((MONTH(B8)-1+58)/12),MOD(MONTH(B8)-1+58,12)+1,1)+(DAY(B8)-1)</f>
        <v/>
      </c>
      <c r="C73" s="21">
        <f>ROUND(E72*B5/100/12,2)</f>
        <v/>
      </c>
      <c r="D73" s="21">
        <f>IF((OR(ROUND(E72-ROUND($B$10-C73,2),2)&lt;=0,59=B6)),E72,ROUND($B$10-C73,2))</f>
        <v/>
      </c>
      <c r="E73" s="21">
        <f>IF((OR(ROUND(E72-ROUND($B$10-C73,2),2)&lt;=0,59=B6)),0,ROUND(E72-D73,2))</f>
        <v/>
      </c>
      <c r="F73" s="21">
        <f>ROUND(H72*B5/100/12,2)</f>
        <v/>
      </c>
      <c r="G73" s="21">
        <f>IF((ROUND(H72-ROUND($B$11-F73,2),2)&lt;=0),H72,ROUND($B$11-F73,2))</f>
        <v/>
      </c>
      <c r="H73" s="21">
        <f>IF((ROUND(H72-ROUND($B$11-F73,2),2)&lt;=0),0,ROUND(H72-G73,2))</f>
        <v/>
      </c>
    </row>
    <row r="74">
      <c r="A74" s="6" t="n">
        <v>60</v>
      </c>
      <c r="B74" s="19">
        <f>DATE(YEAR(B8)+INT((MONTH(B8)-1+59)/12),MOD(MONTH(B8)-1+59,12)+1,1)+(DAY(B8)-1)</f>
        <v/>
      </c>
      <c r="C74" s="21">
        <f>ROUND(E73*B5/100/12,2)</f>
        <v/>
      </c>
      <c r="D74" s="21">
        <f>IF((OR(ROUND(E73-ROUND($B$10-C74,2),2)&lt;=0,60=B6)),E73,ROUND($B$10-C74,2))</f>
        <v/>
      </c>
      <c r="E74" s="21">
        <f>IF((OR(ROUND(E73-ROUND($B$10-C74,2),2)&lt;=0,60=B6)),0,ROUND(E73-D74,2))</f>
        <v/>
      </c>
      <c r="F74" s="21">
        <f>ROUND(H73*B5/100/12,2)</f>
        <v/>
      </c>
      <c r="G74" s="21">
        <f>IF((ROUND(H73-ROUND($B$11-F74,2),2)&lt;=0),H73,ROUND($B$11-F74,2))</f>
        <v/>
      </c>
      <c r="H74" s="21">
        <f>IF((ROUND(H73-ROUND($B$11-F74,2),2)&lt;=0),0,ROUND(H73-G74,2))</f>
        <v/>
      </c>
    </row>
    <row r="75">
      <c r="A75" s="6" t="n">
        <v>61</v>
      </c>
      <c r="B75" s="19">
        <f>DATE(YEAR(B8)+INT((MONTH(B8)-1+60)/12),MOD(MONTH(B8)-1+60,12)+1,1)+(DAY(B8)-1)</f>
        <v/>
      </c>
      <c r="C75" s="21">
        <f>ROUND(E74*B5/100/12,2)</f>
        <v/>
      </c>
      <c r="D75" s="21">
        <f>IF((OR(ROUND(E74-ROUND($B$10-C75,2),2)&lt;=0,61=B6)),E74,ROUND($B$10-C75,2))</f>
        <v/>
      </c>
      <c r="E75" s="21">
        <f>IF((OR(ROUND(E74-ROUND($B$10-C75,2),2)&lt;=0,61=B6)),0,ROUND(E74-D75,2))</f>
        <v/>
      </c>
      <c r="F75" s="21">
        <f>ROUND(H74*B5/100/12,2)</f>
        <v/>
      </c>
      <c r="G75" s="21">
        <f>IF((ROUND(H74-ROUND($B$11-F75,2),2)&lt;=0),H74,ROUND($B$11-F75,2))</f>
        <v/>
      </c>
      <c r="H75" s="21">
        <f>IF((ROUND(H74-ROUND($B$11-F75,2),2)&lt;=0),0,ROUND(H74-G75,2))</f>
        <v/>
      </c>
    </row>
    <row r="76">
      <c r="A76" s="6" t="n">
        <v>62</v>
      </c>
      <c r="B76" s="19">
        <f>DATE(YEAR(B8)+INT((MONTH(B8)-1+61)/12),MOD(MONTH(B8)-1+61,12)+1,1)+(DAY(B8)-1)</f>
        <v/>
      </c>
      <c r="C76" s="21">
        <f>ROUND(E75*B5/100/12,2)</f>
        <v/>
      </c>
      <c r="D76" s="21">
        <f>IF((OR(ROUND(E75-ROUND($B$10-C76,2),2)&lt;=0,62=B6)),E75,ROUND($B$10-C76,2))</f>
        <v/>
      </c>
      <c r="E76" s="21">
        <f>IF((OR(ROUND(E75-ROUND($B$10-C76,2),2)&lt;=0,62=B6)),0,ROUND(E75-D76,2))</f>
        <v/>
      </c>
      <c r="F76" s="21">
        <f>ROUND(H75*B5/100/12,2)</f>
        <v/>
      </c>
      <c r="G76" s="21">
        <f>IF((ROUND(H75-ROUND($B$11-F76,2),2)&lt;=0),H75,ROUND($B$11-F76,2))</f>
        <v/>
      </c>
      <c r="H76" s="21">
        <f>IF((ROUND(H75-ROUND($B$11-F76,2),2)&lt;=0),0,ROUND(H75-G76,2))</f>
        <v/>
      </c>
    </row>
    <row r="77">
      <c r="A77" s="6" t="n">
        <v>63</v>
      </c>
      <c r="B77" s="19">
        <f>DATE(YEAR(B8)+INT((MONTH(B8)-1+62)/12),MOD(MONTH(B8)-1+62,12)+1,1)+(DAY(B8)-1)</f>
        <v/>
      </c>
      <c r="C77" s="21">
        <f>ROUND(E76*B5/100/12,2)</f>
        <v/>
      </c>
      <c r="D77" s="21">
        <f>IF((OR(ROUND(E76-ROUND($B$10-C77,2),2)&lt;=0,63=B6)),E76,ROUND($B$10-C77,2))</f>
        <v/>
      </c>
      <c r="E77" s="21">
        <f>IF((OR(ROUND(E76-ROUND($B$10-C77,2),2)&lt;=0,63=B6)),0,ROUND(E76-D77,2))</f>
        <v/>
      </c>
      <c r="F77" s="21">
        <f>ROUND(H76*B5/100/12,2)</f>
        <v/>
      </c>
      <c r="G77" s="21">
        <f>IF((ROUND(H76-ROUND($B$11-F77,2),2)&lt;=0),H76,ROUND($B$11-F77,2))</f>
        <v/>
      </c>
      <c r="H77" s="21">
        <f>IF((ROUND(H76-ROUND($B$11-F77,2),2)&lt;=0),0,ROUND(H76-G77,2))</f>
        <v/>
      </c>
    </row>
    <row r="78">
      <c r="A78" s="6" t="n">
        <v>64</v>
      </c>
      <c r="B78" s="19">
        <f>DATE(YEAR(B8)+INT((MONTH(B8)-1+63)/12),MOD(MONTH(B8)-1+63,12)+1,1)+(DAY(B8)-1)</f>
        <v/>
      </c>
      <c r="C78" s="21">
        <f>ROUND(E77*B5/100/12,2)</f>
        <v/>
      </c>
      <c r="D78" s="21">
        <f>IF((OR(ROUND(E77-ROUND($B$10-C78,2),2)&lt;=0,64=B6)),E77,ROUND($B$10-C78,2))</f>
        <v/>
      </c>
      <c r="E78" s="21">
        <f>IF((OR(ROUND(E77-ROUND($B$10-C78,2),2)&lt;=0,64=B6)),0,ROUND(E77-D78,2))</f>
        <v/>
      </c>
      <c r="F78" s="21">
        <f>ROUND(H77*B5/100/12,2)</f>
        <v/>
      </c>
      <c r="G78" s="21">
        <f>IF((ROUND(H77-ROUND($B$11-F78,2),2)&lt;=0),H77,ROUND($B$11-F78,2))</f>
        <v/>
      </c>
      <c r="H78" s="21">
        <f>IF((ROUND(H77-ROUND($B$11-F78,2),2)&lt;=0),0,ROUND(H77-G78,2))</f>
        <v/>
      </c>
    </row>
    <row r="79">
      <c r="A79" s="6" t="n">
        <v>65</v>
      </c>
      <c r="B79" s="19">
        <f>DATE(YEAR(B8)+INT((MONTH(B8)-1+64)/12),MOD(MONTH(B8)-1+64,12)+1,1)+(DAY(B8)-1)</f>
        <v/>
      </c>
      <c r="C79" s="21">
        <f>ROUND(E78*B5/100/12,2)</f>
        <v/>
      </c>
      <c r="D79" s="21">
        <f>IF((OR(ROUND(E78-ROUND($B$10-C79,2),2)&lt;=0,65=B6)),E78,ROUND($B$10-C79,2))</f>
        <v/>
      </c>
      <c r="E79" s="21">
        <f>IF((OR(ROUND(E78-ROUND($B$10-C79,2),2)&lt;=0,65=B6)),0,ROUND(E78-D79,2))</f>
        <v/>
      </c>
      <c r="F79" s="21">
        <f>ROUND(H78*B5/100/12,2)</f>
        <v/>
      </c>
      <c r="G79" s="21">
        <f>IF((ROUND(H78-ROUND($B$11-F79,2),2)&lt;=0),H78,ROUND($B$11-F79,2))</f>
        <v/>
      </c>
      <c r="H79" s="21">
        <f>IF((ROUND(H78-ROUND($B$11-F79,2),2)&lt;=0),0,ROUND(H78-G79,2))</f>
        <v/>
      </c>
    </row>
    <row r="80">
      <c r="A80" s="6" t="n">
        <v>66</v>
      </c>
      <c r="B80" s="19">
        <f>DATE(YEAR(B8)+INT((MONTH(B8)-1+65)/12),MOD(MONTH(B8)-1+65,12)+1,1)+(DAY(B8)-1)</f>
        <v/>
      </c>
      <c r="C80" s="21">
        <f>ROUND(E79*B5/100/12,2)</f>
        <v/>
      </c>
      <c r="D80" s="21">
        <f>IF((OR(ROUND(E79-ROUND($B$10-C80,2),2)&lt;=0,66=B6)),E79,ROUND($B$10-C80,2))</f>
        <v/>
      </c>
      <c r="E80" s="21">
        <f>IF((OR(ROUND(E79-ROUND($B$10-C80,2),2)&lt;=0,66=B6)),0,ROUND(E79-D80,2))</f>
        <v/>
      </c>
      <c r="F80" s="21">
        <f>ROUND(H79*B5/100/12,2)</f>
        <v/>
      </c>
      <c r="G80" s="21">
        <f>IF((ROUND(H79-ROUND($B$11-F80,2),2)&lt;=0),H79,ROUND($B$11-F80,2))</f>
        <v/>
      </c>
      <c r="H80" s="21">
        <f>IF((ROUND(H79-ROUND($B$11-F80,2),2)&lt;=0),0,ROUND(H79-G80,2))</f>
        <v/>
      </c>
    </row>
    <row r="81">
      <c r="A81" s="6" t="n">
        <v>67</v>
      </c>
      <c r="B81" s="19">
        <f>DATE(YEAR(B8)+INT((MONTH(B8)-1+66)/12),MOD(MONTH(B8)-1+66,12)+1,1)+(DAY(B8)-1)</f>
        <v/>
      </c>
      <c r="C81" s="21">
        <f>ROUND(E80*B5/100/12,2)</f>
        <v/>
      </c>
      <c r="D81" s="21">
        <f>IF((OR(ROUND(E80-ROUND($B$10-C81,2),2)&lt;=0,67=B6)),E80,ROUND($B$10-C81,2))</f>
        <v/>
      </c>
      <c r="E81" s="21">
        <f>IF((OR(ROUND(E80-ROUND($B$10-C81,2),2)&lt;=0,67=B6)),0,ROUND(E80-D81,2))</f>
        <v/>
      </c>
      <c r="F81" s="21">
        <f>ROUND(H80*B5/100/12,2)</f>
        <v/>
      </c>
      <c r="G81" s="21">
        <f>IF((ROUND(H80-ROUND($B$11-F81,2),2)&lt;=0),H80,ROUND($B$11-F81,2))</f>
        <v/>
      </c>
      <c r="H81" s="21">
        <f>IF((ROUND(H80-ROUND($B$11-F81,2),2)&lt;=0),0,ROUND(H80-G81,2))</f>
        <v/>
      </c>
    </row>
    <row r="82">
      <c r="A82" s="6" t="n">
        <v>68</v>
      </c>
      <c r="B82" s="19">
        <f>DATE(YEAR(B8)+INT((MONTH(B8)-1+67)/12),MOD(MONTH(B8)-1+67,12)+1,1)+(DAY(B8)-1)</f>
        <v/>
      </c>
      <c r="C82" s="21">
        <f>ROUND(E81*B5/100/12,2)</f>
        <v/>
      </c>
      <c r="D82" s="21">
        <f>IF((OR(ROUND(E81-ROUND($B$10-C82,2),2)&lt;=0,68=B6)),E81,ROUND($B$10-C82,2))</f>
        <v/>
      </c>
      <c r="E82" s="21">
        <f>IF((OR(ROUND(E81-ROUND($B$10-C82,2),2)&lt;=0,68=B6)),0,ROUND(E81-D82,2))</f>
        <v/>
      </c>
      <c r="F82" s="21">
        <f>ROUND(H81*B5/100/12,2)</f>
        <v/>
      </c>
      <c r="G82" s="21">
        <f>IF((ROUND(H81-ROUND($B$11-F82,2),2)&lt;=0),H81,ROUND($B$11-F82,2))</f>
        <v/>
      </c>
      <c r="H82" s="21">
        <f>IF((ROUND(H81-ROUND($B$11-F82,2),2)&lt;=0),0,ROUND(H81-G82,2))</f>
        <v/>
      </c>
    </row>
    <row r="83">
      <c r="A83" s="6" t="n">
        <v>69</v>
      </c>
      <c r="B83" s="19">
        <f>DATE(YEAR(B8)+INT((MONTH(B8)-1+68)/12),MOD(MONTH(B8)-1+68,12)+1,1)+(DAY(B8)-1)</f>
        <v/>
      </c>
      <c r="C83" s="21">
        <f>ROUND(E82*B5/100/12,2)</f>
        <v/>
      </c>
      <c r="D83" s="21">
        <f>IF((OR(ROUND(E82-ROUND($B$10-C83,2),2)&lt;=0,69=B6)),E82,ROUND($B$10-C83,2))</f>
        <v/>
      </c>
      <c r="E83" s="21">
        <f>IF((OR(ROUND(E82-ROUND($B$10-C83,2),2)&lt;=0,69=B6)),0,ROUND(E82-D83,2))</f>
        <v/>
      </c>
      <c r="F83" s="21">
        <f>ROUND(H82*B5/100/12,2)</f>
        <v/>
      </c>
      <c r="G83" s="21">
        <f>IF((ROUND(H82-ROUND($B$11-F83,2),2)&lt;=0),H82,ROUND($B$11-F83,2))</f>
        <v/>
      </c>
      <c r="H83" s="21">
        <f>IF((ROUND(H82-ROUND($B$11-F83,2),2)&lt;=0),0,ROUND(H82-G83,2))</f>
        <v/>
      </c>
    </row>
    <row r="84">
      <c r="A84" s="6" t="n">
        <v>70</v>
      </c>
      <c r="B84" s="19">
        <f>DATE(YEAR(B8)+INT((MONTH(B8)-1+69)/12),MOD(MONTH(B8)-1+69,12)+1,1)+(DAY(B8)-1)</f>
        <v/>
      </c>
      <c r="C84" s="21">
        <f>ROUND(E83*B5/100/12,2)</f>
        <v/>
      </c>
      <c r="D84" s="21">
        <f>IF((OR(ROUND(E83-ROUND($B$10-C84,2),2)&lt;=0,70=B6)),E83,ROUND($B$10-C84,2))</f>
        <v/>
      </c>
      <c r="E84" s="21">
        <f>IF((OR(ROUND(E83-ROUND($B$10-C84,2),2)&lt;=0,70=B6)),0,ROUND(E83-D84,2))</f>
        <v/>
      </c>
      <c r="F84" s="21">
        <f>ROUND(H83*B5/100/12,2)</f>
        <v/>
      </c>
      <c r="G84" s="21">
        <f>IF((ROUND(H83-ROUND($B$11-F84,2),2)&lt;=0),H83,ROUND($B$11-F84,2))</f>
        <v/>
      </c>
      <c r="H84" s="21">
        <f>IF((ROUND(H83-ROUND($B$11-F84,2),2)&lt;=0),0,ROUND(H83-G84,2))</f>
        <v/>
      </c>
    </row>
    <row r="85">
      <c r="A85" s="6" t="n">
        <v>71</v>
      </c>
      <c r="B85" s="19">
        <f>DATE(YEAR(B8)+INT((MONTH(B8)-1+70)/12),MOD(MONTH(B8)-1+70,12)+1,1)+(DAY(B8)-1)</f>
        <v/>
      </c>
      <c r="C85" s="21">
        <f>ROUND(E84*B5/100/12,2)</f>
        <v/>
      </c>
      <c r="D85" s="21">
        <f>IF((OR(ROUND(E84-ROUND($B$10-C85,2),2)&lt;=0,71=B6)),E84,ROUND($B$10-C85,2))</f>
        <v/>
      </c>
      <c r="E85" s="21">
        <f>IF((OR(ROUND(E84-ROUND($B$10-C85,2),2)&lt;=0,71=B6)),0,ROUND(E84-D85,2))</f>
        <v/>
      </c>
      <c r="F85" s="21">
        <f>ROUND(H84*B5/100/12,2)</f>
        <v/>
      </c>
      <c r="G85" s="21">
        <f>IF((ROUND(H84-ROUND($B$11-F85,2),2)&lt;=0),H84,ROUND($B$11-F85,2))</f>
        <v/>
      </c>
      <c r="H85" s="21">
        <f>IF((ROUND(H84-ROUND($B$11-F85,2),2)&lt;=0),0,ROUND(H84-G85,2))</f>
        <v/>
      </c>
    </row>
    <row r="86">
      <c r="A86" s="6" t="n">
        <v>72</v>
      </c>
      <c r="B86" s="19">
        <f>DATE(YEAR(B8)+INT((MONTH(B8)-1+71)/12),MOD(MONTH(B8)-1+71,12)+1,1)+(DAY(B8)-1)</f>
        <v/>
      </c>
      <c r="C86" s="21">
        <f>ROUND(E85*B5/100/12,2)</f>
        <v/>
      </c>
      <c r="D86" s="21">
        <f>IF((OR(ROUND(E85-ROUND($B$10-C86,2),2)&lt;=0,72=B6)),E85,ROUND($B$10-C86,2))</f>
        <v/>
      </c>
      <c r="E86" s="21">
        <f>IF((OR(ROUND(E85-ROUND($B$10-C86,2),2)&lt;=0,72=B6)),0,ROUND(E85-D86,2))</f>
        <v/>
      </c>
      <c r="F86" s="21">
        <f>ROUND(H85*B5/100/12,2)</f>
        <v/>
      </c>
      <c r="G86" s="21">
        <f>IF((ROUND(H85-ROUND($B$11-F86,2),2)&lt;=0),H85,ROUND($B$11-F86,2))</f>
        <v/>
      </c>
      <c r="H86" s="21">
        <f>IF((ROUND(H85-ROUND($B$11-F86,2),2)&lt;=0),0,ROUND(H85-G86,2))</f>
        <v/>
      </c>
    </row>
    <row r="87">
      <c r="A87" s="6" t="n">
        <v>73</v>
      </c>
      <c r="B87" s="19">
        <f>DATE(YEAR(B8)+INT((MONTH(B8)-1+72)/12),MOD(MONTH(B8)-1+72,12)+1,1)+(DAY(B8)-1)</f>
        <v/>
      </c>
      <c r="C87" s="21">
        <f>ROUND(E86*B5/100/12,2)</f>
        <v/>
      </c>
      <c r="D87" s="21">
        <f>IF((OR(ROUND(E86-ROUND($B$10-C87,2),2)&lt;=0,73=B6)),E86,ROUND($B$10-C87,2))</f>
        <v/>
      </c>
      <c r="E87" s="21">
        <f>IF((OR(ROUND(E86-ROUND($B$10-C87,2),2)&lt;=0,73=B6)),0,ROUND(E86-D87,2))</f>
        <v/>
      </c>
      <c r="F87" s="21">
        <f>ROUND(H86*B5/100/12,2)</f>
        <v/>
      </c>
      <c r="G87" s="21">
        <f>IF((ROUND(H86-ROUND($B$11-F87,2),2)&lt;=0),H86,ROUND($B$11-F87,2))</f>
        <v/>
      </c>
      <c r="H87" s="21">
        <f>IF((ROUND(H86-ROUND($B$11-F87,2),2)&lt;=0),0,ROUND(H86-G87,2))</f>
        <v/>
      </c>
    </row>
    <row r="88">
      <c r="A88" s="6" t="n">
        <v>74</v>
      </c>
      <c r="B88" s="19">
        <f>DATE(YEAR(B8)+INT((MONTH(B8)-1+73)/12),MOD(MONTH(B8)-1+73,12)+1,1)+(DAY(B8)-1)</f>
        <v/>
      </c>
      <c r="C88" s="21">
        <f>ROUND(E87*B5/100/12,2)</f>
        <v/>
      </c>
      <c r="D88" s="21">
        <f>IF((OR(ROUND(E87-ROUND($B$10-C88,2),2)&lt;=0,74=B6)),E87,ROUND($B$10-C88,2))</f>
        <v/>
      </c>
      <c r="E88" s="21">
        <f>IF((OR(ROUND(E87-ROUND($B$10-C88,2),2)&lt;=0,74=B6)),0,ROUND(E87-D88,2))</f>
        <v/>
      </c>
      <c r="F88" s="21">
        <f>ROUND(H87*B5/100/12,2)</f>
        <v/>
      </c>
      <c r="G88" s="21">
        <f>IF((ROUND(H87-ROUND($B$11-F88,2),2)&lt;=0),H87,ROUND($B$11-F88,2))</f>
        <v/>
      </c>
      <c r="H88" s="21">
        <f>IF((ROUND(H87-ROUND($B$11-F88,2),2)&lt;=0),0,ROUND(H87-G88,2))</f>
        <v/>
      </c>
    </row>
    <row r="89">
      <c r="A89" s="6" t="n">
        <v>75</v>
      </c>
      <c r="B89" s="19">
        <f>DATE(YEAR(B8)+INT((MONTH(B8)-1+74)/12),MOD(MONTH(B8)-1+74,12)+1,1)+(DAY(B8)-1)</f>
        <v/>
      </c>
      <c r="C89" s="21">
        <f>ROUND(E88*B5/100/12,2)</f>
        <v/>
      </c>
      <c r="D89" s="21">
        <f>IF((OR(ROUND(E88-ROUND($B$10-C89,2),2)&lt;=0,75=B6)),E88,ROUND($B$10-C89,2))</f>
        <v/>
      </c>
      <c r="E89" s="21">
        <f>IF((OR(ROUND(E88-ROUND($B$10-C89,2),2)&lt;=0,75=B6)),0,ROUND(E88-D89,2))</f>
        <v/>
      </c>
      <c r="F89" s="21">
        <f>ROUND(H88*B5/100/12,2)</f>
        <v/>
      </c>
      <c r="G89" s="21">
        <f>IF((ROUND(H88-ROUND($B$11-F89,2),2)&lt;=0),H88,ROUND($B$11-F89,2))</f>
        <v/>
      </c>
      <c r="H89" s="21">
        <f>IF((ROUND(H88-ROUND($B$11-F89,2),2)&lt;=0),0,ROUND(H88-G89,2))</f>
        <v/>
      </c>
    </row>
    <row r="90">
      <c r="A90" s="6" t="n">
        <v>76</v>
      </c>
      <c r="B90" s="19">
        <f>DATE(YEAR(B8)+INT((MONTH(B8)-1+75)/12),MOD(MONTH(B8)-1+75,12)+1,1)+(DAY(B8)-1)</f>
        <v/>
      </c>
      <c r="C90" s="21">
        <f>ROUND(E89*B5/100/12,2)</f>
        <v/>
      </c>
      <c r="D90" s="21">
        <f>IF((OR(ROUND(E89-ROUND($B$10-C90,2),2)&lt;=0,76=B6)),E89,ROUND($B$10-C90,2))</f>
        <v/>
      </c>
      <c r="E90" s="21">
        <f>IF((OR(ROUND(E89-ROUND($B$10-C90,2),2)&lt;=0,76=B6)),0,ROUND(E89-D90,2))</f>
        <v/>
      </c>
      <c r="F90" s="21">
        <f>ROUND(H89*B5/100/12,2)</f>
        <v/>
      </c>
      <c r="G90" s="21">
        <f>IF((ROUND(H89-ROUND($B$11-F90,2),2)&lt;=0),H89,ROUND($B$11-F90,2))</f>
        <v/>
      </c>
      <c r="H90" s="21">
        <f>IF((ROUND(H89-ROUND($B$11-F90,2),2)&lt;=0),0,ROUND(H89-G90,2))</f>
        <v/>
      </c>
    </row>
    <row r="91">
      <c r="A91" s="6" t="n">
        <v>77</v>
      </c>
      <c r="B91" s="19">
        <f>DATE(YEAR(B8)+INT((MONTH(B8)-1+76)/12),MOD(MONTH(B8)-1+76,12)+1,1)+(DAY(B8)-1)</f>
        <v/>
      </c>
      <c r="C91" s="21">
        <f>ROUND(E90*B5/100/12,2)</f>
        <v/>
      </c>
      <c r="D91" s="21">
        <f>IF((OR(ROUND(E90-ROUND($B$10-C91,2),2)&lt;=0,77=B6)),E90,ROUND($B$10-C91,2))</f>
        <v/>
      </c>
      <c r="E91" s="21">
        <f>IF((OR(ROUND(E90-ROUND($B$10-C91,2),2)&lt;=0,77=B6)),0,ROUND(E90-D91,2))</f>
        <v/>
      </c>
      <c r="F91" s="21">
        <f>ROUND(H90*B5/100/12,2)</f>
        <v/>
      </c>
      <c r="G91" s="21">
        <f>IF((ROUND(H90-ROUND($B$11-F91,2),2)&lt;=0),H90,ROUND($B$11-F91,2))</f>
        <v/>
      </c>
      <c r="H91" s="21">
        <f>IF((ROUND(H90-ROUND($B$11-F91,2),2)&lt;=0),0,ROUND(H90-G91,2))</f>
        <v/>
      </c>
    </row>
    <row r="92">
      <c r="A92" s="6" t="n">
        <v>78</v>
      </c>
      <c r="B92" s="19">
        <f>DATE(YEAR(B8)+INT((MONTH(B8)-1+77)/12),MOD(MONTH(B8)-1+77,12)+1,1)+(DAY(B8)-1)</f>
        <v/>
      </c>
      <c r="C92" s="21">
        <f>ROUND(E91*B5/100/12,2)</f>
        <v/>
      </c>
      <c r="D92" s="21">
        <f>IF((OR(ROUND(E91-ROUND($B$10-C92,2),2)&lt;=0,78=B6)),E91,ROUND($B$10-C92,2))</f>
        <v/>
      </c>
      <c r="E92" s="21">
        <f>IF((OR(ROUND(E91-ROUND($B$10-C92,2),2)&lt;=0,78=B6)),0,ROUND(E91-D92,2))</f>
        <v/>
      </c>
      <c r="F92" s="21">
        <f>ROUND(H91*B5/100/12,2)</f>
        <v/>
      </c>
      <c r="G92" s="21">
        <f>IF((ROUND(H91-ROUND($B$11-F92,2),2)&lt;=0),H91,ROUND($B$11-F92,2))</f>
        <v/>
      </c>
      <c r="H92" s="21">
        <f>IF((ROUND(H91-ROUND($B$11-F92,2),2)&lt;=0),0,ROUND(H91-G92,2))</f>
        <v/>
      </c>
    </row>
    <row r="93">
      <c r="A93" s="6" t="n">
        <v>79</v>
      </c>
      <c r="B93" s="19">
        <f>DATE(YEAR(B8)+INT((MONTH(B8)-1+78)/12),MOD(MONTH(B8)-1+78,12)+1,1)+(DAY(B8)-1)</f>
        <v/>
      </c>
      <c r="C93" s="21">
        <f>ROUND(E92*B5/100/12,2)</f>
        <v/>
      </c>
      <c r="D93" s="21">
        <f>IF((OR(ROUND(E92-ROUND($B$10-C93,2),2)&lt;=0,79=B6)),E92,ROUND($B$10-C93,2))</f>
        <v/>
      </c>
      <c r="E93" s="21">
        <f>IF((OR(ROUND(E92-ROUND($B$10-C93,2),2)&lt;=0,79=B6)),0,ROUND(E92-D93,2))</f>
        <v/>
      </c>
      <c r="F93" s="21">
        <f>ROUND(H92*B5/100/12,2)</f>
        <v/>
      </c>
      <c r="G93" s="21">
        <f>IF((ROUND(H92-ROUND($B$11-F93,2),2)&lt;=0),H92,ROUND($B$11-F93,2))</f>
        <v/>
      </c>
      <c r="H93" s="21">
        <f>IF((ROUND(H92-ROUND($B$11-F93,2),2)&lt;=0),0,ROUND(H92-G93,2))</f>
        <v/>
      </c>
    </row>
    <row r="94">
      <c r="A94" s="6" t="n">
        <v>80</v>
      </c>
      <c r="B94" s="19">
        <f>DATE(YEAR(B8)+INT((MONTH(B8)-1+79)/12),MOD(MONTH(B8)-1+79,12)+1,1)+(DAY(B8)-1)</f>
        <v/>
      </c>
      <c r="C94" s="21">
        <f>ROUND(E93*B5/100/12,2)</f>
        <v/>
      </c>
      <c r="D94" s="21">
        <f>IF((OR(ROUND(E93-ROUND($B$10-C94,2),2)&lt;=0,80=B6)),E93,ROUND($B$10-C94,2))</f>
        <v/>
      </c>
      <c r="E94" s="21">
        <f>IF((OR(ROUND(E93-ROUND($B$10-C94,2),2)&lt;=0,80=B6)),0,ROUND(E93-D94,2))</f>
        <v/>
      </c>
      <c r="F94" s="21">
        <f>ROUND(H93*B5/100/12,2)</f>
        <v/>
      </c>
      <c r="G94" s="21">
        <f>IF((ROUND(H93-ROUND($B$11-F94,2),2)&lt;=0),H93,ROUND($B$11-F94,2))</f>
        <v/>
      </c>
      <c r="H94" s="21">
        <f>IF((ROUND(H93-ROUND($B$11-F94,2),2)&lt;=0),0,ROUND(H93-G94,2))</f>
        <v/>
      </c>
    </row>
    <row r="95">
      <c r="A95" s="6" t="n">
        <v>81</v>
      </c>
      <c r="B95" s="19">
        <f>DATE(YEAR(B8)+INT((MONTH(B8)-1+80)/12),MOD(MONTH(B8)-1+80,12)+1,1)+(DAY(B8)-1)</f>
        <v/>
      </c>
      <c r="C95" s="21">
        <f>ROUND(E94*B5/100/12,2)</f>
        <v/>
      </c>
      <c r="D95" s="21">
        <f>IF((OR(ROUND(E94-ROUND($B$10-C95,2),2)&lt;=0,81=B6)),E94,ROUND($B$10-C95,2))</f>
        <v/>
      </c>
      <c r="E95" s="21">
        <f>IF((OR(ROUND(E94-ROUND($B$10-C95,2),2)&lt;=0,81=B6)),0,ROUND(E94-D95,2))</f>
        <v/>
      </c>
      <c r="F95" s="21">
        <f>ROUND(H94*B5/100/12,2)</f>
        <v/>
      </c>
      <c r="G95" s="21">
        <f>IF((ROUND(H94-ROUND($B$11-F95,2),2)&lt;=0),H94,ROUND($B$11-F95,2))</f>
        <v/>
      </c>
      <c r="H95" s="21">
        <f>IF((ROUND(H94-ROUND($B$11-F95,2),2)&lt;=0),0,ROUND(H94-G95,2))</f>
        <v/>
      </c>
    </row>
    <row r="96">
      <c r="A96" s="6" t="n">
        <v>82</v>
      </c>
      <c r="B96" s="19">
        <f>DATE(YEAR(B8)+INT((MONTH(B8)-1+81)/12),MOD(MONTH(B8)-1+81,12)+1,1)+(DAY(B8)-1)</f>
        <v/>
      </c>
      <c r="C96" s="21">
        <f>ROUND(E95*B5/100/12,2)</f>
        <v/>
      </c>
      <c r="D96" s="21">
        <f>IF((OR(ROUND(E95-ROUND($B$10-C96,2),2)&lt;=0,82=B6)),E95,ROUND($B$10-C96,2))</f>
        <v/>
      </c>
      <c r="E96" s="21">
        <f>IF((OR(ROUND(E95-ROUND($B$10-C96,2),2)&lt;=0,82=B6)),0,ROUND(E95-D96,2))</f>
        <v/>
      </c>
      <c r="F96" s="21">
        <f>ROUND(H95*B5/100/12,2)</f>
        <v/>
      </c>
      <c r="G96" s="21">
        <f>IF((ROUND(H95-ROUND($B$11-F96,2),2)&lt;=0),H95,ROUND($B$11-F96,2))</f>
        <v/>
      </c>
      <c r="H96" s="21">
        <f>IF((ROUND(H95-ROUND($B$11-F96,2),2)&lt;=0),0,ROUND(H95-G96,2))</f>
        <v/>
      </c>
    </row>
    <row r="97">
      <c r="A97" s="6" t="n">
        <v>83</v>
      </c>
      <c r="B97" s="19">
        <f>DATE(YEAR(B8)+INT((MONTH(B8)-1+82)/12),MOD(MONTH(B8)-1+82,12)+1,1)+(DAY(B8)-1)</f>
        <v/>
      </c>
      <c r="C97" s="21">
        <f>ROUND(E96*B5/100/12,2)</f>
        <v/>
      </c>
      <c r="D97" s="21">
        <f>IF((OR(ROUND(E96-ROUND($B$10-C97,2),2)&lt;=0,83=B6)),E96,ROUND($B$10-C97,2))</f>
        <v/>
      </c>
      <c r="E97" s="21">
        <f>IF((OR(ROUND(E96-ROUND($B$10-C97,2),2)&lt;=0,83=B6)),0,ROUND(E96-D97,2))</f>
        <v/>
      </c>
      <c r="F97" s="21">
        <f>ROUND(H96*B5/100/12,2)</f>
        <v/>
      </c>
      <c r="G97" s="21">
        <f>IF((ROUND(H96-ROUND($B$11-F97,2),2)&lt;=0),H96,ROUND($B$11-F97,2))</f>
        <v/>
      </c>
      <c r="H97" s="21">
        <f>IF((ROUND(H96-ROUND($B$11-F97,2),2)&lt;=0),0,ROUND(H96-G97,2))</f>
        <v/>
      </c>
    </row>
    <row r="98">
      <c r="A98" s="6" t="n">
        <v>84</v>
      </c>
      <c r="B98" s="19">
        <f>DATE(YEAR(B8)+INT((MONTH(B8)-1+83)/12),MOD(MONTH(B8)-1+83,12)+1,1)+(DAY(B8)-1)</f>
        <v/>
      </c>
      <c r="C98" s="21">
        <f>ROUND(E97*B5/100/12,2)</f>
        <v/>
      </c>
      <c r="D98" s="21">
        <f>IF((OR(ROUND(E97-ROUND($B$10-C98,2),2)&lt;=0,84=B6)),E97,ROUND($B$10-C98,2))</f>
        <v/>
      </c>
      <c r="E98" s="21">
        <f>IF((OR(ROUND(E97-ROUND($B$10-C98,2),2)&lt;=0,84=B6)),0,ROUND(E97-D98,2))</f>
        <v/>
      </c>
      <c r="F98" s="21">
        <f>ROUND(H97*B5/100/12,2)</f>
        <v/>
      </c>
      <c r="G98" s="21">
        <f>IF((ROUND(H97-ROUND($B$11-F98,2),2)&lt;=0),H97,ROUND($B$11-F98,2))</f>
        <v/>
      </c>
      <c r="H98" s="21">
        <f>IF((ROUND(H97-ROUND($B$11-F98,2),2)&lt;=0),0,ROUND(H97-G98,2))</f>
        <v/>
      </c>
    </row>
    <row r="99">
      <c r="A99" s="6" t="n">
        <v>85</v>
      </c>
      <c r="B99" s="19">
        <f>DATE(YEAR(B8)+INT((MONTH(B8)-1+84)/12),MOD(MONTH(B8)-1+84,12)+1,1)+(DAY(B8)-1)</f>
        <v/>
      </c>
      <c r="C99" s="21">
        <f>ROUND(E98*B5/100/12,2)</f>
        <v/>
      </c>
      <c r="D99" s="21">
        <f>IF((OR(ROUND(E98-ROUND($B$10-C99,2),2)&lt;=0,85=B6)),E98,ROUND($B$10-C99,2))</f>
        <v/>
      </c>
      <c r="E99" s="21">
        <f>IF((OR(ROUND(E98-ROUND($B$10-C99,2),2)&lt;=0,85=B6)),0,ROUND(E98-D99,2))</f>
        <v/>
      </c>
      <c r="F99" s="21">
        <f>ROUND(H98*B5/100/12,2)</f>
        <v/>
      </c>
      <c r="G99" s="21">
        <f>IF((ROUND(H98-ROUND($B$11-F99,2),2)&lt;=0),H98,ROUND($B$11-F99,2))</f>
        <v/>
      </c>
      <c r="H99" s="21">
        <f>IF((ROUND(H98-ROUND($B$11-F99,2),2)&lt;=0),0,ROUND(H98-G99,2))</f>
        <v/>
      </c>
    </row>
    <row r="100">
      <c r="A100" s="6" t="n">
        <v>86</v>
      </c>
      <c r="B100" s="19">
        <f>DATE(YEAR(B8)+INT((MONTH(B8)-1+85)/12),MOD(MONTH(B8)-1+85,12)+1,1)+(DAY(B8)-1)</f>
        <v/>
      </c>
      <c r="C100" s="21">
        <f>ROUND(E99*B5/100/12,2)</f>
        <v/>
      </c>
      <c r="D100" s="21">
        <f>IF((OR(ROUND(E99-ROUND($B$10-C100,2),2)&lt;=0,86=B6)),E99,ROUND($B$10-C100,2))</f>
        <v/>
      </c>
      <c r="E100" s="21">
        <f>IF((OR(ROUND(E99-ROUND($B$10-C100,2),2)&lt;=0,86=B6)),0,ROUND(E99-D100,2))</f>
        <v/>
      </c>
      <c r="F100" s="21">
        <f>ROUND(H99*B5/100/12,2)</f>
        <v/>
      </c>
      <c r="G100" s="21">
        <f>IF((ROUND(H99-ROUND($B$11-F100,2),2)&lt;=0),H99,ROUND($B$11-F100,2))</f>
        <v/>
      </c>
      <c r="H100" s="21">
        <f>IF((ROUND(H99-ROUND($B$11-F100,2),2)&lt;=0),0,ROUND(H99-G100,2))</f>
        <v/>
      </c>
    </row>
    <row r="101">
      <c r="A101" s="6" t="n">
        <v>87</v>
      </c>
      <c r="B101" s="19">
        <f>DATE(YEAR(B8)+INT((MONTH(B8)-1+86)/12),MOD(MONTH(B8)-1+86,12)+1,1)+(DAY(B8)-1)</f>
        <v/>
      </c>
      <c r="C101" s="21">
        <f>ROUND(E100*B5/100/12,2)</f>
        <v/>
      </c>
      <c r="D101" s="21">
        <f>IF((OR(ROUND(E100-ROUND($B$10-C101,2),2)&lt;=0,87=B6)),E100,ROUND($B$10-C101,2))</f>
        <v/>
      </c>
      <c r="E101" s="21">
        <f>IF((OR(ROUND(E100-ROUND($B$10-C101,2),2)&lt;=0,87=B6)),0,ROUND(E100-D101,2))</f>
        <v/>
      </c>
      <c r="F101" s="21">
        <f>ROUND(H100*B5/100/12,2)</f>
        <v/>
      </c>
      <c r="G101" s="21">
        <f>IF((ROUND(H100-ROUND($B$11-F101,2),2)&lt;=0),H100,ROUND($B$11-F101,2))</f>
        <v/>
      </c>
      <c r="H101" s="21">
        <f>IF((ROUND(H100-ROUND($B$11-F101,2),2)&lt;=0),0,ROUND(H100-G101,2))</f>
        <v/>
      </c>
    </row>
    <row r="102">
      <c r="A102" s="6" t="n">
        <v>88</v>
      </c>
      <c r="B102" s="19">
        <f>DATE(YEAR(B8)+INT((MONTH(B8)-1+87)/12),MOD(MONTH(B8)-1+87,12)+1,1)+(DAY(B8)-1)</f>
        <v/>
      </c>
      <c r="C102" s="21">
        <f>ROUND(E101*B5/100/12,2)</f>
        <v/>
      </c>
      <c r="D102" s="21">
        <f>IF((OR(ROUND(E101-ROUND($B$10-C102,2),2)&lt;=0,88=B6)),E101,ROUND($B$10-C102,2))</f>
        <v/>
      </c>
      <c r="E102" s="21">
        <f>IF((OR(ROUND(E101-ROUND($B$10-C102,2),2)&lt;=0,88=B6)),0,ROUND(E101-D102,2))</f>
        <v/>
      </c>
      <c r="F102" s="21">
        <f>ROUND(H101*B5/100/12,2)</f>
        <v/>
      </c>
      <c r="G102" s="21">
        <f>IF((ROUND(H101-ROUND($B$11-F102,2),2)&lt;=0),H101,ROUND($B$11-F102,2))</f>
        <v/>
      </c>
      <c r="H102" s="21">
        <f>IF((ROUND(H101-ROUND($B$11-F102,2),2)&lt;=0),0,ROUND(H101-G102,2))</f>
        <v/>
      </c>
    </row>
    <row r="103">
      <c r="A103" s="6" t="n">
        <v>89</v>
      </c>
      <c r="B103" s="19">
        <f>DATE(YEAR(B8)+INT((MONTH(B8)-1+88)/12),MOD(MONTH(B8)-1+88,12)+1,1)+(DAY(B8)-1)</f>
        <v/>
      </c>
      <c r="C103" s="21">
        <f>ROUND(E102*B5/100/12,2)</f>
        <v/>
      </c>
      <c r="D103" s="21">
        <f>IF((OR(ROUND(E102-ROUND($B$10-C103,2),2)&lt;=0,89=B6)),E102,ROUND($B$10-C103,2))</f>
        <v/>
      </c>
      <c r="E103" s="21">
        <f>IF((OR(ROUND(E102-ROUND($B$10-C103,2),2)&lt;=0,89=B6)),0,ROUND(E102-D103,2))</f>
        <v/>
      </c>
      <c r="F103" s="21">
        <f>ROUND(H102*B5/100/12,2)</f>
        <v/>
      </c>
      <c r="G103" s="21">
        <f>IF((ROUND(H102-ROUND($B$11-F103,2),2)&lt;=0),H102,ROUND($B$11-F103,2))</f>
        <v/>
      </c>
      <c r="H103" s="21">
        <f>IF((ROUND(H102-ROUND($B$11-F103,2),2)&lt;=0),0,ROUND(H102-G103,2))</f>
        <v/>
      </c>
    </row>
    <row r="104">
      <c r="A104" s="6" t="n">
        <v>90</v>
      </c>
      <c r="B104" s="19">
        <f>DATE(YEAR(B8)+INT((MONTH(B8)-1+89)/12),MOD(MONTH(B8)-1+89,12)+1,1)+(DAY(B8)-1)</f>
        <v/>
      </c>
      <c r="C104" s="21">
        <f>ROUND(E103*B5/100/12,2)</f>
        <v/>
      </c>
      <c r="D104" s="21">
        <f>IF((OR(ROUND(E103-ROUND($B$10-C104,2),2)&lt;=0,90=B6)),E103,ROUND($B$10-C104,2))</f>
        <v/>
      </c>
      <c r="E104" s="21">
        <f>IF((OR(ROUND(E103-ROUND($B$10-C104,2),2)&lt;=0,90=B6)),0,ROUND(E103-D104,2))</f>
        <v/>
      </c>
      <c r="F104" s="21">
        <f>ROUND(H103*B5/100/12,2)</f>
        <v/>
      </c>
      <c r="G104" s="21">
        <f>IF((ROUND(H103-ROUND($B$11-F104,2),2)&lt;=0),H103,ROUND($B$11-F104,2))</f>
        <v/>
      </c>
      <c r="H104" s="21">
        <f>IF((ROUND(H103-ROUND($B$11-F104,2),2)&lt;=0),0,ROUND(H103-G104,2))</f>
        <v/>
      </c>
    </row>
    <row r="105">
      <c r="A105" s="6" t="n">
        <v>91</v>
      </c>
      <c r="B105" s="19">
        <f>DATE(YEAR(B8)+INT((MONTH(B8)-1+90)/12),MOD(MONTH(B8)-1+90,12)+1,1)+(DAY(B8)-1)</f>
        <v/>
      </c>
      <c r="C105" s="21">
        <f>ROUND(E104*B5/100/12,2)</f>
        <v/>
      </c>
      <c r="D105" s="21">
        <f>IF((OR(ROUND(E104-ROUND($B$10-C105,2),2)&lt;=0,91=B6)),E104,ROUND($B$10-C105,2))</f>
        <v/>
      </c>
      <c r="E105" s="21">
        <f>IF((OR(ROUND(E104-ROUND($B$10-C105,2),2)&lt;=0,91=B6)),0,ROUND(E104-D105,2))</f>
        <v/>
      </c>
      <c r="F105" s="21">
        <f>ROUND(H104*B5/100/12,2)</f>
        <v/>
      </c>
      <c r="G105" s="21">
        <f>IF((ROUND(H104-ROUND($B$11-F105,2),2)&lt;=0),H104,ROUND($B$11-F105,2))</f>
        <v/>
      </c>
      <c r="H105" s="21">
        <f>IF((ROUND(H104-ROUND($B$11-F105,2),2)&lt;=0),0,ROUND(H104-G105,2))</f>
        <v/>
      </c>
    </row>
    <row r="106">
      <c r="A106" s="6" t="n">
        <v>92</v>
      </c>
      <c r="B106" s="19">
        <f>DATE(YEAR(B8)+INT((MONTH(B8)-1+91)/12),MOD(MONTH(B8)-1+91,12)+1,1)+(DAY(B8)-1)</f>
        <v/>
      </c>
      <c r="C106" s="21">
        <f>ROUND(E105*B5/100/12,2)</f>
        <v/>
      </c>
      <c r="D106" s="21">
        <f>IF((OR(ROUND(E105-ROUND($B$10-C106,2),2)&lt;=0,92=B6)),E105,ROUND($B$10-C106,2))</f>
        <v/>
      </c>
      <c r="E106" s="21">
        <f>IF((OR(ROUND(E105-ROUND($B$10-C106,2),2)&lt;=0,92=B6)),0,ROUND(E105-D106,2))</f>
        <v/>
      </c>
      <c r="F106" s="21">
        <f>ROUND(H105*B5/100/12,2)</f>
        <v/>
      </c>
      <c r="G106" s="21">
        <f>IF((ROUND(H105-ROUND($B$11-F106,2),2)&lt;=0),H105,ROUND($B$11-F106,2))</f>
        <v/>
      </c>
      <c r="H106" s="21">
        <f>IF((ROUND(H105-ROUND($B$11-F106,2),2)&lt;=0),0,ROUND(H105-G106,2))</f>
        <v/>
      </c>
    </row>
    <row r="107">
      <c r="A107" s="6" t="n">
        <v>93</v>
      </c>
      <c r="B107" s="19">
        <f>DATE(YEAR(B8)+INT((MONTH(B8)-1+92)/12),MOD(MONTH(B8)-1+92,12)+1,1)+(DAY(B8)-1)</f>
        <v/>
      </c>
      <c r="C107" s="21">
        <f>ROUND(E106*B5/100/12,2)</f>
        <v/>
      </c>
      <c r="D107" s="21">
        <f>IF((OR(ROUND(E106-ROUND($B$10-C107,2),2)&lt;=0,93=B6)),E106,ROUND($B$10-C107,2))</f>
        <v/>
      </c>
      <c r="E107" s="21">
        <f>IF((OR(ROUND(E106-ROUND($B$10-C107,2),2)&lt;=0,93=B6)),0,ROUND(E106-D107,2))</f>
        <v/>
      </c>
      <c r="F107" s="21">
        <f>ROUND(H106*B5/100/12,2)</f>
        <v/>
      </c>
      <c r="G107" s="21">
        <f>IF((ROUND(H106-ROUND($B$11-F107,2),2)&lt;=0),H106,ROUND($B$11-F107,2))</f>
        <v/>
      </c>
      <c r="H107" s="21">
        <f>IF((ROUND(H106-ROUND($B$11-F107,2),2)&lt;=0),0,ROUND(H106-G107,2))</f>
        <v/>
      </c>
    </row>
    <row r="108">
      <c r="A108" s="6" t="n">
        <v>94</v>
      </c>
      <c r="B108" s="19">
        <f>DATE(YEAR(B8)+INT((MONTH(B8)-1+93)/12),MOD(MONTH(B8)-1+93,12)+1,1)+(DAY(B8)-1)</f>
        <v/>
      </c>
      <c r="C108" s="21">
        <f>ROUND(E107*B5/100/12,2)</f>
        <v/>
      </c>
      <c r="D108" s="21">
        <f>IF((OR(ROUND(E107-ROUND($B$10-C108,2),2)&lt;=0,94=B6)),E107,ROUND($B$10-C108,2))</f>
        <v/>
      </c>
      <c r="E108" s="21">
        <f>IF((OR(ROUND(E107-ROUND($B$10-C108,2),2)&lt;=0,94=B6)),0,ROUND(E107-D108,2))</f>
        <v/>
      </c>
      <c r="F108" s="21">
        <f>ROUND(H107*B5/100/12,2)</f>
        <v/>
      </c>
      <c r="G108" s="21">
        <f>IF((ROUND(H107-ROUND($B$11-F108,2),2)&lt;=0),H107,ROUND($B$11-F108,2))</f>
        <v/>
      </c>
      <c r="H108" s="21">
        <f>IF((ROUND(H107-ROUND($B$11-F108,2),2)&lt;=0),0,ROUND(H107-G108,2))</f>
        <v/>
      </c>
    </row>
    <row r="109">
      <c r="A109" s="6" t="n">
        <v>95</v>
      </c>
      <c r="B109" s="19">
        <f>DATE(YEAR(B8)+INT((MONTH(B8)-1+94)/12),MOD(MONTH(B8)-1+94,12)+1,1)+(DAY(B8)-1)</f>
        <v/>
      </c>
      <c r="C109" s="21">
        <f>ROUND(E108*B5/100/12,2)</f>
        <v/>
      </c>
      <c r="D109" s="21">
        <f>IF((OR(ROUND(E108-ROUND($B$10-C109,2),2)&lt;=0,95=B6)),E108,ROUND($B$10-C109,2))</f>
        <v/>
      </c>
      <c r="E109" s="21">
        <f>IF((OR(ROUND(E108-ROUND($B$10-C109,2),2)&lt;=0,95=B6)),0,ROUND(E108-D109,2))</f>
        <v/>
      </c>
      <c r="F109" s="21">
        <f>ROUND(H108*B5/100/12,2)</f>
        <v/>
      </c>
      <c r="G109" s="21">
        <f>IF((ROUND(H108-ROUND($B$11-F109,2),2)&lt;=0),H108,ROUND($B$11-F109,2))</f>
        <v/>
      </c>
      <c r="H109" s="21">
        <f>IF((ROUND(H108-ROUND($B$11-F109,2),2)&lt;=0),0,ROUND(H108-G109,2))</f>
        <v/>
      </c>
    </row>
    <row r="110">
      <c r="A110" s="6" t="n">
        <v>96</v>
      </c>
      <c r="B110" s="19">
        <f>DATE(YEAR(B8)+INT((MONTH(B8)-1+95)/12),MOD(MONTH(B8)-1+95,12)+1,1)+(DAY(B8)-1)</f>
        <v/>
      </c>
      <c r="C110" s="21">
        <f>ROUND(E109*B5/100/12,2)</f>
        <v/>
      </c>
      <c r="D110" s="21">
        <f>IF((OR(ROUND(E109-ROUND($B$10-C110,2),2)&lt;=0,96=B6)),E109,ROUND($B$10-C110,2))</f>
        <v/>
      </c>
      <c r="E110" s="21">
        <f>IF((OR(ROUND(E109-ROUND($B$10-C110,2),2)&lt;=0,96=B6)),0,ROUND(E109-D110,2))</f>
        <v/>
      </c>
      <c r="F110" s="21">
        <f>ROUND(H109*B5/100/12,2)</f>
        <v/>
      </c>
      <c r="G110" s="21">
        <f>IF((ROUND(H109-ROUND($B$11-F110,2),2)&lt;=0),H109,ROUND($B$11-F110,2))</f>
        <v/>
      </c>
      <c r="H110" s="21">
        <f>IF((ROUND(H109-ROUND($B$11-F110,2),2)&lt;=0),0,ROUND(H109-G110,2))</f>
        <v/>
      </c>
    </row>
    <row r="111">
      <c r="A111" s="6" t="n">
        <v>97</v>
      </c>
      <c r="B111" s="19">
        <f>DATE(YEAR(B8)+INT((MONTH(B8)-1+96)/12),MOD(MONTH(B8)-1+96,12)+1,1)+(DAY(B8)-1)</f>
        <v/>
      </c>
      <c r="C111" s="21">
        <f>ROUND(E110*B5/100/12,2)</f>
        <v/>
      </c>
      <c r="D111" s="21">
        <f>IF((OR(ROUND(E110-ROUND($B$10-C111,2),2)&lt;=0,97=B6)),E110,ROUND($B$10-C111,2))</f>
        <v/>
      </c>
      <c r="E111" s="21">
        <f>IF((OR(ROUND(E110-ROUND($B$10-C111,2),2)&lt;=0,97=B6)),0,ROUND(E110-D111,2))</f>
        <v/>
      </c>
      <c r="F111" s="21">
        <f>ROUND(H110*B5/100/12,2)</f>
        <v/>
      </c>
      <c r="G111" s="21">
        <f>IF((ROUND(H110-ROUND($B$11-F111,2),2)&lt;=0),H110,ROUND($B$11-F111,2))</f>
        <v/>
      </c>
      <c r="H111" s="21">
        <f>IF((ROUND(H110-ROUND($B$11-F111,2),2)&lt;=0),0,ROUND(H110-G111,2))</f>
        <v/>
      </c>
    </row>
    <row r="112">
      <c r="A112" s="6" t="n">
        <v>98</v>
      </c>
      <c r="B112" s="19">
        <f>DATE(YEAR(B8)+INT((MONTH(B8)-1+97)/12),MOD(MONTH(B8)-1+97,12)+1,1)+(DAY(B8)-1)</f>
        <v/>
      </c>
      <c r="C112" s="21">
        <f>ROUND(E111*B5/100/12,2)</f>
        <v/>
      </c>
      <c r="D112" s="21">
        <f>IF((OR(ROUND(E111-ROUND($B$10-C112,2),2)&lt;=0,98=B6)),E111,ROUND($B$10-C112,2))</f>
        <v/>
      </c>
      <c r="E112" s="21">
        <f>IF((OR(ROUND(E111-ROUND($B$10-C112,2),2)&lt;=0,98=B6)),0,ROUND(E111-D112,2))</f>
        <v/>
      </c>
      <c r="F112" s="21">
        <f>ROUND(H111*B5/100/12,2)</f>
        <v/>
      </c>
      <c r="G112" s="21">
        <f>IF((ROUND(H111-ROUND($B$11-F112,2),2)&lt;=0),H111,ROUND($B$11-F112,2))</f>
        <v/>
      </c>
      <c r="H112" s="21">
        <f>IF((ROUND(H111-ROUND($B$11-F112,2),2)&lt;=0),0,ROUND(H111-G112,2))</f>
        <v/>
      </c>
    </row>
    <row r="113">
      <c r="A113" s="6" t="n">
        <v>99</v>
      </c>
      <c r="B113" s="19">
        <f>DATE(YEAR(B8)+INT((MONTH(B8)-1+98)/12),MOD(MONTH(B8)-1+98,12)+1,1)+(DAY(B8)-1)</f>
        <v/>
      </c>
      <c r="C113" s="21">
        <f>ROUND(E112*B5/100/12,2)</f>
        <v/>
      </c>
      <c r="D113" s="21">
        <f>IF((OR(ROUND(E112-ROUND($B$10-C113,2),2)&lt;=0,99=B6)),E112,ROUND($B$10-C113,2))</f>
        <v/>
      </c>
      <c r="E113" s="21">
        <f>IF((OR(ROUND(E112-ROUND($B$10-C113,2),2)&lt;=0,99=B6)),0,ROUND(E112-D113,2))</f>
        <v/>
      </c>
      <c r="F113" s="21">
        <f>ROUND(H112*B5/100/12,2)</f>
        <v/>
      </c>
      <c r="G113" s="21">
        <f>IF((ROUND(H112-ROUND($B$11-F113,2),2)&lt;=0),H112,ROUND($B$11-F113,2))</f>
        <v/>
      </c>
      <c r="H113" s="21">
        <f>IF((ROUND(H112-ROUND($B$11-F113,2),2)&lt;=0),0,ROUND(H112-G113,2))</f>
        <v/>
      </c>
    </row>
    <row r="114">
      <c r="A114" s="6" t="n">
        <v>100</v>
      </c>
      <c r="B114" s="19">
        <f>DATE(YEAR(B8)+INT((MONTH(B8)-1+99)/12),MOD(MONTH(B8)-1+99,12)+1,1)+(DAY(B8)-1)</f>
        <v/>
      </c>
      <c r="C114" s="21">
        <f>ROUND(E113*B5/100/12,2)</f>
        <v/>
      </c>
      <c r="D114" s="21">
        <f>IF((OR(ROUND(E113-ROUND($B$10-C114,2),2)&lt;=0,100=B6)),E113,ROUND($B$10-C114,2))</f>
        <v/>
      </c>
      <c r="E114" s="21">
        <f>IF((OR(ROUND(E113-ROUND($B$10-C114,2),2)&lt;=0,100=B6)),0,ROUND(E113-D114,2))</f>
        <v/>
      </c>
      <c r="F114" s="21">
        <f>ROUND(H113*B5/100/12,2)</f>
        <v/>
      </c>
      <c r="G114" s="21">
        <f>IF((ROUND(H113-ROUND($B$11-F114,2),2)&lt;=0),H113,ROUND($B$11-F114,2))</f>
        <v/>
      </c>
      <c r="H114" s="21">
        <f>IF((ROUND(H113-ROUND($B$11-F114,2),2)&lt;=0),0,ROUND(H113-G114,2))</f>
        <v/>
      </c>
    </row>
    <row r="115">
      <c r="A115" s="6" t="n">
        <v>101</v>
      </c>
      <c r="B115" s="19">
        <f>DATE(YEAR(B8)+INT((MONTH(B8)-1+100)/12),MOD(MONTH(B8)-1+100,12)+1,1)+(DAY(B8)-1)</f>
        <v/>
      </c>
      <c r="C115" s="21">
        <f>ROUND(E114*B5/100/12,2)</f>
        <v/>
      </c>
      <c r="D115" s="21">
        <f>IF((OR(ROUND(E114-ROUND($B$10-C115,2),2)&lt;=0,101=B6)),E114,ROUND($B$10-C115,2))</f>
        <v/>
      </c>
      <c r="E115" s="21">
        <f>IF((OR(ROUND(E114-ROUND($B$10-C115,2),2)&lt;=0,101=B6)),0,ROUND(E114-D115,2))</f>
        <v/>
      </c>
      <c r="F115" s="21">
        <f>ROUND(H114*B5/100/12,2)</f>
        <v/>
      </c>
      <c r="G115" s="21">
        <f>IF((ROUND(H114-ROUND($B$11-F115,2),2)&lt;=0),H114,ROUND($B$11-F115,2))</f>
        <v/>
      </c>
      <c r="H115" s="21">
        <f>IF((ROUND(H114-ROUND($B$11-F115,2),2)&lt;=0),0,ROUND(H114-G115,2))</f>
        <v/>
      </c>
    </row>
    <row r="116">
      <c r="A116" s="6" t="n">
        <v>102</v>
      </c>
      <c r="B116" s="19">
        <f>DATE(YEAR(B8)+INT((MONTH(B8)-1+101)/12),MOD(MONTH(B8)-1+101,12)+1,1)+(DAY(B8)-1)</f>
        <v/>
      </c>
      <c r="C116" s="21">
        <f>ROUND(E115*B5/100/12,2)</f>
        <v/>
      </c>
      <c r="D116" s="21">
        <f>IF((OR(ROUND(E115-ROUND($B$10-C116,2),2)&lt;=0,102=B6)),E115,ROUND($B$10-C116,2))</f>
        <v/>
      </c>
      <c r="E116" s="21">
        <f>IF((OR(ROUND(E115-ROUND($B$10-C116,2),2)&lt;=0,102=B6)),0,ROUND(E115-D116,2))</f>
        <v/>
      </c>
      <c r="F116" s="21">
        <f>ROUND(H115*B5/100/12,2)</f>
        <v/>
      </c>
      <c r="G116" s="21">
        <f>IF((ROUND(H115-ROUND($B$11-F116,2),2)&lt;=0),H115,ROUND($B$11-F116,2))</f>
        <v/>
      </c>
      <c r="H116" s="21">
        <f>IF((ROUND(H115-ROUND($B$11-F116,2),2)&lt;=0),0,ROUND(H115-G116,2))</f>
        <v/>
      </c>
    </row>
    <row r="117">
      <c r="A117" s="6" t="n">
        <v>103</v>
      </c>
      <c r="B117" s="19">
        <f>DATE(YEAR(B8)+INT((MONTH(B8)-1+102)/12),MOD(MONTH(B8)-1+102,12)+1,1)+(DAY(B8)-1)</f>
        <v/>
      </c>
      <c r="C117" s="21">
        <f>ROUND(E116*B5/100/12,2)</f>
        <v/>
      </c>
      <c r="D117" s="21">
        <f>IF((OR(ROUND(E116-ROUND($B$10-C117,2),2)&lt;=0,103=B6)),E116,ROUND($B$10-C117,2))</f>
        <v/>
      </c>
      <c r="E117" s="21">
        <f>IF((OR(ROUND(E116-ROUND($B$10-C117,2),2)&lt;=0,103=B6)),0,ROUND(E116-D117,2))</f>
        <v/>
      </c>
      <c r="F117" s="21">
        <f>ROUND(H116*B5/100/12,2)</f>
        <v/>
      </c>
      <c r="G117" s="21">
        <f>IF((ROUND(H116-ROUND($B$11-F117,2),2)&lt;=0),H116,ROUND($B$11-F117,2))</f>
        <v/>
      </c>
      <c r="H117" s="21">
        <f>IF((ROUND(H116-ROUND($B$11-F117,2),2)&lt;=0),0,ROUND(H116-G117,2))</f>
        <v/>
      </c>
    </row>
    <row r="118">
      <c r="A118" s="6" t="n">
        <v>104</v>
      </c>
      <c r="B118" s="19">
        <f>DATE(YEAR(B8)+INT((MONTH(B8)-1+103)/12),MOD(MONTH(B8)-1+103,12)+1,1)+(DAY(B8)-1)</f>
        <v/>
      </c>
      <c r="C118" s="21">
        <f>ROUND(E117*B5/100/12,2)</f>
        <v/>
      </c>
      <c r="D118" s="21">
        <f>IF((OR(ROUND(E117-ROUND($B$10-C118,2),2)&lt;=0,104=B6)),E117,ROUND($B$10-C118,2))</f>
        <v/>
      </c>
      <c r="E118" s="21">
        <f>IF((OR(ROUND(E117-ROUND($B$10-C118,2),2)&lt;=0,104=B6)),0,ROUND(E117-D118,2))</f>
        <v/>
      </c>
      <c r="F118" s="21">
        <f>ROUND(H117*B5/100/12,2)</f>
        <v/>
      </c>
      <c r="G118" s="21">
        <f>IF((ROUND(H117-ROUND($B$11-F118,2),2)&lt;=0),H117,ROUND($B$11-F118,2))</f>
        <v/>
      </c>
      <c r="H118" s="21">
        <f>IF((ROUND(H117-ROUND($B$11-F118,2),2)&lt;=0),0,ROUND(H117-G118,2))</f>
        <v/>
      </c>
    </row>
    <row r="119">
      <c r="A119" s="6" t="n">
        <v>105</v>
      </c>
      <c r="B119" s="19">
        <f>DATE(YEAR(B8)+INT((MONTH(B8)-1+104)/12),MOD(MONTH(B8)-1+104,12)+1,1)+(DAY(B8)-1)</f>
        <v/>
      </c>
      <c r="C119" s="21">
        <f>ROUND(E118*B5/100/12,2)</f>
        <v/>
      </c>
      <c r="D119" s="21">
        <f>IF((OR(ROUND(E118-ROUND($B$10-C119,2),2)&lt;=0,105=B6)),E118,ROUND($B$10-C119,2))</f>
        <v/>
      </c>
      <c r="E119" s="21">
        <f>IF((OR(ROUND(E118-ROUND($B$10-C119,2),2)&lt;=0,105=B6)),0,ROUND(E118-D119,2))</f>
        <v/>
      </c>
      <c r="F119" s="21">
        <f>ROUND(H118*B5/100/12,2)</f>
        <v/>
      </c>
      <c r="G119" s="21">
        <f>IF((ROUND(H118-ROUND($B$11-F119,2),2)&lt;=0),H118,ROUND($B$11-F119,2))</f>
        <v/>
      </c>
      <c r="H119" s="21">
        <f>IF((ROUND(H118-ROUND($B$11-F119,2),2)&lt;=0),0,ROUND(H118-G119,2))</f>
        <v/>
      </c>
    </row>
    <row r="120">
      <c r="A120" s="6" t="n">
        <v>106</v>
      </c>
      <c r="B120" s="19">
        <f>DATE(YEAR(B8)+INT((MONTH(B8)-1+105)/12),MOD(MONTH(B8)-1+105,12)+1,1)+(DAY(B8)-1)</f>
        <v/>
      </c>
      <c r="C120" s="21">
        <f>ROUND(E119*B5/100/12,2)</f>
        <v/>
      </c>
      <c r="D120" s="21">
        <f>IF((OR(ROUND(E119-ROUND($B$10-C120,2),2)&lt;=0,106=B6)),E119,ROUND($B$10-C120,2))</f>
        <v/>
      </c>
      <c r="E120" s="21">
        <f>IF((OR(ROUND(E119-ROUND($B$10-C120,2),2)&lt;=0,106=B6)),0,ROUND(E119-D120,2))</f>
        <v/>
      </c>
      <c r="F120" s="21">
        <f>ROUND(H119*B5/100/12,2)</f>
        <v/>
      </c>
      <c r="G120" s="21">
        <f>IF((ROUND(H119-ROUND($B$11-F120,2),2)&lt;=0),H119,ROUND($B$11-F120,2))</f>
        <v/>
      </c>
      <c r="H120" s="21">
        <f>IF((ROUND(H119-ROUND($B$11-F120,2),2)&lt;=0),0,ROUND(H119-G120,2))</f>
        <v/>
      </c>
    </row>
    <row r="121">
      <c r="A121" s="6" t="n">
        <v>107</v>
      </c>
      <c r="B121" s="19">
        <f>DATE(YEAR(B8)+INT((MONTH(B8)-1+106)/12),MOD(MONTH(B8)-1+106,12)+1,1)+(DAY(B8)-1)</f>
        <v/>
      </c>
      <c r="C121" s="21">
        <f>ROUND(E120*B5/100/12,2)</f>
        <v/>
      </c>
      <c r="D121" s="21">
        <f>IF((OR(ROUND(E120-ROUND($B$10-C121,2),2)&lt;=0,107=B6)),E120,ROUND($B$10-C121,2))</f>
        <v/>
      </c>
      <c r="E121" s="21">
        <f>IF((OR(ROUND(E120-ROUND($B$10-C121,2),2)&lt;=0,107=B6)),0,ROUND(E120-D121,2))</f>
        <v/>
      </c>
      <c r="F121" s="21">
        <f>ROUND(H120*B5/100/12,2)</f>
        <v/>
      </c>
      <c r="G121" s="21">
        <f>IF((ROUND(H120-ROUND($B$11-F121,2),2)&lt;=0),H120,ROUND($B$11-F121,2))</f>
        <v/>
      </c>
      <c r="H121" s="21">
        <f>IF((ROUND(H120-ROUND($B$11-F121,2),2)&lt;=0),0,ROUND(H120-G121,2))</f>
        <v/>
      </c>
    </row>
    <row r="122">
      <c r="A122" s="6" t="n">
        <v>108</v>
      </c>
      <c r="B122" s="19">
        <f>DATE(YEAR(B8)+INT((MONTH(B8)-1+107)/12),MOD(MONTH(B8)-1+107,12)+1,1)+(DAY(B8)-1)</f>
        <v/>
      </c>
      <c r="C122" s="21">
        <f>ROUND(E121*B5/100/12,2)</f>
        <v/>
      </c>
      <c r="D122" s="21">
        <f>IF((OR(ROUND(E121-ROUND($B$10-C122,2),2)&lt;=0,108=B6)),E121,ROUND($B$10-C122,2))</f>
        <v/>
      </c>
      <c r="E122" s="21">
        <f>IF((OR(ROUND(E121-ROUND($B$10-C122,2),2)&lt;=0,108=B6)),0,ROUND(E121-D122,2))</f>
        <v/>
      </c>
      <c r="F122" s="21">
        <f>ROUND(H121*B5/100/12,2)</f>
        <v/>
      </c>
      <c r="G122" s="21">
        <f>IF((ROUND(H121-ROUND($B$11-F122,2),2)&lt;=0),H121,ROUND($B$11-F122,2))</f>
        <v/>
      </c>
      <c r="H122" s="21">
        <f>IF((ROUND(H121-ROUND($B$11-F122,2),2)&lt;=0),0,ROUND(H121-G122,2))</f>
        <v/>
      </c>
    </row>
    <row r="123">
      <c r="A123" s="6" t="n">
        <v>109</v>
      </c>
      <c r="B123" s="19">
        <f>DATE(YEAR(B8)+INT((MONTH(B8)-1+108)/12),MOD(MONTH(B8)-1+108,12)+1,1)+(DAY(B8)-1)</f>
        <v/>
      </c>
      <c r="C123" s="21">
        <f>ROUND(E122*B5/100/12,2)</f>
        <v/>
      </c>
      <c r="D123" s="21">
        <f>IF((OR(ROUND(E122-ROUND($B$10-C123,2),2)&lt;=0,109=B6)),E122,ROUND($B$10-C123,2))</f>
        <v/>
      </c>
      <c r="E123" s="21">
        <f>IF((OR(ROUND(E122-ROUND($B$10-C123,2),2)&lt;=0,109=B6)),0,ROUND(E122-D123,2))</f>
        <v/>
      </c>
      <c r="F123" s="21">
        <f>ROUND(H122*B5/100/12,2)</f>
        <v/>
      </c>
      <c r="G123" s="21">
        <f>IF((ROUND(H122-ROUND($B$11-F123,2),2)&lt;=0),H122,ROUND($B$11-F123,2))</f>
        <v/>
      </c>
      <c r="H123" s="21">
        <f>IF((ROUND(H122-ROUND($B$11-F123,2),2)&lt;=0),0,ROUND(H122-G123,2))</f>
        <v/>
      </c>
    </row>
    <row r="124">
      <c r="A124" s="6" t="n">
        <v>110</v>
      </c>
      <c r="B124" s="19">
        <f>DATE(YEAR(B8)+INT((MONTH(B8)-1+109)/12),MOD(MONTH(B8)-1+109,12)+1,1)+(DAY(B8)-1)</f>
        <v/>
      </c>
      <c r="C124" s="21">
        <f>ROUND(E123*B5/100/12,2)</f>
        <v/>
      </c>
      <c r="D124" s="21">
        <f>IF((OR(ROUND(E123-ROUND($B$10-C124,2),2)&lt;=0,110=B6)),E123,ROUND($B$10-C124,2))</f>
        <v/>
      </c>
      <c r="E124" s="21">
        <f>IF((OR(ROUND(E123-ROUND($B$10-C124,2),2)&lt;=0,110=B6)),0,ROUND(E123-D124,2))</f>
        <v/>
      </c>
      <c r="F124" s="21">
        <f>ROUND(H123*B5/100/12,2)</f>
        <v/>
      </c>
      <c r="G124" s="21">
        <f>IF((ROUND(H123-ROUND($B$11-F124,2),2)&lt;=0),H123,ROUND($B$11-F124,2))</f>
        <v/>
      </c>
      <c r="H124" s="21">
        <f>IF((ROUND(H123-ROUND($B$11-F124,2),2)&lt;=0),0,ROUND(H123-G124,2))</f>
        <v/>
      </c>
    </row>
    <row r="125">
      <c r="A125" s="6" t="n">
        <v>111</v>
      </c>
      <c r="B125" s="19">
        <f>DATE(YEAR(B8)+INT((MONTH(B8)-1+110)/12),MOD(MONTH(B8)-1+110,12)+1,1)+(DAY(B8)-1)</f>
        <v/>
      </c>
      <c r="C125" s="21">
        <f>ROUND(E124*B5/100/12,2)</f>
        <v/>
      </c>
      <c r="D125" s="21">
        <f>IF((OR(ROUND(E124-ROUND($B$10-C125,2),2)&lt;=0,111=B6)),E124,ROUND($B$10-C125,2))</f>
        <v/>
      </c>
      <c r="E125" s="21">
        <f>IF((OR(ROUND(E124-ROUND($B$10-C125,2),2)&lt;=0,111=B6)),0,ROUND(E124-D125,2))</f>
        <v/>
      </c>
      <c r="F125" s="21">
        <f>ROUND(H124*B5/100/12,2)</f>
        <v/>
      </c>
      <c r="G125" s="21">
        <f>IF((ROUND(H124-ROUND($B$11-F125,2),2)&lt;=0),H124,ROUND($B$11-F125,2))</f>
        <v/>
      </c>
      <c r="H125" s="21">
        <f>IF((ROUND(H124-ROUND($B$11-F125,2),2)&lt;=0),0,ROUND(H124-G125,2))</f>
        <v/>
      </c>
    </row>
    <row r="126">
      <c r="A126" s="6" t="n">
        <v>112</v>
      </c>
      <c r="B126" s="19">
        <f>DATE(YEAR(B8)+INT((MONTH(B8)-1+111)/12),MOD(MONTH(B8)-1+111,12)+1,1)+(DAY(B8)-1)</f>
        <v/>
      </c>
      <c r="C126" s="21">
        <f>ROUND(E125*B5/100/12,2)</f>
        <v/>
      </c>
      <c r="D126" s="21">
        <f>IF((OR(ROUND(E125-ROUND($B$10-C126,2),2)&lt;=0,112=B6)),E125,ROUND($B$10-C126,2))</f>
        <v/>
      </c>
      <c r="E126" s="21">
        <f>IF((OR(ROUND(E125-ROUND($B$10-C126,2),2)&lt;=0,112=B6)),0,ROUND(E125-D126,2))</f>
        <v/>
      </c>
      <c r="F126" s="21">
        <f>ROUND(H125*B5/100/12,2)</f>
        <v/>
      </c>
      <c r="G126" s="21">
        <f>IF((ROUND(H125-ROUND($B$11-F126,2),2)&lt;=0),H125,ROUND($B$11-F126,2))</f>
        <v/>
      </c>
      <c r="H126" s="21">
        <f>IF((ROUND(H125-ROUND($B$11-F126,2),2)&lt;=0),0,ROUND(H125-G126,2))</f>
        <v/>
      </c>
    </row>
    <row r="127">
      <c r="A127" s="6" t="n">
        <v>113</v>
      </c>
      <c r="B127" s="19">
        <f>DATE(YEAR(B8)+INT((MONTH(B8)-1+112)/12),MOD(MONTH(B8)-1+112,12)+1,1)+(DAY(B8)-1)</f>
        <v/>
      </c>
      <c r="C127" s="21">
        <f>ROUND(E126*B5/100/12,2)</f>
        <v/>
      </c>
      <c r="D127" s="21">
        <f>IF((OR(ROUND(E126-ROUND($B$10-C127,2),2)&lt;=0,113=B6)),E126,ROUND($B$10-C127,2))</f>
        <v/>
      </c>
      <c r="E127" s="21">
        <f>IF((OR(ROUND(E126-ROUND($B$10-C127,2),2)&lt;=0,113=B6)),0,ROUND(E126-D127,2))</f>
        <v/>
      </c>
      <c r="F127" s="21">
        <f>ROUND(H126*B5/100/12,2)</f>
        <v/>
      </c>
      <c r="G127" s="21">
        <f>IF((ROUND(H126-ROUND($B$11-F127,2),2)&lt;=0),H126,ROUND($B$11-F127,2))</f>
        <v/>
      </c>
      <c r="H127" s="21">
        <f>IF((ROUND(H126-ROUND($B$11-F127,2),2)&lt;=0),0,ROUND(H126-G127,2))</f>
        <v/>
      </c>
    </row>
    <row r="128">
      <c r="A128" s="6" t="n">
        <v>114</v>
      </c>
      <c r="B128" s="19">
        <f>DATE(YEAR(B8)+INT((MONTH(B8)-1+113)/12),MOD(MONTH(B8)-1+113,12)+1,1)+(DAY(B8)-1)</f>
        <v/>
      </c>
      <c r="C128" s="21">
        <f>ROUND(E127*B5/100/12,2)</f>
        <v/>
      </c>
      <c r="D128" s="21">
        <f>IF((OR(ROUND(E127-ROUND($B$10-C128,2),2)&lt;=0,114=B6)),E127,ROUND($B$10-C128,2))</f>
        <v/>
      </c>
      <c r="E128" s="21">
        <f>IF((OR(ROUND(E127-ROUND($B$10-C128,2),2)&lt;=0,114=B6)),0,ROUND(E127-D128,2))</f>
        <v/>
      </c>
      <c r="F128" s="21">
        <f>ROUND(H127*B5/100/12,2)</f>
        <v/>
      </c>
      <c r="G128" s="21">
        <f>IF((ROUND(H127-ROUND($B$11-F128,2),2)&lt;=0),H127,ROUND($B$11-F128,2))</f>
        <v/>
      </c>
      <c r="H128" s="21">
        <f>IF((ROUND(H127-ROUND($B$11-F128,2),2)&lt;=0),0,ROUND(H127-G128,2))</f>
        <v/>
      </c>
    </row>
    <row r="129">
      <c r="A129" s="6" t="n">
        <v>115</v>
      </c>
      <c r="B129" s="19">
        <f>DATE(YEAR(B8)+INT((MONTH(B8)-1+114)/12),MOD(MONTH(B8)-1+114,12)+1,1)+(DAY(B8)-1)</f>
        <v/>
      </c>
      <c r="C129" s="21">
        <f>ROUND(E128*B5/100/12,2)</f>
        <v/>
      </c>
      <c r="D129" s="21">
        <f>IF((OR(ROUND(E128-ROUND($B$10-C129,2),2)&lt;=0,115=B6)),E128,ROUND($B$10-C129,2))</f>
        <v/>
      </c>
      <c r="E129" s="21">
        <f>IF((OR(ROUND(E128-ROUND($B$10-C129,2),2)&lt;=0,115=B6)),0,ROUND(E128-D129,2))</f>
        <v/>
      </c>
      <c r="F129" s="21">
        <f>ROUND(H128*B5/100/12,2)</f>
        <v/>
      </c>
      <c r="G129" s="21">
        <f>IF((ROUND(H128-ROUND($B$11-F129,2),2)&lt;=0),H128,ROUND($B$11-F129,2))</f>
        <v/>
      </c>
      <c r="H129" s="21">
        <f>IF((ROUND(H128-ROUND($B$11-F129,2),2)&lt;=0),0,ROUND(H128-G129,2))</f>
        <v/>
      </c>
    </row>
    <row r="130">
      <c r="A130" s="6" t="n">
        <v>116</v>
      </c>
      <c r="B130" s="19">
        <f>DATE(YEAR(B8)+INT((MONTH(B8)-1+115)/12),MOD(MONTH(B8)-1+115,12)+1,1)+(DAY(B8)-1)</f>
        <v/>
      </c>
      <c r="C130" s="21">
        <f>ROUND(E129*B5/100/12,2)</f>
        <v/>
      </c>
      <c r="D130" s="21">
        <f>IF((OR(ROUND(E129-ROUND($B$10-C130,2),2)&lt;=0,116=B6)),E129,ROUND($B$10-C130,2))</f>
        <v/>
      </c>
      <c r="E130" s="21">
        <f>IF((OR(ROUND(E129-ROUND($B$10-C130,2),2)&lt;=0,116=B6)),0,ROUND(E129-D130,2))</f>
        <v/>
      </c>
      <c r="F130" s="21">
        <f>ROUND(H129*B5/100/12,2)</f>
        <v/>
      </c>
      <c r="G130" s="21">
        <f>IF((ROUND(H129-ROUND($B$11-F130,2),2)&lt;=0),H129,ROUND($B$11-F130,2))</f>
        <v/>
      </c>
      <c r="H130" s="21">
        <f>IF((ROUND(H129-ROUND($B$11-F130,2),2)&lt;=0),0,ROUND(H129-G130,2))</f>
        <v/>
      </c>
    </row>
    <row r="131">
      <c r="A131" s="6" t="n">
        <v>117</v>
      </c>
      <c r="B131" s="19">
        <f>DATE(YEAR(B8)+INT((MONTH(B8)-1+116)/12),MOD(MONTH(B8)-1+116,12)+1,1)+(DAY(B8)-1)</f>
        <v/>
      </c>
      <c r="C131" s="21">
        <f>ROUND(E130*B5/100/12,2)</f>
        <v/>
      </c>
      <c r="D131" s="21">
        <f>IF((OR(ROUND(E130-ROUND($B$10-C131,2),2)&lt;=0,117=B6)),E130,ROUND($B$10-C131,2))</f>
        <v/>
      </c>
      <c r="E131" s="21">
        <f>IF((OR(ROUND(E130-ROUND($B$10-C131,2),2)&lt;=0,117=B6)),0,ROUND(E130-D131,2))</f>
        <v/>
      </c>
      <c r="F131" s="21">
        <f>ROUND(H130*B5/100/12,2)</f>
        <v/>
      </c>
      <c r="G131" s="21">
        <f>IF((ROUND(H130-ROUND($B$11-F131,2),2)&lt;=0),H130,ROUND($B$11-F131,2))</f>
        <v/>
      </c>
      <c r="H131" s="21">
        <f>IF((ROUND(H130-ROUND($B$11-F131,2),2)&lt;=0),0,ROUND(H130-G131,2))</f>
        <v/>
      </c>
    </row>
    <row r="132">
      <c r="A132" s="6" t="n">
        <v>118</v>
      </c>
      <c r="B132" s="19">
        <f>DATE(YEAR(B8)+INT((MONTH(B8)-1+117)/12),MOD(MONTH(B8)-1+117,12)+1,1)+(DAY(B8)-1)</f>
        <v/>
      </c>
      <c r="C132" s="21">
        <f>ROUND(E131*B5/100/12,2)</f>
        <v/>
      </c>
      <c r="D132" s="21">
        <f>IF((OR(ROUND(E131-ROUND($B$10-C132,2),2)&lt;=0,118=B6)),E131,ROUND($B$10-C132,2))</f>
        <v/>
      </c>
      <c r="E132" s="21">
        <f>IF((OR(ROUND(E131-ROUND($B$10-C132,2),2)&lt;=0,118=B6)),0,ROUND(E131-D132,2))</f>
        <v/>
      </c>
      <c r="F132" s="21">
        <f>ROUND(H131*B5/100/12,2)</f>
        <v/>
      </c>
      <c r="G132" s="21">
        <f>IF((ROUND(H131-ROUND($B$11-F132,2),2)&lt;=0),H131,ROUND($B$11-F132,2))</f>
        <v/>
      </c>
      <c r="H132" s="21">
        <f>IF((ROUND(H131-ROUND($B$11-F132,2),2)&lt;=0),0,ROUND(H131-G132,2))</f>
        <v/>
      </c>
    </row>
    <row r="133">
      <c r="A133" s="6" t="n">
        <v>119</v>
      </c>
      <c r="B133" s="19">
        <f>DATE(YEAR(B8)+INT((MONTH(B8)-1+118)/12),MOD(MONTH(B8)-1+118,12)+1,1)+(DAY(B8)-1)</f>
        <v/>
      </c>
      <c r="C133" s="21">
        <f>ROUND(E132*B5/100/12,2)</f>
        <v/>
      </c>
      <c r="D133" s="21">
        <f>IF((OR(ROUND(E132-ROUND($B$10-C133,2),2)&lt;=0,119=B6)),E132,ROUND($B$10-C133,2))</f>
        <v/>
      </c>
      <c r="E133" s="21">
        <f>IF((OR(ROUND(E132-ROUND($B$10-C133,2),2)&lt;=0,119=B6)),0,ROUND(E132-D133,2))</f>
        <v/>
      </c>
      <c r="F133" s="21">
        <f>ROUND(H132*B5/100/12,2)</f>
        <v/>
      </c>
      <c r="G133" s="21">
        <f>IF((ROUND(H132-ROUND($B$11-F133,2),2)&lt;=0),H132,ROUND($B$11-F133,2))</f>
        <v/>
      </c>
      <c r="H133" s="21">
        <f>IF((ROUND(H132-ROUND($B$11-F133,2),2)&lt;=0),0,ROUND(H132-G133,2))</f>
        <v/>
      </c>
    </row>
    <row r="134">
      <c r="A134" s="6" t="n">
        <v>120</v>
      </c>
      <c r="B134" s="19">
        <f>DATE(YEAR(B8)+INT((MONTH(B8)-1+119)/12),MOD(MONTH(B8)-1+119,12)+1,1)+(DAY(B8)-1)</f>
        <v/>
      </c>
      <c r="C134" s="21">
        <f>ROUND(E133*B5/100/12,2)</f>
        <v/>
      </c>
      <c r="D134" s="21">
        <f>IF((OR(ROUND(E133-ROUND($B$10-C134,2),2)&lt;=0,120=B6)),E133,ROUND($B$10-C134,2))</f>
        <v/>
      </c>
      <c r="E134" s="21">
        <f>IF((OR(ROUND(E133-ROUND($B$10-C134,2),2)&lt;=0,120=B6)),0,ROUND(E133-D134,2))</f>
        <v/>
      </c>
      <c r="F134" s="21">
        <f>ROUND(H133*B5/100/12,2)</f>
        <v/>
      </c>
      <c r="G134" s="21">
        <f>IF((ROUND(H133-ROUND($B$11-F134,2),2)&lt;=0),H133,ROUND($B$11-F134,2))</f>
        <v/>
      </c>
      <c r="H134" s="21">
        <f>IF((ROUND(H133-ROUND($B$11-F134,2),2)&lt;=0),0,ROUND(H133-G134,2))</f>
        <v/>
      </c>
    </row>
    <row r="135">
      <c r="A135" s="6" t="n">
        <v>121</v>
      </c>
      <c r="B135" s="19">
        <f>DATE(YEAR(B8)+INT((MONTH(B8)-1+120)/12),MOD(MONTH(B8)-1+120,12)+1,1)+(DAY(B8)-1)</f>
        <v/>
      </c>
      <c r="C135" s="21">
        <f>ROUND(E134*B5/100/12,2)</f>
        <v/>
      </c>
      <c r="D135" s="21">
        <f>IF((OR(ROUND(E134-ROUND($B$10-C135,2),2)&lt;=0,121=B6)),E134,ROUND($B$10-C135,2))</f>
        <v/>
      </c>
      <c r="E135" s="21">
        <f>IF((OR(ROUND(E134-ROUND($B$10-C135,2),2)&lt;=0,121=B6)),0,ROUND(E134-D135,2))</f>
        <v/>
      </c>
      <c r="F135" s="21">
        <f>ROUND(H134*B5/100/12,2)</f>
        <v/>
      </c>
      <c r="G135" s="21">
        <f>IF((ROUND(H134-ROUND($B$11-F135,2),2)&lt;=0),H134,ROUND($B$11-F135,2))</f>
        <v/>
      </c>
      <c r="H135" s="21">
        <f>IF((ROUND(H134-ROUND($B$11-F135,2),2)&lt;=0),0,ROUND(H134-G135,2))</f>
        <v/>
      </c>
    </row>
    <row r="136">
      <c r="A136" s="6" t="n">
        <v>122</v>
      </c>
      <c r="B136" s="19">
        <f>DATE(YEAR(B8)+INT((MONTH(B8)-1+121)/12),MOD(MONTH(B8)-1+121,12)+1,1)+(DAY(B8)-1)</f>
        <v/>
      </c>
      <c r="C136" s="21">
        <f>ROUND(E135*B5/100/12,2)</f>
        <v/>
      </c>
      <c r="D136" s="21">
        <f>IF((OR(ROUND(E135-ROUND($B$10-C136,2),2)&lt;=0,122=B6)),E135,ROUND($B$10-C136,2))</f>
        <v/>
      </c>
      <c r="E136" s="21">
        <f>IF((OR(ROUND(E135-ROUND($B$10-C136,2),2)&lt;=0,122=B6)),0,ROUND(E135-D136,2))</f>
        <v/>
      </c>
      <c r="F136" s="21">
        <f>ROUND(H135*B5/100/12,2)</f>
        <v/>
      </c>
      <c r="G136" s="21">
        <f>IF((ROUND(H135-ROUND($B$11-F136,2),2)&lt;=0),H135,ROUND($B$11-F136,2))</f>
        <v/>
      </c>
      <c r="H136" s="21">
        <f>IF((ROUND(H135-ROUND($B$11-F136,2),2)&lt;=0),0,ROUND(H135-G136,2))</f>
        <v/>
      </c>
    </row>
    <row r="137">
      <c r="A137" s="6" t="n">
        <v>123</v>
      </c>
      <c r="B137" s="19">
        <f>DATE(YEAR(B8)+INT((MONTH(B8)-1+122)/12),MOD(MONTH(B8)-1+122,12)+1,1)+(DAY(B8)-1)</f>
        <v/>
      </c>
      <c r="C137" s="21">
        <f>ROUND(E136*B5/100/12,2)</f>
        <v/>
      </c>
      <c r="D137" s="21">
        <f>IF((OR(ROUND(E136-ROUND($B$10-C137,2),2)&lt;=0,123=B6)),E136,ROUND($B$10-C137,2))</f>
        <v/>
      </c>
      <c r="E137" s="21">
        <f>IF((OR(ROUND(E136-ROUND($B$10-C137,2),2)&lt;=0,123=B6)),0,ROUND(E136-D137,2))</f>
        <v/>
      </c>
      <c r="F137" s="21">
        <f>ROUND(H136*B5/100/12,2)</f>
        <v/>
      </c>
      <c r="G137" s="21">
        <f>IF((ROUND(H136-ROUND($B$11-F137,2),2)&lt;=0),H136,ROUND($B$11-F137,2))</f>
        <v/>
      </c>
      <c r="H137" s="21">
        <f>IF((ROUND(H136-ROUND($B$11-F137,2),2)&lt;=0),0,ROUND(H136-G137,2))</f>
        <v/>
      </c>
    </row>
    <row r="138">
      <c r="A138" s="6" t="n">
        <v>124</v>
      </c>
      <c r="B138" s="19">
        <f>DATE(YEAR(B8)+INT((MONTH(B8)-1+123)/12),MOD(MONTH(B8)-1+123,12)+1,1)+(DAY(B8)-1)</f>
        <v/>
      </c>
      <c r="C138" s="21">
        <f>ROUND(E137*B5/100/12,2)</f>
        <v/>
      </c>
      <c r="D138" s="21">
        <f>IF((OR(ROUND(E137-ROUND($B$10-C138,2),2)&lt;=0,124=B6)),E137,ROUND($B$10-C138,2))</f>
        <v/>
      </c>
      <c r="E138" s="21">
        <f>IF((OR(ROUND(E137-ROUND($B$10-C138,2),2)&lt;=0,124=B6)),0,ROUND(E137-D138,2))</f>
        <v/>
      </c>
      <c r="F138" s="21">
        <f>ROUND(H137*B5/100/12,2)</f>
        <v/>
      </c>
      <c r="G138" s="21">
        <f>IF((ROUND(H137-ROUND($B$11-F138,2),2)&lt;=0),H137,ROUND($B$11-F138,2))</f>
        <v/>
      </c>
      <c r="H138" s="21">
        <f>IF((ROUND(H137-ROUND($B$11-F138,2),2)&lt;=0),0,ROUND(H137-G138,2))</f>
        <v/>
      </c>
    </row>
    <row r="139">
      <c r="A139" s="6" t="n">
        <v>125</v>
      </c>
      <c r="B139" s="19">
        <f>DATE(YEAR(B8)+INT((MONTH(B8)-1+124)/12),MOD(MONTH(B8)-1+124,12)+1,1)+(DAY(B8)-1)</f>
        <v/>
      </c>
      <c r="C139" s="21">
        <f>ROUND(E138*B5/100/12,2)</f>
        <v/>
      </c>
      <c r="D139" s="21">
        <f>IF((OR(ROUND(E138-ROUND($B$10-C139,2),2)&lt;=0,125=B6)),E138,ROUND($B$10-C139,2))</f>
        <v/>
      </c>
      <c r="E139" s="21">
        <f>IF((OR(ROUND(E138-ROUND($B$10-C139,2),2)&lt;=0,125=B6)),0,ROUND(E138-D139,2))</f>
        <v/>
      </c>
      <c r="F139" s="21">
        <f>ROUND(H138*B5/100/12,2)</f>
        <v/>
      </c>
      <c r="G139" s="21">
        <f>IF((ROUND(H138-ROUND($B$11-F139,2),2)&lt;=0),H138,ROUND($B$11-F139,2))</f>
        <v/>
      </c>
      <c r="H139" s="21">
        <f>IF((ROUND(H138-ROUND($B$11-F139,2),2)&lt;=0),0,ROUND(H138-G139,2))</f>
        <v/>
      </c>
    </row>
    <row r="140">
      <c r="A140" s="6" t="n">
        <v>126</v>
      </c>
      <c r="B140" s="19">
        <f>DATE(YEAR(B8)+INT((MONTH(B8)-1+125)/12),MOD(MONTH(B8)-1+125,12)+1,1)+(DAY(B8)-1)</f>
        <v/>
      </c>
      <c r="C140" s="21">
        <f>ROUND(E139*B5/100/12,2)</f>
        <v/>
      </c>
      <c r="D140" s="21">
        <f>IF((OR(ROUND(E139-ROUND($B$10-C140,2),2)&lt;=0,126=B6)),E139,ROUND($B$10-C140,2))</f>
        <v/>
      </c>
      <c r="E140" s="21">
        <f>IF((OR(ROUND(E139-ROUND($B$10-C140,2),2)&lt;=0,126=B6)),0,ROUND(E139-D140,2))</f>
        <v/>
      </c>
      <c r="F140" s="21">
        <f>ROUND(H139*B5/100/12,2)</f>
        <v/>
      </c>
      <c r="G140" s="21">
        <f>IF((ROUND(H139-ROUND($B$11-F140,2),2)&lt;=0),H139,ROUND($B$11-F140,2))</f>
        <v/>
      </c>
      <c r="H140" s="21">
        <f>IF((ROUND(H139-ROUND($B$11-F140,2),2)&lt;=0),0,ROUND(H139-G140,2))</f>
        <v/>
      </c>
    </row>
    <row r="141">
      <c r="A141" s="6" t="n">
        <v>127</v>
      </c>
      <c r="B141" s="19">
        <f>DATE(YEAR(B8)+INT((MONTH(B8)-1+126)/12),MOD(MONTH(B8)-1+126,12)+1,1)+(DAY(B8)-1)</f>
        <v/>
      </c>
      <c r="C141" s="21">
        <f>ROUND(E140*B5/100/12,2)</f>
        <v/>
      </c>
      <c r="D141" s="21">
        <f>IF((OR(ROUND(E140-ROUND($B$10-C141,2),2)&lt;=0,127=B6)),E140,ROUND($B$10-C141,2))</f>
        <v/>
      </c>
      <c r="E141" s="21">
        <f>IF((OR(ROUND(E140-ROUND($B$10-C141,2),2)&lt;=0,127=B6)),0,ROUND(E140-D141,2))</f>
        <v/>
      </c>
      <c r="F141" s="21">
        <f>ROUND(H140*B5/100/12,2)</f>
        <v/>
      </c>
      <c r="G141" s="21">
        <f>IF((ROUND(H140-ROUND($B$11-F141,2),2)&lt;=0),H140,ROUND($B$11-F141,2))</f>
        <v/>
      </c>
      <c r="H141" s="21">
        <f>IF((ROUND(H140-ROUND($B$11-F141,2),2)&lt;=0),0,ROUND(H140-G141,2))</f>
        <v/>
      </c>
    </row>
    <row r="142">
      <c r="A142" s="6" t="n">
        <v>128</v>
      </c>
      <c r="B142" s="19">
        <f>DATE(YEAR(B8)+INT((MONTH(B8)-1+127)/12),MOD(MONTH(B8)-1+127,12)+1,1)+(DAY(B8)-1)</f>
        <v/>
      </c>
      <c r="C142" s="21">
        <f>ROUND(E141*B5/100/12,2)</f>
        <v/>
      </c>
      <c r="D142" s="21">
        <f>IF((OR(ROUND(E141-ROUND($B$10-C142,2),2)&lt;=0,128=B6)),E141,ROUND($B$10-C142,2))</f>
        <v/>
      </c>
      <c r="E142" s="21">
        <f>IF((OR(ROUND(E141-ROUND($B$10-C142,2),2)&lt;=0,128=B6)),0,ROUND(E141-D142,2))</f>
        <v/>
      </c>
      <c r="F142" s="21">
        <f>ROUND(H141*B5/100/12,2)</f>
        <v/>
      </c>
      <c r="G142" s="21">
        <f>IF((ROUND(H141-ROUND($B$11-F142,2),2)&lt;=0),H141,ROUND($B$11-F142,2))</f>
        <v/>
      </c>
      <c r="H142" s="21">
        <f>IF((ROUND(H141-ROUND($B$11-F142,2),2)&lt;=0),0,ROUND(H141-G142,2))</f>
        <v/>
      </c>
    </row>
    <row r="143">
      <c r="A143" s="6" t="n">
        <v>129</v>
      </c>
      <c r="B143" s="19">
        <f>DATE(YEAR(B8)+INT((MONTH(B8)-1+128)/12),MOD(MONTH(B8)-1+128,12)+1,1)+(DAY(B8)-1)</f>
        <v/>
      </c>
      <c r="C143" s="21">
        <f>ROUND(E142*B5/100/12,2)</f>
        <v/>
      </c>
      <c r="D143" s="21">
        <f>IF((OR(ROUND(E142-ROUND($B$10-C143,2),2)&lt;=0,129=B6)),E142,ROUND($B$10-C143,2))</f>
        <v/>
      </c>
      <c r="E143" s="21">
        <f>IF((OR(ROUND(E142-ROUND($B$10-C143,2),2)&lt;=0,129=B6)),0,ROUND(E142-D143,2))</f>
        <v/>
      </c>
      <c r="F143" s="21">
        <f>ROUND(H142*B5/100/12,2)</f>
        <v/>
      </c>
      <c r="G143" s="21">
        <f>IF((ROUND(H142-ROUND($B$11-F143,2),2)&lt;=0),H142,ROUND($B$11-F143,2))</f>
        <v/>
      </c>
      <c r="H143" s="21">
        <f>IF((ROUND(H142-ROUND($B$11-F143,2),2)&lt;=0),0,ROUND(H142-G143,2))</f>
        <v/>
      </c>
    </row>
    <row r="144">
      <c r="A144" s="6" t="n">
        <v>130</v>
      </c>
      <c r="B144" s="19">
        <f>DATE(YEAR(B8)+INT((MONTH(B8)-1+129)/12),MOD(MONTH(B8)-1+129,12)+1,1)+(DAY(B8)-1)</f>
        <v/>
      </c>
      <c r="C144" s="21">
        <f>ROUND(E143*B5/100/12,2)</f>
        <v/>
      </c>
      <c r="D144" s="21">
        <f>IF((OR(ROUND(E143-ROUND($B$10-C144,2),2)&lt;=0,130=B6)),E143,ROUND($B$10-C144,2))</f>
        <v/>
      </c>
      <c r="E144" s="21">
        <f>IF((OR(ROUND(E143-ROUND($B$10-C144,2),2)&lt;=0,130=B6)),0,ROUND(E143-D144,2))</f>
        <v/>
      </c>
      <c r="F144" s="21">
        <f>ROUND(H143*B5/100/12,2)</f>
        <v/>
      </c>
      <c r="G144" s="21">
        <f>IF((ROUND(H143-ROUND($B$11-F144,2),2)&lt;=0),H143,ROUND($B$11-F144,2))</f>
        <v/>
      </c>
      <c r="H144" s="21">
        <f>IF((ROUND(H143-ROUND($B$11-F144,2),2)&lt;=0),0,ROUND(H143-G144,2))</f>
        <v/>
      </c>
    </row>
    <row r="145">
      <c r="A145" s="6" t="n">
        <v>131</v>
      </c>
      <c r="B145" s="19">
        <f>DATE(YEAR(B8)+INT((MONTH(B8)-1+130)/12),MOD(MONTH(B8)-1+130,12)+1,1)+(DAY(B8)-1)</f>
        <v/>
      </c>
      <c r="C145" s="21">
        <f>ROUND(E144*B5/100/12,2)</f>
        <v/>
      </c>
      <c r="D145" s="21">
        <f>IF((OR(ROUND(E144-ROUND($B$10-C145,2),2)&lt;=0,131=B6)),E144,ROUND($B$10-C145,2))</f>
        <v/>
      </c>
      <c r="E145" s="21">
        <f>IF((OR(ROUND(E144-ROUND($B$10-C145,2),2)&lt;=0,131=B6)),0,ROUND(E144-D145,2))</f>
        <v/>
      </c>
      <c r="F145" s="21">
        <f>ROUND(H144*B5/100/12,2)</f>
        <v/>
      </c>
      <c r="G145" s="21">
        <f>IF((ROUND(H144-ROUND($B$11-F145,2),2)&lt;=0),H144,ROUND($B$11-F145,2))</f>
        <v/>
      </c>
      <c r="H145" s="21">
        <f>IF((ROUND(H144-ROUND($B$11-F145,2),2)&lt;=0),0,ROUND(H144-G145,2))</f>
        <v/>
      </c>
    </row>
    <row r="146">
      <c r="A146" s="6" t="n">
        <v>132</v>
      </c>
      <c r="B146" s="19">
        <f>DATE(YEAR(B8)+INT((MONTH(B8)-1+131)/12),MOD(MONTH(B8)-1+131,12)+1,1)+(DAY(B8)-1)</f>
        <v/>
      </c>
      <c r="C146" s="21">
        <f>ROUND(E145*B5/100/12,2)</f>
        <v/>
      </c>
      <c r="D146" s="21">
        <f>IF((OR(ROUND(E145-ROUND($B$10-C146,2),2)&lt;=0,132=B6)),E145,ROUND($B$10-C146,2))</f>
        <v/>
      </c>
      <c r="E146" s="21">
        <f>IF((OR(ROUND(E145-ROUND($B$10-C146,2),2)&lt;=0,132=B6)),0,ROUND(E145-D146,2))</f>
        <v/>
      </c>
      <c r="F146" s="21">
        <f>ROUND(H145*B5/100/12,2)</f>
        <v/>
      </c>
      <c r="G146" s="21">
        <f>IF((ROUND(H145-ROUND($B$11-F146,2),2)&lt;=0),H145,ROUND($B$11-F146,2))</f>
        <v/>
      </c>
      <c r="H146" s="21">
        <f>IF((ROUND(H145-ROUND($B$11-F146,2),2)&lt;=0),0,ROUND(H145-G146,2))</f>
        <v/>
      </c>
    </row>
    <row r="147">
      <c r="A147" s="6" t="n">
        <v>133</v>
      </c>
      <c r="B147" s="19">
        <f>DATE(YEAR(B8)+INT((MONTH(B8)-1+132)/12),MOD(MONTH(B8)-1+132,12)+1,1)+(DAY(B8)-1)</f>
        <v/>
      </c>
      <c r="C147" s="21">
        <f>ROUND(E146*B5/100/12,2)</f>
        <v/>
      </c>
      <c r="D147" s="21">
        <f>IF((OR(ROUND(E146-ROUND($B$10-C147,2),2)&lt;=0,133=B6)),E146,ROUND($B$10-C147,2))</f>
        <v/>
      </c>
      <c r="E147" s="21">
        <f>IF((OR(ROUND(E146-ROUND($B$10-C147,2),2)&lt;=0,133=B6)),0,ROUND(E146-D147,2))</f>
        <v/>
      </c>
      <c r="F147" s="21">
        <f>ROUND(H146*B5/100/12,2)</f>
        <v/>
      </c>
      <c r="G147" s="21">
        <f>IF((ROUND(H146-ROUND($B$11-F147,2),2)&lt;=0),H146,ROUND($B$11-F147,2))</f>
        <v/>
      </c>
      <c r="H147" s="21">
        <f>IF((ROUND(H146-ROUND($B$11-F147,2),2)&lt;=0),0,ROUND(H146-G147,2))</f>
        <v/>
      </c>
    </row>
    <row r="148">
      <c r="A148" s="6" t="n">
        <v>134</v>
      </c>
      <c r="B148" s="19">
        <f>DATE(YEAR(B8)+INT((MONTH(B8)-1+133)/12),MOD(MONTH(B8)-1+133,12)+1,1)+(DAY(B8)-1)</f>
        <v/>
      </c>
      <c r="C148" s="21">
        <f>ROUND(E147*B5/100/12,2)</f>
        <v/>
      </c>
      <c r="D148" s="21">
        <f>IF((OR(ROUND(E147-ROUND($B$10-C148,2),2)&lt;=0,134=B6)),E147,ROUND($B$10-C148,2))</f>
        <v/>
      </c>
      <c r="E148" s="21">
        <f>IF((OR(ROUND(E147-ROUND($B$10-C148,2),2)&lt;=0,134=B6)),0,ROUND(E147-D148,2))</f>
        <v/>
      </c>
      <c r="F148" s="21">
        <f>ROUND(H147*B5/100/12,2)</f>
        <v/>
      </c>
      <c r="G148" s="21">
        <f>IF((ROUND(H147-ROUND($B$11-F148,2),2)&lt;=0),H147,ROUND($B$11-F148,2))</f>
        <v/>
      </c>
      <c r="H148" s="21">
        <f>IF((ROUND(H147-ROUND($B$11-F148,2),2)&lt;=0),0,ROUND(H147-G148,2))</f>
        <v/>
      </c>
    </row>
    <row r="149">
      <c r="A149" s="6" t="n">
        <v>135</v>
      </c>
      <c r="B149" s="19">
        <f>DATE(YEAR(B8)+INT((MONTH(B8)-1+134)/12),MOD(MONTH(B8)-1+134,12)+1,1)+(DAY(B8)-1)</f>
        <v/>
      </c>
      <c r="C149" s="21">
        <f>ROUND(E148*B5/100/12,2)</f>
        <v/>
      </c>
      <c r="D149" s="21">
        <f>IF((OR(ROUND(E148-ROUND($B$10-C149,2),2)&lt;=0,135=B6)),E148,ROUND($B$10-C149,2))</f>
        <v/>
      </c>
      <c r="E149" s="21">
        <f>IF((OR(ROUND(E148-ROUND($B$10-C149,2),2)&lt;=0,135=B6)),0,ROUND(E148-D149,2))</f>
        <v/>
      </c>
      <c r="F149" s="21">
        <f>ROUND(H148*B5/100/12,2)</f>
        <v/>
      </c>
      <c r="G149" s="21">
        <f>IF((ROUND(H148-ROUND($B$11-F149,2),2)&lt;=0),H148,ROUND($B$11-F149,2))</f>
        <v/>
      </c>
      <c r="H149" s="21">
        <f>IF((ROUND(H148-ROUND($B$11-F149,2),2)&lt;=0),0,ROUND(H148-G149,2))</f>
        <v/>
      </c>
    </row>
    <row r="150">
      <c r="A150" s="6" t="n">
        <v>136</v>
      </c>
      <c r="B150" s="19">
        <f>DATE(YEAR(B8)+INT((MONTH(B8)-1+135)/12),MOD(MONTH(B8)-1+135,12)+1,1)+(DAY(B8)-1)</f>
        <v/>
      </c>
      <c r="C150" s="21">
        <f>ROUND(E149*B5/100/12,2)</f>
        <v/>
      </c>
      <c r="D150" s="21">
        <f>IF((OR(ROUND(E149-ROUND($B$10-C150,2),2)&lt;=0,136=B6)),E149,ROUND($B$10-C150,2))</f>
        <v/>
      </c>
      <c r="E150" s="21">
        <f>IF((OR(ROUND(E149-ROUND($B$10-C150,2),2)&lt;=0,136=B6)),0,ROUND(E149-D150,2))</f>
        <v/>
      </c>
      <c r="F150" s="21">
        <f>ROUND(H149*B5/100/12,2)</f>
        <v/>
      </c>
      <c r="G150" s="21">
        <f>IF((ROUND(H149-ROUND($B$11-F150,2),2)&lt;=0),H149,ROUND($B$11-F150,2))</f>
        <v/>
      </c>
      <c r="H150" s="21">
        <f>IF((ROUND(H149-ROUND($B$11-F150,2),2)&lt;=0),0,ROUND(H149-G150,2))</f>
        <v/>
      </c>
    </row>
    <row r="151">
      <c r="A151" s="6" t="n">
        <v>137</v>
      </c>
      <c r="B151" s="19">
        <f>DATE(YEAR(B8)+INT((MONTH(B8)-1+136)/12),MOD(MONTH(B8)-1+136,12)+1,1)+(DAY(B8)-1)</f>
        <v/>
      </c>
      <c r="C151" s="21">
        <f>ROUND(E150*B5/100/12,2)</f>
        <v/>
      </c>
      <c r="D151" s="21">
        <f>IF((OR(ROUND(E150-ROUND($B$10-C151,2),2)&lt;=0,137=B6)),E150,ROUND($B$10-C151,2))</f>
        <v/>
      </c>
      <c r="E151" s="21">
        <f>IF((OR(ROUND(E150-ROUND($B$10-C151,2),2)&lt;=0,137=B6)),0,ROUND(E150-D151,2))</f>
        <v/>
      </c>
      <c r="F151" s="21">
        <f>ROUND(H150*B5/100/12,2)</f>
        <v/>
      </c>
      <c r="G151" s="21">
        <f>IF((ROUND(H150-ROUND($B$11-F151,2),2)&lt;=0),H150,ROUND($B$11-F151,2))</f>
        <v/>
      </c>
      <c r="H151" s="21">
        <f>IF((ROUND(H150-ROUND($B$11-F151,2),2)&lt;=0),0,ROUND(H150-G151,2))</f>
        <v/>
      </c>
    </row>
    <row r="152">
      <c r="A152" s="6" t="n">
        <v>138</v>
      </c>
      <c r="B152" s="19">
        <f>DATE(YEAR(B8)+INT((MONTH(B8)-1+137)/12),MOD(MONTH(B8)-1+137,12)+1,1)+(DAY(B8)-1)</f>
        <v/>
      </c>
      <c r="C152" s="21">
        <f>ROUND(E151*B5/100/12,2)</f>
        <v/>
      </c>
      <c r="D152" s="21">
        <f>IF((OR(ROUND(E151-ROUND($B$10-C152,2),2)&lt;=0,138=B6)),E151,ROUND($B$10-C152,2))</f>
        <v/>
      </c>
      <c r="E152" s="21">
        <f>IF((OR(ROUND(E151-ROUND($B$10-C152,2),2)&lt;=0,138=B6)),0,ROUND(E151-D152,2))</f>
        <v/>
      </c>
      <c r="F152" s="21">
        <f>ROUND(H151*B5/100/12,2)</f>
        <v/>
      </c>
      <c r="G152" s="21">
        <f>IF((ROUND(H151-ROUND($B$11-F152,2),2)&lt;=0),H151,ROUND($B$11-F152,2))</f>
        <v/>
      </c>
      <c r="H152" s="21">
        <f>IF((ROUND(H151-ROUND($B$11-F152,2),2)&lt;=0),0,ROUND(H151-G152,2))</f>
        <v/>
      </c>
    </row>
    <row r="153">
      <c r="A153" s="6" t="n">
        <v>139</v>
      </c>
      <c r="B153" s="19">
        <f>DATE(YEAR(B8)+INT((MONTH(B8)-1+138)/12),MOD(MONTH(B8)-1+138,12)+1,1)+(DAY(B8)-1)</f>
        <v/>
      </c>
      <c r="C153" s="21">
        <f>ROUND(E152*B5/100/12,2)</f>
        <v/>
      </c>
      <c r="D153" s="21">
        <f>IF((OR(ROUND(E152-ROUND($B$10-C153,2),2)&lt;=0,139=B6)),E152,ROUND($B$10-C153,2))</f>
        <v/>
      </c>
      <c r="E153" s="21">
        <f>IF((OR(ROUND(E152-ROUND($B$10-C153,2),2)&lt;=0,139=B6)),0,ROUND(E152-D153,2))</f>
        <v/>
      </c>
      <c r="F153" s="21">
        <f>ROUND(H152*B5/100/12,2)</f>
        <v/>
      </c>
      <c r="G153" s="21">
        <f>IF((ROUND(H152-ROUND($B$11-F153,2),2)&lt;=0),H152,ROUND($B$11-F153,2))</f>
        <v/>
      </c>
      <c r="H153" s="21">
        <f>IF((ROUND(H152-ROUND($B$11-F153,2),2)&lt;=0),0,ROUND(H152-G153,2))</f>
        <v/>
      </c>
    </row>
    <row r="154">
      <c r="A154" s="6" t="n">
        <v>140</v>
      </c>
      <c r="B154" s="19">
        <f>DATE(YEAR(B8)+INT((MONTH(B8)-1+139)/12),MOD(MONTH(B8)-1+139,12)+1,1)+(DAY(B8)-1)</f>
        <v/>
      </c>
      <c r="C154" s="21">
        <f>ROUND(E153*B5/100/12,2)</f>
        <v/>
      </c>
      <c r="D154" s="21">
        <f>IF((OR(ROUND(E153-ROUND($B$10-C154,2),2)&lt;=0,140=B6)),E153,ROUND($B$10-C154,2))</f>
        <v/>
      </c>
      <c r="E154" s="21">
        <f>IF((OR(ROUND(E153-ROUND($B$10-C154,2),2)&lt;=0,140=B6)),0,ROUND(E153-D154,2))</f>
        <v/>
      </c>
      <c r="F154" s="21">
        <f>ROUND(H153*B5/100/12,2)</f>
        <v/>
      </c>
      <c r="G154" s="21">
        <f>IF((ROUND(H153-ROUND($B$11-F154,2),2)&lt;=0),H153,ROUND($B$11-F154,2))</f>
        <v/>
      </c>
      <c r="H154" s="21">
        <f>IF((ROUND(H153-ROUND($B$11-F154,2),2)&lt;=0),0,ROUND(H153-G154,2))</f>
        <v/>
      </c>
    </row>
    <row r="155">
      <c r="A155" s="6" t="n">
        <v>141</v>
      </c>
      <c r="B155" s="19">
        <f>DATE(YEAR(B8)+INT((MONTH(B8)-1+140)/12),MOD(MONTH(B8)-1+140,12)+1,1)+(DAY(B8)-1)</f>
        <v/>
      </c>
      <c r="C155" s="21">
        <f>ROUND(E154*B5/100/12,2)</f>
        <v/>
      </c>
      <c r="D155" s="21">
        <f>IF((OR(ROUND(E154-ROUND($B$10-C155,2),2)&lt;=0,141=B6)),E154,ROUND($B$10-C155,2))</f>
        <v/>
      </c>
      <c r="E155" s="21">
        <f>IF((OR(ROUND(E154-ROUND($B$10-C155,2),2)&lt;=0,141=B6)),0,ROUND(E154-D155,2))</f>
        <v/>
      </c>
      <c r="F155" s="21">
        <f>ROUND(H154*B5/100/12,2)</f>
        <v/>
      </c>
      <c r="G155" s="21">
        <f>IF((ROUND(H154-ROUND($B$11-F155,2),2)&lt;=0),H154,ROUND($B$11-F155,2))</f>
        <v/>
      </c>
      <c r="H155" s="21">
        <f>IF((ROUND(H154-ROUND($B$11-F155,2),2)&lt;=0),0,ROUND(H154-G155,2))</f>
        <v/>
      </c>
    </row>
    <row r="156">
      <c r="A156" s="6" t="n">
        <v>142</v>
      </c>
      <c r="B156" s="19">
        <f>DATE(YEAR(B8)+INT((MONTH(B8)-1+141)/12),MOD(MONTH(B8)-1+141,12)+1,1)+(DAY(B8)-1)</f>
        <v/>
      </c>
      <c r="C156" s="21">
        <f>ROUND(E155*B5/100/12,2)</f>
        <v/>
      </c>
      <c r="D156" s="21">
        <f>IF((OR(ROUND(E155-ROUND($B$10-C156,2),2)&lt;=0,142=B6)),E155,ROUND($B$10-C156,2))</f>
        <v/>
      </c>
      <c r="E156" s="21">
        <f>IF((OR(ROUND(E155-ROUND($B$10-C156,2),2)&lt;=0,142=B6)),0,ROUND(E155-D156,2))</f>
        <v/>
      </c>
      <c r="F156" s="21">
        <f>ROUND(H155*B5/100/12,2)</f>
        <v/>
      </c>
      <c r="G156" s="21">
        <f>IF((ROUND(H155-ROUND($B$11-F156,2),2)&lt;=0),H155,ROUND($B$11-F156,2))</f>
        <v/>
      </c>
      <c r="H156" s="21">
        <f>IF((ROUND(H155-ROUND($B$11-F156,2),2)&lt;=0),0,ROUND(H155-G156,2))</f>
        <v/>
      </c>
    </row>
    <row r="157">
      <c r="A157" s="6" t="n">
        <v>143</v>
      </c>
      <c r="B157" s="19">
        <f>DATE(YEAR(B8)+INT((MONTH(B8)-1+142)/12),MOD(MONTH(B8)-1+142,12)+1,1)+(DAY(B8)-1)</f>
        <v/>
      </c>
      <c r="C157" s="21">
        <f>ROUND(E156*B5/100/12,2)</f>
        <v/>
      </c>
      <c r="D157" s="21">
        <f>IF((OR(ROUND(E156-ROUND($B$10-C157,2),2)&lt;=0,143=B6)),E156,ROUND($B$10-C157,2))</f>
        <v/>
      </c>
      <c r="E157" s="21">
        <f>IF((OR(ROUND(E156-ROUND($B$10-C157,2),2)&lt;=0,143=B6)),0,ROUND(E156-D157,2))</f>
        <v/>
      </c>
      <c r="F157" s="21">
        <f>ROUND(H156*B5/100/12,2)</f>
        <v/>
      </c>
      <c r="G157" s="21">
        <f>IF((ROUND(H156-ROUND($B$11-F157,2),2)&lt;=0),H156,ROUND($B$11-F157,2))</f>
        <v/>
      </c>
      <c r="H157" s="21">
        <f>IF((ROUND(H156-ROUND($B$11-F157,2),2)&lt;=0),0,ROUND(H156-G157,2))</f>
        <v/>
      </c>
    </row>
    <row r="158">
      <c r="A158" s="6" t="n">
        <v>144</v>
      </c>
      <c r="B158" s="19">
        <f>DATE(YEAR(B8)+INT((MONTH(B8)-1+143)/12),MOD(MONTH(B8)-1+143,12)+1,1)+(DAY(B8)-1)</f>
        <v/>
      </c>
      <c r="C158" s="21">
        <f>ROUND(E157*B5/100/12,2)</f>
        <v/>
      </c>
      <c r="D158" s="21">
        <f>IF((OR(ROUND(E157-ROUND($B$10-C158,2),2)&lt;=0,144=B6)),E157,ROUND($B$10-C158,2))</f>
        <v/>
      </c>
      <c r="E158" s="21">
        <f>IF((OR(ROUND(E157-ROUND($B$10-C158,2),2)&lt;=0,144=B6)),0,ROUND(E157-D158,2))</f>
        <v/>
      </c>
      <c r="F158" s="21">
        <f>ROUND(H157*B5/100/12,2)</f>
        <v/>
      </c>
      <c r="G158" s="21">
        <f>IF((ROUND(H157-ROUND($B$11-F158,2),2)&lt;=0),H157,ROUND($B$11-F158,2))</f>
        <v/>
      </c>
      <c r="H158" s="21">
        <f>IF((ROUND(H157-ROUND($B$11-F158,2),2)&lt;=0),0,ROUND(H157-G158,2))</f>
        <v/>
      </c>
    </row>
    <row r="159">
      <c r="A159" s="6" t="n">
        <v>145</v>
      </c>
      <c r="B159" s="19">
        <f>DATE(YEAR(B8)+INT((MONTH(B8)-1+144)/12),MOD(MONTH(B8)-1+144,12)+1,1)+(DAY(B8)-1)</f>
        <v/>
      </c>
      <c r="C159" s="21">
        <f>ROUND(E158*B5/100/12,2)</f>
        <v/>
      </c>
      <c r="D159" s="21">
        <f>IF((OR(ROUND(E158-ROUND($B$10-C159,2),2)&lt;=0,145=B6)),E158,ROUND($B$10-C159,2))</f>
        <v/>
      </c>
      <c r="E159" s="21">
        <f>IF((OR(ROUND(E158-ROUND($B$10-C159,2),2)&lt;=0,145=B6)),0,ROUND(E158-D159,2))</f>
        <v/>
      </c>
      <c r="F159" s="21">
        <f>ROUND(H158*B5/100/12,2)</f>
        <v/>
      </c>
      <c r="G159" s="21">
        <f>IF((ROUND(H158-ROUND($B$11-F159,2),2)&lt;=0),H158,ROUND($B$11-F159,2))</f>
        <v/>
      </c>
      <c r="H159" s="21">
        <f>IF((ROUND(H158-ROUND($B$11-F159,2),2)&lt;=0),0,ROUND(H158-G159,2))</f>
        <v/>
      </c>
    </row>
    <row r="160">
      <c r="A160" s="6" t="n">
        <v>146</v>
      </c>
      <c r="B160" s="19">
        <f>DATE(YEAR(B8)+INT((MONTH(B8)-1+145)/12),MOD(MONTH(B8)-1+145,12)+1,1)+(DAY(B8)-1)</f>
        <v/>
      </c>
      <c r="C160" s="21">
        <f>ROUND(E159*B5/100/12,2)</f>
        <v/>
      </c>
      <c r="D160" s="21">
        <f>IF((OR(ROUND(E159-ROUND($B$10-C160,2),2)&lt;=0,146=B6)),E159,ROUND($B$10-C160,2))</f>
        <v/>
      </c>
      <c r="E160" s="21">
        <f>IF((OR(ROUND(E159-ROUND($B$10-C160,2),2)&lt;=0,146=B6)),0,ROUND(E159-D160,2))</f>
        <v/>
      </c>
      <c r="F160" s="21">
        <f>ROUND(H159*B5/100/12,2)</f>
        <v/>
      </c>
      <c r="G160" s="21">
        <f>IF((ROUND(H159-ROUND($B$11-F160,2),2)&lt;=0),H159,ROUND($B$11-F160,2))</f>
        <v/>
      </c>
      <c r="H160" s="21">
        <f>IF((ROUND(H159-ROUND($B$11-F160,2),2)&lt;=0),0,ROUND(H159-G160,2))</f>
        <v/>
      </c>
    </row>
    <row r="161">
      <c r="A161" s="6" t="n">
        <v>147</v>
      </c>
      <c r="B161" s="19">
        <f>DATE(YEAR(B8)+INT((MONTH(B8)-1+146)/12),MOD(MONTH(B8)-1+146,12)+1,1)+(DAY(B8)-1)</f>
        <v/>
      </c>
      <c r="C161" s="21">
        <f>ROUND(E160*B5/100/12,2)</f>
        <v/>
      </c>
      <c r="D161" s="21">
        <f>IF((OR(ROUND(E160-ROUND($B$10-C161,2),2)&lt;=0,147=B6)),E160,ROUND($B$10-C161,2))</f>
        <v/>
      </c>
      <c r="E161" s="21">
        <f>IF((OR(ROUND(E160-ROUND($B$10-C161,2),2)&lt;=0,147=B6)),0,ROUND(E160-D161,2))</f>
        <v/>
      </c>
      <c r="F161" s="21">
        <f>ROUND(H160*B5/100/12,2)</f>
        <v/>
      </c>
      <c r="G161" s="21">
        <f>IF((ROUND(H160-ROUND($B$11-F161,2),2)&lt;=0),H160,ROUND($B$11-F161,2))</f>
        <v/>
      </c>
      <c r="H161" s="21">
        <f>IF((ROUND(H160-ROUND($B$11-F161,2),2)&lt;=0),0,ROUND(H160-G161,2))</f>
        <v/>
      </c>
    </row>
    <row r="162">
      <c r="A162" s="6" t="n">
        <v>148</v>
      </c>
      <c r="B162" s="19">
        <f>DATE(YEAR(B8)+INT((MONTH(B8)-1+147)/12),MOD(MONTH(B8)-1+147,12)+1,1)+(DAY(B8)-1)</f>
        <v/>
      </c>
      <c r="C162" s="21">
        <f>ROUND(E161*B5/100/12,2)</f>
        <v/>
      </c>
      <c r="D162" s="21">
        <f>IF((OR(ROUND(E161-ROUND($B$10-C162,2),2)&lt;=0,148=B6)),E161,ROUND($B$10-C162,2))</f>
        <v/>
      </c>
      <c r="E162" s="21">
        <f>IF((OR(ROUND(E161-ROUND($B$10-C162,2),2)&lt;=0,148=B6)),0,ROUND(E161-D162,2))</f>
        <v/>
      </c>
      <c r="F162" s="21">
        <f>ROUND(H161*B5/100/12,2)</f>
        <v/>
      </c>
      <c r="G162" s="21">
        <f>IF((ROUND(H161-ROUND($B$11-F162,2),2)&lt;=0),H161,ROUND($B$11-F162,2))</f>
        <v/>
      </c>
      <c r="H162" s="21">
        <f>IF((ROUND(H161-ROUND($B$11-F162,2),2)&lt;=0),0,ROUND(H161-G162,2))</f>
        <v/>
      </c>
    </row>
    <row r="163">
      <c r="A163" s="6" t="n">
        <v>149</v>
      </c>
      <c r="B163" s="19">
        <f>DATE(YEAR(B8)+INT((MONTH(B8)-1+148)/12),MOD(MONTH(B8)-1+148,12)+1,1)+(DAY(B8)-1)</f>
        <v/>
      </c>
      <c r="C163" s="21">
        <f>ROUND(E162*B5/100/12,2)</f>
        <v/>
      </c>
      <c r="D163" s="21">
        <f>IF((OR(ROUND(E162-ROUND($B$10-C163,2),2)&lt;=0,149=B6)),E162,ROUND($B$10-C163,2))</f>
        <v/>
      </c>
      <c r="E163" s="21">
        <f>IF((OR(ROUND(E162-ROUND($B$10-C163,2),2)&lt;=0,149=B6)),0,ROUND(E162-D163,2))</f>
        <v/>
      </c>
      <c r="F163" s="21">
        <f>ROUND(H162*B5/100/12,2)</f>
        <v/>
      </c>
      <c r="G163" s="21">
        <f>IF((ROUND(H162-ROUND($B$11-F163,2),2)&lt;=0),H162,ROUND($B$11-F163,2))</f>
        <v/>
      </c>
      <c r="H163" s="21">
        <f>IF((ROUND(H162-ROUND($B$11-F163,2),2)&lt;=0),0,ROUND(H162-G163,2))</f>
        <v/>
      </c>
    </row>
    <row r="164">
      <c r="A164" s="6" t="n">
        <v>150</v>
      </c>
      <c r="B164" s="19">
        <f>DATE(YEAR(B8)+INT((MONTH(B8)-1+149)/12),MOD(MONTH(B8)-1+149,12)+1,1)+(DAY(B8)-1)</f>
        <v/>
      </c>
      <c r="C164" s="21">
        <f>ROUND(E163*B5/100/12,2)</f>
        <v/>
      </c>
      <c r="D164" s="21">
        <f>IF((OR(ROUND(E163-ROUND($B$10-C164,2),2)&lt;=0,150=B6)),E163,ROUND($B$10-C164,2))</f>
        <v/>
      </c>
      <c r="E164" s="21">
        <f>IF((OR(ROUND(E163-ROUND($B$10-C164,2),2)&lt;=0,150=B6)),0,ROUND(E163-D164,2))</f>
        <v/>
      </c>
      <c r="F164" s="21">
        <f>ROUND(H163*B5/100/12,2)</f>
        <v/>
      </c>
      <c r="G164" s="21">
        <f>IF((ROUND(H163-ROUND($B$11-F164,2),2)&lt;=0),H163,ROUND($B$11-F164,2))</f>
        <v/>
      </c>
      <c r="H164" s="21">
        <f>IF((ROUND(H163-ROUND($B$11-F164,2),2)&lt;=0),0,ROUND(H163-G164,2))</f>
        <v/>
      </c>
    </row>
    <row r="165">
      <c r="A165" s="6" t="n">
        <v>151</v>
      </c>
      <c r="B165" s="19">
        <f>DATE(YEAR(B8)+INT((MONTH(B8)-1+150)/12),MOD(MONTH(B8)-1+150,12)+1,1)+(DAY(B8)-1)</f>
        <v/>
      </c>
      <c r="C165" s="21">
        <f>ROUND(E164*B5/100/12,2)</f>
        <v/>
      </c>
      <c r="D165" s="21">
        <f>IF((OR(ROUND(E164-ROUND($B$10-C165,2),2)&lt;=0,151=B6)),E164,ROUND($B$10-C165,2))</f>
        <v/>
      </c>
      <c r="E165" s="21">
        <f>IF((OR(ROUND(E164-ROUND($B$10-C165,2),2)&lt;=0,151=B6)),0,ROUND(E164-D165,2))</f>
        <v/>
      </c>
      <c r="F165" s="21">
        <f>ROUND(H164*B5/100/12,2)</f>
        <v/>
      </c>
      <c r="G165" s="21">
        <f>IF((ROUND(H164-ROUND($B$11-F165,2),2)&lt;=0),H164,ROUND($B$11-F165,2))</f>
        <v/>
      </c>
      <c r="H165" s="21">
        <f>IF((ROUND(H164-ROUND($B$11-F165,2),2)&lt;=0),0,ROUND(H164-G165,2))</f>
        <v/>
      </c>
    </row>
    <row r="166">
      <c r="A166" s="6" t="n">
        <v>152</v>
      </c>
      <c r="B166" s="19">
        <f>DATE(YEAR(B8)+INT((MONTH(B8)-1+151)/12),MOD(MONTH(B8)-1+151,12)+1,1)+(DAY(B8)-1)</f>
        <v/>
      </c>
      <c r="C166" s="21">
        <f>ROUND(E165*B5/100/12,2)</f>
        <v/>
      </c>
      <c r="D166" s="21">
        <f>IF((OR(ROUND(E165-ROUND($B$10-C166,2),2)&lt;=0,152=B6)),E165,ROUND($B$10-C166,2))</f>
        <v/>
      </c>
      <c r="E166" s="21">
        <f>IF((OR(ROUND(E165-ROUND($B$10-C166,2),2)&lt;=0,152=B6)),0,ROUND(E165-D166,2))</f>
        <v/>
      </c>
      <c r="F166" s="21">
        <f>ROUND(H165*B5/100/12,2)</f>
        <v/>
      </c>
      <c r="G166" s="21">
        <f>IF((ROUND(H165-ROUND($B$11-F166,2),2)&lt;=0),H165,ROUND($B$11-F166,2))</f>
        <v/>
      </c>
      <c r="H166" s="21">
        <f>IF((ROUND(H165-ROUND($B$11-F166,2),2)&lt;=0),0,ROUND(H165-G166,2))</f>
        <v/>
      </c>
    </row>
    <row r="167">
      <c r="A167" s="6" t="n">
        <v>153</v>
      </c>
      <c r="B167" s="19">
        <f>DATE(YEAR(B8)+INT((MONTH(B8)-1+152)/12),MOD(MONTH(B8)-1+152,12)+1,1)+(DAY(B8)-1)</f>
        <v/>
      </c>
      <c r="C167" s="21">
        <f>ROUND(E166*B5/100/12,2)</f>
        <v/>
      </c>
      <c r="D167" s="21">
        <f>IF((OR(ROUND(E166-ROUND($B$10-C167,2),2)&lt;=0,153=B6)),E166,ROUND($B$10-C167,2))</f>
        <v/>
      </c>
      <c r="E167" s="21">
        <f>IF((OR(ROUND(E166-ROUND($B$10-C167,2),2)&lt;=0,153=B6)),0,ROUND(E166-D167,2))</f>
        <v/>
      </c>
      <c r="F167" s="21">
        <f>ROUND(H166*B5/100/12,2)</f>
        <v/>
      </c>
      <c r="G167" s="21">
        <f>IF((ROUND(H166-ROUND($B$11-F167,2),2)&lt;=0),H166,ROUND($B$11-F167,2))</f>
        <v/>
      </c>
      <c r="H167" s="21">
        <f>IF((ROUND(H166-ROUND($B$11-F167,2),2)&lt;=0),0,ROUND(H166-G167,2))</f>
        <v/>
      </c>
    </row>
    <row r="168">
      <c r="A168" s="6" t="n">
        <v>154</v>
      </c>
      <c r="B168" s="19">
        <f>DATE(YEAR(B8)+INT((MONTH(B8)-1+153)/12),MOD(MONTH(B8)-1+153,12)+1,1)+(DAY(B8)-1)</f>
        <v/>
      </c>
      <c r="C168" s="21">
        <f>ROUND(E167*B5/100/12,2)</f>
        <v/>
      </c>
      <c r="D168" s="21">
        <f>IF((OR(ROUND(E167-ROUND($B$10-C168,2),2)&lt;=0,154=B6)),E167,ROUND($B$10-C168,2))</f>
        <v/>
      </c>
      <c r="E168" s="21">
        <f>IF((OR(ROUND(E167-ROUND($B$10-C168,2),2)&lt;=0,154=B6)),0,ROUND(E167-D168,2))</f>
        <v/>
      </c>
      <c r="F168" s="21">
        <f>ROUND(H167*B5/100/12,2)</f>
        <v/>
      </c>
      <c r="G168" s="21">
        <f>IF((ROUND(H167-ROUND($B$11-F168,2),2)&lt;=0),H167,ROUND($B$11-F168,2))</f>
        <v/>
      </c>
      <c r="H168" s="21">
        <f>IF((ROUND(H167-ROUND($B$11-F168,2),2)&lt;=0),0,ROUND(H167-G168,2))</f>
        <v/>
      </c>
    </row>
    <row r="169">
      <c r="A169" s="6" t="n">
        <v>155</v>
      </c>
      <c r="B169" s="19">
        <f>DATE(YEAR(B8)+INT((MONTH(B8)-1+154)/12),MOD(MONTH(B8)-1+154,12)+1,1)+(DAY(B8)-1)</f>
        <v/>
      </c>
      <c r="C169" s="21">
        <f>ROUND(E168*B5/100/12,2)</f>
        <v/>
      </c>
      <c r="D169" s="21">
        <f>IF((OR(ROUND(E168-ROUND($B$10-C169,2),2)&lt;=0,155=B6)),E168,ROUND($B$10-C169,2))</f>
        <v/>
      </c>
      <c r="E169" s="21">
        <f>IF((OR(ROUND(E168-ROUND($B$10-C169,2),2)&lt;=0,155=B6)),0,ROUND(E168-D169,2))</f>
        <v/>
      </c>
      <c r="F169" s="21">
        <f>ROUND(H168*B5/100/12,2)</f>
        <v/>
      </c>
      <c r="G169" s="21">
        <f>IF((ROUND(H168-ROUND($B$11-F169,2),2)&lt;=0),H168,ROUND($B$11-F169,2))</f>
        <v/>
      </c>
      <c r="H169" s="21">
        <f>IF((ROUND(H168-ROUND($B$11-F169,2),2)&lt;=0),0,ROUND(H168-G169,2))</f>
        <v/>
      </c>
    </row>
    <row r="170">
      <c r="A170" s="6" t="n">
        <v>156</v>
      </c>
      <c r="B170" s="19">
        <f>DATE(YEAR(B8)+INT((MONTH(B8)-1+155)/12),MOD(MONTH(B8)-1+155,12)+1,1)+(DAY(B8)-1)</f>
        <v/>
      </c>
      <c r="C170" s="21">
        <f>ROUND(E169*B5/100/12,2)</f>
        <v/>
      </c>
      <c r="D170" s="21">
        <f>IF((OR(ROUND(E169-ROUND($B$10-C170,2),2)&lt;=0,156=B6)),E169,ROUND($B$10-C170,2))</f>
        <v/>
      </c>
      <c r="E170" s="21">
        <f>IF((OR(ROUND(E169-ROUND($B$10-C170,2),2)&lt;=0,156=B6)),0,ROUND(E169-D170,2))</f>
        <v/>
      </c>
      <c r="F170" s="21">
        <f>ROUND(H169*B5/100/12,2)</f>
        <v/>
      </c>
      <c r="G170" s="21">
        <f>IF((ROUND(H169-ROUND($B$11-F170,2),2)&lt;=0),H169,ROUND($B$11-F170,2))</f>
        <v/>
      </c>
      <c r="H170" s="21">
        <f>IF((ROUND(H169-ROUND($B$11-F170,2),2)&lt;=0),0,ROUND(H169-G170,2))</f>
        <v/>
      </c>
    </row>
    <row r="171">
      <c r="A171" s="6" t="n">
        <v>157</v>
      </c>
      <c r="B171" s="19">
        <f>DATE(YEAR(B8)+INT((MONTH(B8)-1+156)/12),MOD(MONTH(B8)-1+156,12)+1,1)+(DAY(B8)-1)</f>
        <v/>
      </c>
      <c r="C171" s="21">
        <f>ROUND(E170*B5/100/12,2)</f>
        <v/>
      </c>
      <c r="D171" s="21">
        <f>IF((OR(ROUND(E170-ROUND($B$10-C171,2),2)&lt;=0,157=B6)),E170,ROUND($B$10-C171,2))</f>
        <v/>
      </c>
      <c r="E171" s="21">
        <f>IF((OR(ROUND(E170-ROUND($B$10-C171,2),2)&lt;=0,157=B6)),0,ROUND(E170-D171,2))</f>
        <v/>
      </c>
      <c r="F171" s="21">
        <f>ROUND(H170*B5/100/12,2)</f>
        <v/>
      </c>
      <c r="G171" s="21">
        <f>IF((ROUND(H170-ROUND($B$11-F171,2),2)&lt;=0),H170,ROUND($B$11-F171,2))</f>
        <v/>
      </c>
      <c r="H171" s="21">
        <f>IF((ROUND(H170-ROUND($B$11-F171,2),2)&lt;=0),0,ROUND(H170-G171,2))</f>
        <v/>
      </c>
    </row>
    <row r="172">
      <c r="A172" s="6" t="n">
        <v>158</v>
      </c>
      <c r="B172" s="19">
        <f>DATE(YEAR(B8)+INT((MONTH(B8)-1+157)/12),MOD(MONTH(B8)-1+157,12)+1,1)+(DAY(B8)-1)</f>
        <v/>
      </c>
      <c r="C172" s="21">
        <f>ROUND(E171*B5/100/12,2)</f>
        <v/>
      </c>
      <c r="D172" s="21">
        <f>IF((OR(ROUND(E171-ROUND($B$10-C172,2),2)&lt;=0,158=B6)),E171,ROUND($B$10-C172,2))</f>
        <v/>
      </c>
      <c r="E172" s="21">
        <f>IF((OR(ROUND(E171-ROUND($B$10-C172,2),2)&lt;=0,158=B6)),0,ROUND(E171-D172,2))</f>
        <v/>
      </c>
      <c r="F172" s="21">
        <f>ROUND(H171*B5/100/12,2)</f>
        <v/>
      </c>
      <c r="G172" s="21">
        <f>IF((ROUND(H171-ROUND($B$11-F172,2),2)&lt;=0),H171,ROUND($B$11-F172,2))</f>
        <v/>
      </c>
      <c r="H172" s="21">
        <f>IF((ROUND(H171-ROUND($B$11-F172,2),2)&lt;=0),0,ROUND(H171-G172,2))</f>
        <v/>
      </c>
    </row>
    <row r="173">
      <c r="A173" s="6" t="n">
        <v>159</v>
      </c>
      <c r="B173" s="19">
        <f>DATE(YEAR(B8)+INT((MONTH(B8)-1+158)/12),MOD(MONTH(B8)-1+158,12)+1,1)+(DAY(B8)-1)</f>
        <v/>
      </c>
      <c r="C173" s="21">
        <f>ROUND(E172*B5/100/12,2)</f>
        <v/>
      </c>
      <c r="D173" s="21">
        <f>IF((OR(ROUND(E172-ROUND($B$10-C173,2),2)&lt;=0,159=B6)),E172,ROUND($B$10-C173,2))</f>
        <v/>
      </c>
      <c r="E173" s="21">
        <f>IF((OR(ROUND(E172-ROUND($B$10-C173,2),2)&lt;=0,159=B6)),0,ROUND(E172-D173,2))</f>
        <v/>
      </c>
      <c r="F173" s="21">
        <f>ROUND(H172*B5/100/12,2)</f>
        <v/>
      </c>
      <c r="G173" s="21">
        <f>IF((ROUND(H172-ROUND($B$11-F173,2),2)&lt;=0),H172,ROUND($B$11-F173,2))</f>
        <v/>
      </c>
      <c r="H173" s="21">
        <f>IF((ROUND(H172-ROUND($B$11-F173,2),2)&lt;=0),0,ROUND(H172-G173,2))</f>
        <v/>
      </c>
    </row>
    <row r="174">
      <c r="A174" s="6" t="n">
        <v>160</v>
      </c>
      <c r="B174" s="19">
        <f>DATE(YEAR(B8)+INT((MONTH(B8)-1+159)/12),MOD(MONTH(B8)-1+159,12)+1,1)+(DAY(B8)-1)</f>
        <v/>
      </c>
      <c r="C174" s="21">
        <f>ROUND(E173*B5/100/12,2)</f>
        <v/>
      </c>
      <c r="D174" s="21">
        <f>IF((OR(ROUND(E173-ROUND($B$10-C174,2),2)&lt;=0,160=B6)),E173,ROUND($B$10-C174,2))</f>
        <v/>
      </c>
      <c r="E174" s="21">
        <f>IF((OR(ROUND(E173-ROUND($B$10-C174,2),2)&lt;=0,160=B6)),0,ROUND(E173-D174,2))</f>
        <v/>
      </c>
      <c r="F174" s="21">
        <f>ROUND(H173*B5/100/12,2)</f>
        <v/>
      </c>
      <c r="G174" s="21">
        <f>IF((ROUND(H173-ROUND($B$11-F174,2),2)&lt;=0),H173,ROUND($B$11-F174,2))</f>
        <v/>
      </c>
      <c r="H174" s="21">
        <f>IF((ROUND(H173-ROUND($B$11-F174,2),2)&lt;=0),0,ROUND(H173-G174,2))</f>
        <v/>
      </c>
    </row>
    <row r="175">
      <c r="A175" s="6" t="n">
        <v>161</v>
      </c>
      <c r="B175" s="19">
        <f>DATE(YEAR(B8)+INT((MONTH(B8)-1+160)/12),MOD(MONTH(B8)-1+160,12)+1,1)+(DAY(B8)-1)</f>
        <v/>
      </c>
      <c r="C175" s="21">
        <f>ROUND(E174*B5/100/12,2)</f>
        <v/>
      </c>
      <c r="D175" s="21">
        <f>IF((OR(ROUND(E174-ROUND($B$10-C175,2),2)&lt;=0,161=B6)),E174,ROUND($B$10-C175,2))</f>
        <v/>
      </c>
      <c r="E175" s="21">
        <f>IF((OR(ROUND(E174-ROUND($B$10-C175,2),2)&lt;=0,161=B6)),0,ROUND(E174-D175,2))</f>
        <v/>
      </c>
      <c r="F175" s="21">
        <f>ROUND(H174*B5/100/12,2)</f>
        <v/>
      </c>
      <c r="G175" s="21">
        <f>IF((ROUND(H174-ROUND($B$11-F175,2),2)&lt;=0),H174,ROUND($B$11-F175,2))</f>
        <v/>
      </c>
      <c r="H175" s="21">
        <f>IF((ROUND(H174-ROUND($B$11-F175,2),2)&lt;=0),0,ROUND(H174-G175,2))</f>
        <v/>
      </c>
    </row>
    <row r="176">
      <c r="A176" s="6" t="n">
        <v>162</v>
      </c>
      <c r="B176" s="19">
        <f>DATE(YEAR(B8)+INT((MONTH(B8)-1+161)/12),MOD(MONTH(B8)-1+161,12)+1,1)+(DAY(B8)-1)</f>
        <v/>
      </c>
      <c r="C176" s="21">
        <f>ROUND(E175*B5/100/12,2)</f>
        <v/>
      </c>
      <c r="D176" s="21">
        <f>IF((OR(ROUND(E175-ROUND($B$10-C176,2),2)&lt;=0,162=B6)),E175,ROUND($B$10-C176,2))</f>
        <v/>
      </c>
      <c r="E176" s="21">
        <f>IF((OR(ROUND(E175-ROUND($B$10-C176,2),2)&lt;=0,162=B6)),0,ROUND(E175-D176,2))</f>
        <v/>
      </c>
      <c r="F176" s="21">
        <f>ROUND(H175*B5/100/12,2)</f>
        <v/>
      </c>
      <c r="G176" s="21">
        <f>IF((ROUND(H175-ROUND($B$11-F176,2),2)&lt;=0),H175,ROUND($B$11-F176,2))</f>
        <v/>
      </c>
      <c r="H176" s="21">
        <f>IF((ROUND(H175-ROUND($B$11-F176,2),2)&lt;=0),0,ROUND(H175-G176,2))</f>
        <v/>
      </c>
    </row>
    <row r="177">
      <c r="A177" s="6" t="n">
        <v>163</v>
      </c>
      <c r="B177" s="19">
        <f>DATE(YEAR(B8)+INT((MONTH(B8)-1+162)/12),MOD(MONTH(B8)-1+162,12)+1,1)+(DAY(B8)-1)</f>
        <v/>
      </c>
      <c r="C177" s="21">
        <f>ROUND(E176*B5/100/12,2)</f>
        <v/>
      </c>
      <c r="D177" s="21">
        <f>IF((OR(ROUND(E176-ROUND($B$10-C177,2),2)&lt;=0,163=B6)),E176,ROUND($B$10-C177,2))</f>
        <v/>
      </c>
      <c r="E177" s="21">
        <f>IF((OR(ROUND(E176-ROUND($B$10-C177,2),2)&lt;=0,163=B6)),0,ROUND(E176-D177,2))</f>
        <v/>
      </c>
      <c r="F177" s="21">
        <f>ROUND(H176*B5/100/12,2)</f>
        <v/>
      </c>
      <c r="G177" s="21">
        <f>IF((ROUND(H176-ROUND($B$11-F177,2),2)&lt;=0),H176,ROUND($B$11-F177,2))</f>
        <v/>
      </c>
      <c r="H177" s="21">
        <f>IF((ROUND(H176-ROUND($B$11-F177,2),2)&lt;=0),0,ROUND(H176-G177,2))</f>
        <v/>
      </c>
    </row>
    <row r="178">
      <c r="A178" s="6" t="n">
        <v>164</v>
      </c>
      <c r="B178" s="19">
        <f>DATE(YEAR(B8)+INT((MONTH(B8)-1+163)/12),MOD(MONTH(B8)-1+163,12)+1,1)+(DAY(B8)-1)</f>
        <v/>
      </c>
      <c r="C178" s="21">
        <f>ROUND(E177*B5/100/12,2)</f>
        <v/>
      </c>
      <c r="D178" s="21">
        <f>IF((OR(ROUND(E177-ROUND($B$10-C178,2),2)&lt;=0,164=B6)),E177,ROUND($B$10-C178,2))</f>
        <v/>
      </c>
      <c r="E178" s="21">
        <f>IF((OR(ROUND(E177-ROUND($B$10-C178,2),2)&lt;=0,164=B6)),0,ROUND(E177-D178,2))</f>
        <v/>
      </c>
      <c r="F178" s="21">
        <f>ROUND(H177*B5/100/12,2)</f>
        <v/>
      </c>
      <c r="G178" s="21">
        <f>IF((ROUND(H177-ROUND($B$11-F178,2),2)&lt;=0),H177,ROUND($B$11-F178,2))</f>
        <v/>
      </c>
      <c r="H178" s="21">
        <f>IF((ROUND(H177-ROUND($B$11-F178,2),2)&lt;=0),0,ROUND(H177-G178,2))</f>
        <v/>
      </c>
    </row>
    <row r="179">
      <c r="A179" s="6" t="n">
        <v>165</v>
      </c>
      <c r="B179" s="19">
        <f>DATE(YEAR(B8)+INT((MONTH(B8)-1+164)/12),MOD(MONTH(B8)-1+164,12)+1,1)+(DAY(B8)-1)</f>
        <v/>
      </c>
      <c r="C179" s="21">
        <f>ROUND(E178*B5/100/12,2)</f>
        <v/>
      </c>
      <c r="D179" s="21">
        <f>IF((OR(ROUND(E178-ROUND($B$10-C179,2),2)&lt;=0,165=B6)),E178,ROUND($B$10-C179,2))</f>
        <v/>
      </c>
      <c r="E179" s="21">
        <f>IF((OR(ROUND(E178-ROUND($B$10-C179,2),2)&lt;=0,165=B6)),0,ROUND(E178-D179,2))</f>
        <v/>
      </c>
      <c r="F179" s="21">
        <f>ROUND(H178*B5/100/12,2)</f>
        <v/>
      </c>
      <c r="G179" s="21">
        <f>IF((ROUND(H178-ROUND($B$11-F179,2),2)&lt;=0),H178,ROUND($B$11-F179,2))</f>
        <v/>
      </c>
      <c r="H179" s="21">
        <f>IF((ROUND(H178-ROUND($B$11-F179,2),2)&lt;=0),0,ROUND(H178-G179,2))</f>
        <v/>
      </c>
    </row>
    <row r="180">
      <c r="A180" s="6" t="n">
        <v>166</v>
      </c>
      <c r="B180" s="19">
        <f>DATE(YEAR(B8)+INT((MONTH(B8)-1+165)/12),MOD(MONTH(B8)-1+165,12)+1,1)+(DAY(B8)-1)</f>
        <v/>
      </c>
      <c r="C180" s="21">
        <f>ROUND(E179*B5/100/12,2)</f>
        <v/>
      </c>
      <c r="D180" s="21">
        <f>IF((OR(ROUND(E179-ROUND($B$10-C180,2),2)&lt;=0,166=B6)),E179,ROUND($B$10-C180,2))</f>
        <v/>
      </c>
      <c r="E180" s="21">
        <f>IF((OR(ROUND(E179-ROUND($B$10-C180,2),2)&lt;=0,166=B6)),0,ROUND(E179-D180,2))</f>
        <v/>
      </c>
      <c r="F180" s="21">
        <f>ROUND(H179*B5/100/12,2)</f>
        <v/>
      </c>
      <c r="G180" s="21">
        <f>IF((ROUND(H179-ROUND($B$11-F180,2),2)&lt;=0),H179,ROUND($B$11-F180,2))</f>
        <v/>
      </c>
      <c r="H180" s="21">
        <f>IF((ROUND(H179-ROUND($B$11-F180,2),2)&lt;=0),0,ROUND(H179-G180,2))</f>
        <v/>
      </c>
    </row>
    <row r="181">
      <c r="A181" s="6" t="n">
        <v>167</v>
      </c>
      <c r="B181" s="19">
        <f>DATE(YEAR(B8)+INT((MONTH(B8)-1+166)/12),MOD(MONTH(B8)-1+166,12)+1,1)+(DAY(B8)-1)</f>
        <v/>
      </c>
      <c r="C181" s="21">
        <f>ROUND(E180*B5/100/12,2)</f>
        <v/>
      </c>
      <c r="D181" s="21">
        <f>IF((OR(ROUND(E180-ROUND($B$10-C181,2),2)&lt;=0,167=B6)),E180,ROUND($B$10-C181,2))</f>
        <v/>
      </c>
      <c r="E181" s="21">
        <f>IF((OR(ROUND(E180-ROUND($B$10-C181,2),2)&lt;=0,167=B6)),0,ROUND(E180-D181,2))</f>
        <v/>
      </c>
      <c r="F181" s="21">
        <f>ROUND(H180*B5/100/12,2)</f>
        <v/>
      </c>
      <c r="G181" s="21">
        <f>IF((ROUND(H180-ROUND($B$11-F181,2),2)&lt;=0),H180,ROUND($B$11-F181,2))</f>
        <v/>
      </c>
      <c r="H181" s="21">
        <f>IF((ROUND(H180-ROUND($B$11-F181,2),2)&lt;=0),0,ROUND(H180-G181,2))</f>
        <v/>
      </c>
    </row>
    <row r="182">
      <c r="A182" s="6" t="n">
        <v>168</v>
      </c>
      <c r="B182" s="19">
        <f>DATE(YEAR(B8)+INT((MONTH(B8)-1+167)/12),MOD(MONTH(B8)-1+167,12)+1,1)+(DAY(B8)-1)</f>
        <v/>
      </c>
      <c r="C182" s="21">
        <f>ROUND(E181*B5/100/12,2)</f>
        <v/>
      </c>
      <c r="D182" s="21">
        <f>IF((OR(ROUND(E181-ROUND($B$10-C182,2),2)&lt;=0,168=B6)),E181,ROUND($B$10-C182,2))</f>
        <v/>
      </c>
      <c r="E182" s="21">
        <f>IF((OR(ROUND(E181-ROUND($B$10-C182,2),2)&lt;=0,168=B6)),0,ROUND(E181-D182,2))</f>
        <v/>
      </c>
      <c r="F182" s="21">
        <f>ROUND(H181*B5/100/12,2)</f>
        <v/>
      </c>
      <c r="G182" s="21">
        <f>IF((ROUND(H181-ROUND($B$11-F182,2),2)&lt;=0),H181,ROUND($B$11-F182,2))</f>
        <v/>
      </c>
      <c r="H182" s="21">
        <f>IF((ROUND(H181-ROUND($B$11-F182,2),2)&lt;=0),0,ROUND(H181-G182,2))</f>
        <v/>
      </c>
    </row>
    <row r="183">
      <c r="A183" s="6" t="n">
        <v>169</v>
      </c>
      <c r="B183" s="19">
        <f>DATE(YEAR(B8)+INT((MONTH(B8)-1+168)/12),MOD(MONTH(B8)-1+168,12)+1,1)+(DAY(B8)-1)</f>
        <v/>
      </c>
      <c r="C183" s="21">
        <f>ROUND(E182*B5/100/12,2)</f>
        <v/>
      </c>
      <c r="D183" s="21">
        <f>IF((OR(ROUND(E182-ROUND($B$10-C183,2),2)&lt;=0,169=B6)),E182,ROUND($B$10-C183,2))</f>
        <v/>
      </c>
      <c r="E183" s="21">
        <f>IF((OR(ROUND(E182-ROUND($B$10-C183,2),2)&lt;=0,169=B6)),0,ROUND(E182-D183,2))</f>
        <v/>
      </c>
      <c r="F183" s="21">
        <f>ROUND(H182*B5/100/12,2)</f>
        <v/>
      </c>
      <c r="G183" s="21">
        <f>IF((ROUND(H182-ROUND($B$11-F183,2),2)&lt;=0),H182,ROUND($B$11-F183,2))</f>
        <v/>
      </c>
      <c r="H183" s="21">
        <f>IF((ROUND(H182-ROUND($B$11-F183,2),2)&lt;=0),0,ROUND(H182-G183,2))</f>
        <v/>
      </c>
    </row>
    <row r="184">
      <c r="A184" s="6" t="n">
        <v>170</v>
      </c>
      <c r="B184" s="19">
        <f>DATE(YEAR(B8)+INT((MONTH(B8)-1+169)/12),MOD(MONTH(B8)-1+169,12)+1,1)+(DAY(B8)-1)</f>
        <v/>
      </c>
      <c r="C184" s="21">
        <f>ROUND(E183*B5/100/12,2)</f>
        <v/>
      </c>
      <c r="D184" s="21">
        <f>IF((OR(ROUND(E183-ROUND($B$10-C184,2),2)&lt;=0,170=B6)),E183,ROUND($B$10-C184,2))</f>
        <v/>
      </c>
      <c r="E184" s="21">
        <f>IF((OR(ROUND(E183-ROUND($B$10-C184,2),2)&lt;=0,170=B6)),0,ROUND(E183-D184,2))</f>
        <v/>
      </c>
      <c r="F184" s="21">
        <f>ROUND(H183*B5/100/12,2)</f>
        <v/>
      </c>
      <c r="G184" s="21">
        <f>IF((ROUND(H183-ROUND($B$11-F184,2),2)&lt;=0),H183,ROUND($B$11-F184,2))</f>
        <v/>
      </c>
      <c r="H184" s="21">
        <f>IF((ROUND(H183-ROUND($B$11-F184,2),2)&lt;=0),0,ROUND(H183-G184,2))</f>
        <v/>
      </c>
    </row>
    <row r="185">
      <c r="A185" s="6" t="n">
        <v>171</v>
      </c>
      <c r="B185" s="19">
        <f>DATE(YEAR(B8)+INT((MONTH(B8)-1+170)/12),MOD(MONTH(B8)-1+170,12)+1,1)+(DAY(B8)-1)</f>
        <v/>
      </c>
      <c r="C185" s="21">
        <f>ROUND(E184*B5/100/12,2)</f>
        <v/>
      </c>
      <c r="D185" s="21">
        <f>IF((OR(ROUND(E184-ROUND($B$10-C185,2),2)&lt;=0,171=B6)),E184,ROUND($B$10-C185,2))</f>
        <v/>
      </c>
      <c r="E185" s="21">
        <f>IF((OR(ROUND(E184-ROUND($B$10-C185,2),2)&lt;=0,171=B6)),0,ROUND(E184-D185,2))</f>
        <v/>
      </c>
      <c r="F185" s="21">
        <f>ROUND(H184*B5/100/12,2)</f>
        <v/>
      </c>
      <c r="G185" s="21">
        <f>IF((ROUND(H184-ROUND($B$11-F185,2),2)&lt;=0),H184,ROUND($B$11-F185,2))</f>
        <v/>
      </c>
      <c r="H185" s="21">
        <f>IF((ROUND(H184-ROUND($B$11-F185,2),2)&lt;=0),0,ROUND(H184-G185,2))</f>
        <v/>
      </c>
    </row>
    <row r="186">
      <c r="A186" s="6" t="n">
        <v>172</v>
      </c>
      <c r="B186" s="19">
        <f>DATE(YEAR(B8)+INT((MONTH(B8)-1+171)/12),MOD(MONTH(B8)-1+171,12)+1,1)+(DAY(B8)-1)</f>
        <v/>
      </c>
      <c r="C186" s="21">
        <f>ROUND(E185*B5/100/12,2)</f>
        <v/>
      </c>
      <c r="D186" s="21">
        <f>IF((OR(ROUND(E185-ROUND($B$10-C186,2),2)&lt;=0,172=B6)),E185,ROUND($B$10-C186,2))</f>
        <v/>
      </c>
      <c r="E186" s="21">
        <f>IF((OR(ROUND(E185-ROUND($B$10-C186,2),2)&lt;=0,172=B6)),0,ROUND(E185-D186,2))</f>
        <v/>
      </c>
      <c r="F186" s="21">
        <f>ROUND(H185*B5/100/12,2)</f>
        <v/>
      </c>
      <c r="G186" s="21">
        <f>IF((ROUND(H185-ROUND($B$11-F186,2),2)&lt;=0),H185,ROUND($B$11-F186,2))</f>
        <v/>
      </c>
      <c r="H186" s="21">
        <f>IF((ROUND(H185-ROUND($B$11-F186,2),2)&lt;=0),0,ROUND(H185-G186,2))</f>
        <v/>
      </c>
    </row>
    <row r="187">
      <c r="A187" s="6" t="n">
        <v>173</v>
      </c>
      <c r="B187" s="19">
        <f>DATE(YEAR(B8)+INT((MONTH(B8)-1+172)/12),MOD(MONTH(B8)-1+172,12)+1,1)+(DAY(B8)-1)</f>
        <v/>
      </c>
      <c r="C187" s="21">
        <f>ROUND(E186*B5/100/12,2)</f>
        <v/>
      </c>
      <c r="D187" s="21">
        <f>IF((OR(ROUND(E186-ROUND($B$10-C187,2),2)&lt;=0,173=B6)),E186,ROUND($B$10-C187,2))</f>
        <v/>
      </c>
      <c r="E187" s="21">
        <f>IF((OR(ROUND(E186-ROUND($B$10-C187,2),2)&lt;=0,173=B6)),0,ROUND(E186-D187,2))</f>
        <v/>
      </c>
      <c r="F187" s="21">
        <f>ROUND(H186*B5/100/12,2)</f>
        <v/>
      </c>
      <c r="G187" s="21">
        <f>IF((ROUND(H186-ROUND($B$11-F187,2),2)&lt;=0),H186,ROUND($B$11-F187,2))</f>
        <v/>
      </c>
      <c r="H187" s="21">
        <f>IF((ROUND(H186-ROUND($B$11-F187,2),2)&lt;=0),0,ROUND(H186-G187,2))</f>
        <v/>
      </c>
    </row>
    <row r="188">
      <c r="A188" s="6" t="n">
        <v>174</v>
      </c>
      <c r="B188" s="19">
        <f>DATE(YEAR(B8)+INT((MONTH(B8)-1+173)/12),MOD(MONTH(B8)-1+173,12)+1,1)+(DAY(B8)-1)</f>
        <v/>
      </c>
      <c r="C188" s="21">
        <f>ROUND(E187*B5/100/12,2)</f>
        <v/>
      </c>
      <c r="D188" s="21">
        <f>IF((OR(ROUND(E187-ROUND($B$10-C188,2),2)&lt;=0,174=B6)),E187,ROUND($B$10-C188,2))</f>
        <v/>
      </c>
      <c r="E188" s="21">
        <f>IF((OR(ROUND(E187-ROUND($B$10-C188,2),2)&lt;=0,174=B6)),0,ROUND(E187-D188,2))</f>
        <v/>
      </c>
      <c r="F188" s="21">
        <f>ROUND(H187*B5/100/12,2)</f>
        <v/>
      </c>
      <c r="G188" s="21">
        <f>IF((ROUND(H187-ROUND($B$11-F188,2),2)&lt;=0),H187,ROUND($B$11-F188,2))</f>
        <v/>
      </c>
      <c r="H188" s="21">
        <f>IF((ROUND(H187-ROUND($B$11-F188,2),2)&lt;=0),0,ROUND(H187-G188,2))</f>
        <v/>
      </c>
    </row>
    <row r="189">
      <c r="A189" s="6" t="n">
        <v>175</v>
      </c>
      <c r="B189" s="19">
        <f>DATE(YEAR(B8)+INT((MONTH(B8)-1+174)/12),MOD(MONTH(B8)-1+174,12)+1,1)+(DAY(B8)-1)</f>
        <v/>
      </c>
      <c r="C189" s="21">
        <f>ROUND(E188*B5/100/12,2)</f>
        <v/>
      </c>
      <c r="D189" s="21">
        <f>IF((OR(ROUND(E188-ROUND($B$10-C189,2),2)&lt;=0,175=B6)),E188,ROUND($B$10-C189,2))</f>
        <v/>
      </c>
      <c r="E189" s="21">
        <f>IF((OR(ROUND(E188-ROUND($B$10-C189,2),2)&lt;=0,175=B6)),0,ROUND(E188-D189,2))</f>
        <v/>
      </c>
      <c r="F189" s="21">
        <f>ROUND(H188*B5/100/12,2)</f>
        <v/>
      </c>
      <c r="G189" s="21">
        <f>IF((ROUND(H188-ROUND($B$11-F189,2),2)&lt;=0),H188,ROUND($B$11-F189,2))</f>
        <v/>
      </c>
      <c r="H189" s="21">
        <f>IF((ROUND(H188-ROUND($B$11-F189,2),2)&lt;=0),0,ROUND(H188-G189,2))</f>
        <v/>
      </c>
    </row>
    <row r="190">
      <c r="A190" s="6" t="n">
        <v>176</v>
      </c>
      <c r="B190" s="19">
        <f>DATE(YEAR(B8)+INT((MONTH(B8)-1+175)/12),MOD(MONTH(B8)-1+175,12)+1,1)+(DAY(B8)-1)</f>
        <v/>
      </c>
      <c r="C190" s="21">
        <f>ROUND(E189*B5/100/12,2)</f>
        <v/>
      </c>
      <c r="D190" s="21">
        <f>IF((OR(ROUND(E189-ROUND($B$10-C190,2),2)&lt;=0,176=B6)),E189,ROUND($B$10-C190,2))</f>
        <v/>
      </c>
      <c r="E190" s="21">
        <f>IF((OR(ROUND(E189-ROUND($B$10-C190,2),2)&lt;=0,176=B6)),0,ROUND(E189-D190,2))</f>
        <v/>
      </c>
      <c r="F190" s="21">
        <f>ROUND(H189*B5/100/12,2)</f>
        <v/>
      </c>
      <c r="G190" s="21">
        <f>IF((ROUND(H189-ROUND($B$11-F190,2),2)&lt;=0),H189,ROUND($B$11-F190,2))</f>
        <v/>
      </c>
      <c r="H190" s="21">
        <f>IF((ROUND(H189-ROUND($B$11-F190,2),2)&lt;=0),0,ROUND(H189-G190,2))</f>
        <v/>
      </c>
    </row>
    <row r="191">
      <c r="A191" s="6" t="n">
        <v>177</v>
      </c>
      <c r="B191" s="19">
        <f>DATE(YEAR(B8)+INT((MONTH(B8)-1+176)/12),MOD(MONTH(B8)-1+176,12)+1,1)+(DAY(B8)-1)</f>
        <v/>
      </c>
      <c r="C191" s="21">
        <f>ROUND(E190*B5/100/12,2)</f>
        <v/>
      </c>
      <c r="D191" s="21">
        <f>IF((OR(ROUND(E190-ROUND($B$10-C191,2),2)&lt;=0,177=B6)),E190,ROUND($B$10-C191,2))</f>
        <v/>
      </c>
      <c r="E191" s="21">
        <f>IF((OR(ROUND(E190-ROUND($B$10-C191,2),2)&lt;=0,177=B6)),0,ROUND(E190-D191,2))</f>
        <v/>
      </c>
      <c r="F191" s="21">
        <f>ROUND(H190*B5/100/12,2)</f>
        <v/>
      </c>
      <c r="G191" s="21">
        <f>IF((ROUND(H190-ROUND($B$11-F191,2),2)&lt;=0),H190,ROUND($B$11-F191,2))</f>
        <v/>
      </c>
      <c r="H191" s="21">
        <f>IF((ROUND(H190-ROUND($B$11-F191,2),2)&lt;=0),0,ROUND(H190-G191,2))</f>
        <v/>
      </c>
    </row>
    <row r="192">
      <c r="A192" s="6" t="n">
        <v>178</v>
      </c>
      <c r="B192" s="19">
        <f>DATE(YEAR(B8)+INT((MONTH(B8)-1+177)/12),MOD(MONTH(B8)-1+177,12)+1,1)+(DAY(B8)-1)</f>
        <v/>
      </c>
      <c r="C192" s="21">
        <f>ROUND(E191*B5/100/12,2)</f>
        <v/>
      </c>
      <c r="D192" s="21">
        <f>IF((OR(ROUND(E191-ROUND($B$10-C192,2),2)&lt;=0,178=B6)),E191,ROUND($B$10-C192,2))</f>
        <v/>
      </c>
      <c r="E192" s="21">
        <f>IF((OR(ROUND(E191-ROUND($B$10-C192,2),2)&lt;=0,178=B6)),0,ROUND(E191-D192,2))</f>
        <v/>
      </c>
      <c r="F192" s="21">
        <f>ROUND(H191*B5/100/12,2)</f>
        <v/>
      </c>
      <c r="G192" s="21">
        <f>IF((ROUND(H191-ROUND($B$11-F192,2),2)&lt;=0),H191,ROUND($B$11-F192,2))</f>
        <v/>
      </c>
      <c r="H192" s="21">
        <f>IF((ROUND(H191-ROUND($B$11-F192,2),2)&lt;=0),0,ROUND(H191-G192,2))</f>
        <v/>
      </c>
    </row>
    <row r="193">
      <c r="A193" s="6" t="n">
        <v>179</v>
      </c>
      <c r="B193" s="19">
        <f>DATE(YEAR(B8)+INT((MONTH(B8)-1+178)/12),MOD(MONTH(B8)-1+178,12)+1,1)+(DAY(B8)-1)</f>
        <v/>
      </c>
      <c r="C193" s="21">
        <f>ROUND(E192*B5/100/12,2)</f>
        <v/>
      </c>
      <c r="D193" s="21">
        <f>IF((OR(ROUND(E192-ROUND($B$10-C193,2),2)&lt;=0,179=B6)),E192,ROUND($B$10-C193,2))</f>
        <v/>
      </c>
      <c r="E193" s="21">
        <f>IF((OR(ROUND(E192-ROUND($B$10-C193,2),2)&lt;=0,179=B6)),0,ROUND(E192-D193,2))</f>
        <v/>
      </c>
      <c r="F193" s="21">
        <f>ROUND(H192*B5/100/12,2)</f>
        <v/>
      </c>
      <c r="G193" s="21">
        <f>IF((ROUND(H192-ROUND($B$11-F193,2),2)&lt;=0),H192,ROUND($B$11-F193,2))</f>
        <v/>
      </c>
      <c r="H193" s="21">
        <f>IF((ROUND(H192-ROUND($B$11-F193,2),2)&lt;=0),0,ROUND(H192-G193,2))</f>
        <v/>
      </c>
    </row>
    <row r="194">
      <c r="A194" s="6" t="n">
        <v>180</v>
      </c>
      <c r="B194" s="19">
        <f>DATE(YEAR(B8)+INT((MONTH(B8)-1+179)/12),MOD(MONTH(B8)-1+179,12)+1,1)+(DAY(B8)-1)</f>
        <v/>
      </c>
      <c r="C194" s="21">
        <f>ROUND(E193*B5/100/12,2)</f>
        <v/>
      </c>
      <c r="D194" s="21">
        <f>IF((OR(ROUND(E193-ROUND($B$10-C194,2),2)&lt;=0,180=B6)),E193,ROUND($B$10-C194,2))</f>
        <v/>
      </c>
      <c r="E194" s="21">
        <f>IF((OR(ROUND(E193-ROUND($B$10-C194,2),2)&lt;=0,180=B6)),0,ROUND(E193-D194,2))</f>
        <v/>
      </c>
      <c r="F194" s="21">
        <f>ROUND(H193*B5/100/12,2)</f>
        <v/>
      </c>
      <c r="G194" s="21">
        <f>IF((ROUND(H193-ROUND($B$11-F194,2),2)&lt;=0),H193,ROUND($B$11-F194,2))</f>
        <v/>
      </c>
      <c r="H194" s="21">
        <f>IF((ROUND(H193-ROUND($B$11-F194,2),2)&lt;=0),0,ROUND(H193-G194,2))</f>
        <v/>
      </c>
    </row>
    <row r="195">
      <c r="A195" s="6" t="n">
        <v>181</v>
      </c>
      <c r="B195" s="19">
        <f>DATE(YEAR(B8)+INT((MONTH(B8)-1+180)/12),MOD(MONTH(B8)-1+180,12)+1,1)+(DAY(B8)-1)</f>
        <v/>
      </c>
      <c r="C195" s="21">
        <f>ROUND(E194*B5/100/12,2)</f>
        <v/>
      </c>
      <c r="D195" s="21">
        <f>IF((OR(ROUND(E194-ROUND($B$10-C195,2),2)&lt;=0,181=B6)),E194,ROUND($B$10-C195,2))</f>
        <v/>
      </c>
      <c r="E195" s="21">
        <f>IF((OR(ROUND(E194-ROUND($B$10-C195,2),2)&lt;=0,181=B6)),0,ROUND(E194-D195,2))</f>
        <v/>
      </c>
      <c r="F195" s="21">
        <f>ROUND(H194*B5/100/12,2)</f>
        <v/>
      </c>
      <c r="G195" s="21">
        <f>IF((ROUND(H194-ROUND($B$11-F195,2),2)&lt;=0),H194,ROUND($B$11-F195,2))</f>
        <v/>
      </c>
      <c r="H195" s="21">
        <f>IF((ROUND(H194-ROUND($B$11-F195,2),2)&lt;=0),0,ROUND(H194-G195,2))</f>
        <v/>
      </c>
    </row>
    <row r="196">
      <c r="A196" s="6" t="n">
        <v>182</v>
      </c>
      <c r="B196" s="19">
        <f>DATE(YEAR(B8)+INT((MONTH(B8)-1+181)/12),MOD(MONTH(B8)-1+181,12)+1,1)+(DAY(B8)-1)</f>
        <v/>
      </c>
      <c r="C196" s="21">
        <f>ROUND(E195*B5/100/12,2)</f>
        <v/>
      </c>
      <c r="D196" s="21">
        <f>IF((OR(ROUND(E195-ROUND($B$10-C196,2),2)&lt;=0,182=B6)),E195,ROUND($B$10-C196,2))</f>
        <v/>
      </c>
      <c r="E196" s="21">
        <f>IF((OR(ROUND(E195-ROUND($B$10-C196,2),2)&lt;=0,182=B6)),0,ROUND(E195-D196,2))</f>
        <v/>
      </c>
      <c r="F196" s="21">
        <f>ROUND(H195*B5/100/12,2)</f>
        <v/>
      </c>
      <c r="G196" s="21">
        <f>IF((ROUND(H195-ROUND($B$11-F196,2),2)&lt;=0),H195,ROUND($B$11-F196,2))</f>
        <v/>
      </c>
      <c r="H196" s="21">
        <f>IF((ROUND(H195-ROUND($B$11-F196,2),2)&lt;=0),0,ROUND(H195-G196,2))</f>
        <v/>
      </c>
    </row>
    <row r="197">
      <c r="A197" s="6" t="n">
        <v>183</v>
      </c>
      <c r="B197" s="19">
        <f>DATE(YEAR(B8)+INT((MONTH(B8)-1+182)/12),MOD(MONTH(B8)-1+182,12)+1,1)+(DAY(B8)-1)</f>
        <v/>
      </c>
      <c r="C197" s="21">
        <f>ROUND(E196*B5/100/12,2)</f>
        <v/>
      </c>
      <c r="D197" s="21">
        <f>IF((OR(ROUND(E196-ROUND($B$10-C197,2),2)&lt;=0,183=B6)),E196,ROUND($B$10-C197,2))</f>
        <v/>
      </c>
      <c r="E197" s="21">
        <f>IF((OR(ROUND(E196-ROUND($B$10-C197,2),2)&lt;=0,183=B6)),0,ROUND(E196-D197,2))</f>
        <v/>
      </c>
      <c r="F197" s="21">
        <f>ROUND(H196*B5/100/12,2)</f>
        <v/>
      </c>
      <c r="G197" s="21">
        <f>IF((ROUND(H196-ROUND($B$11-F197,2),2)&lt;=0),H196,ROUND($B$11-F197,2))</f>
        <v/>
      </c>
      <c r="H197" s="21">
        <f>IF((ROUND(H196-ROUND($B$11-F197,2),2)&lt;=0),0,ROUND(H196-G197,2))</f>
        <v/>
      </c>
    </row>
    <row r="198">
      <c r="A198" s="6" t="n">
        <v>184</v>
      </c>
      <c r="B198" s="19">
        <f>DATE(YEAR(B8)+INT((MONTH(B8)-1+183)/12),MOD(MONTH(B8)-1+183,12)+1,1)+(DAY(B8)-1)</f>
        <v/>
      </c>
      <c r="C198" s="21">
        <f>ROUND(E197*B5/100/12,2)</f>
        <v/>
      </c>
      <c r="D198" s="21">
        <f>IF((OR(ROUND(E197-ROUND($B$10-C198,2),2)&lt;=0,184=B6)),E197,ROUND($B$10-C198,2))</f>
        <v/>
      </c>
      <c r="E198" s="21">
        <f>IF((OR(ROUND(E197-ROUND($B$10-C198,2),2)&lt;=0,184=B6)),0,ROUND(E197-D198,2))</f>
        <v/>
      </c>
      <c r="F198" s="21">
        <f>ROUND(H197*B5/100/12,2)</f>
        <v/>
      </c>
      <c r="G198" s="21">
        <f>IF((ROUND(H197-ROUND($B$11-F198,2),2)&lt;=0),H197,ROUND($B$11-F198,2))</f>
        <v/>
      </c>
      <c r="H198" s="21">
        <f>IF((ROUND(H197-ROUND($B$11-F198,2),2)&lt;=0),0,ROUND(H197-G198,2))</f>
        <v/>
      </c>
    </row>
    <row r="199">
      <c r="A199" s="6" t="n">
        <v>185</v>
      </c>
      <c r="B199" s="19">
        <f>DATE(YEAR(B8)+INT((MONTH(B8)-1+184)/12),MOD(MONTH(B8)-1+184,12)+1,1)+(DAY(B8)-1)</f>
        <v/>
      </c>
      <c r="C199" s="21">
        <f>ROUND(E198*B5/100/12,2)</f>
        <v/>
      </c>
      <c r="D199" s="21">
        <f>IF((OR(ROUND(E198-ROUND($B$10-C199,2),2)&lt;=0,185=B6)),E198,ROUND($B$10-C199,2))</f>
        <v/>
      </c>
      <c r="E199" s="21">
        <f>IF((OR(ROUND(E198-ROUND($B$10-C199,2),2)&lt;=0,185=B6)),0,ROUND(E198-D199,2))</f>
        <v/>
      </c>
      <c r="F199" s="21">
        <f>ROUND(H198*B5/100/12,2)</f>
        <v/>
      </c>
      <c r="G199" s="21">
        <f>IF((ROUND(H198-ROUND($B$11-F199,2),2)&lt;=0),H198,ROUND($B$11-F199,2))</f>
        <v/>
      </c>
      <c r="H199" s="21">
        <f>IF((ROUND(H198-ROUND($B$11-F199,2),2)&lt;=0),0,ROUND(H198-G199,2))</f>
        <v/>
      </c>
    </row>
    <row r="200">
      <c r="A200" s="6" t="n">
        <v>186</v>
      </c>
      <c r="B200" s="19">
        <f>DATE(YEAR(B8)+INT((MONTH(B8)-1+185)/12),MOD(MONTH(B8)-1+185,12)+1,1)+(DAY(B8)-1)</f>
        <v/>
      </c>
      <c r="C200" s="21">
        <f>ROUND(E199*B5/100/12,2)</f>
        <v/>
      </c>
      <c r="D200" s="21">
        <f>IF((OR(ROUND(E199-ROUND($B$10-C200,2),2)&lt;=0,186=B6)),E199,ROUND($B$10-C200,2))</f>
        <v/>
      </c>
      <c r="E200" s="21">
        <f>IF((OR(ROUND(E199-ROUND($B$10-C200,2),2)&lt;=0,186=B6)),0,ROUND(E199-D200,2))</f>
        <v/>
      </c>
      <c r="F200" s="21">
        <f>ROUND(H199*B5/100/12,2)</f>
        <v/>
      </c>
      <c r="G200" s="21">
        <f>IF((ROUND(H199-ROUND($B$11-F200,2),2)&lt;=0),H199,ROUND($B$11-F200,2))</f>
        <v/>
      </c>
      <c r="H200" s="21">
        <f>IF((ROUND(H199-ROUND($B$11-F200,2),2)&lt;=0),0,ROUND(H199-G200,2))</f>
        <v/>
      </c>
    </row>
    <row r="201">
      <c r="A201" s="6" t="n">
        <v>187</v>
      </c>
      <c r="B201" s="19">
        <f>DATE(YEAR(B8)+INT((MONTH(B8)-1+186)/12),MOD(MONTH(B8)-1+186,12)+1,1)+(DAY(B8)-1)</f>
        <v/>
      </c>
      <c r="C201" s="21">
        <f>ROUND(E200*B5/100/12,2)</f>
        <v/>
      </c>
      <c r="D201" s="21">
        <f>IF((OR(ROUND(E200-ROUND($B$10-C201,2),2)&lt;=0,187=B6)),E200,ROUND($B$10-C201,2))</f>
        <v/>
      </c>
      <c r="E201" s="21">
        <f>IF((OR(ROUND(E200-ROUND($B$10-C201,2),2)&lt;=0,187=B6)),0,ROUND(E200-D201,2))</f>
        <v/>
      </c>
      <c r="F201" s="21">
        <f>ROUND(H200*B5/100/12,2)</f>
        <v/>
      </c>
      <c r="G201" s="21">
        <f>IF((ROUND(H200-ROUND($B$11-F201,2),2)&lt;=0),H200,ROUND($B$11-F201,2))</f>
        <v/>
      </c>
      <c r="H201" s="21">
        <f>IF((ROUND(H200-ROUND($B$11-F201,2),2)&lt;=0),0,ROUND(H200-G201,2))</f>
        <v/>
      </c>
    </row>
    <row r="202">
      <c r="A202" s="6" t="n">
        <v>188</v>
      </c>
      <c r="B202" s="19">
        <f>DATE(YEAR(B8)+INT((MONTH(B8)-1+187)/12),MOD(MONTH(B8)-1+187,12)+1,1)+(DAY(B8)-1)</f>
        <v/>
      </c>
      <c r="C202" s="21">
        <f>ROUND(E201*B5/100/12,2)</f>
        <v/>
      </c>
      <c r="D202" s="21">
        <f>IF((OR(ROUND(E201-ROUND($B$10-C202,2),2)&lt;=0,188=B6)),E201,ROUND($B$10-C202,2))</f>
        <v/>
      </c>
      <c r="E202" s="21">
        <f>IF((OR(ROUND(E201-ROUND($B$10-C202,2),2)&lt;=0,188=B6)),0,ROUND(E201-D202,2))</f>
        <v/>
      </c>
      <c r="F202" s="21">
        <f>ROUND(H201*B5/100/12,2)</f>
        <v/>
      </c>
      <c r="G202" s="21">
        <f>IF((ROUND(H201-ROUND($B$11-F202,2),2)&lt;=0),H201,ROUND($B$11-F202,2))</f>
        <v/>
      </c>
      <c r="H202" s="21">
        <f>IF((ROUND(H201-ROUND($B$11-F202,2),2)&lt;=0),0,ROUND(H201-G202,2))</f>
        <v/>
      </c>
    </row>
    <row r="203">
      <c r="A203" s="6" t="n">
        <v>189</v>
      </c>
      <c r="B203" s="19">
        <f>DATE(YEAR(B8)+INT((MONTH(B8)-1+188)/12),MOD(MONTH(B8)-1+188,12)+1,1)+(DAY(B8)-1)</f>
        <v/>
      </c>
      <c r="C203" s="21">
        <f>ROUND(E202*B5/100/12,2)</f>
        <v/>
      </c>
      <c r="D203" s="21">
        <f>IF((OR(ROUND(E202-ROUND($B$10-C203,2),2)&lt;=0,189=B6)),E202,ROUND($B$10-C203,2))</f>
        <v/>
      </c>
      <c r="E203" s="21">
        <f>IF((OR(ROUND(E202-ROUND($B$10-C203,2),2)&lt;=0,189=B6)),0,ROUND(E202-D203,2))</f>
        <v/>
      </c>
      <c r="F203" s="21">
        <f>ROUND(H202*B5/100/12,2)</f>
        <v/>
      </c>
      <c r="G203" s="21">
        <f>IF((ROUND(H202-ROUND($B$11-F203,2),2)&lt;=0),H202,ROUND($B$11-F203,2))</f>
        <v/>
      </c>
      <c r="H203" s="21">
        <f>IF((ROUND(H202-ROUND($B$11-F203,2),2)&lt;=0),0,ROUND(H202-G203,2))</f>
        <v/>
      </c>
    </row>
    <row r="204">
      <c r="A204" s="6" t="n">
        <v>190</v>
      </c>
      <c r="B204" s="19">
        <f>DATE(YEAR(B8)+INT((MONTH(B8)-1+189)/12),MOD(MONTH(B8)-1+189,12)+1,1)+(DAY(B8)-1)</f>
        <v/>
      </c>
      <c r="C204" s="21">
        <f>ROUND(E203*B5/100/12,2)</f>
        <v/>
      </c>
      <c r="D204" s="21">
        <f>IF((OR(ROUND(E203-ROUND($B$10-C204,2),2)&lt;=0,190=B6)),E203,ROUND($B$10-C204,2))</f>
        <v/>
      </c>
      <c r="E204" s="21">
        <f>IF((OR(ROUND(E203-ROUND($B$10-C204,2),2)&lt;=0,190=B6)),0,ROUND(E203-D204,2))</f>
        <v/>
      </c>
      <c r="F204" s="21">
        <f>ROUND(H203*B5/100/12,2)</f>
        <v/>
      </c>
      <c r="G204" s="21">
        <f>IF((ROUND(H203-ROUND($B$11-F204,2),2)&lt;=0),H203,ROUND($B$11-F204,2))</f>
        <v/>
      </c>
      <c r="H204" s="21">
        <f>IF((ROUND(H203-ROUND($B$11-F204,2),2)&lt;=0),0,ROUND(H203-G204,2))</f>
        <v/>
      </c>
    </row>
    <row r="205">
      <c r="A205" s="6" t="n">
        <v>191</v>
      </c>
      <c r="B205" s="19">
        <f>DATE(YEAR(B8)+INT((MONTH(B8)-1+190)/12),MOD(MONTH(B8)-1+190,12)+1,1)+(DAY(B8)-1)</f>
        <v/>
      </c>
      <c r="C205" s="21">
        <f>ROUND(E204*B5/100/12,2)</f>
        <v/>
      </c>
      <c r="D205" s="21">
        <f>IF((OR(ROUND(E204-ROUND($B$10-C205,2),2)&lt;=0,191=B6)),E204,ROUND($B$10-C205,2))</f>
        <v/>
      </c>
      <c r="E205" s="21">
        <f>IF((OR(ROUND(E204-ROUND($B$10-C205,2),2)&lt;=0,191=B6)),0,ROUND(E204-D205,2))</f>
        <v/>
      </c>
      <c r="F205" s="21">
        <f>ROUND(H204*B5/100/12,2)</f>
        <v/>
      </c>
      <c r="G205" s="21">
        <f>IF((ROUND(H204-ROUND($B$11-F205,2),2)&lt;=0),H204,ROUND($B$11-F205,2))</f>
        <v/>
      </c>
      <c r="H205" s="21">
        <f>IF((ROUND(H204-ROUND($B$11-F205,2),2)&lt;=0),0,ROUND(H204-G205,2))</f>
        <v/>
      </c>
    </row>
    <row r="206">
      <c r="A206" s="6" t="n">
        <v>192</v>
      </c>
      <c r="B206" s="19">
        <f>DATE(YEAR(B8)+INT((MONTH(B8)-1+191)/12),MOD(MONTH(B8)-1+191,12)+1,1)+(DAY(B8)-1)</f>
        <v/>
      </c>
      <c r="C206" s="21">
        <f>ROUND(E205*B5/100/12,2)</f>
        <v/>
      </c>
      <c r="D206" s="21">
        <f>IF((OR(ROUND(E205-ROUND($B$10-C206,2),2)&lt;=0,192=B6)),E205,ROUND($B$10-C206,2))</f>
        <v/>
      </c>
      <c r="E206" s="21">
        <f>IF((OR(ROUND(E205-ROUND($B$10-C206,2),2)&lt;=0,192=B6)),0,ROUND(E205-D206,2))</f>
        <v/>
      </c>
      <c r="F206" s="21">
        <f>ROUND(H205*B5/100/12,2)</f>
        <v/>
      </c>
      <c r="G206" s="21">
        <f>IF((ROUND(H205-ROUND($B$11-F206,2),2)&lt;=0),H205,ROUND($B$11-F206,2))</f>
        <v/>
      </c>
      <c r="H206" s="21">
        <f>IF((ROUND(H205-ROUND($B$11-F206,2),2)&lt;=0),0,ROUND(H205-G206,2))</f>
        <v/>
      </c>
    </row>
    <row r="207">
      <c r="A207" s="6" t="n">
        <v>193</v>
      </c>
      <c r="B207" s="19">
        <f>DATE(YEAR(B8)+INT((MONTH(B8)-1+192)/12),MOD(MONTH(B8)-1+192,12)+1,1)+(DAY(B8)-1)</f>
        <v/>
      </c>
      <c r="C207" s="21">
        <f>ROUND(E206*B5/100/12,2)</f>
        <v/>
      </c>
      <c r="D207" s="21">
        <f>IF((OR(ROUND(E206-ROUND($B$10-C207,2),2)&lt;=0,193=B6)),E206,ROUND($B$10-C207,2))</f>
        <v/>
      </c>
      <c r="E207" s="21">
        <f>IF((OR(ROUND(E206-ROUND($B$10-C207,2),2)&lt;=0,193=B6)),0,ROUND(E206-D207,2))</f>
        <v/>
      </c>
      <c r="F207" s="21">
        <f>ROUND(H206*B5/100/12,2)</f>
        <v/>
      </c>
      <c r="G207" s="21">
        <f>IF((ROUND(H206-ROUND($B$11-F207,2),2)&lt;=0),H206,ROUND($B$11-F207,2))</f>
        <v/>
      </c>
      <c r="H207" s="21">
        <f>IF((ROUND(H206-ROUND($B$11-F207,2),2)&lt;=0),0,ROUND(H206-G207,2))</f>
        <v/>
      </c>
    </row>
    <row r="208">
      <c r="A208" s="6" t="n">
        <v>194</v>
      </c>
      <c r="B208" s="19">
        <f>DATE(YEAR(B8)+INT((MONTH(B8)-1+193)/12),MOD(MONTH(B8)-1+193,12)+1,1)+(DAY(B8)-1)</f>
        <v/>
      </c>
      <c r="C208" s="21">
        <f>ROUND(E207*B5/100/12,2)</f>
        <v/>
      </c>
      <c r="D208" s="21">
        <f>IF((OR(ROUND(E207-ROUND($B$10-C208,2),2)&lt;=0,194=B6)),E207,ROUND($B$10-C208,2))</f>
        <v/>
      </c>
      <c r="E208" s="21">
        <f>IF((OR(ROUND(E207-ROUND($B$10-C208,2),2)&lt;=0,194=B6)),0,ROUND(E207-D208,2))</f>
        <v/>
      </c>
      <c r="F208" s="21">
        <f>ROUND(H207*B5/100/12,2)</f>
        <v/>
      </c>
      <c r="G208" s="21">
        <f>IF((ROUND(H207-ROUND($B$11-F208,2),2)&lt;=0),H207,ROUND($B$11-F208,2))</f>
        <v/>
      </c>
      <c r="H208" s="21">
        <f>IF((ROUND(H207-ROUND($B$11-F208,2),2)&lt;=0),0,ROUND(H207-G208,2))</f>
        <v/>
      </c>
    </row>
    <row r="209">
      <c r="A209" s="6" t="n">
        <v>195</v>
      </c>
      <c r="B209" s="19">
        <f>DATE(YEAR(B8)+INT((MONTH(B8)-1+194)/12),MOD(MONTH(B8)-1+194,12)+1,1)+(DAY(B8)-1)</f>
        <v/>
      </c>
      <c r="C209" s="21">
        <f>ROUND(E208*B5/100/12,2)</f>
        <v/>
      </c>
      <c r="D209" s="21">
        <f>IF((OR(ROUND(E208-ROUND($B$10-C209,2),2)&lt;=0,195=B6)),E208,ROUND($B$10-C209,2))</f>
        <v/>
      </c>
      <c r="E209" s="21">
        <f>IF((OR(ROUND(E208-ROUND($B$10-C209,2),2)&lt;=0,195=B6)),0,ROUND(E208-D209,2))</f>
        <v/>
      </c>
      <c r="F209" s="21">
        <f>ROUND(H208*B5/100/12,2)</f>
        <v/>
      </c>
      <c r="G209" s="21">
        <f>IF((ROUND(H208-ROUND($B$11-F209,2),2)&lt;=0),H208,ROUND($B$11-F209,2))</f>
        <v/>
      </c>
      <c r="H209" s="21">
        <f>IF((ROUND(H208-ROUND($B$11-F209,2),2)&lt;=0),0,ROUND(H208-G209,2))</f>
        <v/>
      </c>
    </row>
    <row r="210">
      <c r="A210" s="6" t="n">
        <v>196</v>
      </c>
      <c r="B210" s="19">
        <f>DATE(YEAR(B8)+INT((MONTH(B8)-1+195)/12),MOD(MONTH(B8)-1+195,12)+1,1)+(DAY(B8)-1)</f>
        <v/>
      </c>
      <c r="C210" s="21">
        <f>ROUND(E209*B5/100/12,2)</f>
        <v/>
      </c>
      <c r="D210" s="21">
        <f>IF((OR(ROUND(E209-ROUND($B$10-C210,2),2)&lt;=0,196=B6)),E209,ROUND($B$10-C210,2))</f>
        <v/>
      </c>
      <c r="E210" s="21">
        <f>IF((OR(ROUND(E209-ROUND($B$10-C210,2),2)&lt;=0,196=B6)),0,ROUND(E209-D210,2))</f>
        <v/>
      </c>
      <c r="F210" s="21">
        <f>ROUND(H209*B5/100/12,2)</f>
        <v/>
      </c>
      <c r="G210" s="21">
        <f>IF((ROUND(H209-ROUND($B$11-F210,2),2)&lt;=0),H209,ROUND($B$11-F210,2))</f>
        <v/>
      </c>
      <c r="H210" s="21">
        <f>IF((ROUND(H209-ROUND($B$11-F210,2),2)&lt;=0),0,ROUND(H209-G210,2))</f>
        <v/>
      </c>
    </row>
    <row r="211">
      <c r="A211" s="6" t="n">
        <v>197</v>
      </c>
      <c r="B211" s="19">
        <f>DATE(YEAR(B8)+INT((MONTH(B8)-1+196)/12),MOD(MONTH(B8)-1+196,12)+1,1)+(DAY(B8)-1)</f>
        <v/>
      </c>
      <c r="C211" s="21">
        <f>ROUND(E210*B5/100/12,2)</f>
        <v/>
      </c>
      <c r="D211" s="21">
        <f>IF((OR(ROUND(E210-ROUND($B$10-C211,2),2)&lt;=0,197=B6)),E210,ROUND($B$10-C211,2))</f>
        <v/>
      </c>
      <c r="E211" s="21">
        <f>IF((OR(ROUND(E210-ROUND($B$10-C211,2),2)&lt;=0,197=B6)),0,ROUND(E210-D211,2))</f>
        <v/>
      </c>
      <c r="F211" s="21">
        <f>ROUND(H210*B5/100/12,2)</f>
        <v/>
      </c>
      <c r="G211" s="21">
        <f>IF((ROUND(H210-ROUND($B$11-F211,2),2)&lt;=0),H210,ROUND($B$11-F211,2))</f>
        <v/>
      </c>
      <c r="H211" s="21">
        <f>IF((ROUND(H210-ROUND($B$11-F211,2),2)&lt;=0),0,ROUND(H210-G211,2))</f>
        <v/>
      </c>
    </row>
    <row r="212">
      <c r="A212" s="6" t="n">
        <v>198</v>
      </c>
      <c r="B212" s="19">
        <f>DATE(YEAR(B8)+INT((MONTH(B8)-1+197)/12),MOD(MONTH(B8)-1+197,12)+1,1)+(DAY(B8)-1)</f>
        <v/>
      </c>
      <c r="C212" s="21">
        <f>ROUND(E211*B5/100/12,2)</f>
        <v/>
      </c>
      <c r="D212" s="21">
        <f>IF((OR(ROUND(E211-ROUND($B$10-C212,2),2)&lt;=0,198=B6)),E211,ROUND($B$10-C212,2))</f>
        <v/>
      </c>
      <c r="E212" s="21">
        <f>IF((OR(ROUND(E211-ROUND($B$10-C212,2),2)&lt;=0,198=B6)),0,ROUND(E211-D212,2))</f>
        <v/>
      </c>
      <c r="F212" s="21">
        <f>ROUND(H211*B5/100/12,2)</f>
        <v/>
      </c>
      <c r="G212" s="21">
        <f>IF((ROUND(H211-ROUND($B$11-F212,2),2)&lt;=0),H211,ROUND($B$11-F212,2))</f>
        <v/>
      </c>
      <c r="H212" s="21">
        <f>IF((ROUND(H211-ROUND($B$11-F212,2),2)&lt;=0),0,ROUND(H211-G212,2))</f>
        <v/>
      </c>
    </row>
    <row r="213">
      <c r="A213" s="6" t="n">
        <v>199</v>
      </c>
      <c r="B213" s="19">
        <f>DATE(YEAR(B8)+INT((MONTH(B8)-1+198)/12),MOD(MONTH(B8)-1+198,12)+1,1)+(DAY(B8)-1)</f>
        <v/>
      </c>
      <c r="C213" s="21">
        <f>ROUND(E212*B5/100/12,2)</f>
        <v/>
      </c>
      <c r="D213" s="21">
        <f>IF((OR(ROUND(E212-ROUND($B$10-C213,2),2)&lt;=0,199=B6)),E212,ROUND($B$10-C213,2))</f>
        <v/>
      </c>
      <c r="E213" s="21">
        <f>IF((OR(ROUND(E212-ROUND($B$10-C213,2),2)&lt;=0,199=B6)),0,ROUND(E212-D213,2))</f>
        <v/>
      </c>
      <c r="F213" s="21">
        <f>ROUND(H212*B5/100/12,2)</f>
        <v/>
      </c>
      <c r="G213" s="21">
        <f>IF((ROUND(H212-ROUND($B$11-F213,2),2)&lt;=0),H212,ROUND($B$11-F213,2))</f>
        <v/>
      </c>
      <c r="H213" s="21">
        <f>IF((ROUND(H212-ROUND($B$11-F213,2),2)&lt;=0),0,ROUND(H212-G213,2))</f>
        <v/>
      </c>
    </row>
    <row r="214">
      <c r="A214" s="6" t="n">
        <v>200</v>
      </c>
      <c r="B214" s="19">
        <f>DATE(YEAR(B8)+INT((MONTH(B8)-1+199)/12),MOD(MONTH(B8)-1+199,12)+1,1)+(DAY(B8)-1)</f>
        <v/>
      </c>
      <c r="C214" s="21">
        <f>ROUND(E213*B5/100/12,2)</f>
        <v/>
      </c>
      <c r="D214" s="21">
        <f>IF((OR(ROUND(E213-ROUND($B$10-C214,2),2)&lt;=0,200=B6)),E213,ROUND($B$10-C214,2))</f>
        <v/>
      </c>
      <c r="E214" s="21">
        <f>IF((OR(ROUND(E213-ROUND($B$10-C214,2),2)&lt;=0,200=B6)),0,ROUND(E213-D214,2))</f>
        <v/>
      </c>
      <c r="F214" s="21">
        <f>ROUND(H213*B5/100/12,2)</f>
        <v/>
      </c>
      <c r="G214" s="21">
        <f>IF((ROUND(H213-ROUND($B$11-F214,2),2)&lt;=0),H213,ROUND($B$11-F214,2))</f>
        <v/>
      </c>
      <c r="H214" s="21">
        <f>IF((ROUND(H213-ROUND($B$11-F214,2),2)&lt;=0),0,ROUND(H213-G214,2))</f>
        <v/>
      </c>
    </row>
    <row r="215">
      <c r="A215" s="6" t="n">
        <v>201</v>
      </c>
      <c r="B215" s="19">
        <f>DATE(YEAR(B8)+INT((MONTH(B8)-1+200)/12),MOD(MONTH(B8)-1+200,12)+1,1)+(DAY(B8)-1)</f>
        <v/>
      </c>
      <c r="C215" s="21">
        <f>ROUND(E214*B5/100/12,2)</f>
        <v/>
      </c>
      <c r="D215" s="21">
        <f>IF((OR(ROUND(E214-ROUND($B$10-C215,2),2)&lt;=0,201=B6)),E214,ROUND($B$10-C215,2))</f>
        <v/>
      </c>
      <c r="E215" s="21">
        <f>IF((OR(ROUND(E214-ROUND($B$10-C215,2),2)&lt;=0,201=B6)),0,ROUND(E214-D215,2))</f>
        <v/>
      </c>
      <c r="F215" s="21">
        <f>ROUND(H214*B5/100/12,2)</f>
        <v/>
      </c>
      <c r="G215" s="21">
        <f>IF((ROUND(H214-ROUND($B$11-F215,2),2)&lt;=0),H214,ROUND($B$11-F215,2))</f>
        <v/>
      </c>
      <c r="H215" s="21">
        <f>IF((ROUND(H214-ROUND($B$11-F215,2),2)&lt;=0),0,ROUND(H214-G215,2))</f>
        <v/>
      </c>
    </row>
    <row r="216">
      <c r="A216" s="6" t="n">
        <v>202</v>
      </c>
      <c r="B216" s="19">
        <f>DATE(YEAR(B8)+INT((MONTH(B8)-1+201)/12),MOD(MONTH(B8)-1+201,12)+1,1)+(DAY(B8)-1)</f>
        <v/>
      </c>
      <c r="C216" s="21">
        <f>ROUND(E215*B5/100/12,2)</f>
        <v/>
      </c>
      <c r="D216" s="21">
        <f>IF((OR(ROUND(E215-ROUND($B$10-C216,2),2)&lt;=0,202=B6)),E215,ROUND($B$10-C216,2))</f>
        <v/>
      </c>
      <c r="E216" s="21">
        <f>IF((OR(ROUND(E215-ROUND($B$10-C216,2),2)&lt;=0,202=B6)),0,ROUND(E215-D216,2))</f>
        <v/>
      </c>
      <c r="F216" s="21">
        <f>ROUND(H215*B5/100/12,2)</f>
        <v/>
      </c>
      <c r="G216" s="21">
        <f>IF((ROUND(H215-ROUND($B$11-F216,2),2)&lt;=0),H215,ROUND($B$11-F216,2))</f>
        <v/>
      </c>
      <c r="H216" s="21">
        <f>IF((ROUND(H215-ROUND($B$11-F216,2),2)&lt;=0),0,ROUND(H215-G216,2))</f>
        <v/>
      </c>
    </row>
    <row r="217">
      <c r="A217" s="6" t="n">
        <v>203</v>
      </c>
      <c r="B217" s="19">
        <f>DATE(YEAR(B8)+INT((MONTH(B8)-1+202)/12),MOD(MONTH(B8)-1+202,12)+1,1)+(DAY(B8)-1)</f>
        <v/>
      </c>
      <c r="C217" s="21">
        <f>ROUND(E216*B5/100/12,2)</f>
        <v/>
      </c>
      <c r="D217" s="21">
        <f>IF((OR(ROUND(E216-ROUND($B$10-C217,2),2)&lt;=0,203=B6)),E216,ROUND($B$10-C217,2))</f>
        <v/>
      </c>
      <c r="E217" s="21">
        <f>IF((OR(ROUND(E216-ROUND($B$10-C217,2),2)&lt;=0,203=B6)),0,ROUND(E216-D217,2))</f>
        <v/>
      </c>
      <c r="F217" s="21">
        <f>ROUND(H216*B5/100/12,2)</f>
        <v/>
      </c>
      <c r="G217" s="21">
        <f>IF((ROUND(H216-ROUND($B$11-F217,2),2)&lt;=0),H216,ROUND($B$11-F217,2))</f>
        <v/>
      </c>
      <c r="H217" s="21">
        <f>IF((ROUND(H216-ROUND($B$11-F217,2),2)&lt;=0),0,ROUND(H216-G217,2))</f>
        <v/>
      </c>
    </row>
    <row r="218">
      <c r="A218" s="6" t="n">
        <v>204</v>
      </c>
      <c r="B218" s="19">
        <f>DATE(YEAR(B8)+INT((MONTH(B8)-1+203)/12),MOD(MONTH(B8)-1+203,12)+1,1)+(DAY(B8)-1)</f>
        <v/>
      </c>
      <c r="C218" s="21">
        <f>ROUND(E217*B5/100/12,2)</f>
        <v/>
      </c>
      <c r="D218" s="21">
        <f>IF((OR(ROUND(E217-ROUND($B$10-C218,2),2)&lt;=0,204=B6)),E217,ROUND($B$10-C218,2))</f>
        <v/>
      </c>
      <c r="E218" s="21">
        <f>IF((OR(ROUND(E217-ROUND($B$10-C218,2),2)&lt;=0,204=B6)),0,ROUND(E217-D218,2))</f>
        <v/>
      </c>
      <c r="F218" s="21">
        <f>ROUND(H217*B5/100/12,2)</f>
        <v/>
      </c>
      <c r="G218" s="21">
        <f>IF((ROUND(H217-ROUND($B$11-F218,2),2)&lt;=0),H217,ROUND($B$11-F218,2))</f>
        <v/>
      </c>
      <c r="H218" s="21">
        <f>IF((ROUND(H217-ROUND($B$11-F218,2),2)&lt;=0),0,ROUND(H217-G218,2))</f>
        <v/>
      </c>
    </row>
    <row r="219">
      <c r="A219" s="6" t="n">
        <v>205</v>
      </c>
      <c r="B219" s="19">
        <f>DATE(YEAR(B8)+INT((MONTH(B8)-1+204)/12),MOD(MONTH(B8)-1+204,12)+1,1)+(DAY(B8)-1)</f>
        <v/>
      </c>
      <c r="C219" s="21">
        <f>ROUND(E218*B5/100/12,2)</f>
        <v/>
      </c>
      <c r="D219" s="21">
        <f>IF((OR(ROUND(E218-ROUND($B$10-C219,2),2)&lt;=0,205=B6)),E218,ROUND($B$10-C219,2))</f>
        <v/>
      </c>
      <c r="E219" s="21">
        <f>IF((OR(ROUND(E218-ROUND($B$10-C219,2),2)&lt;=0,205=B6)),0,ROUND(E218-D219,2))</f>
        <v/>
      </c>
      <c r="F219" s="21">
        <f>ROUND(H218*B5/100/12,2)</f>
        <v/>
      </c>
      <c r="G219" s="21">
        <f>IF((ROUND(H218-ROUND($B$11-F219,2),2)&lt;=0),H218,ROUND($B$11-F219,2))</f>
        <v/>
      </c>
      <c r="H219" s="21">
        <f>IF((ROUND(H218-ROUND($B$11-F219,2),2)&lt;=0),0,ROUND(H218-G219,2))</f>
        <v/>
      </c>
    </row>
    <row r="220">
      <c r="A220" s="6" t="n">
        <v>206</v>
      </c>
      <c r="B220" s="19">
        <f>DATE(YEAR(B8)+INT((MONTH(B8)-1+205)/12),MOD(MONTH(B8)-1+205,12)+1,1)+(DAY(B8)-1)</f>
        <v/>
      </c>
      <c r="C220" s="21">
        <f>ROUND(E219*B5/100/12,2)</f>
        <v/>
      </c>
      <c r="D220" s="21">
        <f>IF((OR(ROUND(E219-ROUND($B$10-C220,2),2)&lt;=0,206=B6)),E219,ROUND($B$10-C220,2))</f>
        <v/>
      </c>
      <c r="E220" s="21">
        <f>IF((OR(ROUND(E219-ROUND($B$10-C220,2),2)&lt;=0,206=B6)),0,ROUND(E219-D220,2))</f>
        <v/>
      </c>
      <c r="F220" s="21">
        <f>ROUND(H219*B5/100/12,2)</f>
        <v/>
      </c>
      <c r="G220" s="21">
        <f>IF((ROUND(H219-ROUND($B$11-F220,2),2)&lt;=0),H219,ROUND($B$11-F220,2))</f>
        <v/>
      </c>
      <c r="H220" s="21">
        <f>IF((ROUND(H219-ROUND($B$11-F220,2),2)&lt;=0),0,ROUND(H219-G220,2))</f>
        <v/>
      </c>
    </row>
    <row r="221">
      <c r="A221" s="6" t="n">
        <v>207</v>
      </c>
      <c r="B221" s="19">
        <f>DATE(YEAR(B8)+INT((MONTH(B8)-1+206)/12),MOD(MONTH(B8)-1+206,12)+1,1)+(DAY(B8)-1)</f>
        <v/>
      </c>
      <c r="C221" s="21">
        <f>ROUND(E220*B5/100/12,2)</f>
        <v/>
      </c>
      <c r="D221" s="21">
        <f>IF((OR(ROUND(E220-ROUND($B$10-C221,2),2)&lt;=0,207=B6)),E220,ROUND($B$10-C221,2))</f>
        <v/>
      </c>
      <c r="E221" s="21">
        <f>IF((OR(ROUND(E220-ROUND($B$10-C221,2),2)&lt;=0,207=B6)),0,ROUND(E220-D221,2))</f>
        <v/>
      </c>
      <c r="F221" s="21">
        <f>ROUND(H220*B5/100/12,2)</f>
        <v/>
      </c>
      <c r="G221" s="21">
        <f>IF((ROUND(H220-ROUND($B$11-F221,2),2)&lt;=0),H220,ROUND($B$11-F221,2))</f>
        <v/>
      </c>
      <c r="H221" s="21">
        <f>IF((ROUND(H220-ROUND($B$11-F221,2),2)&lt;=0),0,ROUND(H220-G221,2))</f>
        <v/>
      </c>
    </row>
    <row r="222">
      <c r="A222" s="6" t="n">
        <v>208</v>
      </c>
      <c r="B222" s="19">
        <f>DATE(YEAR(B8)+INT((MONTH(B8)-1+207)/12),MOD(MONTH(B8)-1+207,12)+1,1)+(DAY(B8)-1)</f>
        <v/>
      </c>
      <c r="C222" s="21">
        <f>ROUND(E221*B5/100/12,2)</f>
        <v/>
      </c>
      <c r="D222" s="21">
        <f>IF((OR(ROUND(E221-ROUND($B$10-C222,2),2)&lt;=0,208=B6)),E221,ROUND($B$10-C222,2))</f>
        <v/>
      </c>
      <c r="E222" s="21">
        <f>IF((OR(ROUND(E221-ROUND($B$10-C222,2),2)&lt;=0,208=B6)),0,ROUND(E221-D222,2))</f>
        <v/>
      </c>
      <c r="F222" s="21">
        <f>ROUND(H221*B5/100/12,2)</f>
        <v/>
      </c>
      <c r="G222" s="21">
        <f>IF((ROUND(H221-ROUND($B$11-F222,2),2)&lt;=0),H221,ROUND($B$11-F222,2))</f>
        <v/>
      </c>
      <c r="H222" s="21">
        <f>IF((ROUND(H221-ROUND($B$11-F222,2),2)&lt;=0),0,ROUND(H221-G222,2))</f>
        <v/>
      </c>
    </row>
    <row r="223">
      <c r="A223" s="6" t="n">
        <v>209</v>
      </c>
      <c r="B223" s="19">
        <f>DATE(YEAR(B8)+INT((MONTH(B8)-1+208)/12),MOD(MONTH(B8)-1+208,12)+1,1)+(DAY(B8)-1)</f>
        <v/>
      </c>
      <c r="C223" s="21">
        <f>ROUND(E222*B5/100/12,2)</f>
        <v/>
      </c>
      <c r="D223" s="21">
        <f>IF((OR(ROUND(E222-ROUND($B$10-C223,2),2)&lt;=0,209=B6)),E222,ROUND($B$10-C223,2))</f>
        <v/>
      </c>
      <c r="E223" s="21">
        <f>IF((OR(ROUND(E222-ROUND($B$10-C223,2),2)&lt;=0,209=B6)),0,ROUND(E222-D223,2))</f>
        <v/>
      </c>
      <c r="F223" s="21">
        <f>ROUND(H222*B5/100/12,2)</f>
        <v/>
      </c>
      <c r="G223" s="21">
        <f>IF((ROUND(H222-ROUND($B$11-F223,2),2)&lt;=0),H222,ROUND($B$11-F223,2))</f>
        <v/>
      </c>
      <c r="H223" s="21">
        <f>IF((ROUND(H222-ROUND($B$11-F223,2),2)&lt;=0),0,ROUND(H222-G223,2))</f>
        <v/>
      </c>
    </row>
    <row r="224">
      <c r="A224" s="6" t="n">
        <v>210</v>
      </c>
      <c r="B224" s="19">
        <f>DATE(YEAR(B8)+INT((MONTH(B8)-1+209)/12),MOD(MONTH(B8)-1+209,12)+1,1)+(DAY(B8)-1)</f>
        <v/>
      </c>
      <c r="C224" s="21">
        <f>ROUND(E223*B5/100/12,2)</f>
        <v/>
      </c>
      <c r="D224" s="21">
        <f>IF((OR(ROUND(E223-ROUND($B$10-C224,2),2)&lt;=0,210=B6)),E223,ROUND($B$10-C224,2))</f>
        <v/>
      </c>
      <c r="E224" s="21">
        <f>IF((OR(ROUND(E223-ROUND($B$10-C224,2),2)&lt;=0,210=B6)),0,ROUND(E223-D224,2))</f>
        <v/>
      </c>
      <c r="F224" s="21">
        <f>ROUND(H223*B5/100/12,2)</f>
        <v/>
      </c>
      <c r="G224" s="21">
        <f>IF((ROUND(H223-ROUND($B$11-F224,2),2)&lt;=0),H223,ROUND($B$11-F224,2))</f>
        <v/>
      </c>
      <c r="H224" s="21">
        <f>IF((ROUND(H223-ROUND($B$11-F224,2),2)&lt;=0),0,ROUND(H223-G224,2))</f>
        <v/>
      </c>
    </row>
    <row r="225">
      <c r="A225" s="6" t="n">
        <v>211</v>
      </c>
      <c r="B225" s="19">
        <f>DATE(YEAR(B8)+INT((MONTH(B8)-1+210)/12),MOD(MONTH(B8)-1+210,12)+1,1)+(DAY(B8)-1)</f>
        <v/>
      </c>
      <c r="C225" s="21">
        <f>ROUND(E224*B5/100/12,2)</f>
        <v/>
      </c>
      <c r="D225" s="21">
        <f>IF((OR(ROUND(E224-ROUND($B$10-C225,2),2)&lt;=0,211=B6)),E224,ROUND($B$10-C225,2))</f>
        <v/>
      </c>
      <c r="E225" s="21">
        <f>IF((OR(ROUND(E224-ROUND($B$10-C225,2),2)&lt;=0,211=B6)),0,ROUND(E224-D225,2))</f>
        <v/>
      </c>
      <c r="F225" s="21">
        <f>ROUND(H224*B5/100/12,2)</f>
        <v/>
      </c>
      <c r="G225" s="21">
        <f>IF((ROUND(H224-ROUND($B$11-F225,2),2)&lt;=0),H224,ROUND($B$11-F225,2))</f>
        <v/>
      </c>
      <c r="H225" s="21">
        <f>IF((ROUND(H224-ROUND($B$11-F225,2),2)&lt;=0),0,ROUND(H224-G225,2))</f>
        <v/>
      </c>
    </row>
    <row r="226">
      <c r="A226" s="6" t="n">
        <v>212</v>
      </c>
      <c r="B226" s="19">
        <f>DATE(YEAR(B8)+INT((MONTH(B8)-1+211)/12),MOD(MONTH(B8)-1+211,12)+1,1)+(DAY(B8)-1)</f>
        <v/>
      </c>
      <c r="C226" s="21">
        <f>ROUND(E225*B5/100/12,2)</f>
        <v/>
      </c>
      <c r="D226" s="21">
        <f>IF((OR(ROUND(E225-ROUND($B$10-C226,2),2)&lt;=0,212=B6)),E225,ROUND($B$10-C226,2))</f>
        <v/>
      </c>
      <c r="E226" s="21">
        <f>IF((OR(ROUND(E225-ROUND($B$10-C226,2),2)&lt;=0,212=B6)),0,ROUND(E225-D226,2))</f>
        <v/>
      </c>
      <c r="F226" s="21">
        <f>ROUND(H225*B5/100/12,2)</f>
        <v/>
      </c>
      <c r="G226" s="21">
        <f>IF((ROUND(H225-ROUND($B$11-F226,2),2)&lt;=0),H225,ROUND($B$11-F226,2))</f>
        <v/>
      </c>
      <c r="H226" s="21">
        <f>IF((ROUND(H225-ROUND($B$11-F226,2),2)&lt;=0),0,ROUND(H225-G226,2))</f>
        <v/>
      </c>
    </row>
    <row r="227">
      <c r="A227" s="6" t="n">
        <v>213</v>
      </c>
      <c r="B227" s="19">
        <f>DATE(YEAR(B8)+INT((MONTH(B8)-1+212)/12),MOD(MONTH(B8)-1+212,12)+1,1)+(DAY(B8)-1)</f>
        <v/>
      </c>
      <c r="C227" s="21">
        <f>ROUND(E226*B5/100/12,2)</f>
        <v/>
      </c>
      <c r="D227" s="21">
        <f>IF((OR(ROUND(E226-ROUND($B$10-C227,2),2)&lt;=0,213=B6)),E226,ROUND($B$10-C227,2))</f>
        <v/>
      </c>
      <c r="E227" s="21">
        <f>IF((OR(ROUND(E226-ROUND($B$10-C227,2),2)&lt;=0,213=B6)),0,ROUND(E226-D227,2))</f>
        <v/>
      </c>
      <c r="F227" s="21">
        <f>ROUND(H226*B5/100/12,2)</f>
        <v/>
      </c>
      <c r="G227" s="21">
        <f>IF((ROUND(H226-ROUND($B$11-F227,2),2)&lt;=0),H226,ROUND($B$11-F227,2))</f>
        <v/>
      </c>
      <c r="H227" s="21">
        <f>IF((ROUND(H226-ROUND($B$11-F227,2),2)&lt;=0),0,ROUND(H226-G227,2))</f>
        <v/>
      </c>
    </row>
    <row r="228">
      <c r="A228" s="6" t="n">
        <v>214</v>
      </c>
      <c r="B228" s="19">
        <f>DATE(YEAR(B8)+INT((MONTH(B8)-1+213)/12),MOD(MONTH(B8)-1+213,12)+1,1)+(DAY(B8)-1)</f>
        <v/>
      </c>
      <c r="C228" s="21">
        <f>ROUND(E227*B5/100/12,2)</f>
        <v/>
      </c>
      <c r="D228" s="21">
        <f>IF((OR(ROUND(E227-ROUND($B$10-C228,2),2)&lt;=0,214=B6)),E227,ROUND($B$10-C228,2))</f>
        <v/>
      </c>
      <c r="E228" s="21">
        <f>IF((OR(ROUND(E227-ROUND($B$10-C228,2),2)&lt;=0,214=B6)),0,ROUND(E227-D228,2))</f>
        <v/>
      </c>
      <c r="F228" s="21">
        <f>ROUND(H227*B5/100/12,2)</f>
        <v/>
      </c>
      <c r="G228" s="21">
        <f>IF((ROUND(H227-ROUND($B$11-F228,2),2)&lt;=0),H227,ROUND($B$11-F228,2))</f>
        <v/>
      </c>
      <c r="H228" s="21">
        <f>IF((ROUND(H227-ROUND($B$11-F228,2),2)&lt;=0),0,ROUND(H227-G228,2))</f>
        <v/>
      </c>
    </row>
    <row r="229">
      <c r="A229" s="6" t="n">
        <v>215</v>
      </c>
      <c r="B229" s="19">
        <f>DATE(YEAR(B8)+INT((MONTH(B8)-1+214)/12),MOD(MONTH(B8)-1+214,12)+1,1)+(DAY(B8)-1)</f>
        <v/>
      </c>
      <c r="C229" s="21">
        <f>ROUND(E228*B5/100/12,2)</f>
        <v/>
      </c>
      <c r="D229" s="21">
        <f>IF((OR(ROUND(E228-ROUND($B$10-C229,2),2)&lt;=0,215=B6)),E228,ROUND($B$10-C229,2))</f>
        <v/>
      </c>
      <c r="E229" s="21">
        <f>IF((OR(ROUND(E228-ROUND($B$10-C229,2),2)&lt;=0,215=B6)),0,ROUND(E228-D229,2))</f>
        <v/>
      </c>
      <c r="F229" s="21">
        <f>ROUND(H228*B5/100/12,2)</f>
        <v/>
      </c>
      <c r="G229" s="21">
        <f>IF((ROUND(H228-ROUND($B$11-F229,2),2)&lt;=0),H228,ROUND($B$11-F229,2))</f>
        <v/>
      </c>
      <c r="H229" s="21">
        <f>IF((ROUND(H228-ROUND($B$11-F229,2),2)&lt;=0),0,ROUND(H228-G229,2))</f>
        <v/>
      </c>
    </row>
    <row r="230">
      <c r="A230" s="6" t="n">
        <v>216</v>
      </c>
      <c r="B230" s="19">
        <f>DATE(YEAR(B8)+INT((MONTH(B8)-1+215)/12),MOD(MONTH(B8)-1+215,12)+1,1)+(DAY(B8)-1)</f>
        <v/>
      </c>
      <c r="C230" s="21">
        <f>ROUND(E229*B5/100/12,2)</f>
        <v/>
      </c>
      <c r="D230" s="21">
        <f>IF((OR(ROUND(E229-ROUND($B$10-C230,2),2)&lt;=0,216=B6)),E229,ROUND($B$10-C230,2))</f>
        <v/>
      </c>
      <c r="E230" s="21">
        <f>IF((OR(ROUND(E229-ROUND($B$10-C230,2),2)&lt;=0,216=B6)),0,ROUND(E229-D230,2))</f>
        <v/>
      </c>
      <c r="F230" s="21">
        <f>ROUND(H229*B5/100/12,2)</f>
        <v/>
      </c>
      <c r="G230" s="21">
        <f>IF((ROUND(H229-ROUND($B$11-F230,2),2)&lt;=0),H229,ROUND($B$11-F230,2))</f>
        <v/>
      </c>
      <c r="H230" s="21">
        <f>IF((ROUND(H229-ROUND($B$11-F230,2),2)&lt;=0),0,ROUND(H229-G230,2))</f>
        <v/>
      </c>
    </row>
    <row r="231">
      <c r="A231" s="6" t="n">
        <v>217</v>
      </c>
      <c r="B231" s="19">
        <f>DATE(YEAR(B8)+INT((MONTH(B8)-1+216)/12),MOD(MONTH(B8)-1+216,12)+1,1)+(DAY(B8)-1)</f>
        <v/>
      </c>
      <c r="C231" s="21">
        <f>ROUND(E230*B5/100/12,2)</f>
        <v/>
      </c>
      <c r="D231" s="21">
        <f>IF((OR(ROUND(E230-ROUND($B$10-C231,2),2)&lt;=0,217=B6)),E230,ROUND($B$10-C231,2))</f>
        <v/>
      </c>
      <c r="E231" s="21">
        <f>IF((OR(ROUND(E230-ROUND($B$10-C231,2),2)&lt;=0,217=B6)),0,ROUND(E230-D231,2))</f>
        <v/>
      </c>
      <c r="F231" s="21">
        <f>ROUND(H230*B5/100/12,2)</f>
        <v/>
      </c>
      <c r="G231" s="21">
        <f>IF((ROUND(H230-ROUND($B$11-F231,2),2)&lt;=0),H230,ROUND($B$11-F231,2))</f>
        <v/>
      </c>
      <c r="H231" s="21">
        <f>IF((ROUND(H230-ROUND($B$11-F231,2),2)&lt;=0),0,ROUND(H230-G231,2))</f>
        <v/>
      </c>
    </row>
    <row r="232">
      <c r="A232" s="6" t="n">
        <v>218</v>
      </c>
      <c r="B232" s="19">
        <f>DATE(YEAR(B8)+INT((MONTH(B8)-1+217)/12),MOD(MONTH(B8)-1+217,12)+1,1)+(DAY(B8)-1)</f>
        <v/>
      </c>
      <c r="C232" s="21">
        <f>ROUND(E231*B5/100/12,2)</f>
        <v/>
      </c>
      <c r="D232" s="21">
        <f>IF((OR(ROUND(E231-ROUND($B$10-C232,2),2)&lt;=0,218=B6)),E231,ROUND($B$10-C232,2))</f>
        <v/>
      </c>
      <c r="E232" s="21">
        <f>IF((OR(ROUND(E231-ROUND($B$10-C232,2),2)&lt;=0,218=B6)),0,ROUND(E231-D232,2))</f>
        <v/>
      </c>
      <c r="F232" s="21">
        <f>ROUND(H231*B5/100/12,2)</f>
        <v/>
      </c>
      <c r="G232" s="21">
        <f>IF((ROUND(H231-ROUND($B$11-F232,2),2)&lt;=0),H231,ROUND($B$11-F232,2))</f>
        <v/>
      </c>
      <c r="H232" s="21">
        <f>IF((ROUND(H231-ROUND($B$11-F232,2),2)&lt;=0),0,ROUND(H231-G232,2))</f>
        <v/>
      </c>
    </row>
    <row r="233">
      <c r="A233" s="6" t="n">
        <v>219</v>
      </c>
      <c r="B233" s="19">
        <f>DATE(YEAR(B8)+INT((MONTH(B8)-1+218)/12),MOD(MONTH(B8)-1+218,12)+1,1)+(DAY(B8)-1)</f>
        <v/>
      </c>
      <c r="C233" s="21">
        <f>ROUND(E232*B5/100/12,2)</f>
        <v/>
      </c>
      <c r="D233" s="21">
        <f>IF((OR(ROUND(E232-ROUND($B$10-C233,2),2)&lt;=0,219=B6)),E232,ROUND($B$10-C233,2))</f>
        <v/>
      </c>
      <c r="E233" s="21">
        <f>IF((OR(ROUND(E232-ROUND($B$10-C233,2),2)&lt;=0,219=B6)),0,ROUND(E232-D233,2))</f>
        <v/>
      </c>
      <c r="F233" s="21">
        <f>ROUND(H232*B5/100/12,2)</f>
        <v/>
      </c>
      <c r="G233" s="21">
        <f>IF((ROUND(H232-ROUND($B$11-F233,2),2)&lt;=0),H232,ROUND($B$11-F233,2))</f>
        <v/>
      </c>
      <c r="H233" s="21">
        <f>IF((ROUND(H232-ROUND($B$11-F233,2),2)&lt;=0),0,ROUND(H232-G233,2))</f>
        <v/>
      </c>
    </row>
    <row r="234">
      <c r="A234" s="6" t="n">
        <v>220</v>
      </c>
      <c r="B234" s="19">
        <f>DATE(YEAR(B8)+INT((MONTH(B8)-1+219)/12),MOD(MONTH(B8)-1+219,12)+1,1)+(DAY(B8)-1)</f>
        <v/>
      </c>
      <c r="C234" s="21">
        <f>ROUND(E233*B5/100/12,2)</f>
        <v/>
      </c>
      <c r="D234" s="21">
        <f>IF((OR(ROUND(E233-ROUND($B$10-C234,2),2)&lt;=0,220=B6)),E233,ROUND($B$10-C234,2))</f>
        <v/>
      </c>
      <c r="E234" s="21">
        <f>IF((OR(ROUND(E233-ROUND($B$10-C234,2),2)&lt;=0,220=B6)),0,ROUND(E233-D234,2))</f>
        <v/>
      </c>
      <c r="F234" s="21">
        <f>ROUND(H233*B5/100/12,2)</f>
        <v/>
      </c>
      <c r="G234" s="21">
        <f>IF((ROUND(H233-ROUND($B$11-F234,2),2)&lt;=0),H233,ROUND($B$11-F234,2))</f>
        <v/>
      </c>
      <c r="H234" s="21">
        <f>IF((ROUND(H233-ROUND($B$11-F234,2),2)&lt;=0),0,ROUND(H233-G234,2))</f>
        <v/>
      </c>
    </row>
    <row r="235">
      <c r="A235" s="6" t="n">
        <v>221</v>
      </c>
      <c r="B235" s="19">
        <f>DATE(YEAR(B8)+INT((MONTH(B8)-1+220)/12),MOD(MONTH(B8)-1+220,12)+1,1)+(DAY(B8)-1)</f>
        <v/>
      </c>
      <c r="C235" s="21">
        <f>ROUND(E234*B5/100/12,2)</f>
        <v/>
      </c>
      <c r="D235" s="21">
        <f>IF((OR(ROUND(E234-ROUND($B$10-C235,2),2)&lt;=0,221=B6)),E234,ROUND($B$10-C235,2))</f>
        <v/>
      </c>
      <c r="E235" s="21">
        <f>IF((OR(ROUND(E234-ROUND($B$10-C235,2),2)&lt;=0,221=B6)),0,ROUND(E234-D235,2))</f>
        <v/>
      </c>
      <c r="F235" s="21">
        <f>ROUND(H234*B5/100/12,2)</f>
        <v/>
      </c>
      <c r="G235" s="21">
        <f>IF((ROUND(H234-ROUND($B$11-F235,2),2)&lt;=0),H234,ROUND($B$11-F235,2))</f>
        <v/>
      </c>
      <c r="H235" s="21">
        <f>IF((ROUND(H234-ROUND($B$11-F235,2),2)&lt;=0),0,ROUND(H234-G235,2))</f>
        <v/>
      </c>
    </row>
    <row r="236">
      <c r="A236" s="6" t="n">
        <v>222</v>
      </c>
      <c r="B236" s="19">
        <f>DATE(YEAR(B8)+INT((MONTH(B8)-1+221)/12),MOD(MONTH(B8)-1+221,12)+1,1)+(DAY(B8)-1)</f>
        <v/>
      </c>
      <c r="C236" s="21">
        <f>ROUND(E235*B5/100/12,2)</f>
        <v/>
      </c>
      <c r="D236" s="21">
        <f>IF((OR(ROUND(E235-ROUND($B$10-C236,2),2)&lt;=0,222=B6)),E235,ROUND($B$10-C236,2))</f>
        <v/>
      </c>
      <c r="E236" s="21">
        <f>IF((OR(ROUND(E235-ROUND($B$10-C236,2),2)&lt;=0,222=B6)),0,ROUND(E235-D236,2))</f>
        <v/>
      </c>
      <c r="F236" s="21">
        <f>ROUND(H235*B5/100/12,2)</f>
        <v/>
      </c>
      <c r="G236" s="21">
        <f>IF((ROUND(H235-ROUND($B$11-F236,2),2)&lt;=0),H235,ROUND($B$11-F236,2))</f>
        <v/>
      </c>
      <c r="H236" s="21">
        <f>IF((ROUND(H235-ROUND($B$11-F236,2),2)&lt;=0),0,ROUND(H235-G236,2))</f>
        <v/>
      </c>
    </row>
    <row r="237">
      <c r="A237" s="6" t="n">
        <v>223</v>
      </c>
      <c r="B237" s="19">
        <f>DATE(YEAR(B8)+INT((MONTH(B8)-1+222)/12),MOD(MONTH(B8)-1+222,12)+1,1)+(DAY(B8)-1)</f>
        <v/>
      </c>
      <c r="C237" s="21">
        <f>ROUND(E236*B5/100/12,2)</f>
        <v/>
      </c>
      <c r="D237" s="21">
        <f>IF((OR(ROUND(E236-ROUND($B$10-C237,2),2)&lt;=0,223=B6)),E236,ROUND($B$10-C237,2))</f>
        <v/>
      </c>
      <c r="E237" s="21">
        <f>IF((OR(ROUND(E236-ROUND($B$10-C237,2),2)&lt;=0,223=B6)),0,ROUND(E236-D237,2))</f>
        <v/>
      </c>
      <c r="F237" s="21">
        <f>ROUND(H236*B5/100/12,2)</f>
        <v/>
      </c>
      <c r="G237" s="21">
        <f>IF((ROUND(H236-ROUND($B$11-F237,2),2)&lt;=0),H236,ROUND($B$11-F237,2))</f>
        <v/>
      </c>
      <c r="H237" s="21">
        <f>IF((ROUND(H236-ROUND($B$11-F237,2),2)&lt;=0),0,ROUND(H236-G237,2))</f>
        <v/>
      </c>
    </row>
    <row r="238">
      <c r="A238" s="6" t="n">
        <v>224</v>
      </c>
      <c r="B238" s="19">
        <f>DATE(YEAR(B8)+INT((MONTH(B8)-1+223)/12),MOD(MONTH(B8)-1+223,12)+1,1)+(DAY(B8)-1)</f>
        <v/>
      </c>
      <c r="C238" s="21">
        <f>ROUND(E237*B5/100/12,2)</f>
        <v/>
      </c>
      <c r="D238" s="21">
        <f>IF((OR(ROUND(E237-ROUND($B$10-C238,2),2)&lt;=0,224=B6)),E237,ROUND($B$10-C238,2))</f>
        <v/>
      </c>
      <c r="E238" s="21">
        <f>IF((OR(ROUND(E237-ROUND($B$10-C238,2),2)&lt;=0,224=B6)),0,ROUND(E237-D238,2))</f>
        <v/>
      </c>
      <c r="F238" s="21">
        <f>ROUND(H237*B5/100/12,2)</f>
        <v/>
      </c>
      <c r="G238" s="21">
        <f>IF((ROUND(H237-ROUND($B$11-F238,2),2)&lt;=0),H237,ROUND($B$11-F238,2))</f>
        <v/>
      </c>
      <c r="H238" s="21">
        <f>IF((ROUND(H237-ROUND($B$11-F238,2),2)&lt;=0),0,ROUND(H237-G238,2))</f>
        <v/>
      </c>
    </row>
    <row r="239">
      <c r="A239" s="6" t="n">
        <v>225</v>
      </c>
      <c r="B239" s="19">
        <f>DATE(YEAR(B8)+INT((MONTH(B8)-1+224)/12),MOD(MONTH(B8)-1+224,12)+1,1)+(DAY(B8)-1)</f>
        <v/>
      </c>
      <c r="C239" s="21">
        <f>ROUND(E238*B5/100/12,2)</f>
        <v/>
      </c>
      <c r="D239" s="21">
        <f>IF((OR(ROUND(E238-ROUND($B$10-C239,2),2)&lt;=0,225=B6)),E238,ROUND($B$10-C239,2))</f>
        <v/>
      </c>
      <c r="E239" s="21">
        <f>IF((OR(ROUND(E238-ROUND($B$10-C239,2),2)&lt;=0,225=B6)),0,ROUND(E238-D239,2))</f>
        <v/>
      </c>
      <c r="F239" s="21">
        <f>ROUND(H238*B5/100/12,2)</f>
        <v/>
      </c>
      <c r="G239" s="21">
        <f>IF((ROUND(H238-ROUND($B$11-F239,2),2)&lt;=0),H238,ROUND($B$11-F239,2))</f>
        <v/>
      </c>
      <c r="H239" s="21">
        <f>IF((ROUND(H238-ROUND($B$11-F239,2),2)&lt;=0),0,ROUND(H238-G239,2))</f>
        <v/>
      </c>
    </row>
    <row r="240">
      <c r="A240" s="6" t="n">
        <v>226</v>
      </c>
      <c r="B240" s="19">
        <f>DATE(YEAR(B8)+INT((MONTH(B8)-1+225)/12),MOD(MONTH(B8)-1+225,12)+1,1)+(DAY(B8)-1)</f>
        <v/>
      </c>
      <c r="C240" s="21">
        <f>ROUND(E239*B5/100/12,2)</f>
        <v/>
      </c>
      <c r="D240" s="21">
        <f>IF((OR(ROUND(E239-ROUND($B$10-C240,2),2)&lt;=0,226=B6)),E239,ROUND($B$10-C240,2))</f>
        <v/>
      </c>
      <c r="E240" s="21">
        <f>IF((OR(ROUND(E239-ROUND($B$10-C240,2),2)&lt;=0,226=B6)),0,ROUND(E239-D240,2))</f>
        <v/>
      </c>
      <c r="F240" s="21">
        <f>ROUND(H239*B5/100/12,2)</f>
        <v/>
      </c>
      <c r="G240" s="21">
        <f>IF((ROUND(H239-ROUND($B$11-F240,2),2)&lt;=0),H239,ROUND($B$11-F240,2))</f>
        <v/>
      </c>
      <c r="H240" s="21">
        <f>IF((ROUND(H239-ROUND($B$11-F240,2),2)&lt;=0),0,ROUND(H239-G240,2))</f>
        <v/>
      </c>
    </row>
    <row r="241">
      <c r="A241" s="6" t="n">
        <v>227</v>
      </c>
      <c r="B241" s="19">
        <f>DATE(YEAR(B8)+INT((MONTH(B8)-1+226)/12),MOD(MONTH(B8)-1+226,12)+1,1)+(DAY(B8)-1)</f>
        <v/>
      </c>
      <c r="C241" s="21">
        <f>ROUND(E240*B5/100/12,2)</f>
        <v/>
      </c>
      <c r="D241" s="21">
        <f>IF((OR(ROUND(E240-ROUND($B$10-C241,2),2)&lt;=0,227=B6)),E240,ROUND($B$10-C241,2))</f>
        <v/>
      </c>
      <c r="E241" s="21">
        <f>IF((OR(ROUND(E240-ROUND($B$10-C241,2),2)&lt;=0,227=B6)),0,ROUND(E240-D241,2))</f>
        <v/>
      </c>
      <c r="F241" s="21">
        <f>ROUND(H240*B5/100/12,2)</f>
        <v/>
      </c>
      <c r="G241" s="21">
        <f>IF((ROUND(H240-ROUND($B$11-F241,2),2)&lt;=0),H240,ROUND($B$11-F241,2))</f>
        <v/>
      </c>
      <c r="H241" s="21">
        <f>IF((ROUND(H240-ROUND($B$11-F241,2),2)&lt;=0),0,ROUND(H240-G241,2))</f>
        <v/>
      </c>
    </row>
    <row r="242">
      <c r="A242" s="6" t="n">
        <v>228</v>
      </c>
      <c r="B242" s="19">
        <f>DATE(YEAR(B8)+INT((MONTH(B8)-1+227)/12),MOD(MONTH(B8)-1+227,12)+1,1)+(DAY(B8)-1)</f>
        <v/>
      </c>
      <c r="C242" s="21">
        <f>ROUND(E241*B5/100/12,2)</f>
        <v/>
      </c>
      <c r="D242" s="21">
        <f>IF((OR(ROUND(E241-ROUND($B$10-C242,2),2)&lt;=0,228=B6)),E241,ROUND($B$10-C242,2))</f>
        <v/>
      </c>
      <c r="E242" s="21">
        <f>IF((OR(ROUND(E241-ROUND($B$10-C242,2),2)&lt;=0,228=B6)),0,ROUND(E241-D242,2))</f>
        <v/>
      </c>
      <c r="F242" s="21">
        <f>ROUND(H241*B5/100/12,2)</f>
        <v/>
      </c>
      <c r="G242" s="21">
        <f>IF((ROUND(H241-ROUND($B$11-F242,2),2)&lt;=0),H241,ROUND($B$11-F242,2))</f>
        <v/>
      </c>
      <c r="H242" s="21">
        <f>IF((ROUND(H241-ROUND($B$11-F242,2),2)&lt;=0),0,ROUND(H241-G242,2))</f>
        <v/>
      </c>
    </row>
    <row r="243">
      <c r="A243" s="6" t="n">
        <v>229</v>
      </c>
      <c r="B243" s="19">
        <f>DATE(YEAR(B8)+INT((MONTH(B8)-1+228)/12),MOD(MONTH(B8)-1+228,12)+1,1)+(DAY(B8)-1)</f>
        <v/>
      </c>
      <c r="C243" s="21">
        <f>ROUND(E242*B5/100/12,2)</f>
        <v/>
      </c>
      <c r="D243" s="21">
        <f>IF((OR(ROUND(E242-ROUND($B$10-C243,2),2)&lt;=0,229=B6)),E242,ROUND($B$10-C243,2))</f>
        <v/>
      </c>
      <c r="E243" s="21">
        <f>IF((OR(ROUND(E242-ROUND($B$10-C243,2),2)&lt;=0,229=B6)),0,ROUND(E242-D243,2))</f>
        <v/>
      </c>
      <c r="F243" s="21">
        <f>ROUND(H242*B5/100/12,2)</f>
        <v/>
      </c>
      <c r="G243" s="21">
        <f>IF((ROUND(H242-ROUND($B$11-F243,2),2)&lt;=0),H242,ROUND($B$11-F243,2))</f>
        <v/>
      </c>
      <c r="H243" s="21">
        <f>IF((ROUND(H242-ROUND($B$11-F243,2),2)&lt;=0),0,ROUND(H242-G243,2))</f>
        <v/>
      </c>
    </row>
    <row r="244">
      <c r="A244" s="6" t="n">
        <v>230</v>
      </c>
      <c r="B244" s="19">
        <f>DATE(YEAR(B8)+INT((MONTH(B8)-1+229)/12),MOD(MONTH(B8)-1+229,12)+1,1)+(DAY(B8)-1)</f>
        <v/>
      </c>
      <c r="C244" s="21">
        <f>ROUND(E243*B5/100/12,2)</f>
        <v/>
      </c>
      <c r="D244" s="21">
        <f>IF((OR(ROUND(E243-ROUND($B$10-C244,2),2)&lt;=0,230=B6)),E243,ROUND($B$10-C244,2))</f>
        <v/>
      </c>
      <c r="E244" s="21">
        <f>IF((OR(ROUND(E243-ROUND($B$10-C244,2),2)&lt;=0,230=B6)),0,ROUND(E243-D244,2))</f>
        <v/>
      </c>
      <c r="F244" s="21">
        <f>ROUND(H243*B5/100/12,2)</f>
        <v/>
      </c>
      <c r="G244" s="21">
        <f>IF((ROUND(H243-ROUND($B$11-F244,2),2)&lt;=0),H243,ROUND($B$11-F244,2))</f>
        <v/>
      </c>
      <c r="H244" s="21">
        <f>IF((ROUND(H243-ROUND($B$11-F244,2),2)&lt;=0),0,ROUND(H243-G244,2))</f>
        <v/>
      </c>
    </row>
    <row r="245">
      <c r="A245" s="6" t="n">
        <v>231</v>
      </c>
      <c r="B245" s="19">
        <f>DATE(YEAR(B8)+INT((MONTH(B8)-1+230)/12),MOD(MONTH(B8)-1+230,12)+1,1)+(DAY(B8)-1)</f>
        <v/>
      </c>
      <c r="C245" s="21">
        <f>ROUND(E244*B5/100/12,2)</f>
        <v/>
      </c>
      <c r="D245" s="21">
        <f>IF((OR(ROUND(E244-ROUND($B$10-C245,2),2)&lt;=0,231=B6)),E244,ROUND($B$10-C245,2))</f>
        <v/>
      </c>
      <c r="E245" s="21">
        <f>IF((OR(ROUND(E244-ROUND($B$10-C245,2),2)&lt;=0,231=B6)),0,ROUND(E244-D245,2))</f>
        <v/>
      </c>
      <c r="F245" s="21">
        <f>ROUND(H244*B5/100/12,2)</f>
        <v/>
      </c>
      <c r="G245" s="21">
        <f>IF((ROUND(H244-ROUND($B$11-F245,2),2)&lt;=0),H244,ROUND($B$11-F245,2))</f>
        <v/>
      </c>
      <c r="H245" s="21">
        <f>IF((ROUND(H244-ROUND($B$11-F245,2),2)&lt;=0),0,ROUND(H244-G245,2))</f>
        <v/>
      </c>
    </row>
    <row r="246">
      <c r="A246" s="6" t="n">
        <v>232</v>
      </c>
      <c r="B246" s="19">
        <f>DATE(YEAR(B8)+INT((MONTH(B8)-1+231)/12),MOD(MONTH(B8)-1+231,12)+1,1)+(DAY(B8)-1)</f>
        <v/>
      </c>
      <c r="C246" s="21">
        <f>ROUND(E245*B5/100/12,2)</f>
        <v/>
      </c>
      <c r="D246" s="21">
        <f>IF((OR(ROUND(E245-ROUND($B$10-C246,2),2)&lt;=0,232=B6)),E245,ROUND($B$10-C246,2))</f>
        <v/>
      </c>
      <c r="E246" s="21">
        <f>IF((OR(ROUND(E245-ROUND($B$10-C246,2),2)&lt;=0,232=B6)),0,ROUND(E245-D246,2))</f>
        <v/>
      </c>
      <c r="F246" s="21">
        <f>ROUND(H245*B5/100/12,2)</f>
        <v/>
      </c>
      <c r="G246" s="21">
        <f>IF((ROUND(H245-ROUND($B$11-F246,2),2)&lt;=0),H245,ROUND($B$11-F246,2))</f>
        <v/>
      </c>
      <c r="H246" s="21">
        <f>IF((ROUND(H245-ROUND($B$11-F246,2),2)&lt;=0),0,ROUND(H245-G246,2))</f>
        <v/>
      </c>
    </row>
    <row r="247">
      <c r="A247" s="6" t="n">
        <v>233</v>
      </c>
      <c r="B247" s="19">
        <f>DATE(YEAR(B8)+INT((MONTH(B8)-1+232)/12),MOD(MONTH(B8)-1+232,12)+1,1)+(DAY(B8)-1)</f>
        <v/>
      </c>
      <c r="C247" s="21">
        <f>ROUND(E246*B5/100/12,2)</f>
        <v/>
      </c>
      <c r="D247" s="21">
        <f>IF((OR(ROUND(E246-ROUND($B$10-C247,2),2)&lt;=0,233=B6)),E246,ROUND($B$10-C247,2))</f>
        <v/>
      </c>
      <c r="E247" s="21">
        <f>IF((OR(ROUND(E246-ROUND($B$10-C247,2),2)&lt;=0,233=B6)),0,ROUND(E246-D247,2))</f>
        <v/>
      </c>
      <c r="F247" s="21">
        <f>ROUND(H246*B5/100/12,2)</f>
        <v/>
      </c>
      <c r="G247" s="21">
        <f>IF((ROUND(H246-ROUND($B$11-F247,2),2)&lt;=0),H246,ROUND($B$11-F247,2))</f>
        <v/>
      </c>
      <c r="H247" s="21">
        <f>IF((ROUND(H246-ROUND($B$11-F247,2),2)&lt;=0),0,ROUND(H246-G247,2))</f>
        <v/>
      </c>
    </row>
    <row r="248">
      <c r="A248" s="6" t="n">
        <v>234</v>
      </c>
      <c r="B248" s="19">
        <f>DATE(YEAR(B8)+INT((MONTH(B8)-1+233)/12),MOD(MONTH(B8)-1+233,12)+1,1)+(DAY(B8)-1)</f>
        <v/>
      </c>
      <c r="C248" s="21">
        <f>ROUND(E247*B5/100/12,2)</f>
        <v/>
      </c>
      <c r="D248" s="21">
        <f>IF((OR(ROUND(E247-ROUND($B$10-C248,2),2)&lt;=0,234=B6)),E247,ROUND($B$10-C248,2))</f>
        <v/>
      </c>
      <c r="E248" s="21">
        <f>IF((OR(ROUND(E247-ROUND($B$10-C248,2),2)&lt;=0,234=B6)),0,ROUND(E247-D248,2))</f>
        <v/>
      </c>
      <c r="F248" s="21">
        <f>ROUND(H247*B5/100/12,2)</f>
        <v/>
      </c>
      <c r="G248" s="21">
        <f>IF((ROUND(H247-ROUND($B$11-F248,2),2)&lt;=0),H247,ROUND($B$11-F248,2))</f>
        <v/>
      </c>
      <c r="H248" s="21">
        <f>IF((ROUND(H247-ROUND($B$11-F248,2),2)&lt;=0),0,ROUND(H247-G248,2))</f>
        <v/>
      </c>
    </row>
    <row r="249">
      <c r="A249" s="6" t="n">
        <v>235</v>
      </c>
      <c r="B249" s="19">
        <f>DATE(YEAR(B8)+INT((MONTH(B8)-1+234)/12),MOD(MONTH(B8)-1+234,12)+1,1)+(DAY(B8)-1)</f>
        <v/>
      </c>
      <c r="C249" s="21">
        <f>ROUND(E248*B5/100/12,2)</f>
        <v/>
      </c>
      <c r="D249" s="21">
        <f>IF((OR(ROUND(E248-ROUND($B$10-C249,2),2)&lt;=0,235=B6)),E248,ROUND($B$10-C249,2))</f>
        <v/>
      </c>
      <c r="E249" s="21">
        <f>IF((OR(ROUND(E248-ROUND($B$10-C249,2),2)&lt;=0,235=B6)),0,ROUND(E248-D249,2))</f>
        <v/>
      </c>
      <c r="F249" s="21">
        <f>ROUND(H248*B5/100/12,2)</f>
        <v/>
      </c>
      <c r="G249" s="21">
        <f>IF((ROUND(H248-ROUND($B$11-F249,2),2)&lt;=0),H248,ROUND($B$11-F249,2))</f>
        <v/>
      </c>
      <c r="H249" s="21">
        <f>IF((ROUND(H248-ROUND($B$11-F249,2),2)&lt;=0),0,ROUND(H248-G249,2))</f>
        <v/>
      </c>
    </row>
    <row r="250">
      <c r="A250" s="6" t="n">
        <v>236</v>
      </c>
      <c r="B250" s="19">
        <f>DATE(YEAR(B8)+INT((MONTH(B8)-1+235)/12),MOD(MONTH(B8)-1+235,12)+1,1)+(DAY(B8)-1)</f>
        <v/>
      </c>
      <c r="C250" s="21">
        <f>ROUND(E249*B5/100/12,2)</f>
        <v/>
      </c>
      <c r="D250" s="21">
        <f>IF((OR(ROUND(E249-ROUND($B$10-C250,2),2)&lt;=0,236=B6)),E249,ROUND($B$10-C250,2))</f>
        <v/>
      </c>
      <c r="E250" s="21">
        <f>IF((OR(ROUND(E249-ROUND($B$10-C250,2),2)&lt;=0,236=B6)),0,ROUND(E249-D250,2))</f>
        <v/>
      </c>
      <c r="F250" s="21">
        <f>ROUND(H249*B5/100/12,2)</f>
        <v/>
      </c>
      <c r="G250" s="21">
        <f>IF((ROUND(H249-ROUND($B$11-F250,2),2)&lt;=0),H249,ROUND($B$11-F250,2))</f>
        <v/>
      </c>
      <c r="H250" s="21">
        <f>IF((ROUND(H249-ROUND($B$11-F250,2),2)&lt;=0),0,ROUND(H249-G250,2))</f>
        <v/>
      </c>
    </row>
    <row r="251">
      <c r="A251" s="6" t="n">
        <v>237</v>
      </c>
      <c r="B251" s="19">
        <f>DATE(YEAR(B8)+INT((MONTH(B8)-1+236)/12),MOD(MONTH(B8)-1+236,12)+1,1)+(DAY(B8)-1)</f>
        <v/>
      </c>
      <c r="C251" s="21">
        <f>ROUND(E250*B5/100/12,2)</f>
        <v/>
      </c>
      <c r="D251" s="21">
        <f>IF((OR(ROUND(E250-ROUND($B$10-C251,2),2)&lt;=0,237=B6)),E250,ROUND($B$10-C251,2))</f>
        <v/>
      </c>
      <c r="E251" s="21">
        <f>IF((OR(ROUND(E250-ROUND($B$10-C251,2),2)&lt;=0,237=B6)),0,ROUND(E250-D251,2))</f>
        <v/>
      </c>
      <c r="F251" s="21">
        <f>ROUND(H250*B5/100/12,2)</f>
        <v/>
      </c>
      <c r="G251" s="21">
        <f>IF((ROUND(H250-ROUND($B$11-F251,2),2)&lt;=0),H250,ROUND($B$11-F251,2))</f>
        <v/>
      </c>
      <c r="H251" s="21">
        <f>IF((ROUND(H250-ROUND($B$11-F251,2),2)&lt;=0),0,ROUND(H250-G251,2))</f>
        <v/>
      </c>
    </row>
    <row r="252">
      <c r="A252" s="6" t="n">
        <v>238</v>
      </c>
      <c r="B252" s="19">
        <f>DATE(YEAR(B8)+INT((MONTH(B8)-1+237)/12),MOD(MONTH(B8)-1+237,12)+1,1)+(DAY(B8)-1)</f>
        <v/>
      </c>
      <c r="C252" s="21">
        <f>ROUND(E251*B5/100/12,2)</f>
        <v/>
      </c>
      <c r="D252" s="21">
        <f>IF((OR(ROUND(E251-ROUND($B$10-C252,2),2)&lt;=0,238=B6)),E251,ROUND($B$10-C252,2))</f>
        <v/>
      </c>
      <c r="E252" s="21">
        <f>IF((OR(ROUND(E251-ROUND($B$10-C252,2),2)&lt;=0,238=B6)),0,ROUND(E251-D252,2))</f>
        <v/>
      </c>
      <c r="F252" s="21">
        <f>ROUND(H251*B5/100/12,2)</f>
        <v/>
      </c>
      <c r="G252" s="21">
        <f>IF((ROUND(H251-ROUND($B$11-F252,2),2)&lt;=0),H251,ROUND($B$11-F252,2))</f>
        <v/>
      </c>
      <c r="H252" s="21">
        <f>IF((ROUND(H251-ROUND($B$11-F252,2),2)&lt;=0),0,ROUND(H251-G252,2))</f>
        <v/>
      </c>
    </row>
    <row r="253">
      <c r="A253" s="6" t="n">
        <v>239</v>
      </c>
      <c r="B253" s="19">
        <f>DATE(YEAR(B8)+INT((MONTH(B8)-1+238)/12),MOD(MONTH(B8)-1+238,12)+1,1)+(DAY(B8)-1)</f>
        <v/>
      </c>
      <c r="C253" s="21">
        <f>ROUND(E252*B5/100/12,2)</f>
        <v/>
      </c>
      <c r="D253" s="21">
        <f>IF((OR(ROUND(E252-ROUND($B$10-C253,2),2)&lt;=0,239=B6)),E252,ROUND($B$10-C253,2))</f>
        <v/>
      </c>
      <c r="E253" s="21">
        <f>IF((OR(ROUND(E252-ROUND($B$10-C253,2),2)&lt;=0,239=B6)),0,ROUND(E252-D253,2))</f>
        <v/>
      </c>
      <c r="F253" s="21">
        <f>ROUND(H252*B5/100/12,2)</f>
        <v/>
      </c>
      <c r="G253" s="21">
        <f>IF((ROUND(H252-ROUND($B$11-F253,2),2)&lt;=0),H252,ROUND($B$11-F253,2))</f>
        <v/>
      </c>
      <c r="H253" s="21">
        <f>IF((ROUND(H252-ROUND($B$11-F253,2),2)&lt;=0),0,ROUND(H252-G253,2))</f>
        <v/>
      </c>
    </row>
    <row r="254">
      <c r="A254" s="6" t="n">
        <v>240</v>
      </c>
      <c r="B254" s="19">
        <f>DATE(YEAR(B8)+INT((MONTH(B8)-1+239)/12),MOD(MONTH(B8)-1+239,12)+1,1)+(DAY(B8)-1)</f>
        <v/>
      </c>
      <c r="C254" s="21">
        <f>ROUND(E253*B5/100/12,2)</f>
        <v/>
      </c>
      <c r="D254" s="21">
        <f>IF((OR(ROUND(E253-ROUND($B$10-C254,2),2)&lt;=0,240=B6)),E253,ROUND($B$10-C254,2))</f>
        <v/>
      </c>
      <c r="E254" s="21">
        <f>IF((OR(ROUND(E253-ROUND($B$10-C254,2),2)&lt;=0,240=B6)),0,ROUND(E253-D254,2))</f>
        <v/>
      </c>
      <c r="F254" s="21">
        <f>ROUND(H253*B5/100/12,2)</f>
        <v/>
      </c>
      <c r="G254" s="21">
        <f>IF((ROUND(H253-ROUND($B$11-F254,2),2)&lt;=0),H253,ROUND($B$11-F254,2))</f>
        <v/>
      </c>
      <c r="H254" s="21">
        <f>IF((ROUND(H253-ROUND($B$11-F254,2),2)&lt;=0),0,ROUND(H253-G254,2))</f>
        <v/>
      </c>
    </row>
    <row r="255">
      <c r="A255" s="6" t="n">
        <v>241</v>
      </c>
      <c r="B255" s="19">
        <f>DATE(YEAR(B8)+INT((MONTH(B8)-1+240)/12),MOD(MONTH(B8)-1+240,12)+1,1)+(DAY(B8)-1)</f>
        <v/>
      </c>
      <c r="C255" s="21">
        <f>ROUND(E254*B5/100/12,2)</f>
        <v/>
      </c>
      <c r="D255" s="21">
        <f>IF((OR(ROUND(E254-ROUND($B$10-C255,2),2)&lt;=0,241=B6)),E254,ROUND($B$10-C255,2))</f>
        <v/>
      </c>
      <c r="E255" s="21">
        <f>IF((OR(ROUND(E254-ROUND($B$10-C255,2),2)&lt;=0,241=B6)),0,ROUND(E254-D255,2))</f>
        <v/>
      </c>
      <c r="F255" s="21">
        <f>ROUND(H254*B5/100/12,2)</f>
        <v/>
      </c>
      <c r="G255" s="21">
        <f>IF((ROUND(H254-ROUND($B$11-F255,2),2)&lt;=0),H254,ROUND($B$11-F255,2))</f>
        <v/>
      </c>
      <c r="H255" s="21">
        <f>IF((ROUND(H254-ROUND($B$11-F255,2),2)&lt;=0),0,ROUND(H254-G255,2))</f>
        <v/>
      </c>
    </row>
    <row r="256">
      <c r="A256" s="6" t="n">
        <v>242</v>
      </c>
      <c r="B256" s="19">
        <f>DATE(YEAR(B8)+INT((MONTH(B8)-1+241)/12),MOD(MONTH(B8)-1+241,12)+1,1)+(DAY(B8)-1)</f>
        <v/>
      </c>
      <c r="C256" s="21">
        <f>ROUND(E255*B5/100/12,2)</f>
        <v/>
      </c>
      <c r="D256" s="21">
        <f>IF((OR(ROUND(E255-ROUND($B$10-C256,2),2)&lt;=0,242=B6)),E255,ROUND($B$10-C256,2))</f>
        <v/>
      </c>
      <c r="E256" s="21">
        <f>IF((OR(ROUND(E255-ROUND($B$10-C256,2),2)&lt;=0,242=B6)),0,ROUND(E255-D256,2))</f>
        <v/>
      </c>
      <c r="F256" s="21">
        <f>ROUND(H255*B5/100/12,2)</f>
        <v/>
      </c>
      <c r="G256" s="21">
        <f>IF((ROUND(H255-ROUND($B$11-F256,2),2)&lt;=0),H255,ROUND($B$11-F256,2))</f>
        <v/>
      </c>
      <c r="H256" s="21">
        <f>IF((ROUND(H255-ROUND($B$11-F256,2),2)&lt;=0),0,ROUND(H255-G256,2))</f>
        <v/>
      </c>
    </row>
    <row r="257">
      <c r="A257" s="6" t="n">
        <v>243</v>
      </c>
      <c r="B257" s="19">
        <f>DATE(YEAR(B8)+INT((MONTH(B8)-1+242)/12),MOD(MONTH(B8)-1+242,12)+1,1)+(DAY(B8)-1)</f>
        <v/>
      </c>
      <c r="C257" s="21">
        <f>ROUND(E256*B5/100/12,2)</f>
        <v/>
      </c>
      <c r="D257" s="21">
        <f>IF((OR(ROUND(E256-ROUND($B$10-C257,2),2)&lt;=0,243=B6)),E256,ROUND($B$10-C257,2))</f>
        <v/>
      </c>
      <c r="E257" s="21">
        <f>IF((OR(ROUND(E256-ROUND($B$10-C257,2),2)&lt;=0,243=B6)),0,ROUND(E256-D257,2))</f>
        <v/>
      </c>
      <c r="F257" s="21">
        <f>ROUND(H256*B5/100/12,2)</f>
        <v/>
      </c>
      <c r="G257" s="21">
        <f>IF((ROUND(H256-ROUND($B$11-F257,2),2)&lt;=0),H256,ROUND($B$11-F257,2))</f>
        <v/>
      </c>
      <c r="H257" s="21">
        <f>IF((ROUND(H256-ROUND($B$11-F257,2),2)&lt;=0),0,ROUND(H256-G257,2))</f>
        <v/>
      </c>
    </row>
    <row r="258">
      <c r="A258" s="6" t="n">
        <v>244</v>
      </c>
      <c r="B258" s="19">
        <f>DATE(YEAR(B8)+INT((MONTH(B8)-1+243)/12),MOD(MONTH(B8)-1+243,12)+1,1)+(DAY(B8)-1)</f>
        <v/>
      </c>
      <c r="C258" s="21">
        <f>ROUND(E257*B5/100/12,2)</f>
        <v/>
      </c>
      <c r="D258" s="21">
        <f>IF((OR(ROUND(E257-ROUND($B$10-C258,2),2)&lt;=0,244=B6)),E257,ROUND($B$10-C258,2))</f>
        <v/>
      </c>
      <c r="E258" s="21">
        <f>IF((OR(ROUND(E257-ROUND($B$10-C258,2),2)&lt;=0,244=B6)),0,ROUND(E257-D258,2))</f>
        <v/>
      </c>
      <c r="F258" s="21">
        <f>ROUND(H257*B5/100/12,2)</f>
        <v/>
      </c>
      <c r="G258" s="21">
        <f>IF((ROUND(H257-ROUND($B$11-F258,2),2)&lt;=0),H257,ROUND($B$11-F258,2))</f>
        <v/>
      </c>
      <c r="H258" s="21">
        <f>IF((ROUND(H257-ROUND($B$11-F258,2),2)&lt;=0),0,ROUND(H257-G258,2))</f>
        <v/>
      </c>
    </row>
    <row r="259">
      <c r="A259" s="6" t="n">
        <v>245</v>
      </c>
      <c r="B259" s="19">
        <f>DATE(YEAR(B8)+INT((MONTH(B8)-1+244)/12),MOD(MONTH(B8)-1+244,12)+1,1)+(DAY(B8)-1)</f>
        <v/>
      </c>
      <c r="C259" s="21">
        <f>ROUND(E258*B5/100/12,2)</f>
        <v/>
      </c>
      <c r="D259" s="21">
        <f>IF((OR(ROUND(E258-ROUND($B$10-C259,2),2)&lt;=0,245=B6)),E258,ROUND($B$10-C259,2))</f>
        <v/>
      </c>
      <c r="E259" s="21">
        <f>IF((OR(ROUND(E258-ROUND($B$10-C259,2),2)&lt;=0,245=B6)),0,ROUND(E258-D259,2))</f>
        <v/>
      </c>
      <c r="F259" s="21">
        <f>ROUND(H258*B5/100/12,2)</f>
        <v/>
      </c>
      <c r="G259" s="21">
        <f>IF((ROUND(H258-ROUND($B$11-F259,2),2)&lt;=0),H258,ROUND($B$11-F259,2))</f>
        <v/>
      </c>
      <c r="H259" s="21">
        <f>IF((ROUND(H258-ROUND($B$11-F259,2),2)&lt;=0),0,ROUND(H258-G259,2))</f>
        <v/>
      </c>
    </row>
    <row r="260">
      <c r="A260" s="6" t="n">
        <v>246</v>
      </c>
      <c r="B260" s="19">
        <f>DATE(YEAR(B8)+INT((MONTH(B8)-1+245)/12),MOD(MONTH(B8)-1+245,12)+1,1)+(DAY(B8)-1)</f>
        <v/>
      </c>
      <c r="C260" s="21">
        <f>ROUND(E259*B5/100/12,2)</f>
        <v/>
      </c>
      <c r="D260" s="21">
        <f>IF((OR(ROUND(E259-ROUND($B$10-C260,2),2)&lt;=0,246=B6)),E259,ROUND($B$10-C260,2))</f>
        <v/>
      </c>
      <c r="E260" s="21">
        <f>IF((OR(ROUND(E259-ROUND($B$10-C260,2),2)&lt;=0,246=B6)),0,ROUND(E259-D260,2))</f>
        <v/>
      </c>
      <c r="F260" s="21">
        <f>ROUND(H259*B5/100/12,2)</f>
        <v/>
      </c>
      <c r="G260" s="21">
        <f>IF((ROUND(H259-ROUND($B$11-F260,2),2)&lt;=0),H259,ROUND($B$11-F260,2))</f>
        <v/>
      </c>
      <c r="H260" s="21">
        <f>IF((ROUND(H259-ROUND($B$11-F260,2),2)&lt;=0),0,ROUND(H259-G260,2))</f>
        <v/>
      </c>
    </row>
    <row r="261">
      <c r="A261" s="6" t="n">
        <v>247</v>
      </c>
      <c r="B261" s="19">
        <f>DATE(YEAR(B8)+INT((MONTH(B8)-1+246)/12),MOD(MONTH(B8)-1+246,12)+1,1)+(DAY(B8)-1)</f>
        <v/>
      </c>
      <c r="C261" s="21">
        <f>ROUND(E260*B5/100/12,2)</f>
        <v/>
      </c>
      <c r="D261" s="21">
        <f>IF((OR(ROUND(E260-ROUND($B$10-C261,2),2)&lt;=0,247=B6)),E260,ROUND($B$10-C261,2))</f>
        <v/>
      </c>
      <c r="E261" s="21">
        <f>IF((OR(ROUND(E260-ROUND($B$10-C261,2),2)&lt;=0,247=B6)),0,ROUND(E260-D261,2))</f>
        <v/>
      </c>
      <c r="F261" s="21">
        <f>ROUND(H260*B5/100/12,2)</f>
        <v/>
      </c>
      <c r="G261" s="21">
        <f>IF((ROUND(H260-ROUND($B$11-F261,2),2)&lt;=0),H260,ROUND($B$11-F261,2))</f>
        <v/>
      </c>
      <c r="H261" s="21">
        <f>IF((ROUND(H260-ROUND($B$11-F261,2),2)&lt;=0),0,ROUND(H260-G261,2))</f>
        <v/>
      </c>
    </row>
    <row r="262">
      <c r="A262" s="6" t="n">
        <v>248</v>
      </c>
      <c r="B262" s="19">
        <f>DATE(YEAR(B8)+INT((MONTH(B8)-1+247)/12),MOD(MONTH(B8)-1+247,12)+1,1)+(DAY(B8)-1)</f>
        <v/>
      </c>
      <c r="C262" s="21">
        <f>ROUND(E261*B5/100/12,2)</f>
        <v/>
      </c>
      <c r="D262" s="21">
        <f>IF((OR(ROUND(E261-ROUND($B$10-C262,2),2)&lt;=0,248=B6)),E261,ROUND($B$10-C262,2))</f>
        <v/>
      </c>
      <c r="E262" s="21">
        <f>IF((OR(ROUND(E261-ROUND($B$10-C262,2),2)&lt;=0,248=B6)),0,ROUND(E261-D262,2))</f>
        <v/>
      </c>
      <c r="F262" s="21">
        <f>ROUND(H261*B5/100/12,2)</f>
        <v/>
      </c>
      <c r="G262" s="21">
        <f>IF((ROUND(H261-ROUND($B$11-F262,2),2)&lt;=0),H261,ROUND($B$11-F262,2))</f>
        <v/>
      </c>
      <c r="H262" s="21">
        <f>IF((ROUND(H261-ROUND($B$11-F262,2),2)&lt;=0),0,ROUND(H261-G262,2))</f>
        <v/>
      </c>
    </row>
    <row r="263">
      <c r="A263" s="6" t="n">
        <v>249</v>
      </c>
      <c r="B263" s="19">
        <f>DATE(YEAR(B8)+INT((MONTH(B8)-1+248)/12),MOD(MONTH(B8)-1+248,12)+1,1)+(DAY(B8)-1)</f>
        <v/>
      </c>
      <c r="C263" s="21">
        <f>ROUND(E262*B5/100/12,2)</f>
        <v/>
      </c>
      <c r="D263" s="21">
        <f>IF((OR(ROUND(E262-ROUND($B$10-C263,2),2)&lt;=0,249=B6)),E262,ROUND($B$10-C263,2))</f>
        <v/>
      </c>
      <c r="E263" s="21">
        <f>IF((OR(ROUND(E262-ROUND($B$10-C263,2),2)&lt;=0,249=B6)),0,ROUND(E262-D263,2))</f>
        <v/>
      </c>
      <c r="F263" s="21">
        <f>ROUND(H262*B5/100/12,2)</f>
        <v/>
      </c>
      <c r="G263" s="21">
        <f>IF((ROUND(H262-ROUND($B$11-F263,2),2)&lt;=0),H262,ROUND($B$11-F263,2))</f>
        <v/>
      </c>
      <c r="H263" s="21">
        <f>IF((ROUND(H262-ROUND($B$11-F263,2),2)&lt;=0),0,ROUND(H262-G263,2))</f>
        <v/>
      </c>
    </row>
    <row r="264">
      <c r="A264" s="6" t="n">
        <v>250</v>
      </c>
      <c r="B264" s="19">
        <f>DATE(YEAR(B8)+INT((MONTH(B8)-1+249)/12),MOD(MONTH(B8)-1+249,12)+1,1)+(DAY(B8)-1)</f>
        <v/>
      </c>
      <c r="C264" s="21">
        <f>ROUND(E263*B5/100/12,2)</f>
        <v/>
      </c>
      <c r="D264" s="21">
        <f>IF((OR(ROUND(E263-ROUND($B$10-C264,2),2)&lt;=0,250=B6)),E263,ROUND($B$10-C264,2))</f>
        <v/>
      </c>
      <c r="E264" s="21">
        <f>IF((OR(ROUND(E263-ROUND($B$10-C264,2),2)&lt;=0,250=B6)),0,ROUND(E263-D264,2))</f>
        <v/>
      </c>
      <c r="F264" s="21">
        <f>ROUND(H263*B5/100/12,2)</f>
        <v/>
      </c>
      <c r="G264" s="21">
        <f>IF((ROUND(H263-ROUND($B$11-F264,2),2)&lt;=0),H263,ROUND($B$11-F264,2))</f>
        <v/>
      </c>
      <c r="H264" s="21">
        <f>IF((ROUND(H263-ROUND($B$11-F264,2),2)&lt;=0),0,ROUND(H263-G264,2))</f>
        <v/>
      </c>
    </row>
    <row r="265">
      <c r="A265" s="6" t="n">
        <v>251</v>
      </c>
      <c r="B265" s="19">
        <f>DATE(YEAR(B8)+INT((MONTH(B8)-1+250)/12),MOD(MONTH(B8)-1+250,12)+1,1)+(DAY(B8)-1)</f>
        <v/>
      </c>
      <c r="C265" s="21">
        <f>ROUND(E264*B5/100/12,2)</f>
        <v/>
      </c>
      <c r="D265" s="21">
        <f>IF((OR(ROUND(E264-ROUND($B$10-C265,2),2)&lt;=0,251=B6)),E264,ROUND($B$10-C265,2))</f>
        <v/>
      </c>
      <c r="E265" s="21">
        <f>IF((OR(ROUND(E264-ROUND($B$10-C265,2),2)&lt;=0,251=B6)),0,ROUND(E264-D265,2))</f>
        <v/>
      </c>
      <c r="F265" s="21">
        <f>ROUND(H264*B5/100/12,2)</f>
        <v/>
      </c>
      <c r="G265" s="21">
        <f>IF((ROUND(H264-ROUND($B$11-F265,2),2)&lt;=0),H264,ROUND($B$11-F265,2))</f>
        <v/>
      </c>
      <c r="H265" s="21">
        <f>IF((ROUND(H264-ROUND($B$11-F265,2),2)&lt;=0),0,ROUND(H264-G265,2))</f>
        <v/>
      </c>
    </row>
    <row r="266">
      <c r="A266" s="6" t="n">
        <v>252</v>
      </c>
      <c r="B266" s="19">
        <f>DATE(YEAR(B8)+INT((MONTH(B8)-1+251)/12),MOD(MONTH(B8)-1+251,12)+1,1)+(DAY(B8)-1)</f>
        <v/>
      </c>
      <c r="C266" s="21">
        <f>ROUND(E265*B5/100/12,2)</f>
        <v/>
      </c>
      <c r="D266" s="21">
        <f>IF((OR(ROUND(E265-ROUND($B$10-C266,2),2)&lt;=0,252=B6)),E265,ROUND($B$10-C266,2))</f>
        <v/>
      </c>
      <c r="E266" s="21">
        <f>IF((OR(ROUND(E265-ROUND($B$10-C266,2),2)&lt;=0,252=B6)),0,ROUND(E265-D266,2))</f>
        <v/>
      </c>
      <c r="F266" s="21">
        <f>ROUND(H265*B5/100/12,2)</f>
        <v/>
      </c>
      <c r="G266" s="21">
        <f>IF((ROUND(H265-ROUND($B$11-F266,2),2)&lt;=0),H265,ROUND($B$11-F266,2))</f>
        <v/>
      </c>
      <c r="H266" s="21">
        <f>IF((ROUND(H265-ROUND($B$11-F266,2),2)&lt;=0),0,ROUND(H265-G266,2))</f>
        <v/>
      </c>
    </row>
    <row r="267">
      <c r="A267" s="6" t="n">
        <v>253</v>
      </c>
      <c r="B267" s="19">
        <f>DATE(YEAR(B8)+INT((MONTH(B8)-1+252)/12),MOD(MONTH(B8)-1+252,12)+1,1)+(DAY(B8)-1)</f>
        <v/>
      </c>
      <c r="C267" s="21">
        <f>ROUND(E266*B5/100/12,2)</f>
        <v/>
      </c>
      <c r="D267" s="21">
        <f>IF((OR(ROUND(E266-ROUND($B$10-C267,2),2)&lt;=0,253=B6)),E266,ROUND($B$10-C267,2))</f>
        <v/>
      </c>
      <c r="E267" s="21">
        <f>IF((OR(ROUND(E266-ROUND($B$10-C267,2),2)&lt;=0,253=B6)),0,ROUND(E266-D267,2))</f>
        <v/>
      </c>
      <c r="F267" s="21">
        <f>ROUND(H266*B5/100/12,2)</f>
        <v/>
      </c>
      <c r="G267" s="21">
        <f>IF((ROUND(H266-ROUND($B$11-F267,2),2)&lt;=0),H266,ROUND($B$11-F267,2))</f>
        <v/>
      </c>
      <c r="H267" s="21">
        <f>IF((ROUND(H266-ROUND($B$11-F267,2),2)&lt;=0),0,ROUND(H266-G267,2))</f>
        <v/>
      </c>
    </row>
    <row r="268">
      <c r="A268" s="6" t="n">
        <v>254</v>
      </c>
      <c r="B268" s="19">
        <f>DATE(YEAR(B8)+INT((MONTH(B8)-1+253)/12),MOD(MONTH(B8)-1+253,12)+1,1)+(DAY(B8)-1)</f>
        <v/>
      </c>
      <c r="C268" s="21">
        <f>ROUND(E267*B5/100/12,2)</f>
        <v/>
      </c>
      <c r="D268" s="21">
        <f>IF((OR(ROUND(E267-ROUND($B$10-C268,2),2)&lt;=0,254=B6)),E267,ROUND($B$10-C268,2))</f>
        <v/>
      </c>
      <c r="E268" s="21">
        <f>IF((OR(ROUND(E267-ROUND($B$10-C268,2),2)&lt;=0,254=B6)),0,ROUND(E267-D268,2))</f>
        <v/>
      </c>
      <c r="F268" s="21">
        <f>ROUND(H267*B5/100/12,2)</f>
        <v/>
      </c>
      <c r="G268" s="21">
        <f>IF((ROUND(H267-ROUND($B$11-F268,2),2)&lt;=0),H267,ROUND($B$11-F268,2))</f>
        <v/>
      </c>
      <c r="H268" s="21">
        <f>IF((ROUND(H267-ROUND($B$11-F268,2),2)&lt;=0),0,ROUND(H267-G268,2))</f>
        <v/>
      </c>
    </row>
    <row r="269">
      <c r="A269" s="6" t="n">
        <v>255</v>
      </c>
      <c r="B269" s="19">
        <f>DATE(YEAR(B8)+INT((MONTH(B8)-1+254)/12),MOD(MONTH(B8)-1+254,12)+1,1)+(DAY(B8)-1)</f>
        <v/>
      </c>
      <c r="C269" s="21">
        <f>ROUND(E268*B5/100/12,2)</f>
        <v/>
      </c>
      <c r="D269" s="21">
        <f>IF((OR(ROUND(E268-ROUND($B$10-C269,2),2)&lt;=0,255=B6)),E268,ROUND($B$10-C269,2))</f>
        <v/>
      </c>
      <c r="E269" s="21">
        <f>IF((OR(ROUND(E268-ROUND($B$10-C269,2),2)&lt;=0,255=B6)),0,ROUND(E268-D269,2))</f>
        <v/>
      </c>
      <c r="F269" s="21">
        <f>ROUND(H268*B5/100/12,2)</f>
        <v/>
      </c>
      <c r="G269" s="21">
        <f>IF((ROUND(H268-ROUND($B$11-F269,2),2)&lt;=0),H268,ROUND($B$11-F269,2))</f>
        <v/>
      </c>
      <c r="H269" s="21">
        <f>IF((ROUND(H268-ROUND($B$11-F269,2),2)&lt;=0),0,ROUND(H268-G269,2))</f>
        <v/>
      </c>
    </row>
    <row r="270">
      <c r="A270" s="6" t="n">
        <v>256</v>
      </c>
      <c r="B270" s="19">
        <f>DATE(YEAR(B8)+INT((MONTH(B8)-1+255)/12),MOD(MONTH(B8)-1+255,12)+1,1)+(DAY(B8)-1)</f>
        <v/>
      </c>
      <c r="C270" s="21">
        <f>ROUND(E269*B5/100/12,2)</f>
        <v/>
      </c>
      <c r="D270" s="21">
        <f>IF((OR(ROUND(E269-ROUND($B$10-C270,2),2)&lt;=0,256=B6)),E269,ROUND($B$10-C270,2))</f>
        <v/>
      </c>
      <c r="E270" s="21">
        <f>IF((OR(ROUND(E269-ROUND($B$10-C270,2),2)&lt;=0,256=B6)),0,ROUND(E269-D270,2))</f>
        <v/>
      </c>
      <c r="F270" s="21">
        <f>ROUND(H269*B5/100/12,2)</f>
        <v/>
      </c>
      <c r="G270" s="21">
        <f>IF((ROUND(H269-ROUND($B$11-F270,2),2)&lt;=0),H269,ROUND($B$11-F270,2))</f>
        <v/>
      </c>
      <c r="H270" s="21">
        <f>IF((ROUND(H269-ROUND($B$11-F270,2),2)&lt;=0),0,ROUND(H269-G270,2))</f>
        <v/>
      </c>
    </row>
    <row r="271">
      <c r="A271" s="6" t="n">
        <v>257</v>
      </c>
      <c r="B271" s="19">
        <f>DATE(YEAR(B8)+INT((MONTH(B8)-1+256)/12),MOD(MONTH(B8)-1+256,12)+1,1)+(DAY(B8)-1)</f>
        <v/>
      </c>
      <c r="C271" s="21">
        <f>ROUND(E270*B5/100/12,2)</f>
        <v/>
      </c>
      <c r="D271" s="21">
        <f>IF((OR(ROUND(E270-ROUND($B$10-C271,2),2)&lt;=0,257=B6)),E270,ROUND($B$10-C271,2))</f>
        <v/>
      </c>
      <c r="E271" s="21">
        <f>IF((OR(ROUND(E270-ROUND($B$10-C271,2),2)&lt;=0,257=B6)),0,ROUND(E270-D271,2))</f>
        <v/>
      </c>
      <c r="F271" s="21">
        <f>ROUND(H270*B5/100/12,2)</f>
        <v/>
      </c>
      <c r="G271" s="21">
        <f>IF((ROUND(H270-ROUND($B$11-F271,2),2)&lt;=0),H270,ROUND($B$11-F271,2))</f>
        <v/>
      </c>
      <c r="H271" s="21">
        <f>IF((ROUND(H270-ROUND($B$11-F271,2),2)&lt;=0),0,ROUND(H270-G271,2))</f>
        <v/>
      </c>
    </row>
    <row r="272">
      <c r="A272" s="6" t="n">
        <v>258</v>
      </c>
      <c r="B272" s="19">
        <f>DATE(YEAR(B8)+INT((MONTH(B8)-1+257)/12),MOD(MONTH(B8)-1+257,12)+1,1)+(DAY(B8)-1)</f>
        <v/>
      </c>
      <c r="C272" s="21">
        <f>ROUND(E271*B5/100/12,2)</f>
        <v/>
      </c>
      <c r="D272" s="21">
        <f>IF((OR(ROUND(E271-ROUND($B$10-C272,2),2)&lt;=0,258=B6)),E271,ROUND($B$10-C272,2))</f>
        <v/>
      </c>
      <c r="E272" s="21">
        <f>IF((OR(ROUND(E271-ROUND($B$10-C272,2),2)&lt;=0,258=B6)),0,ROUND(E271-D272,2))</f>
        <v/>
      </c>
      <c r="F272" s="21">
        <f>ROUND(H271*B5/100/12,2)</f>
        <v/>
      </c>
      <c r="G272" s="21">
        <f>IF((ROUND(H271-ROUND($B$11-F272,2),2)&lt;=0),H271,ROUND($B$11-F272,2))</f>
        <v/>
      </c>
      <c r="H272" s="21">
        <f>IF((ROUND(H271-ROUND($B$11-F272,2),2)&lt;=0),0,ROUND(H271-G272,2))</f>
        <v/>
      </c>
    </row>
    <row r="273">
      <c r="A273" s="6" t="n">
        <v>259</v>
      </c>
      <c r="B273" s="19">
        <f>DATE(YEAR(B8)+INT((MONTH(B8)-1+258)/12),MOD(MONTH(B8)-1+258,12)+1,1)+(DAY(B8)-1)</f>
        <v/>
      </c>
      <c r="C273" s="21">
        <f>ROUND(E272*B5/100/12,2)</f>
        <v/>
      </c>
      <c r="D273" s="21">
        <f>IF((OR(ROUND(E272-ROUND($B$10-C273,2),2)&lt;=0,259=B6)),E272,ROUND($B$10-C273,2))</f>
        <v/>
      </c>
      <c r="E273" s="21">
        <f>IF((OR(ROUND(E272-ROUND($B$10-C273,2),2)&lt;=0,259=B6)),0,ROUND(E272-D273,2))</f>
        <v/>
      </c>
      <c r="F273" s="21">
        <f>ROUND(H272*B5/100/12,2)</f>
        <v/>
      </c>
      <c r="G273" s="21">
        <f>IF((ROUND(H272-ROUND($B$11-F273,2),2)&lt;=0),H272,ROUND($B$11-F273,2))</f>
        <v/>
      </c>
      <c r="H273" s="21">
        <f>IF((ROUND(H272-ROUND($B$11-F273,2),2)&lt;=0),0,ROUND(H272-G273,2))</f>
        <v/>
      </c>
    </row>
    <row r="274">
      <c r="A274" s="6" t="n">
        <v>260</v>
      </c>
      <c r="B274" s="19">
        <f>DATE(YEAR(B8)+INT((MONTH(B8)-1+259)/12),MOD(MONTH(B8)-1+259,12)+1,1)+(DAY(B8)-1)</f>
        <v/>
      </c>
      <c r="C274" s="21">
        <f>ROUND(E273*B5/100/12,2)</f>
        <v/>
      </c>
      <c r="D274" s="21">
        <f>IF((OR(ROUND(E273-ROUND($B$10-C274,2),2)&lt;=0,260=B6)),E273,ROUND($B$10-C274,2))</f>
        <v/>
      </c>
      <c r="E274" s="21">
        <f>IF((OR(ROUND(E273-ROUND($B$10-C274,2),2)&lt;=0,260=B6)),0,ROUND(E273-D274,2))</f>
        <v/>
      </c>
      <c r="F274" s="21">
        <f>ROUND(H273*B5/100/12,2)</f>
        <v/>
      </c>
      <c r="G274" s="21">
        <f>IF((ROUND(H273-ROUND($B$11-F274,2),2)&lt;=0),H273,ROUND($B$11-F274,2))</f>
        <v/>
      </c>
      <c r="H274" s="21">
        <f>IF((ROUND(H273-ROUND($B$11-F274,2),2)&lt;=0),0,ROUND(H273-G274,2))</f>
        <v/>
      </c>
    </row>
    <row r="275">
      <c r="A275" s="6" t="n">
        <v>261</v>
      </c>
      <c r="B275" s="19">
        <f>DATE(YEAR(B8)+INT((MONTH(B8)-1+260)/12),MOD(MONTH(B8)-1+260,12)+1,1)+(DAY(B8)-1)</f>
        <v/>
      </c>
      <c r="C275" s="21">
        <f>ROUND(E274*B5/100/12,2)</f>
        <v/>
      </c>
      <c r="D275" s="21">
        <f>IF((OR(ROUND(E274-ROUND($B$10-C275,2),2)&lt;=0,261=B6)),E274,ROUND($B$10-C275,2))</f>
        <v/>
      </c>
      <c r="E275" s="21">
        <f>IF((OR(ROUND(E274-ROUND($B$10-C275,2),2)&lt;=0,261=B6)),0,ROUND(E274-D275,2))</f>
        <v/>
      </c>
      <c r="F275" s="21">
        <f>ROUND(H274*B5/100/12,2)</f>
        <v/>
      </c>
      <c r="G275" s="21">
        <f>IF((ROUND(H274-ROUND($B$11-F275,2),2)&lt;=0),H274,ROUND($B$11-F275,2))</f>
        <v/>
      </c>
      <c r="H275" s="21">
        <f>IF((ROUND(H274-ROUND($B$11-F275,2),2)&lt;=0),0,ROUND(H274-G275,2))</f>
        <v/>
      </c>
    </row>
    <row r="276">
      <c r="A276" s="6" t="n">
        <v>262</v>
      </c>
      <c r="B276" s="19">
        <f>DATE(YEAR(B8)+INT((MONTH(B8)-1+261)/12),MOD(MONTH(B8)-1+261,12)+1,1)+(DAY(B8)-1)</f>
        <v/>
      </c>
      <c r="C276" s="21">
        <f>ROUND(E275*B5/100/12,2)</f>
        <v/>
      </c>
      <c r="D276" s="21">
        <f>IF((OR(ROUND(E275-ROUND($B$10-C276,2),2)&lt;=0,262=B6)),E275,ROUND($B$10-C276,2))</f>
        <v/>
      </c>
      <c r="E276" s="21">
        <f>IF((OR(ROUND(E275-ROUND($B$10-C276,2),2)&lt;=0,262=B6)),0,ROUND(E275-D276,2))</f>
        <v/>
      </c>
      <c r="F276" s="21">
        <f>ROUND(H275*B5/100/12,2)</f>
        <v/>
      </c>
      <c r="G276" s="21">
        <f>IF((ROUND(H275-ROUND($B$11-F276,2),2)&lt;=0),H275,ROUND($B$11-F276,2))</f>
        <v/>
      </c>
      <c r="H276" s="21">
        <f>IF((ROUND(H275-ROUND($B$11-F276,2),2)&lt;=0),0,ROUND(H275-G276,2))</f>
        <v/>
      </c>
    </row>
    <row r="277">
      <c r="A277" s="6" t="n">
        <v>263</v>
      </c>
      <c r="B277" s="19">
        <f>DATE(YEAR(B8)+INT((MONTH(B8)-1+262)/12),MOD(MONTH(B8)-1+262,12)+1,1)+(DAY(B8)-1)</f>
        <v/>
      </c>
      <c r="C277" s="21">
        <f>ROUND(E276*B5/100/12,2)</f>
        <v/>
      </c>
      <c r="D277" s="21">
        <f>IF((OR(ROUND(E276-ROUND($B$10-C277,2),2)&lt;=0,263=B6)),E276,ROUND($B$10-C277,2))</f>
        <v/>
      </c>
      <c r="E277" s="21">
        <f>IF((OR(ROUND(E276-ROUND($B$10-C277,2),2)&lt;=0,263=B6)),0,ROUND(E276-D277,2))</f>
        <v/>
      </c>
      <c r="F277" s="21">
        <f>ROUND(H276*B5/100/12,2)</f>
        <v/>
      </c>
      <c r="G277" s="21">
        <f>IF((ROUND(H276-ROUND($B$11-F277,2),2)&lt;=0),H276,ROUND($B$11-F277,2))</f>
        <v/>
      </c>
      <c r="H277" s="21">
        <f>IF((ROUND(H276-ROUND($B$11-F277,2),2)&lt;=0),0,ROUND(H276-G277,2))</f>
        <v/>
      </c>
    </row>
    <row r="278">
      <c r="A278" s="6" t="n">
        <v>264</v>
      </c>
      <c r="B278" s="19">
        <f>DATE(YEAR(B8)+INT((MONTH(B8)-1+263)/12),MOD(MONTH(B8)-1+263,12)+1,1)+(DAY(B8)-1)</f>
        <v/>
      </c>
      <c r="C278" s="21">
        <f>ROUND(E277*B5/100/12,2)</f>
        <v/>
      </c>
      <c r="D278" s="21">
        <f>IF((OR(ROUND(E277-ROUND($B$10-C278,2),2)&lt;=0,264=B6)),E277,ROUND($B$10-C278,2))</f>
        <v/>
      </c>
      <c r="E278" s="21">
        <f>IF((OR(ROUND(E277-ROUND($B$10-C278,2),2)&lt;=0,264=B6)),0,ROUND(E277-D278,2))</f>
        <v/>
      </c>
      <c r="F278" s="21">
        <f>ROUND(H277*B5/100/12,2)</f>
        <v/>
      </c>
      <c r="G278" s="21">
        <f>IF((ROUND(H277-ROUND($B$11-F278,2),2)&lt;=0),H277,ROUND($B$11-F278,2))</f>
        <v/>
      </c>
      <c r="H278" s="21">
        <f>IF((ROUND(H277-ROUND($B$11-F278,2),2)&lt;=0),0,ROUND(H277-G278,2))</f>
        <v/>
      </c>
    </row>
    <row r="279">
      <c r="A279" s="6" t="n">
        <v>265</v>
      </c>
      <c r="B279" s="19">
        <f>DATE(YEAR(B8)+INT((MONTH(B8)-1+264)/12),MOD(MONTH(B8)-1+264,12)+1,1)+(DAY(B8)-1)</f>
        <v/>
      </c>
      <c r="C279" s="21">
        <f>ROUND(E278*B5/100/12,2)</f>
        <v/>
      </c>
      <c r="D279" s="21">
        <f>IF((OR(ROUND(E278-ROUND($B$10-C279,2),2)&lt;=0,265=B6)),E278,ROUND($B$10-C279,2))</f>
        <v/>
      </c>
      <c r="E279" s="21">
        <f>IF((OR(ROUND(E278-ROUND($B$10-C279,2),2)&lt;=0,265=B6)),0,ROUND(E278-D279,2))</f>
        <v/>
      </c>
      <c r="F279" s="21">
        <f>ROUND(H278*B5/100/12,2)</f>
        <v/>
      </c>
      <c r="G279" s="21">
        <f>IF((ROUND(H278-ROUND($B$11-F279,2),2)&lt;=0),H278,ROUND($B$11-F279,2))</f>
        <v/>
      </c>
      <c r="H279" s="21">
        <f>IF((ROUND(H278-ROUND($B$11-F279,2),2)&lt;=0),0,ROUND(H278-G279,2))</f>
        <v/>
      </c>
    </row>
    <row r="280">
      <c r="A280" s="6" t="n">
        <v>266</v>
      </c>
      <c r="B280" s="19">
        <f>DATE(YEAR(B8)+INT((MONTH(B8)-1+265)/12),MOD(MONTH(B8)-1+265,12)+1,1)+(DAY(B8)-1)</f>
        <v/>
      </c>
      <c r="C280" s="21">
        <f>ROUND(E279*B5/100/12,2)</f>
        <v/>
      </c>
      <c r="D280" s="21">
        <f>IF((OR(ROUND(E279-ROUND($B$10-C280,2),2)&lt;=0,266=B6)),E279,ROUND($B$10-C280,2))</f>
        <v/>
      </c>
      <c r="E280" s="21">
        <f>IF((OR(ROUND(E279-ROUND($B$10-C280,2),2)&lt;=0,266=B6)),0,ROUND(E279-D280,2))</f>
        <v/>
      </c>
      <c r="F280" s="21">
        <f>ROUND(H279*B5/100/12,2)</f>
        <v/>
      </c>
      <c r="G280" s="21">
        <f>IF((ROUND(H279-ROUND($B$11-F280,2),2)&lt;=0),H279,ROUND($B$11-F280,2))</f>
        <v/>
      </c>
      <c r="H280" s="21">
        <f>IF((ROUND(H279-ROUND($B$11-F280,2),2)&lt;=0),0,ROUND(H279-G280,2))</f>
        <v/>
      </c>
    </row>
    <row r="281">
      <c r="A281" s="6" t="n">
        <v>267</v>
      </c>
      <c r="B281" s="19">
        <f>DATE(YEAR(B8)+INT((MONTH(B8)-1+266)/12),MOD(MONTH(B8)-1+266,12)+1,1)+(DAY(B8)-1)</f>
        <v/>
      </c>
      <c r="C281" s="21">
        <f>ROUND(E280*B5/100/12,2)</f>
        <v/>
      </c>
      <c r="D281" s="21">
        <f>IF((OR(ROUND(E280-ROUND($B$10-C281,2),2)&lt;=0,267=B6)),E280,ROUND($B$10-C281,2))</f>
        <v/>
      </c>
      <c r="E281" s="21">
        <f>IF((OR(ROUND(E280-ROUND($B$10-C281,2),2)&lt;=0,267=B6)),0,ROUND(E280-D281,2))</f>
        <v/>
      </c>
      <c r="F281" s="21">
        <f>ROUND(H280*B5/100/12,2)</f>
        <v/>
      </c>
      <c r="G281" s="21">
        <f>IF((ROUND(H280-ROUND($B$11-F281,2),2)&lt;=0),H280,ROUND($B$11-F281,2))</f>
        <v/>
      </c>
      <c r="H281" s="21">
        <f>IF((ROUND(H280-ROUND($B$11-F281,2),2)&lt;=0),0,ROUND(H280-G281,2))</f>
        <v/>
      </c>
    </row>
    <row r="282">
      <c r="A282" s="6" t="n">
        <v>268</v>
      </c>
      <c r="B282" s="19">
        <f>DATE(YEAR(B8)+INT((MONTH(B8)-1+267)/12),MOD(MONTH(B8)-1+267,12)+1,1)+(DAY(B8)-1)</f>
        <v/>
      </c>
      <c r="C282" s="21">
        <f>ROUND(E281*B5/100/12,2)</f>
        <v/>
      </c>
      <c r="D282" s="21">
        <f>IF((OR(ROUND(E281-ROUND($B$10-C282,2),2)&lt;=0,268=B6)),E281,ROUND($B$10-C282,2))</f>
        <v/>
      </c>
      <c r="E282" s="21">
        <f>IF((OR(ROUND(E281-ROUND($B$10-C282,2),2)&lt;=0,268=B6)),0,ROUND(E281-D282,2))</f>
        <v/>
      </c>
      <c r="F282" s="21">
        <f>ROUND(H281*B5/100/12,2)</f>
        <v/>
      </c>
      <c r="G282" s="21">
        <f>IF((ROUND(H281-ROUND($B$11-F282,2),2)&lt;=0),H281,ROUND($B$11-F282,2))</f>
        <v/>
      </c>
      <c r="H282" s="21">
        <f>IF((ROUND(H281-ROUND($B$11-F282,2),2)&lt;=0),0,ROUND(H281-G282,2))</f>
        <v/>
      </c>
    </row>
    <row r="283">
      <c r="A283" s="6" t="n">
        <v>269</v>
      </c>
      <c r="B283" s="19">
        <f>DATE(YEAR(B8)+INT((MONTH(B8)-1+268)/12),MOD(MONTH(B8)-1+268,12)+1,1)+(DAY(B8)-1)</f>
        <v/>
      </c>
      <c r="C283" s="21">
        <f>ROUND(E282*B5/100/12,2)</f>
        <v/>
      </c>
      <c r="D283" s="21">
        <f>IF((OR(ROUND(E282-ROUND($B$10-C283,2),2)&lt;=0,269=B6)),E282,ROUND($B$10-C283,2))</f>
        <v/>
      </c>
      <c r="E283" s="21">
        <f>IF((OR(ROUND(E282-ROUND($B$10-C283,2),2)&lt;=0,269=B6)),0,ROUND(E282-D283,2))</f>
        <v/>
      </c>
      <c r="F283" s="21">
        <f>ROUND(H282*B5/100/12,2)</f>
        <v/>
      </c>
      <c r="G283" s="21">
        <f>IF((ROUND(H282-ROUND($B$11-F283,2),2)&lt;=0),H282,ROUND($B$11-F283,2))</f>
        <v/>
      </c>
      <c r="H283" s="21">
        <f>IF((ROUND(H282-ROUND($B$11-F283,2),2)&lt;=0),0,ROUND(H282-G283,2))</f>
        <v/>
      </c>
    </row>
    <row r="284">
      <c r="A284" s="6" t="n">
        <v>270</v>
      </c>
      <c r="B284" s="19">
        <f>DATE(YEAR(B8)+INT((MONTH(B8)-1+269)/12),MOD(MONTH(B8)-1+269,12)+1,1)+(DAY(B8)-1)</f>
        <v/>
      </c>
      <c r="C284" s="21">
        <f>ROUND(E283*B5/100/12,2)</f>
        <v/>
      </c>
      <c r="D284" s="21">
        <f>IF((OR(ROUND(E283-ROUND($B$10-C284,2),2)&lt;=0,270=B6)),E283,ROUND($B$10-C284,2))</f>
        <v/>
      </c>
      <c r="E284" s="21">
        <f>IF((OR(ROUND(E283-ROUND($B$10-C284,2),2)&lt;=0,270=B6)),0,ROUND(E283-D284,2))</f>
        <v/>
      </c>
      <c r="F284" s="21">
        <f>ROUND(H283*B5/100/12,2)</f>
        <v/>
      </c>
      <c r="G284" s="21">
        <f>IF((ROUND(H283-ROUND($B$11-F284,2),2)&lt;=0),H283,ROUND($B$11-F284,2))</f>
        <v/>
      </c>
      <c r="H284" s="21">
        <f>IF((ROUND(H283-ROUND($B$11-F284,2),2)&lt;=0),0,ROUND(H283-G284,2))</f>
        <v/>
      </c>
    </row>
    <row r="285">
      <c r="A285" s="6" t="n">
        <v>271</v>
      </c>
      <c r="B285" s="19">
        <f>DATE(YEAR(B8)+INT((MONTH(B8)-1+270)/12),MOD(MONTH(B8)-1+270,12)+1,1)+(DAY(B8)-1)</f>
        <v/>
      </c>
      <c r="C285" s="21">
        <f>ROUND(E284*B5/100/12,2)</f>
        <v/>
      </c>
      <c r="D285" s="21">
        <f>IF((OR(ROUND(E284-ROUND($B$10-C285,2),2)&lt;=0,271=B6)),E284,ROUND($B$10-C285,2))</f>
        <v/>
      </c>
      <c r="E285" s="21">
        <f>IF((OR(ROUND(E284-ROUND($B$10-C285,2),2)&lt;=0,271=B6)),0,ROUND(E284-D285,2))</f>
        <v/>
      </c>
      <c r="F285" s="21">
        <f>ROUND(H284*B5/100/12,2)</f>
        <v/>
      </c>
      <c r="G285" s="21">
        <f>IF((ROUND(H284-ROUND($B$11-F285,2),2)&lt;=0),H284,ROUND($B$11-F285,2))</f>
        <v/>
      </c>
      <c r="H285" s="21">
        <f>IF((ROUND(H284-ROUND($B$11-F285,2),2)&lt;=0),0,ROUND(H284-G285,2))</f>
        <v/>
      </c>
    </row>
    <row r="286">
      <c r="A286" s="6" t="n">
        <v>272</v>
      </c>
      <c r="B286" s="19">
        <f>DATE(YEAR(B8)+INT((MONTH(B8)-1+271)/12),MOD(MONTH(B8)-1+271,12)+1,1)+(DAY(B8)-1)</f>
        <v/>
      </c>
      <c r="C286" s="21">
        <f>ROUND(E285*B5/100/12,2)</f>
        <v/>
      </c>
      <c r="D286" s="21">
        <f>IF((OR(ROUND(E285-ROUND($B$10-C286,2),2)&lt;=0,272=B6)),E285,ROUND($B$10-C286,2))</f>
        <v/>
      </c>
      <c r="E286" s="21">
        <f>IF((OR(ROUND(E285-ROUND($B$10-C286,2),2)&lt;=0,272=B6)),0,ROUND(E285-D286,2))</f>
        <v/>
      </c>
      <c r="F286" s="21">
        <f>ROUND(H285*B5/100/12,2)</f>
        <v/>
      </c>
      <c r="G286" s="21">
        <f>IF((ROUND(H285-ROUND($B$11-F286,2),2)&lt;=0),H285,ROUND($B$11-F286,2))</f>
        <v/>
      </c>
      <c r="H286" s="21">
        <f>IF((ROUND(H285-ROUND($B$11-F286,2),2)&lt;=0),0,ROUND(H285-G286,2))</f>
        <v/>
      </c>
    </row>
    <row r="287">
      <c r="A287" s="6" t="n">
        <v>273</v>
      </c>
      <c r="B287" s="19">
        <f>DATE(YEAR(B8)+INT((MONTH(B8)-1+272)/12),MOD(MONTH(B8)-1+272,12)+1,1)+(DAY(B8)-1)</f>
        <v/>
      </c>
      <c r="C287" s="21">
        <f>ROUND(E286*B5/100/12,2)</f>
        <v/>
      </c>
      <c r="D287" s="21">
        <f>IF((OR(ROUND(E286-ROUND($B$10-C287,2),2)&lt;=0,273=B6)),E286,ROUND($B$10-C287,2))</f>
        <v/>
      </c>
      <c r="E287" s="21">
        <f>IF((OR(ROUND(E286-ROUND($B$10-C287,2),2)&lt;=0,273=B6)),0,ROUND(E286-D287,2))</f>
        <v/>
      </c>
      <c r="F287" s="21">
        <f>ROUND(H286*B5/100/12,2)</f>
        <v/>
      </c>
      <c r="G287" s="21">
        <f>IF((ROUND(H286-ROUND($B$11-F287,2),2)&lt;=0),H286,ROUND($B$11-F287,2))</f>
        <v/>
      </c>
      <c r="H287" s="21">
        <f>IF((ROUND(H286-ROUND($B$11-F287,2),2)&lt;=0),0,ROUND(H286-G287,2))</f>
        <v/>
      </c>
    </row>
    <row r="288">
      <c r="A288" s="6" t="n">
        <v>274</v>
      </c>
      <c r="B288" s="19">
        <f>DATE(YEAR(B8)+INT((MONTH(B8)-1+273)/12),MOD(MONTH(B8)-1+273,12)+1,1)+(DAY(B8)-1)</f>
        <v/>
      </c>
      <c r="C288" s="21">
        <f>ROUND(E287*B5/100/12,2)</f>
        <v/>
      </c>
      <c r="D288" s="21">
        <f>IF((OR(ROUND(E287-ROUND($B$10-C288,2),2)&lt;=0,274=B6)),E287,ROUND($B$10-C288,2))</f>
        <v/>
      </c>
      <c r="E288" s="21">
        <f>IF((OR(ROUND(E287-ROUND($B$10-C288,2),2)&lt;=0,274=B6)),0,ROUND(E287-D288,2))</f>
        <v/>
      </c>
      <c r="F288" s="21">
        <f>ROUND(H287*B5/100/12,2)</f>
        <v/>
      </c>
      <c r="G288" s="21">
        <f>IF((ROUND(H287-ROUND($B$11-F288,2),2)&lt;=0),H287,ROUND($B$11-F288,2))</f>
        <v/>
      </c>
      <c r="H288" s="21">
        <f>IF((ROUND(H287-ROUND($B$11-F288,2),2)&lt;=0),0,ROUND(H287-G288,2))</f>
        <v/>
      </c>
    </row>
    <row r="289">
      <c r="A289" s="6" t="n">
        <v>275</v>
      </c>
      <c r="B289" s="19">
        <f>DATE(YEAR(B8)+INT((MONTH(B8)-1+274)/12),MOD(MONTH(B8)-1+274,12)+1,1)+(DAY(B8)-1)</f>
        <v/>
      </c>
      <c r="C289" s="21">
        <f>ROUND(E288*B5/100/12,2)</f>
        <v/>
      </c>
      <c r="D289" s="21">
        <f>IF((OR(ROUND(E288-ROUND($B$10-C289,2),2)&lt;=0,275=B6)),E288,ROUND($B$10-C289,2))</f>
        <v/>
      </c>
      <c r="E289" s="21">
        <f>IF((OR(ROUND(E288-ROUND($B$10-C289,2),2)&lt;=0,275=B6)),0,ROUND(E288-D289,2))</f>
        <v/>
      </c>
      <c r="F289" s="21">
        <f>ROUND(H288*B5/100/12,2)</f>
        <v/>
      </c>
      <c r="G289" s="21">
        <f>IF((ROUND(H288-ROUND($B$11-F289,2),2)&lt;=0),H288,ROUND($B$11-F289,2))</f>
        <v/>
      </c>
      <c r="H289" s="21">
        <f>IF((ROUND(H288-ROUND($B$11-F289,2),2)&lt;=0),0,ROUND(H288-G289,2))</f>
        <v/>
      </c>
    </row>
    <row r="290">
      <c r="A290" s="6" t="n">
        <v>276</v>
      </c>
      <c r="B290" s="19">
        <f>DATE(YEAR(B8)+INT((MONTH(B8)-1+275)/12),MOD(MONTH(B8)-1+275,12)+1,1)+(DAY(B8)-1)</f>
        <v/>
      </c>
      <c r="C290" s="21">
        <f>ROUND(E289*B5/100/12,2)</f>
        <v/>
      </c>
      <c r="D290" s="21">
        <f>IF((OR(ROUND(E289-ROUND($B$10-C290,2),2)&lt;=0,276=B6)),E289,ROUND($B$10-C290,2))</f>
        <v/>
      </c>
      <c r="E290" s="21">
        <f>IF((OR(ROUND(E289-ROUND($B$10-C290,2),2)&lt;=0,276=B6)),0,ROUND(E289-D290,2))</f>
        <v/>
      </c>
      <c r="F290" s="21">
        <f>ROUND(H289*B5/100/12,2)</f>
        <v/>
      </c>
      <c r="G290" s="21">
        <f>IF((ROUND(H289-ROUND($B$11-F290,2),2)&lt;=0),H289,ROUND($B$11-F290,2))</f>
        <v/>
      </c>
      <c r="H290" s="21">
        <f>IF((ROUND(H289-ROUND($B$11-F290,2),2)&lt;=0),0,ROUND(H289-G290,2))</f>
        <v/>
      </c>
    </row>
    <row r="291">
      <c r="A291" s="6" t="n">
        <v>277</v>
      </c>
      <c r="B291" s="19">
        <f>DATE(YEAR(B8)+INT((MONTH(B8)-1+276)/12),MOD(MONTH(B8)-1+276,12)+1,1)+(DAY(B8)-1)</f>
        <v/>
      </c>
      <c r="C291" s="21">
        <f>ROUND(E290*B5/100/12,2)</f>
        <v/>
      </c>
      <c r="D291" s="21">
        <f>IF((OR(ROUND(E290-ROUND($B$10-C291,2),2)&lt;=0,277=B6)),E290,ROUND($B$10-C291,2))</f>
        <v/>
      </c>
      <c r="E291" s="21">
        <f>IF((OR(ROUND(E290-ROUND($B$10-C291,2),2)&lt;=0,277=B6)),0,ROUND(E290-D291,2))</f>
        <v/>
      </c>
      <c r="F291" s="21">
        <f>ROUND(H290*B5/100/12,2)</f>
        <v/>
      </c>
      <c r="G291" s="21">
        <f>IF((ROUND(H290-ROUND($B$11-F291,2),2)&lt;=0),H290,ROUND($B$11-F291,2))</f>
        <v/>
      </c>
      <c r="H291" s="21">
        <f>IF((ROUND(H290-ROUND($B$11-F291,2),2)&lt;=0),0,ROUND(H290-G291,2))</f>
        <v/>
      </c>
    </row>
    <row r="292">
      <c r="A292" s="6" t="n">
        <v>278</v>
      </c>
      <c r="B292" s="19">
        <f>DATE(YEAR(B8)+INT((MONTH(B8)-1+277)/12),MOD(MONTH(B8)-1+277,12)+1,1)+(DAY(B8)-1)</f>
        <v/>
      </c>
      <c r="C292" s="21">
        <f>ROUND(E291*B5/100/12,2)</f>
        <v/>
      </c>
      <c r="D292" s="21">
        <f>IF((OR(ROUND(E291-ROUND($B$10-C292,2),2)&lt;=0,278=B6)),E291,ROUND($B$10-C292,2))</f>
        <v/>
      </c>
      <c r="E292" s="21">
        <f>IF((OR(ROUND(E291-ROUND($B$10-C292,2),2)&lt;=0,278=B6)),0,ROUND(E291-D292,2))</f>
        <v/>
      </c>
      <c r="F292" s="21">
        <f>ROUND(H291*B5/100/12,2)</f>
        <v/>
      </c>
      <c r="G292" s="21">
        <f>IF((ROUND(H291-ROUND($B$11-F292,2),2)&lt;=0),H291,ROUND($B$11-F292,2))</f>
        <v/>
      </c>
      <c r="H292" s="21">
        <f>IF((ROUND(H291-ROUND($B$11-F292,2),2)&lt;=0),0,ROUND(H291-G292,2))</f>
        <v/>
      </c>
    </row>
    <row r="293">
      <c r="A293" s="6" t="n">
        <v>279</v>
      </c>
      <c r="B293" s="19">
        <f>DATE(YEAR(B8)+INT((MONTH(B8)-1+278)/12),MOD(MONTH(B8)-1+278,12)+1,1)+(DAY(B8)-1)</f>
        <v/>
      </c>
      <c r="C293" s="21">
        <f>ROUND(E292*B5/100/12,2)</f>
        <v/>
      </c>
      <c r="D293" s="21">
        <f>IF((OR(ROUND(E292-ROUND($B$10-C293,2),2)&lt;=0,279=B6)),E292,ROUND($B$10-C293,2))</f>
        <v/>
      </c>
      <c r="E293" s="21">
        <f>IF((OR(ROUND(E292-ROUND($B$10-C293,2),2)&lt;=0,279=B6)),0,ROUND(E292-D293,2))</f>
        <v/>
      </c>
      <c r="F293" s="21">
        <f>ROUND(H292*B5/100/12,2)</f>
        <v/>
      </c>
      <c r="G293" s="21">
        <f>IF((ROUND(H292-ROUND($B$11-F293,2),2)&lt;=0),H292,ROUND($B$11-F293,2))</f>
        <v/>
      </c>
      <c r="H293" s="21">
        <f>IF((ROUND(H292-ROUND($B$11-F293,2),2)&lt;=0),0,ROUND(H292-G293,2))</f>
        <v/>
      </c>
    </row>
    <row r="294">
      <c r="A294" s="6" t="n">
        <v>280</v>
      </c>
      <c r="B294" s="19">
        <f>DATE(YEAR(B8)+INT((MONTH(B8)-1+279)/12),MOD(MONTH(B8)-1+279,12)+1,1)+(DAY(B8)-1)</f>
        <v/>
      </c>
      <c r="C294" s="21">
        <f>ROUND(E293*B5/100/12,2)</f>
        <v/>
      </c>
      <c r="D294" s="21">
        <f>IF((OR(ROUND(E293-ROUND($B$10-C294,2),2)&lt;=0,280=B6)),E293,ROUND($B$10-C294,2))</f>
        <v/>
      </c>
      <c r="E294" s="21">
        <f>IF((OR(ROUND(E293-ROUND($B$10-C294,2),2)&lt;=0,280=B6)),0,ROUND(E293-D294,2))</f>
        <v/>
      </c>
      <c r="F294" s="21">
        <f>ROUND(H293*B5/100/12,2)</f>
        <v/>
      </c>
      <c r="G294" s="21">
        <f>IF((ROUND(H293-ROUND($B$11-F294,2),2)&lt;=0),H293,ROUND($B$11-F294,2))</f>
        <v/>
      </c>
      <c r="H294" s="21">
        <f>IF((ROUND(H293-ROUND($B$11-F294,2),2)&lt;=0),0,ROUND(H293-G294,2))</f>
        <v/>
      </c>
    </row>
    <row r="295">
      <c r="A295" s="6" t="n">
        <v>281</v>
      </c>
      <c r="B295" s="19">
        <f>DATE(YEAR(B8)+INT((MONTH(B8)-1+280)/12),MOD(MONTH(B8)-1+280,12)+1,1)+(DAY(B8)-1)</f>
        <v/>
      </c>
      <c r="C295" s="21">
        <f>ROUND(E294*B5/100/12,2)</f>
        <v/>
      </c>
      <c r="D295" s="21">
        <f>IF((OR(ROUND(E294-ROUND($B$10-C295,2),2)&lt;=0,281=B6)),E294,ROUND($B$10-C295,2))</f>
        <v/>
      </c>
      <c r="E295" s="21">
        <f>IF((OR(ROUND(E294-ROUND($B$10-C295,2),2)&lt;=0,281=B6)),0,ROUND(E294-D295,2))</f>
        <v/>
      </c>
      <c r="F295" s="21">
        <f>ROUND(H294*B5/100/12,2)</f>
        <v/>
      </c>
      <c r="G295" s="21">
        <f>IF((ROUND(H294-ROUND($B$11-F295,2),2)&lt;=0),H294,ROUND($B$11-F295,2))</f>
        <v/>
      </c>
      <c r="H295" s="21">
        <f>IF((ROUND(H294-ROUND($B$11-F295,2),2)&lt;=0),0,ROUND(H294-G295,2))</f>
        <v/>
      </c>
    </row>
    <row r="296">
      <c r="A296" s="6" t="n">
        <v>282</v>
      </c>
      <c r="B296" s="19">
        <f>DATE(YEAR(B8)+INT((MONTH(B8)-1+281)/12),MOD(MONTH(B8)-1+281,12)+1,1)+(DAY(B8)-1)</f>
        <v/>
      </c>
      <c r="C296" s="21">
        <f>ROUND(E295*B5/100/12,2)</f>
        <v/>
      </c>
      <c r="D296" s="21">
        <f>IF((OR(ROUND(E295-ROUND($B$10-C296,2),2)&lt;=0,282=B6)),E295,ROUND($B$10-C296,2))</f>
        <v/>
      </c>
      <c r="E296" s="21">
        <f>IF((OR(ROUND(E295-ROUND($B$10-C296,2),2)&lt;=0,282=B6)),0,ROUND(E295-D296,2))</f>
        <v/>
      </c>
      <c r="F296" s="21">
        <f>ROUND(H295*B5/100/12,2)</f>
        <v/>
      </c>
      <c r="G296" s="21">
        <f>IF((ROUND(H295-ROUND($B$11-F296,2),2)&lt;=0),H295,ROUND($B$11-F296,2))</f>
        <v/>
      </c>
      <c r="H296" s="21">
        <f>IF((ROUND(H295-ROUND($B$11-F296,2),2)&lt;=0),0,ROUND(H295-G296,2))</f>
        <v/>
      </c>
    </row>
    <row r="297">
      <c r="A297" s="6" t="n">
        <v>283</v>
      </c>
      <c r="B297" s="19">
        <f>DATE(YEAR(B8)+INT((MONTH(B8)-1+282)/12),MOD(MONTH(B8)-1+282,12)+1,1)+(DAY(B8)-1)</f>
        <v/>
      </c>
      <c r="C297" s="21">
        <f>ROUND(E296*B5/100/12,2)</f>
        <v/>
      </c>
      <c r="D297" s="21">
        <f>IF((OR(ROUND(E296-ROUND($B$10-C297,2),2)&lt;=0,283=B6)),E296,ROUND($B$10-C297,2))</f>
        <v/>
      </c>
      <c r="E297" s="21">
        <f>IF((OR(ROUND(E296-ROUND($B$10-C297,2),2)&lt;=0,283=B6)),0,ROUND(E296-D297,2))</f>
        <v/>
      </c>
      <c r="F297" s="21">
        <f>ROUND(H296*B5/100/12,2)</f>
        <v/>
      </c>
      <c r="G297" s="21">
        <f>IF((ROUND(H296-ROUND($B$11-F297,2),2)&lt;=0),H296,ROUND($B$11-F297,2))</f>
        <v/>
      </c>
      <c r="H297" s="21">
        <f>IF((ROUND(H296-ROUND($B$11-F297,2),2)&lt;=0),0,ROUND(H296-G297,2))</f>
        <v/>
      </c>
    </row>
    <row r="298">
      <c r="A298" s="6" t="n">
        <v>284</v>
      </c>
      <c r="B298" s="19">
        <f>DATE(YEAR(B8)+INT((MONTH(B8)-1+283)/12),MOD(MONTH(B8)-1+283,12)+1,1)+(DAY(B8)-1)</f>
        <v/>
      </c>
      <c r="C298" s="21">
        <f>ROUND(E297*B5/100/12,2)</f>
        <v/>
      </c>
      <c r="D298" s="21">
        <f>IF((OR(ROUND(E297-ROUND($B$10-C298,2),2)&lt;=0,284=B6)),E297,ROUND($B$10-C298,2))</f>
        <v/>
      </c>
      <c r="E298" s="21">
        <f>IF((OR(ROUND(E297-ROUND($B$10-C298,2),2)&lt;=0,284=B6)),0,ROUND(E297-D298,2))</f>
        <v/>
      </c>
      <c r="F298" s="21">
        <f>ROUND(H297*B5/100/12,2)</f>
        <v/>
      </c>
      <c r="G298" s="21">
        <f>IF((ROUND(H297-ROUND($B$11-F298,2),2)&lt;=0),H297,ROUND($B$11-F298,2))</f>
        <v/>
      </c>
      <c r="H298" s="21">
        <f>IF((ROUND(H297-ROUND($B$11-F298,2),2)&lt;=0),0,ROUND(H297-G298,2))</f>
        <v/>
      </c>
    </row>
    <row r="299">
      <c r="A299" s="6" t="n">
        <v>285</v>
      </c>
      <c r="B299" s="19">
        <f>DATE(YEAR(B8)+INT((MONTH(B8)-1+284)/12),MOD(MONTH(B8)-1+284,12)+1,1)+(DAY(B8)-1)</f>
        <v/>
      </c>
      <c r="C299" s="21">
        <f>ROUND(E298*B5/100/12,2)</f>
        <v/>
      </c>
      <c r="D299" s="21">
        <f>IF((OR(ROUND(E298-ROUND($B$10-C299,2),2)&lt;=0,285=B6)),E298,ROUND($B$10-C299,2))</f>
        <v/>
      </c>
      <c r="E299" s="21">
        <f>IF((OR(ROUND(E298-ROUND($B$10-C299,2),2)&lt;=0,285=B6)),0,ROUND(E298-D299,2))</f>
        <v/>
      </c>
      <c r="F299" s="21">
        <f>ROUND(H298*B5/100/12,2)</f>
        <v/>
      </c>
      <c r="G299" s="21">
        <f>IF((ROUND(H298-ROUND($B$11-F299,2),2)&lt;=0),H298,ROUND($B$11-F299,2))</f>
        <v/>
      </c>
      <c r="H299" s="21">
        <f>IF((ROUND(H298-ROUND($B$11-F299,2),2)&lt;=0),0,ROUND(H298-G299,2))</f>
        <v/>
      </c>
    </row>
    <row r="300">
      <c r="A300" s="6" t="n">
        <v>286</v>
      </c>
      <c r="B300" s="19">
        <f>DATE(YEAR(B8)+INT((MONTH(B8)-1+285)/12),MOD(MONTH(B8)-1+285,12)+1,1)+(DAY(B8)-1)</f>
        <v/>
      </c>
      <c r="C300" s="21">
        <f>ROUND(E299*B5/100/12,2)</f>
        <v/>
      </c>
      <c r="D300" s="21">
        <f>IF((OR(ROUND(E299-ROUND($B$10-C300,2),2)&lt;=0,286=B6)),E299,ROUND($B$10-C300,2))</f>
        <v/>
      </c>
      <c r="E300" s="21">
        <f>IF((OR(ROUND(E299-ROUND($B$10-C300,2),2)&lt;=0,286=B6)),0,ROUND(E299-D300,2))</f>
        <v/>
      </c>
      <c r="F300" s="21">
        <f>ROUND(H299*B5/100/12,2)</f>
        <v/>
      </c>
      <c r="G300" s="21">
        <f>IF((ROUND(H299-ROUND($B$11-F300,2),2)&lt;=0),H299,ROUND($B$11-F300,2))</f>
        <v/>
      </c>
      <c r="H300" s="21">
        <f>IF((ROUND(H299-ROUND($B$11-F300,2),2)&lt;=0),0,ROUND(H299-G300,2))</f>
        <v/>
      </c>
    </row>
    <row r="301">
      <c r="A301" s="6" t="n">
        <v>287</v>
      </c>
      <c r="B301" s="19">
        <f>DATE(YEAR(B8)+INT((MONTH(B8)-1+286)/12),MOD(MONTH(B8)-1+286,12)+1,1)+(DAY(B8)-1)</f>
        <v/>
      </c>
      <c r="C301" s="21">
        <f>ROUND(E300*B5/100/12,2)</f>
        <v/>
      </c>
      <c r="D301" s="21">
        <f>IF((OR(ROUND(E300-ROUND($B$10-C301,2),2)&lt;=0,287=B6)),E300,ROUND($B$10-C301,2))</f>
        <v/>
      </c>
      <c r="E301" s="21">
        <f>IF((OR(ROUND(E300-ROUND($B$10-C301,2),2)&lt;=0,287=B6)),0,ROUND(E300-D301,2))</f>
        <v/>
      </c>
      <c r="F301" s="21">
        <f>ROUND(H300*B5/100/12,2)</f>
        <v/>
      </c>
      <c r="G301" s="21">
        <f>IF((ROUND(H300-ROUND($B$11-F301,2),2)&lt;=0),H300,ROUND($B$11-F301,2))</f>
        <v/>
      </c>
      <c r="H301" s="21">
        <f>IF((ROUND(H300-ROUND($B$11-F301,2),2)&lt;=0),0,ROUND(H300-G301,2))</f>
        <v/>
      </c>
    </row>
    <row r="302">
      <c r="A302" s="6" t="n">
        <v>288</v>
      </c>
      <c r="B302" s="19">
        <f>DATE(YEAR(B8)+INT((MONTH(B8)-1+287)/12),MOD(MONTH(B8)-1+287,12)+1,1)+(DAY(B8)-1)</f>
        <v/>
      </c>
      <c r="C302" s="21">
        <f>ROUND(E301*B5/100/12,2)</f>
        <v/>
      </c>
      <c r="D302" s="21">
        <f>IF((OR(ROUND(E301-ROUND($B$10-C302,2),2)&lt;=0,288=B6)),E301,ROUND($B$10-C302,2))</f>
        <v/>
      </c>
      <c r="E302" s="21">
        <f>IF((OR(ROUND(E301-ROUND($B$10-C302,2),2)&lt;=0,288=B6)),0,ROUND(E301-D302,2))</f>
        <v/>
      </c>
      <c r="F302" s="21">
        <f>ROUND(H301*B5/100/12,2)</f>
        <v/>
      </c>
      <c r="G302" s="21">
        <f>IF((ROUND(H301-ROUND($B$11-F302,2),2)&lt;=0),H301,ROUND($B$11-F302,2))</f>
        <v/>
      </c>
      <c r="H302" s="21">
        <f>IF((ROUND(H301-ROUND($B$11-F302,2),2)&lt;=0),0,ROUND(H301-G302,2))</f>
        <v/>
      </c>
    </row>
    <row r="303">
      <c r="A303" s="6" t="n">
        <v>289</v>
      </c>
      <c r="B303" s="19">
        <f>DATE(YEAR(B8)+INT((MONTH(B8)-1+288)/12),MOD(MONTH(B8)-1+288,12)+1,1)+(DAY(B8)-1)</f>
        <v/>
      </c>
      <c r="C303" s="21">
        <f>ROUND(E302*B5/100/12,2)</f>
        <v/>
      </c>
      <c r="D303" s="21">
        <f>IF((OR(ROUND(E302-ROUND($B$10-C303,2),2)&lt;=0,289=B6)),E302,ROUND($B$10-C303,2))</f>
        <v/>
      </c>
      <c r="E303" s="21">
        <f>IF((OR(ROUND(E302-ROUND($B$10-C303,2),2)&lt;=0,289=B6)),0,ROUND(E302-D303,2))</f>
        <v/>
      </c>
      <c r="F303" s="21">
        <f>ROUND(H302*B5/100/12,2)</f>
        <v/>
      </c>
      <c r="G303" s="21">
        <f>IF((ROUND(H302-ROUND($B$11-F303,2),2)&lt;=0),H302,ROUND($B$11-F303,2))</f>
        <v/>
      </c>
      <c r="H303" s="21">
        <f>IF((ROUND(H302-ROUND($B$11-F303,2),2)&lt;=0),0,ROUND(H302-G303,2))</f>
        <v/>
      </c>
    </row>
    <row r="304">
      <c r="A304" s="6" t="n">
        <v>290</v>
      </c>
      <c r="B304" s="19">
        <f>DATE(YEAR(B8)+INT((MONTH(B8)-1+289)/12),MOD(MONTH(B8)-1+289,12)+1,1)+(DAY(B8)-1)</f>
        <v/>
      </c>
      <c r="C304" s="21">
        <f>ROUND(E303*B5/100/12,2)</f>
        <v/>
      </c>
      <c r="D304" s="21">
        <f>IF((OR(ROUND(E303-ROUND($B$10-C304,2),2)&lt;=0,290=B6)),E303,ROUND($B$10-C304,2))</f>
        <v/>
      </c>
      <c r="E304" s="21">
        <f>IF((OR(ROUND(E303-ROUND($B$10-C304,2),2)&lt;=0,290=B6)),0,ROUND(E303-D304,2))</f>
        <v/>
      </c>
      <c r="F304" s="21">
        <f>ROUND(H303*B5/100/12,2)</f>
        <v/>
      </c>
      <c r="G304" s="21">
        <f>IF((ROUND(H303-ROUND($B$11-F304,2),2)&lt;=0),H303,ROUND($B$11-F304,2))</f>
        <v/>
      </c>
      <c r="H304" s="21">
        <f>IF((ROUND(H303-ROUND($B$11-F304,2),2)&lt;=0),0,ROUND(H303-G304,2))</f>
        <v/>
      </c>
    </row>
    <row r="305">
      <c r="A305" s="6" t="n">
        <v>291</v>
      </c>
      <c r="B305" s="19">
        <f>DATE(YEAR(B8)+INT((MONTH(B8)-1+290)/12),MOD(MONTH(B8)-1+290,12)+1,1)+(DAY(B8)-1)</f>
        <v/>
      </c>
      <c r="C305" s="21">
        <f>ROUND(E304*B5/100/12,2)</f>
        <v/>
      </c>
      <c r="D305" s="21">
        <f>IF((OR(ROUND(E304-ROUND($B$10-C305,2),2)&lt;=0,291=B6)),E304,ROUND($B$10-C305,2))</f>
        <v/>
      </c>
      <c r="E305" s="21">
        <f>IF((OR(ROUND(E304-ROUND($B$10-C305,2),2)&lt;=0,291=B6)),0,ROUND(E304-D305,2))</f>
        <v/>
      </c>
      <c r="F305" s="21">
        <f>ROUND(H304*B5/100/12,2)</f>
        <v/>
      </c>
      <c r="G305" s="21">
        <f>IF((ROUND(H304-ROUND($B$11-F305,2),2)&lt;=0),H304,ROUND($B$11-F305,2))</f>
        <v/>
      </c>
      <c r="H305" s="21">
        <f>IF((ROUND(H304-ROUND($B$11-F305,2),2)&lt;=0),0,ROUND(H304-G305,2))</f>
        <v/>
      </c>
    </row>
    <row r="306">
      <c r="A306" s="6" t="n">
        <v>292</v>
      </c>
      <c r="B306" s="19">
        <f>DATE(YEAR(B8)+INT((MONTH(B8)-1+291)/12),MOD(MONTH(B8)-1+291,12)+1,1)+(DAY(B8)-1)</f>
        <v/>
      </c>
      <c r="C306" s="21">
        <f>ROUND(E305*B5/100/12,2)</f>
        <v/>
      </c>
      <c r="D306" s="21">
        <f>IF((OR(ROUND(E305-ROUND($B$10-C306,2),2)&lt;=0,292=B6)),E305,ROUND($B$10-C306,2))</f>
        <v/>
      </c>
      <c r="E306" s="21">
        <f>IF((OR(ROUND(E305-ROUND($B$10-C306,2),2)&lt;=0,292=B6)),0,ROUND(E305-D306,2))</f>
        <v/>
      </c>
      <c r="F306" s="21">
        <f>ROUND(H305*B5/100/12,2)</f>
        <v/>
      </c>
      <c r="G306" s="21">
        <f>IF((ROUND(H305-ROUND($B$11-F306,2),2)&lt;=0),H305,ROUND($B$11-F306,2))</f>
        <v/>
      </c>
      <c r="H306" s="21">
        <f>IF((ROUND(H305-ROUND($B$11-F306,2),2)&lt;=0),0,ROUND(H305-G306,2))</f>
        <v/>
      </c>
    </row>
    <row r="307">
      <c r="A307" s="6" t="n">
        <v>293</v>
      </c>
      <c r="B307" s="19">
        <f>DATE(YEAR(B8)+INT((MONTH(B8)-1+292)/12),MOD(MONTH(B8)-1+292,12)+1,1)+(DAY(B8)-1)</f>
        <v/>
      </c>
      <c r="C307" s="21">
        <f>ROUND(E306*B5/100/12,2)</f>
        <v/>
      </c>
      <c r="D307" s="21">
        <f>IF((OR(ROUND(E306-ROUND($B$10-C307,2),2)&lt;=0,293=B6)),E306,ROUND($B$10-C307,2))</f>
        <v/>
      </c>
      <c r="E307" s="21">
        <f>IF((OR(ROUND(E306-ROUND($B$10-C307,2),2)&lt;=0,293=B6)),0,ROUND(E306-D307,2))</f>
        <v/>
      </c>
      <c r="F307" s="21">
        <f>ROUND(H306*B5/100/12,2)</f>
        <v/>
      </c>
      <c r="G307" s="21">
        <f>IF((ROUND(H306-ROUND($B$11-F307,2),2)&lt;=0),H306,ROUND($B$11-F307,2))</f>
        <v/>
      </c>
      <c r="H307" s="21">
        <f>IF((ROUND(H306-ROUND($B$11-F307,2),2)&lt;=0),0,ROUND(H306-G307,2))</f>
        <v/>
      </c>
    </row>
    <row r="308">
      <c r="A308" s="6" t="n">
        <v>294</v>
      </c>
      <c r="B308" s="19">
        <f>DATE(YEAR(B8)+INT((MONTH(B8)-1+293)/12),MOD(MONTH(B8)-1+293,12)+1,1)+(DAY(B8)-1)</f>
        <v/>
      </c>
      <c r="C308" s="21">
        <f>ROUND(E307*B5/100/12,2)</f>
        <v/>
      </c>
      <c r="D308" s="21">
        <f>IF((OR(ROUND(E307-ROUND($B$10-C308,2),2)&lt;=0,294=B6)),E307,ROUND($B$10-C308,2))</f>
        <v/>
      </c>
      <c r="E308" s="21">
        <f>IF((OR(ROUND(E307-ROUND($B$10-C308,2),2)&lt;=0,294=B6)),0,ROUND(E307-D308,2))</f>
        <v/>
      </c>
      <c r="F308" s="21">
        <f>ROUND(H307*B5/100/12,2)</f>
        <v/>
      </c>
      <c r="G308" s="21">
        <f>IF((ROUND(H307-ROUND($B$11-F308,2),2)&lt;=0),H307,ROUND($B$11-F308,2))</f>
        <v/>
      </c>
      <c r="H308" s="21">
        <f>IF((ROUND(H307-ROUND($B$11-F308,2),2)&lt;=0),0,ROUND(H307-G308,2))</f>
        <v/>
      </c>
    </row>
    <row r="309">
      <c r="A309" s="6" t="n">
        <v>295</v>
      </c>
      <c r="B309" s="19">
        <f>DATE(YEAR(B8)+INT((MONTH(B8)-1+294)/12),MOD(MONTH(B8)-1+294,12)+1,1)+(DAY(B8)-1)</f>
        <v/>
      </c>
      <c r="C309" s="21">
        <f>ROUND(E308*B5/100/12,2)</f>
        <v/>
      </c>
      <c r="D309" s="21">
        <f>IF((OR(ROUND(E308-ROUND($B$10-C309,2),2)&lt;=0,295=B6)),E308,ROUND($B$10-C309,2))</f>
        <v/>
      </c>
      <c r="E309" s="21">
        <f>IF((OR(ROUND(E308-ROUND($B$10-C309,2),2)&lt;=0,295=B6)),0,ROUND(E308-D309,2))</f>
        <v/>
      </c>
      <c r="F309" s="21">
        <f>ROUND(H308*B5/100/12,2)</f>
        <v/>
      </c>
      <c r="G309" s="21">
        <f>IF((ROUND(H308-ROUND($B$11-F309,2),2)&lt;=0),H308,ROUND($B$11-F309,2))</f>
        <v/>
      </c>
      <c r="H309" s="21">
        <f>IF((ROUND(H308-ROUND($B$11-F309,2),2)&lt;=0),0,ROUND(H308-G309,2))</f>
        <v/>
      </c>
    </row>
    <row r="310">
      <c r="A310" s="6" t="n">
        <v>296</v>
      </c>
      <c r="B310" s="19">
        <f>DATE(YEAR(B8)+INT((MONTH(B8)-1+295)/12),MOD(MONTH(B8)-1+295,12)+1,1)+(DAY(B8)-1)</f>
        <v/>
      </c>
      <c r="C310" s="21">
        <f>ROUND(E309*B5/100/12,2)</f>
        <v/>
      </c>
      <c r="D310" s="21">
        <f>IF((OR(ROUND(E309-ROUND($B$10-C310,2),2)&lt;=0,296=B6)),E309,ROUND($B$10-C310,2))</f>
        <v/>
      </c>
      <c r="E310" s="21">
        <f>IF((OR(ROUND(E309-ROUND($B$10-C310,2),2)&lt;=0,296=B6)),0,ROUND(E309-D310,2))</f>
        <v/>
      </c>
      <c r="F310" s="21">
        <f>ROUND(H309*B5/100/12,2)</f>
        <v/>
      </c>
      <c r="G310" s="21">
        <f>IF((ROUND(H309-ROUND($B$11-F310,2),2)&lt;=0),H309,ROUND($B$11-F310,2))</f>
        <v/>
      </c>
      <c r="H310" s="21">
        <f>IF((ROUND(H309-ROUND($B$11-F310,2),2)&lt;=0),0,ROUND(H309-G310,2))</f>
        <v/>
      </c>
    </row>
    <row r="311">
      <c r="A311" s="6" t="n">
        <v>297</v>
      </c>
      <c r="B311" s="19">
        <f>DATE(YEAR(B8)+INT((MONTH(B8)-1+296)/12),MOD(MONTH(B8)-1+296,12)+1,1)+(DAY(B8)-1)</f>
        <v/>
      </c>
      <c r="C311" s="21">
        <f>ROUND(E310*B5/100/12,2)</f>
        <v/>
      </c>
      <c r="D311" s="21">
        <f>IF((OR(ROUND(E310-ROUND($B$10-C311,2),2)&lt;=0,297=B6)),E310,ROUND($B$10-C311,2))</f>
        <v/>
      </c>
      <c r="E311" s="21">
        <f>IF((OR(ROUND(E310-ROUND($B$10-C311,2),2)&lt;=0,297=B6)),0,ROUND(E310-D311,2))</f>
        <v/>
      </c>
      <c r="F311" s="21">
        <f>ROUND(H310*B5/100/12,2)</f>
        <v/>
      </c>
      <c r="G311" s="21">
        <f>IF((ROUND(H310-ROUND($B$11-F311,2),2)&lt;=0),H310,ROUND($B$11-F311,2))</f>
        <v/>
      </c>
      <c r="H311" s="21">
        <f>IF((ROUND(H310-ROUND($B$11-F311,2),2)&lt;=0),0,ROUND(H310-G311,2))</f>
        <v/>
      </c>
    </row>
    <row r="312">
      <c r="A312" s="6" t="n">
        <v>298</v>
      </c>
      <c r="B312" s="19">
        <f>DATE(YEAR(B8)+INT((MONTH(B8)-1+297)/12),MOD(MONTH(B8)-1+297,12)+1,1)+(DAY(B8)-1)</f>
        <v/>
      </c>
      <c r="C312" s="21">
        <f>ROUND(E311*B5/100/12,2)</f>
        <v/>
      </c>
      <c r="D312" s="21">
        <f>IF((OR(ROUND(E311-ROUND($B$10-C312,2),2)&lt;=0,298=B6)),E311,ROUND($B$10-C312,2))</f>
        <v/>
      </c>
      <c r="E312" s="21">
        <f>IF((OR(ROUND(E311-ROUND($B$10-C312,2),2)&lt;=0,298=B6)),0,ROUND(E311-D312,2))</f>
        <v/>
      </c>
      <c r="F312" s="21">
        <f>ROUND(H311*B5/100/12,2)</f>
        <v/>
      </c>
      <c r="G312" s="21">
        <f>IF((ROUND(H311-ROUND($B$11-F312,2),2)&lt;=0),H311,ROUND($B$11-F312,2))</f>
        <v/>
      </c>
      <c r="H312" s="21">
        <f>IF((ROUND(H311-ROUND($B$11-F312,2),2)&lt;=0),0,ROUND(H311-G312,2))</f>
        <v/>
      </c>
    </row>
    <row r="313">
      <c r="A313" s="6" t="n">
        <v>299</v>
      </c>
      <c r="B313" s="19">
        <f>DATE(YEAR(B8)+INT((MONTH(B8)-1+298)/12),MOD(MONTH(B8)-1+298,12)+1,1)+(DAY(B8)-1)</f>
        <v/>
      </c>
      <c r="C313" s="21">
        <f>ROUND(E312*B5/100/12,2)</f>
        <v/>
      </c>
      <c r="D313" s="21">
        <f>IF((OR(ROUND(E312-ROUND($B$10-C313,2),2)&lt;=0,299=B6)),E312,ROUND($B$10-C313,2))</f>
        <v/>
      </c>
      <c r="E313" s="21">
        <f>IF((OR(ROUND(E312-ROUND($B$10-C313,2),2)&lt;=0,299=B6)),0,ROUND(E312-D313,2))</f>
        <v/>
      </c>
      <c r="F313" s="21">
        <f>ROUND(H312*B5/100/12,2)</f>
        <v/>
      </c>
      <c r="G313" s="21">
        <f>IF((ROUND(H312-ROUND($B$11-F313,2),2)&lt;=0),H312,ROUND($B$11-F313,2))</f>
        <v/>
      </c>
      <c r="H313" s="21">
        <f>IF((ROUND(H312-ROUND($B$11-F313,2),2)&lt;=0),0,ROUND(H312-G313,2))</f>
        <v/>
      </c>
    </row>
    <row r="314">
      <c r="A314" s="6" t="n">
        <v>300</v>
      </c>
      <c r="B314" s="19">
        <f>DATE(YEAR(B8)+INT((MONTH(B8)-1+299)/12),MOD(MONTH(B8)-1+299,12)+1,1)+(DAY(B8)-1)</f>
        <v/>
      </c>
      <c r="C314" s="21">
        <f>ROUND(E313*B5/100/12,2)</f>
        <v/>
      </c>
      <c r="D314" s="21">
        <f>IF((OR(ROUND(E313-ROUND($B$10-C314,2),2)&lt;=0,300=B6)),E313,ROUND($B$10-C314,2))</f>
        <v/>
      </c>
      <c r="E314" s="21">
        <f>IF((OR(ROUND(E313-ROUND($B$10-C314,2),2)&lt;=0,300=B6)),0,ROUND(E313-D314,2))</f>
        <v/>
      </c>
      <c r="F314" s="21">
        <f>ROUND(H313*B5/100/12,2)</f>
        <v/>
      </c>
      <c r="G314" s="21">
        <f>IF((ROUND(H313-ROUND($B$11-F314,2),2)&lt;=0),H313,ROUND($B$11-F314,2))</f>
        <v/>
      </c>
      <c r="H314" s="21">
        <f>IF((ROUND(H313-ROUND($B$11-F314,2),2)&lt;=0),0,ROUND(H313-G314,2))</f>
        <v/>
      </c>
    </row>
    <row r="315">
      <c r="A315" s="6" t="n">
        <v>301</v>
      </c>
      <c r="B315" s="19">
        <f>DATE(YEAR(B8)+INT((MONTH(B8)-1+300)/12),MOD(MONTH(B8)-1+300,12)+1,1)+(DAY(B8)-1)</f>
        <v/>
      </c>
      <c r="C315" s="21">
        <f>ROUND(E314*B5/100/12,2)</f>
        <v/>
      </c>
      <c r="D315" s="21">
        <f>IF((OR(ROUND(E314-ROUND($B$10-C315,2),2)&lt;=0,301=B6)),E314,ROUND($B$10-C315,2))</f>
        <v/>
      </c>
      <c r="E315" s="21">
        <f>IF((OR(ROUND(E314-ROUND($B$10-C315,2),2)&lt;=0,301=B6)),0,ROUND(E314-D315,2))</f>
        <v/>
      </c>
      <c r="F315" s="21">
        <f>ROUND(H314*B5/100/12,2)</f>
        <v/>
      </c>
      <c r="G315" s="21">
        <f>IF((ROUND(H314-ROUND($B$11-F315,2),2)&lt;=0),H314,ROUND($B$11-F315,2))</f>
        <v/>
      </c>
      <c r="H315" s="21">
        <f>IF((ROUND(H314-ROUND($B$11-F315,2),2)&lt;=0),0,ROUND(H314-G315,2))</f>
        <v/>
      </c>
    </row>
    <row r="316">
      <c r="A316" s="6" t="n">
        <v>302</v>
      </c>
      <c r="B316" s="19">
        <f>DATE(YEAR(B8)+INT((MONTH(B8)-1+301)/12),MOD(MONTH(B8)-1+301,12)+1,1)+(DAY(B8)-1)</f>
        <v/>
      </c>
      <c r="C316" s="21">
        <f>ROUND(E315*B5/100/12,2)</f>
        <v/>
      </c>
      <c r="D316" s="21">
        <f>IF((OR(ROUND(E315-ROUND($B$10-C316,2),2)&lt;=0,302=B6)),E315,ROUND($B$10-C316,2))</f>
        <v/>
      </c>
      <c r="E316" s="21">
        <f>IF((OR(ROUND(E315-ROUND($B$10-C316,2),2)&lt;=0,302=B6)),0,ROUND(E315-D316,2))</f>
        <v/>
      </c>
      <c r="F316" s="21">
        <f>ROUND(H315*B5/100/12,2)</f>
        <v/>
      </c>
      <c r="G316" s="21">
        <f>IF((ROUND(H315-ROUND($B$11-F316,2),2)&lt;=0),H315,ROUND($B$11-F316,2))</f>
        <v/>
      </c>
      <c r="H316" s="21">
        <f>IF((ROUND(H315-ROUND($B$11-F316,2),2)&lt;=0),0,ROUND(H315-G316,2))</f>
        <v/>
      </c>
    </row>
    <row r="317">
      <c r="A317" s="6" t="n">
        <v>303</v>
      </c>
      <c r="B317" s="19">
        <f>DATE(YEAR(B8)+INT((MONTH(B8)-1+302)/12),MOD(MONTH(B8)-1+302,12)+1,1)+(DAY(B8)-1)</f>
        <v/>
      </c>
      <c r="C317" s="21">
        <f>ROUND(E316*B5/100/12,2)</f>
        <v/>
      </c>
      <c r="D317" s="21">
        <f>IF((OR(ROUND(E316-ROUND($B$10-C317,2),2)&lt;=0,303=B6)),E316,ROUND($B$10-C317,2))</f>
        <v/>
      </c>
      <c r="E317" s="21">
        <f>IF((OR(ROUND(E316-ROUND($B$10-C317,2),2)&lt;=0,303=B6)),0,ROUND(E316-D317,2))</f>
        <v/>
      </c>
      <c r="F317" s="21">
        <f>ROUND(H316*B5/100/12,2)</f>
        <v/>
      </c>
      <c r="G317" s="21">
        <f>IF((ROUND(H316-ROUND($B$11-F317,2),2)&lt;=0),H316,ROUND($B$11-F317,2))</f>
        <v/>
      </c>
      <c r="H317" s="21">
        <f>IF((ROUND(H316-ROUND($B$11-F317,2),2)&lt;=0),0,ROUND(H316-G317,2))</f>
        <v/>
      </c>
    </row>
    <row r="318">
      <c r="A318" s="6" t="n">
        <v>304</v>
      </c>
      <c r="B318" s="19">
        <f>DATE(YEAR(B8)+INT((MONTH(B8)-1+303)/12),MOD(MONTH(B8)-1+303,12)+1,1)+(DAY(B8)-1)</f>
        <v/>
      </c>
      <c r="C318" s="21">
        <f>ROUND(E317*B5/100/12,2)</f>
        <v/>
      </c>
      <c r="D318" s="21">
        <f>IF((OR(ROUND(E317-ROUND($B$10-C318,2),2)&lt;=0,304=B6)),E317,ROUND($B$10-C318,2))</f>
        <v/>
      </c>
      <c r="E318" s="21">
        <f>IF((OR(ROUND(E317-ROUND($B$10-C318,2),2)&lt;=0,304=B6)),0,ROUND(E317-D318,2))</f>
        <v/>
      </c>
      <c r="F318" s="21">
        <f>ROUND(H317*B5/100/12,2)</f>
        <v/>
      </c>
      <c r="G318" s="21">
        <f>IF((ROUND(H317-ROUND($B$11-F318,2),2)&lt;=0),H317,ROUND($B$11-F318,2))</f>
        <v/>
      </c>
      <c r="H318" s="21">
        <f>IF((ROUND(H317-ROUND($B$11-F318,2),2)&lt;=0),0,ROUND(H317-G318,2))</f>
        <v/>
      </c>
    </row>
    <row r="319">
      <c r="A319" s="6" t="n">
        <v>305</v>
      </c>
      <c r="B319" s="19">
        <f>DATE(YEAR(B8)+INT((MONTH(B8)-1+304)/12),MOD(MONTH(B8)-1+304,12)+1,1)+(DAY(B8)-1)</f>
        <v/>
      </c>
      <c r="C319" s="21">
        <f>ROUND(E318*B5/100/12,2)</f>
        <v/>
      </c>
      <c r="D319" s="21">
        <f>IF((OR(ROUND(E318-ROUND($B$10-C319,2),2)&lt;=0,305=B6)),E318,ROUND($B$10-C319,2))</f>
        <v/>
      </c>
      <c r="E319" s="21">
        <f>IF((OR(ROUND(E318-ROUND($B$10-C319,2),2)&lt;=0,305=B6)),0,ROUND(E318-D319,2))</f>
        <v/>
      </c>
      <c r="F319" s="21">
        <f>ROUND(H318*B5/100/12,2)</f>
        <v/>
      </c>
      <c r="G319" s="21">
        <f>IF((ROUND(H318-ROUND($B$11-F319,2),2)&lt;=0),H318,ROUND($B$11-F319,2))</f>
        <v/>
      </c>
      <c r="H319" s="21">
        <f>IF((ROUND(H318-ROUND($B$11-F319,2),2)&lt;=0),0,ROUND(H318-G319,2))</f>
        <v/>
      </c>
    </row>
    <row r="320">
      <c r="A320" s="6" t="n">
        <v>306</v>
      </c>
      <c r="B320" s="19">
        <f>DATE(YEAR(B8)+INT((MONTH(B8)-1+305)/12),MOD(MONTH(B8)-1+305,12)+1,1)+(DAY(B8)-1)</f>
        <v/>
      </c>
      <c r="C320" s="21">
        <f>ROUND(E319*B5/100/12,2)</f>
        <v/>
      </c>
      <c r="D320" s="21">
        <f>IF((OR(ROUND(E319-ROUND($B$10-C320,2),2)&lt;=0,306=B6)),E319,ROUND($B$10-C320,2))</f>
        <v/>
      </c>
      <c r="E320" s="21">
        <f>IF((OR(ROUND(E319-ROUND($B$10-C320,2),2)&lt;=0,306=B6)),0,ROUND(E319-D320,2))</f>
        <v/>
      </c>
      <c r="F320" s="21">
        <f>ROUND(H319*B5/100/12,2)</f>
        <v/>
      </c>
      <c r="G320" s="21">
        <f>IF((ROUND(H319-ROUND($B$11-F320,2),2)&lt;=0),H319,ROUND($B$11-F320,2))</f>
        <v/>
      </c>
      <c r="H320" s="21">
        <f>IF((ROUND(H319-ROUND($B$11-F320,2),2)&lt;=0),0,ROUND(H319-G320,2))</f>
        <v/>
      </c>
    </row>
    <row r="321">
      <c r="A321" s="6" t="n">
        <v>307</v>
      </c>
      <c r="B321" s="19">
        <f>DATE(YEAR(B8)+INT((MONTH(B8)-1+306)/12),MOD(MONTH(B8)-1+306,12)+1,1)+(DAY(B8)-1)</f>
        <v/>
      </c>
      <c r="C321" s="21">
        <f>ROUND(E320*B5/100/12,2)</f>
        <v/>
      </c>
      <c r="D321" s="21">
        <f>IF((OR(ROUND(E320-ROUND($B$10-C321,2),2)&lt;=0,307=B6)),E320,ROUND($B$10-C321,2))</f>
        <v/>
      </c>
      <c r="E321" s="21">
        <f>IF((OR(ROUND(E320-ROUND($B$10-C321,2),2)&lt;=0,307=B6)),0,ROUND(E320-D321,2))</f>
        <v/>
      </c>
      <c r="F321" s="21">
        <f>ROUND(H320*B5/100/12,2)</f>
        <v/>
      </c>
      <c r="G321" s="21">
        <f>IF((ROUND(H320-ROUND($B$11-F321,2),2)&lt;=0),H320,ROUND($B$11-F321,2))</f>
        <v/>
      </c>
      <c r="H321" s="21">
        <f>IF((ROUND(H320-ROUND($B$11-F321,2),2)&lt;=0),0,ROUND(H320-G321,2))</f>
        <v/>
      </c>
    </row>
    <row r="322">
      <c r="A322" s="6" t="n">
        <v>308</v>
      </c>
      <c r="B322" s="19">
        <f>DATE(YEAR(B8)+INT((MONTH(B8)-1+307)/12),MOD(MONTH(B8)-1+307,12)+1,1)+(DAY(B8)-1)</f>
        <v/>
      </c>
      <c r="C322" s="21">
        <f>ROUND(E321*B5/100/12,2)</f>
        <v/>
      </c>
      <c r="D322" s="21">
        <f>IF((OR(ROUND(E321-ROUND($B$10-C322,2),2)&lt;=0,308=B6)),E321,ROUND($B$10-C322,2))</f>
        <v/>
      </c>
      <c r="E322" s="21">
        <f>IF((OR(ROUND(E321-ROUND($B$10-C322,2),2)&lt;=0,308=B6)),0,ROUND(E321-D322,2))</f>
        <v/>
      </c>
      <c r="F322" s="21">
        <f>ROUND(H321*B5/100/12,2)</f>
        <v/>
      </c>
      <c r="G322" s="21">
        <f>IF((ROUND(H321-ROUND($B$11-F322,2),2)&lt;=0),H321,ROUND($B$11-F322,2))</f>
        <v/>
      </c>
      <c r="H322" s="21">
        <f>IF((ROUND(H321-ROUND($B$11-F322,2),2)&lt;=0),0,ROUND(H321-G322,2))</f>
        <v/>
      </c>
    </row>
    <row r="323">
      <c r="A323" s="6" t="n">
        <v>309</v>
      </c>
      <c r="B323" s="19">
        <f>DATE(YEAR(B8)+INT((MONTH(B8)-1+308)/12),MOD(MONTH(B8)-1+308,12)+1,1)+(DAY(B8)-1)</f>
        <v/>
      </c>
      <c r="C323" s="21">
        <f>ROUND(E322*B5/100/12,2)</f>
        <v/>
      </c>
      <c r="D323" s="21">
        <f>IF((OR(ROUND(E322-ROUND($B$10-C323,2),2)&lt;=0,309=B6)),E322,ROUND($B$10-C323,2))</f>
        <v/>
      </c>
      <c r="E323" s="21">
        <f>IF((OR(ROUND(E322-ROUND($B$10-C323,2),2)&lt;=0,309=B6)),0,ROUND(E322-D323,2))</f>
        <v/>
      </c>
      <c r="F323" s="21">
        <f>ROUND(H322*B5/100/12,2)</f>
        <v/>
      </c>
      <c r="G323" s="21">
        <f>IF((ROUND(H322-ROUND($B$11-F323,2),2)&lt;=0),H322,ROUND($B$11-F323,2))</f>
        <v/>
      </c>
      <c r="H323" s="21">
        <f>IF((ROUND(H322-ROUND($B$11-F323,2),2)&lt;=0),0,ROUND(H322-G323,2))</f>
        <v/>
      </c>
    </row>
    <row r="324">
      <c r="A324" s="6" t="n">
        <v>310</v>
      </c>
      <c r="B324" s="19">
        <f>DATE(YEAR(B8)+INT((MONTH(B8)-1+309)/12),MOD(MONTH(B8)-1+309,12)+1,1)+(DAY(B8)-1)</f>
        <v/>
      </c>
      <c r="C324" s="21">
        <f>ROUND(E323*B5/100/12,2)</f>
        <v/>
      </c>
      <c r="D324" s="21">
        <f>IF((OR(ROUND(E323-ROUND($B$10-C324,2),2)&lt;=0,310=B6)),E323,ROUND($B$10-C324,2))</f>
        <v/>
      </c>
      <c r="E324" s="21">
        <f>IF((OR(ROUND(E323-ROUND($B$10-C324,2),2)&lt;=0,310=B6)),0,ROUND(E323-D324,2))</f>
        <v/>
      </c>
      <c r="F324" s="21">
        <f>ROUND(H323*B5/100/12,2)</f>
        <v/>
      </c>
      <c r="G324" s="21">
        <f>IF((ROUND(H323-ROUND($B$11-F324,2),2)&lt;=0),H323,ROUND($B$11-F324,2))</f>
        <v/>
      </c>
      <c r="H324" s="21">
        <f>IF((ROUND(H323-ROUND($B$11-F324,2),2)&lt;=0),0,ROUND(H323-G324,2))</f>
        <v/>
      </c>
    </row>
    <row r="325">
      <c r="A325" s="6" t="n">
        <v>311</v>
      </c>
      <c r="B325" s="19">
        <f>DATE(YEAR(B8)+INT((MONTH(B8)-1+310)/12),MOD(MONTH(B8)-1+310,12)+1,1)+(DAY(B8)-1)</f>
        <v/>
      </c>
      <c r="C325" s="21">
        <f>ROUND(E324*B5/100/12,2)</f>
        <v/>
      </c>
      <c r="D325" s="21">
        <f>IF((OR(ROUND(E324-ROUND($B$10-C325,2),2)&lt;=0,311=B6)),E324,ROUND($B$10-C325,2))</f>
        <v/>
      </c>
      <c r="E325" s="21">
        <f>IF((OR(ROUND(E324-ROUND($B$10-C325,2),2)&lt;=0,311=B6)),0,ROUND(E324-D325,2))</f>
        <v/>
      </c>
      <c r="F325" s="21">
        <f>ROUND(H324*B5/100/12,2)</f>
        <v/>
      </c>
      <c r="G325" s="21">
        <f>IF((ROUND(H324-ROUND($B$11-F325,2),2)&lt;=0),H324,ROUND($B$11-F325,2))</f>
        <v/>
      </c>
      <c r="H325" s="21">
        <f>IF((ROUND(H324-ROUND($B$11-F325,2),2)&lt;=0),0,ROUND(H324-G325,2))</f>
        <v/>
      </c>
    </row>
    <row r="326">
      <c r="A326" s="6" t="n">
        <v>312</v>
      </c>
      <c r="B326" s="19">
        <f>DATE(YEAR(B8)+INT((MONTH(B8)-1+311)/12),MOD(MONTH(B8)-1+311,12)+1,1)+(DAY(B8)-1)</f>
        <v/>
      </c>
      <c r="C326" s="21">
        <f>ROUND(E325*B5/100/12,2)</f>
        <v/>
      </c>
      <c r="D326" s="21">
        <f>IF((OR(ROUND(E325-ROUND($B$10-C326,2),2)&lt;=0,312=B6)),E325,ROUND($B$10-C326,2))</f>
        <v/>
      </c>
      <c r="E326" s="21">
        <f>IF((OR(ROUND(E325-ROUND($B$10-C326,2),2)&lt;=0,312=B6)),0,ROUND(E325-D326,2))</f>
        <v/>
      </c>
      <c r="F326" s="21">
        <f>ROUND(H325*B5/100/12,2)</f>
        <v/>
      </c>
      <c r="G326" s="21">
        <f>IF((ROUND(H325-ROUND($B$11-F326,2),2)&lt;=0),H325,ROUND($B$11-F326,2))</f>
        <v/>
      </c>
      <c r="H326" s="21">
        <f>IF((ROUND(H325-ROUND($B$11-F326,2),2)&lt;=0),0,ROUND(H325-G326,2))</f>
        <v/>
      </c>
    </row>
    <row r="327">
      <c r="A327" s="6" t="n">
        <v>313</v>
      </c>
      <c r="B327" s="19">
        <f>DATE(YEAR(B8)+INT((MONTH(B8)-1+312)/12),MOD(MONTH(B8)-1+312,12)+1,1)+(DAY(B8)-1)</f>
        <v/>
      </c>
      <c r="C327" s="21">
        <f>ROUND(E326*B5/100/12,2)</f>
        <v/>
      </c>
      <c r="D327" s="21">
        <f>IF((OR(ROUND(E326-ROUND($B$10-C327,2),2)&lt;=0,313=B6)),E326,ROUND($B$10-C327,2))</f>
        <v/>
      </c>
      <c r="E327" s="21">
        <f>IF((OR(ROUND(E326-ROUND($B$10-C327,2),2)&lt;=0,313=B6)),0,ROUND(E326-D327,2))</f>
        <v/>
      </c>
      <c r="F327" s="21">
        <f>ROUND(H326*B5/100/12,2)</f>
        <v/>
      </c>
      <c r="G327" s="21">
        <f>IF((ROUND(H326-ROUND($B$11-F327,2),2)&lt;=0),H326,ROUND($B$11-F327,2))</f>
        <v/>
      </c>
      <c r="H327" s="21">
        <f>IF((ROUND(H326-ROUND($B$11-F327,2),2)&lt;=0),0,ROUND(H326-G327,2))</f>
        <v/>
      </c>
    </row>
    <row r="328">
      <c r="A328" s="6" t="n">
        <v>314</v>
      </c>
      <c r="B328" s="19">
        <f>DATE(YEAR(B8)+INT((MONTH(B8)-1+313)/12),MOD(MONTH(B8)-1+313,12)+1,1)+(DAY(B8)-1)</f>
        <v/>
      </c>
      <c r="C328" s="21">
        <f>ROUND(E327*B5/100/12,2)</f>
        <v/>
      </c>
      <c r="D328" s="21">
        <f>IF((OR(ROUND(E327-ROUND($B$10-C328,2),2)&lt;=0,314=B6)),E327,ROUND($B$10-C328,2))</f>
        <v/>
      </c>
      <c r="E328" s="21">
        <f>IF((OR(ROUND(E327-ROUND($B$10-C328,2),2)&lt;=0,314=B6)),0,ROUND(E327-D328,2))</f>
        <v/>
      </c>
      <c r="F328" s="21">
        <f>ROUND(H327*B5/100/12,2)</f>
        <v/>
      </c>
      <c r="G328" s="21">
        <f>IF((ROUND(H327-ROUND($B$11-F328,2),2)&lt;=0),H327,ROUND($B$11-F328,2))</f>
        <v/>
      </c>
      <c r="H328" s="21">
        <f>IF((ROUND(H327-ROUND($B$11-F328,2),2)&lt;=0),0,ROUND(H327-G328,2))</f>
        <v/>
      </c>
    </row>
    <row r="329">
      <c r="A329" s="6" t="n">
        <v>315</v>
      </c>
      <c r="B329" s="19">
        <f>DATE(YEAR(B8)+INT((MONTH(B8)-1+314)/12),MOD(MONTH(B8)-1+314,12)+1,1)+(DAY(B8)-1)</f>
        <v/>
      </c>
      <c r="C329" s="21">
        <f>ROUND(E328*B5/100/12,2)</f>
        <v/>
      </c>
      <c r="D329" s="21">
        <f>IF((OR(ROUND(E328-ROUND($B$10-C329,2),2)&lt;=0,315=B6)),E328,ROUND($B$10-C329,2))</f>
        <v/>
      </c>
      <c r="E329" s="21">
        <f>IF((OR(ROUND(E328-ROUND($B$10-C329,2),2)&lt;=0,315=B6)),0,ROUND(E328-D329,2))</f>
        <v/>
      </c>
      <c r="F329" s="21">
        <f>ROUND(H328*B5/100/12,2)</f>
        <v/>
      </c>
      <c r="G329" s="21">
        <f>IF((ROUND(H328-ROUND($B$11-F329,2),2)&lt;=0),H328,ROUND($B$11-F329,2))</f>
        <v/>
      </c>
      <c r="H329" s="21">
        <f>IF((ROUND(H328-ROUND($B$11-F329,2),2)&lt;=0),0,ROUND(H328-G329,2))</f>
        <v/>
      </c>
    </row>
    <row r="330">
      <c r="A330" s="6" t="n">
        <v>316</v>
      </c>
      <c r="B330" s="19">
        <f>DATE(YEAR(B8)+INT((MONTH(B8)-1+315)/12),MOD(MONTH(B8)-1+315,12)+1,1)+(DAY(B8)-1)</f>
        <v/>
      </c>
      <c r="C330" s="21">
        <f>ROUND(E329*B5/100/12,2)</f>
        <v/>
      </c>
      <c r="D330" s="21">
        <f>IF((OR(ROUND(E329-ROUND($B$10-C330,2),2)&lt;=0,316=B6)),E329,ROUND($B$10-C330,2))</f>
        <v/>
      </c>
      <c r="E330" s="21">
        <f>IF((OR(ROUND(E329-ROUND($B$10-C330,2),2)&lt;=0,316=B6)),0,ROUND(E329-D330,2))</f>
        <v/>
      </c>
      <c r="F330" s="21">
        <f>ROUND(H329*B5/100/12,2)</f>
        <v/>
      </c>
      <c r="G330" s="21">
        <f>IF((ROUND(H329-ROUND($B$11-F330,2),2)&lt;=0),H329,ROUND($B$11-F330,2))</f>
        <v/>
      </c>
      <c r="H330" s="21">
        <f>IF((ROUND(H329-ROUND($B$11-F330,2),2)&lt;=0),0,ROUND(H329-G330,2))</f>
        <v/>
      </c>
    </row>
    <row r="331">
      <c r="A331" s="6" t="n">
        <v>317</v>
      </c>
      <c r="B331" s="19">
        <f>DATE(YEAR(B8)+INT((MONTH(B8)-1+316)/12),MOD(MONTH(B8)-1+316,12)+1,1)+(DAY(B8)-1)</f>
        <v/>
      </c>
      <c r="C331" s="21">
        <f>ROUND(E330*B5/100/12,2)</f>
        <v/>
      </c>
      <c r="D331" s="21">
        <f>IF((OR(ROUND(E330-ROUND($B$10-C331,2),2)&lt;=0,317=B6)),E330,ROUND($B$10-C331,2))</f>
        <v/>
      </c>
      <c r="E331" s="21">
        <f>IF((OR(ROUND(E330-ROUND($B$10-C331,2),2)&lt;=0,317=B6)),0,ROUND(E330-D331,2))</f>
        <v/>
      </c>
      <c r="F331" s="21">
        <f>ROUND(H330*B5/100/12,2)</f>
        <v/>
      </c>
      <c r="G331" s="21">
        <f>IF((ROUND(H330-ROUND($B$11-F331,2),2)&lt;=0),H330,ROUND($B$11-F331,2))</f>
        <v/>
      </c>
      <c r="H331" s="21">
        <f>IF((ROUND(H330-ROUND($B$11-F331,2),2)&lt;=0),0,ROUND(H330-G331,2))</f>
        <v/>
      </c>
    </row>
    <row r="332">
      <c r="A332" s="6" t="n">
        <v>318</v>
      </c>
      <c r="B332" s="19">
        <f>DATE(YEAR(B8)+INT((MONTH(B8)-1+317)/12),MOD(MONTH(B8)-1+317,12)+1,1)+(DAY(B8)-1)</f>
        <v/>
      </c>
      <c r="C332" s="21">
        <f>ROUND(E331*B5/100/12,2)</f>
        <v/>
      </c>
      <c r="D332" s="21">
        <f>IF((OR(ROUND(E331-ROUND($B$10-C332,2),2)&lt;=0,318=B6)),E331,ROUND($B$10-C332,2))</f>
        <v/>
      </c>
      <c r="E332" s="21">
        <f>IF((OR(ROUND(E331-ROUND($B$10-C332,2),2)&lt;=0,318=B6)),0,ROUND(E331-D332,2))</f>
        <v/>
      </c>
      <c r="F332" s="21">
        <f>ROUND(H331*B5/100/12,2)</f>
        <v/>
      </c>
      <c r="G332" s="21">
        <f>IF((ROUND(H331-ROUND($B$11-F332,2),2)&lt;=0),H331,ROUND($B$11-F332,2))</f>
        <v/>
      </c>
      <c r="H332" s="21">
        <f>IF((ROUND(H331-ROUND($B$11-F332,2),2)&lt;=0),0,ROUND(H331-G332,2))</f>
        <v/>
      </c>
    </row>
    <row r="333">
      <c r="A333" s="6" t="n">
        <v>319</v>
      </c>
      <c r="B333" s="19">
        <f>DATE(YEAR(B8)+INT((MONTH(B8)-1+318)/12),MOD(MONTH(B8)-1+318,12)+1,1)+(DAY(B8)-1)</f>
        <v/>
      </c>
      <c r="C333" s="21">
        <f>ROUND(E332*B5/100/12,2)</f>
        <v/>
      </c>
      <c r="D333" s="21">
        <f>IF((OR(ROUND(E332-ROUND($B$10-C333,2),2)&lt;=0,319=B6)),E332,ROUND($B$10-C333,2))</f>
        <v/>
      </c>
      <c r="E333" s="21">
        <f>IF((OR(ROUND(E332-ROUND($B$10-C333,2),2)&lt;=0,319=B6)),0,ROUND(E332-D333,2))</f>
        <v/>
      </c>
      <c r="F333" s="21">
        <f>ROUND(H332*B5/100/12,2)</f>
        <v/>
      </c>
      <c r="G333" s="21">
        <f>IF((ROUND(H332-ROUND($B$11-F333,2),2)&lt;=0),H332,ROUND($B$11-F333,2))</f>
        <v/>
      </c>
      <c r="H333" s="21">
        <f>IF((ROUND(H332-ROUND($B$11-F333,2),2)&lt;=0),0,ROUND(H332-G333,2))</f>
        <v/>
      </c>
    </row>
    <row r="334">
      <c r="A334" s="6" t="n">
        <v>320</v>
      </c>
      <c r="B334" s="19">
        <f>DATE(YEAR(B8)+INT((MONTH(B8)-1+319)/12),MOD(MONTH(B8)-1+319,12)+1,1)+(DAY(B8)-1)</f>
        <v/>
      </c>
      <c r="C334" s="21">
        <f>ROUND(E333*B5/100/12,2)</f>
        <v/>
      </c>
      <c r="D334" s="21">
        <f>IF((OR(ROUND(E333-ROUND($B$10-C334,2),2)&lt;=0,320=B6)),E333,ROUND($B$10-C334,2))</f>
        <v/>
      </c>
      <c r="E334" s="21">
        <f>IF((OR(ROUND(E333-ROUND($B$10-C334,2),2)&lt;=0,320=B6)),0,ROUND(E333-D334,2))</f>
        <v/>
      </c>
      <c r="F334" s="21">
        <f>ROUND(H333*B5/100/12,2)</f>
        <v/>
      </c>
      <c r="G334" s="21">
        <f>IF((ROUND(H333-ROUND($B$11-F334,2),2)&lt;=0),H333,ROUND($B$11-F334,2))</f>
        <v/>
      </c>
      <c r="H334" s="21">
        <f>IF((ROUND(H333-ROUND($B$11-F334,2),2)&lt;=0),0,ROUND(H333-G334,2))</f>
        <v/>
      </c>
    </row>
    <row r="335">
      <c r="A335" s="6" t="n">
        <v>321</v>
      </c>
      <c r="B335" s="19">
        <f>DATE(YEAR(B8)+INT((MONTH(B8)-1+320)/12),MOD(MONTH(B8)-1+320,12)+1,1)+(DAY(B8)-1)</f>
        <v/>
      </c>
      <c r="C335" s="21">
        <f>ROUND(E334*B5/100/12,2)</f>
        <v/>
      </c>
      <c r="D335" s="21">
        <f>IF((OR(ROUND(E334-ROUND($B$10-C335,2),2)&lt;=0,321=B6)),E334,ROUND($B$10-C335,2))</f>
        <v/>
      </c>
      <c r="E335" s="21">
        <f>IF((OR(ROUND(E334-ROUND($B$10-C335,2),2)&lt;=0,321=B6)),0,ROUND(E334-D335,2))</f>
        <v/>
      </c>
      <c r="F335" s="21">
        <f>ROUND(H334*B5/100/12,2)</f>
        <v/>
      </c>
      <c r="G335" s="21">
        <f>IF((ROUND(H334-ROUND($B$11-F335,2),2)&lt;=0),H334,ROUND($B$11-F335,2))</f>
        <v/>
      </c>
      <c r="H335" s="21">
        <f>IF((ROUND(H334-ROUND($B$11-F335,2),2)&lt;=0),0,ROUND(H334-G335,2))</f>
        <v/>
      </c>
    </row>
    <row r="336">
      <c r="A336" s="6" t="n">
        <v>322</v>
      </c>
      <c r="B336" s="19">
        <f>DATE(YEAR(B8)+INT((MONTH(B8)-1+321)/12),MOD(MONTH(B8)-1+321,12)+1,1)+(DAY(B8)-1)</f>
        <v/>
      </c>
      <c r="C336" s="21">
        <f>ROUND(E335*B5/100/12,2)</f>
        <v/>
      </c>
      <c r="D336" s="21">
        <f>IF((OR(ROUND(E335-ROUND($B$10-C336,2),2)&lt;=0,322=B6)),E335,ROUND($B$10-C336,2))</f>
        <v/>
      </c>
      <c r="E336" s="21">
        <f>IF((OR(ROUND(E335-ROUND($B$10-C336,2),2)&lt;=0,322=B6)),0,ROUND(E335-D336,2))</f>
        <v/>
      </c>
      <c r="F336" s="21">
        <f>ROUND(H335*B5/100/12,2)</f>
        <v/>
      </c>
      <c r="G336" s="21">
        <f>IF((ROUND(H335-ROUND($B$11-F336,2),2)&lt;=0),H335,ROUND($B$11-F336,2))</f>
        <v/>
      </c>
      <c r="H336" s="21">
        <f>IF((ROUND(H335-ROUND($B$11-F336,2),2)&lt;=0),0,ROUND(H335-G336,2))</f>
        <v/>
      </c>
    </row>
    <row r="337">
      <c r="A337" s="6" t="n">
        <v>323</v>
      </c>
      <c r="B337" s="19">
        <f>DATE(YEAR(B8)+INT((MONTH(B8)-1+322)/12),MOD(MONTH(B8)-1+322,12)+1,1)+(DAY(B8)-1)</f>
        <v/>
      </c>
      <c r="C337" s="21">
        <f>ROUND(E336*B5/100/12,2)</f>
        <v/>
      </c>
      <c r="D337" s="21">
        <f>IF((OR(ROUND(E336-ROUND($B$10-C337,2),2)&lt;=0,323=B6)),E336,ROUND($B$10-C337,2))</f>
        <v/>
      </c>
      <c r="E337" s="21">
        <f>IF((OR(ROUND(E336-ROUND($B$10-C337,2),2)&lt;=0,323=B6)),0,ROUND(E336-D337,2))</f>
        <v/>
      </c>
      <c r="F337" s="21">
        <f>ROUND(H336*B5/100/12,2)</f>
        <v/>
      </c>
      <c r="G337" s="21">
        <f>IF((ROUND(H336-ROUND($B$11-F337,2),2)&lt;=0),H336,ROUND($B$11-F337,2))</f>
        <v/>
      </c>
      <c r="H337" s="21">
        <f>IF((ROUND(H336-ROUND($B$11-F337,2),2)&lt;=0),0,ROUND(H336-G337,2))</f>
        <v/>
      </c>
    </row>
    <row r="338">
      <c r="A338" s="6" t="n">
        <v>324</v>
      </c>
      <c r="B338" s="19">
        <f>DATE(YEAR(B8)+INT((MONTH(B8)-1+323)/12),MOD(MONTH(B8)-1+323,12)+1,1)+(DAY(B8)-1)</f>
        <v/>
      </c>
      <c r="C338" s="21">
        <f>ROUND(E337*B5/100/12,2)</f>
        <v/>
      </c>
      <c r="D338" s="21">
        <f>IF((OR(ROUND(E337-ROUND($B$10-C338,2),2)&lt;=0,324=B6)),E337,ROUND($B$10-C338,2))</f>
        <v/>
      </c>
      <c r="E338" s="21">
        <f>IF((OR(ROUND(E337-ROUND($B$10-C338,2),2)&lt;=0,324=B6)),0,ROUND(E337-D338,2))</f>
        <v/>
      </c>
      <c r="F338" s="21">
        <f>ROUND(H337*B5/100/12,2)</f>
        <v/>
      </c>
      <c r="G338" s="21">
        <f>IF((ROUND(H337-ROUND($B$11-F338,2),2)&lt;=0),H337,ROUND($B$11-F338,2))</f>
        <v/>
      </c>
      <c r="H338" s="21">
        <f>IF((ROUND(H337-ROUND($B$11-F338,2),2)&lt;=0),0,ROUND(H337-G338,2))</f>
        <v/>
      </c>
    </row>
    <row r="339">
      <c r="A339" s="6" t="n">
        <v>325</v>
      </c>
      <c r="B339" s="19">
        <f>DATE(YEAR(B8)+INT((MONTH(B8)-1+324)/12),MOD(MONTH(B8)-1+324,12)+1,1)+(DAY(B8)-1)</f>
        <v/>
      </c>
      <c r="C339" s="21">
        <f>ROUND(E338*B5/100/12,2)</f>
        <v/>
      </c>
      <c r="D339" s="21">
        <f>IF((OR(ROUND(E338-ROUND($B$10-C339,2),2)&lt;=0,325=B6)),E338,ROUND($B$10-C339,2))</f>
        <v/>
      </c>
      <c r="E339" s="21">
        <f>IF((OR(ROUND(E338-ROUND($B$10-C339,2),2)&lt;=0,325=B6)),0,ROUND(E338-D339,2))</f>
        <v/>
      </c>
      <c r="F339" s="21">
        <f>ROUND(H338*B5/100/12,2)</f>
        <v/>
      </c>
      <c r="G339" s="21">
        <f>IF((ROUND(H338-ROUND($B$11-F339,2),2)&lt;=0),H338,ROUND($B$11-F339,2))</f>
        <v/>
      </c>
      <c r="H339" s="21">
        <f>IF((ROUND(H338-ROUND($B$11-F339,2),2)&lt;=0),0,ROUND(H338-G339,2))</f>
        <v/>
      </c>
    </row>
    <row r="340">
      <c r="A340" s="6" t="n">
        <v>326</v>
      </c>
      <c r="B340" s="19">
        <f>DATE(YEAR(B8)+INT((MONTH(B8)-1+325)/12),MOD(MONTH(B8)-1+325,12)+1,1)+(DAY(B8)-1)</f>
        <v/>
      </c>
      <c r="C340" s="21">
        <f>ROUND(E339*B5/100/12,2)</f>
        <v/>
      </c>
      <c r="D340" s="21">
        <f>IF((OR(ROUND(E339-ROUND($B$10-C340,2),2)&lt;=0,326=B6)),E339,ROUND($B$10-C340,2))</f>
        <v/>
      </c>
      <c r="E340" s="21">
        <f>IF((OR(ROUND(E339-ROUND($B$10-C340,2),2)&lt;=0,326=B6)),0,ROUND(E339-D340,2))</f>
        <v/>
      </c>
      <c r="F340" s="21">
        <f>ROUND(H339*B5/100/12,2)</f>
        <v/>
      </c>
      <c r="G340" s="21">
        <f>IF((ROUND(H339-ROUND($B$11-F340,2),2)&lt;=0),H339,ROUND($B$11-F340,2))</f>
        <v/>
      </c>
      <c r="H340" s="21">
        <f>IF((ROUND(H339-ROUND($B$11-F340,2),2)&lt;=0),0,ROUND(H339-G340,2))</f>
        <v/>
      </c>
    </row>
    <row r="341">
      <c r="A341" s="6" t="n">
        <v>327</v>
      </c>
      <c r="B341" s="19">
        <f>DATE(YEAR(B8)+INT((MONTH(B8)-1+326)/12),MOD(MONTH(B8)-1+326,12)+1,1)+(DAY(B8)-1)</f>
        <v/>
      </c>
      <c r="C341" s="21">
        <f>ROUND(E340*B5/100/12,2)</f>
        <v/>
      </c>
      <c r="D341" s="21">
        <f>IF((OR(ROUND(E340-ROUND($B$10-C341,2),2)&lt;=0,327=B6)),E340,ROUND($B$10-C341,2))</f>
        <v/>
      </c>
      <c r="E341" s="21">
        <f>IF((OR(ROUND(E340-ROUND($B$10-C341,2),2)&lt;=0,327=B6)),0,ROUND(E340-D341,2))</f>
        <v/>
      </c>
      <c r="F341" s="21">
        <f>ROUND(H340*B5/100/12,2)</f>
        <v/>
      </c>
      <c r="G341" s="21">
        <f>IF((ROUND(H340-ROUND($B$11-F341,2),2)&lt;=0),H340,ROUND($B$11-F341,2))</f>
        <v/>
      </c>
      <c r="H341" s="21">
        <f>IF((ROUND(H340-ROUND($B$11-F341,2),2)&lt;=0),0,ROUND(H340-G341,2))</f>
        <v/>
      </c>
    </row>
    <row r="342">
      <c r="A342" s="6" t="n">
        <v>328</v>
      </c>
      <c r="B342" s="19">
        <f>DATE(YEAR(B8)+INT((MONTH(B8)-1+327)/12),MOD(MONTH(B8)-1+327,12)+1,1)+(DAY(B8)-1)</f>
        <v/>
      </c>
      <c r="C342" s="21">
        <f>ROUND(E341*B5/100/12,2)</f>
        <v/>
      </c>
      <c r="D342" s="21">
        <f>IF((OR(ROUND(E341-ROUND($B$10-C342,2),2)&lt;=0,328=B6)),E341,ROUND($B$10-C342,2))</f>
        <v/>
      </c>
      <c r="E342" s="21">
        <f>IF((OR(ROUND(E341-ROUND($B$10-C342,2),2)&lt;=0,328=B6)),0,ROUND(E341-D342,2))</f>
        <v/>
      </c>
      <c r="F342" s="21">
        <f>ROUND(H341*B5/100/12,2)</f>
        <v/>
      </c>
      <c r="G342" s="21">
        <f>IF((ROUND(H341-ROUND($B$11-F342,2),2)&lt;=0),H341,ROUND($B$11-F342,2))</f>
        <v/>
      </c>
      <c r="H342" s="21">
        <f>IF((ROUND(H341-ROUND($B$11-F342,2),2)&lt;=0),0,ROUND(H341-G342,2))</f>
        <v/>
      </c>
    </row>
    <row r="343">
      <c r="A343" s="6" t="n">
        <v>329</v>
      </c>
      <c r="B343" s="19">
        <f>DATE(YEAR(B8)+INT((MONTH(B8)-1+328)/12),MOD(MONTH(B8)-1+328,12)+1,1)+(DAY(B8)-1)</f>
        <v/>
      </c>
      <c r="C343" s="21">
        <f>ROUND(E342*B5/100/12,2)</f>
        <v/>
      </c>
      <c r="D343" s="21">
        <f>IF((OR(ROUND(E342-ROUND($B$10-C343,2),2)&lt;=0,329=B6)),E342,ROUND($B$10-C343,2))</f>
        <v/>
      </c>
      <c r="E343" s="21">
        <f>IF((OR(ROUND(E342-ROUND($B$10-C343,2),2)&lt;=0,329=B6)),0,ROUND(E342-D343,2))</f>
        <v/>
      </c>
      <c r="F343" s="21">
        <f>ROUND(H342*B5/100/12,2)</f>
        <v/>
      </c>
      <c r="G343" s="21">
        <f>IF((ROUND(H342-ROUND($B$11-F343,2),2)&lt;=0),H342,ROUND($B$11-F343,2))</f>
        <v/>
      </c>
      <c r="H343" s="21">
        <f>IF((ROUND(H342-ROUND($B$11-F343,2),2)&lt;=0),0,ROUND(H342-G343,2))</f>
        <v/>
      </c>
    </row>
    <row r="344">
      <c r="A344" s="6" t="n">
        <v>330</v>
      </c>
      <c r="B344" s="19">
        <f>DATE(YEAR(B8)+INT((MONTH(B8)-1+329)/12),MOD(MONTH(B8)-1+329,12)+1,1)+(DAY(B8)-1)</f>
        <v/>
      </c>
      <c r="C344" s="21">
        <f>ROUND(E343*B5/100/12,2)</f>
        <v/>
      </c>
      <c r="D344" s="21">
        <f>IF((OR(ROUND(E343-ROUND($B$10-C344,2),2)&lt;=0,330=B6)),E343,ROUND($B$10-C344,2))</f>
        <v/>
      </c>
      <c r="E344" s="21">
        <f>IF((OR(ROUND(E343-ROUND($B$10-C344,2),2)&lt;=0,330=B6)),0,ROUND(E343-D344,2))</f>
        <v/>
      </c>
      <c r="F344" s="21">
        <f>ROUND(H343*B5/100/12,2)</f>
        <v/>
      </c>
      <c r="G344" s="21">
        <f>IF((ROUND(H343-ROUND($B$11-F344,2),2)&lt;=0),H343,ROUND($B$11-F344,2))</f>
        <v/>
      </c>
      <c r="H344" s="21">
        <f>IF((ROUND(H343-ROUND($B$11-F344,2),2)&lt;=0),0,ROUND(H343-G344,2))</f>
        <v/>
      </c>
    </row>
    <row r="345">
      <c r="A345" s="6" t="n">
        <v>331</v>
      </c>
      <c r="B345" s="19">
        <f>DATE(YEAR(B8)+INT((MONTH(B8)-1+330)/12),MOD(MONTH(B8)-1+330,12)+1,1)+(DAY(B8)-1)</f>
        <v/>
      </c>
      <c r="C345" s="21">
        <f>ROUND(E344*B5/100/12,2)</f>
        <v/>
      </c>
      <c r="D345" s="21">
        <f>IF((OR(ROUND(E344-ROUND($B$10-C345,2),2)&lt;=0,331=B6)),E344,ROUND($B$10-C345,2))</f>
        <v/>
      </c>
      <c r="E345" s="21">
        <f>IF((OR(ROUND(E344-ROUND($B$10-C345,2),2)&lt;=0,331=B6)),0,ROUND(E344-D345,2))</f>
        <v/>
      </c>
      <c r="F345" s="21">
        <f>ROUND(H344*B5/100/12,2)</f>
        <v/>
      </c>
      <c r="G345" s="21">
        <f>IF((ROUND(H344-ROUND($B$11-F345,2),2)&lt;=0),H344,ROUND($B$11-F345,2))</f>
        <v/>
      </c>
      <c r="H345" s="21">
        <f>IF((ROUND(H344-ROUND($B$11-F345,2),2)&lt;=0),0,ROUND(H344-G345,2))</f>
        <v/>
      </c>
    </row>
    <row r="346">
      <c r="A346" s="6" t="n">
        <v>332</v>
      </c>
      <c r="B346" s="19">
        <f>DATE(YEAR(B8)+INT((MONTH(B8)-1+331)/12),MOD(MONTH(B8)-1+331,12)+1,1)+(DAY(B8)-1)</f>
        <v/>
      </c>
      <c r="C346" s="21">
        <f>ROUND(E345*B5/100/12,2)</f>
        <v/>
      </c>
      <c r="D346" s="21">
        <f>IF((OR(ROUND(E345-ROUND($B$10-C346,2),2)&lt;=0,332=B6)),E345,ROUND($B$10-C346,2))</f>
        <v/>
      </c>
      <c r="E346" s="21">
        <f>IF((OR(ROUND(E345-ROUND($B$10-C346,2),2)&lt;=0,332=B6)),0,ROUND(E345-D346,2))</f>
        <v/>
      </c>
      <c r="F346" s="21">
        <f>ROUND(H345*B5/100/12,2)</f>
        <v/>
      </c>
      <c r="G346" s="21">
        <f>IF((ROUND(H345-ROUND($B$11-F346,2),2)&lt;=0),H345,ROUND($B$11-F346,2))</f>
        <v/>
      </c>
      <c r="H346" s="21">
        <f>IF((ROUND(H345-ROUND($B$11-F346,2),2)&lt;=0),0,ROUND(H345-G346,2))</f>
        <v/>
      </c>
    </row>
    <row r="347">
      <c r="A347" s="6" t="n">
        <v>333</v>
      </c>
      <c r="B347" s="19">
        <f>DATE(YEAR(B8)+INT((MONTH(B8)-1+332)/12),MOD(MONTH(B8)-1+332,12)+1,1)+(DAY(B8)-1)</f>
        <v/>
      </c>
      <c r="C347" s="21">
        <f>ROUND(E346*B5/100/12,2)</f>
        <v/>
      </c>
      <c r="D347" s="21">
        <f>IF((OR(ROUND(E346-ROUND($B$10-C347,2),2)&lt;=0,333=B6)),E346,ROUND($B$10-C347,2))</f>
        <v/>
      </c>
      <c r="E347" s="21">
        <f>IF((OR(ROUND(E346-ROUND($B$10-C347,2),2)&lt;=0,333=B6)),0,ROUND(E346-D347,2))</f>
        <v/>
      </c>
      <c r="F347" s="21">
        <f>ROUND(H346*B5/100/12,2)</f>
        <v/>
      </c>
      <c r="G347" s="21">
        <f>IF((ROUND(H346-ROUND($B$11-F347,2),2)&lt;=0),H346,ROUND($B$11-F347,2))</f>
        <v/>
      </c>
      <c r="H347" s="21">
        <f>IF((ROUND(H346-ROUND($B$11-F347,2),2)&lt;=0),0,ROUND(H346-G347,2))</f>
        <v/>
      </c>
    </row>
    <row r="348">
      <c r="A348" s="6" t="n">
        <v>334</v>
      </c>
      <c r="B348" s="19">
        <f>DATE(YEAR(B8)+INT((MONTH(B8)-1+333)/12),MOD(MONTH(B8)-1+333,12)+1,1)+(DAY(B8)-1)</f>
        <v/>
      </c>
      <c r="C348" s="21">
        <f>ROUND(E347*B5/100/12,2)</f>
        <v/>
      </c>
      <c r="D348" s="21">
        <f>IF((OR(ROUND(E347-ROUND($B$10-C348,2),2)&lt;=0,334=B6)),E347,ROUND($B$10-C348,2))</f>
        <v/>
      </c>
      <c r="E348" s="21">
        <f>IF((OR(ROUND(E347-ROUND($B$10-C348,2),2)&lt;=0,334=B6)),0,ROUND(E347-D348,2))</f>
        <v/>
      </c>
      <c r="F348" s="21">
        <f>ROUND(H347*B5/100/12,2)</f>
        <v/>
      </c>
      <c r="G348" s="21">
        <f>IF((ROUND(H347-ROUND($B$11-F348,2),2)&lt;=0),H347,ROUND($B$11-F348,2))</f>
        <v/>
      </c>
      <c r="H348" s="21">
        <f>IF((ROUND(H347-ROUND($B$11-F348,2),2)&lt;=0),0,ROUND(H347-G348,2))</f>
        <v/>
      </c>
    </row>
    <row r="349">
      <c r="A349" s="6" t="n">
        <v>335</v>
      </c>
      <c r="B349" s="19">
        <f>DATE(YEAR(B8)+INT((MONTH(B8)-1+334)/12),MOD(MONTH(B8)-1+334,12)+1,1)+(DAY(B8)-1)</f>
        <v/>
      </c>
      <c r="C349" s="21">
        <f>ROUND(E348*B5/100/12,2)</f>
        <v/>
      </c>
      <c r="D349" s="21">
        <f>IF((OR(ROUND(E348-ROUND($B$10-C349,2),2)&lt;=0,335=B6)),E348,ROUND($B$10-C349,2))</f>
        <v/>
      </c>
      <c r="E349" s="21">
        <f>IF((OR(ROUND(E348-ROUND($B$10-C349,2),2)&lt;=0,335=B6)),0,ROUND(E348-D349,2))</f>
        <v/>
      </c>
      <c r="F349" s="21">
        <f>ROUND(H348*B5/100/12,2)</f>
        <v/>
      </c>
      <c r="G349" s="21">
        <f>IF((ROUND(H348-ROUND($B$11-F349,2),2)&lt;=0),H348,ROUND($B$11-F349,2))</f>
        <v/>
      </c>
      <c r="H349" s="21">
        <f>IF((ROUND(H348-ROUND($B$11-F349,2),2)&lt;=0),0,ROUND(H348-G349,2))</f>
        <v/>
      </c>
    </row>
    <row r="350">
      <c r="A350" s="6" t="n">
        <v>336</v>
      </c>
      <c r="B350" s="19">
        <f>DATE(YEAR(B8)+INT((MONTH(B8)-1+335)/12),MOD(MONTH(B8)-1+335,12)+1,1)+(DAY(B8)-1)</f>
        <v/>
      </c>
      <c r="C350" s="21">
        <f>ROUND(E349*B5/100/12,2)</f>
        <v/>
      </c>
      <c r="D350" s="21">
        <f>IF((OR(ROUND(E349-ROUND($B$10-C350,2),2)&lt;=0,336=B6)),E349,ROUND($B$10-C350,2))</f>
        <v/>
      </c>
      <c r="E350" s="21">
        <f>IF((OR(ROUND(E349-ROUND($B$10-C350,2),2)&lt;=0,336=B6)),0,ROUND(E349-D350,2))</f>
        <v/>
      </c>
      <c r="F350" s="21">
        <f>ROUND(H349*B5/100/12,2)</f>
        <v/>
      </c>
      <c r="G350" s="21">
        <f>IF((ROUND(H349-ROUND($B$11-F350,2),2)&lt;=0),H349,ROUND($B$11-F350,2))</f>
        <v/>
      </c>
      <c r="H350" s="21">
        <f>IF((ROUND(H349-ROUND($B$11-F350,2),2)&lt;=0),0,ROUND(H349-G350,2))</f>
        <v/>
      </c>
    </row>
    <row r="351">
      <c r="A351" s="6" t="n">
        <v>337</v>
      </c>
      <c r="B351" s="19">
        <f>DATE(YEAR(B8)+INT((MONTH(B8)-1+336)/12),MOD(MONTH(B8)-1+336,12)+1,1)+(DAY(B8)-1)</f>
        <v/>
      </c>
      <c r="C351" s="21">
        <f>ROUND(E350*B5/100/12,2)</f>
        <v/>
      </c>
      <c r="D351" s="21">
        <f>IF((OR(ROUND(E350-ROUND($B$10-C351,2),2)&lt;=0,337=B6)),E350,ROUND($B$10-C351,2))</f>
        <v/>
      </c>
      <c r="E351" s="21">
        <f>IF((OR(ROUND(E350-ROUND($B$10-C351,2),2)&lt;=0,337=B6)),0,ROUND(E350-D351,2))</f>
        <v/>
      </c>
      <c r="F351" s="21">
        <f>ROUND(H350*B5/100/12,2)</f>
        <v/>
      </c>
      <c r="G351" s="21">
        <f>IF((ROUND(H350-ROUND($B$11-F351,2),2)&lt;=0),H350,ROUND($B$11-F351,2))</f>
        <v/>
      </c>
      <c r="H351" s="21">
        <f>IF((ROUND(H350-ROUND($B$11-F351,2),2)&lt;=0),0,ROUND(H350-G351,2))</f>
        <v/>
      </c>
    </row>
    <row r="352">
      <c r="A352" s="6" t="n">
        <v>338</v>
      </c>
      <c r="B352" s="19">
        <f>DATE(YEAR(B8)+INT((MONTH(B8)-1+337)/12),MOD(MONTH(B8)-1+337,12)+1,1)+(DAY(B8)-1)</f>
        <v/>
      </c>
      <c r="C352" s="21">
        <f>ROUND(E351*B5/100/12,2)</f>
        <v/>
      </c>
      <c r="D352" s="21">
        <f>IF((OR(ROUND(E351-ROUND($B$10-C352,2),2)&lt;=0,338=B6)),E351,ROUND($B$10-C352,2))</f>
        <v/>
      </c>
      <c r="E352" s="21">
        <f>IF((OR(ROUND(E351-ROUND($B$10-C352,2),2)&lt;=0,338=B6)),0,ROUND(E351-D352,2))</f>
        <v/>
      </c>
      <c r="F352" s="21">
        <f>ROUND(H351*B5/100/12,2)</f>
        <v/>
      </c>
      <c r="G352" s="21">
        <f>IF((ROUND(H351-ROUND($B$11-F352,2),2)&lt;=0),H351,ROUND($B$11-F352,2))</f>
        <v/>
      </c>
      <c r="H352" s="21">
        <f>IF((ROUND(H351-ROUND($B$11-F352,2),2)&lt;=0),0,ROUND(H351-G352,2))</f>
        <v/>
      </c>
    </row>
    <row r="353">
      <c r="A353" s="6" t="n">
        <v>339</v>
      </c>
      <c r="B353" s="19">
        <f>DATE(YEAR(B8)+INT((MONTH(B8)-1+338)/12),MOD(MONTH(B8)-1+338,12)+1,1)+(DAY(B8)-1)</f>
        <v/>
      </c>
      <c r="C353" s="21">
        <f>ROUND(E352*B5/100/12,2)</f>
        <v/>
      </c>
      <c r="D353" s="21">
        <f>IF((OR(ROUND(E352-ROUND($B$10-C353,2),2)&lt;=0,339=B6)),E352,ROUND($B$10-C353,2))</f>
        <v/>
      </c>
      <c r="E353" s="21">
        <f>IF((OR(ROUND(E352-ROUND($B$10-C353,2),2)&lt;=0,339=B6)),0,ROUND(E352-D353,2))</f>
        <v/>
      </c>
      <c r="F353" s="21">
        <f>ROUND(H352*B5/100/12,2)</f>
        <v/>
      </c>
      <c r="G353" s="21">
        <f>IF((ROUND(H352-ROUND($B$11-F353,2),2)&lt;=0),H352,ROUND($B$11-F353,2))</f>
        <v/>
      </c>
      <c r="H353" s="21">
        <f>IF((ROUND(H352-ROUND($B$11-F353,2),2)&lt;=0),0,ROUND(H352-G353,2))</f>
        <v/>
      </c>
    </row>
    <row r="354">
      <c r="A354" s="6" t="n">
        <v>340</v>
      </c>
      <c r="B354" s="19">
        <f>DATE(YEAR(B8)+INT((MONTH(B8)-1+339)/12),MOD(MONTH(B8)-1+339,12)+1,1)+(DAY(B8)-1)</f>
        <v/>
      </c>
      <c r="C354" s="21">
        <f>ROUND(E353*B5/100/12,2)</f>
        <v/>
      </c>
      <c r="D354" s="21">
        <f>IF((OR(ROUND(E353-ROUND($B$10-C354,2),2)&lt;=0,340=B6)),E353,ROUND($B$10-C354,2))</f>
        <v/>
      </c>
      <c r="E354" s="21">
        <f>IF((OR(ROUND(E353-ROUND($B$10-C354,2),2)&lt;=0,340=B6)),0,ROUND(E353-D354,2))</f>
        <v/>
      </c>
      <c r="F354" s="21">
        <f>ROUND(H353*B5/100/12,2)</f>
        <v/>
      </c>
      <c r="G354" s="21">
        <f>IF((ROUND(H353-ROUND($B$11-F354,2),2)&lt;=0),H353,ROUND($B$11-F354,2))</f>
        <v/>
      </c>
      <c r="H354" s="21">
        <f>IF((ROUND(H353-ROUND($B$11-F354,2),2)&lt;=0),0,ROUND(H353-G354,2))</f>
        <v/>
      </c>
    </row>
    <row r="355">
      <c r="A355" s="6" t="n">
        <v>341</v>
      </c>
      <c r="B355" s="19">
        <f>DATE(YEAR(B8)+INT((MONTH(B8)-1+340)/12),MOD(MONTH(B8)-1+340,12)+1,1)+(DAY(B8)-1)</f>
        <v/>
      </c>
      <c r="C355" s="21">
        <f>ROUND(E354*B5/100/12,2)</f>
        <v/>
      </c>
      <c r="D355" s="21">
        <f>IF((OR(ROUND(E354-ROUND($B$10-C355,2),2)&lt;=0,341=B6)),E354,ROUND($B$10-C355,2))</f>
        <v/>
      </c>
      <c r="E355" s="21">
        <f>IF((OR(ROUND(E354-ROUND($B$10-C355,2),2)&lt;=0,341=B6)),0,ROUND(E354-D355,2))</f>
        <v/>
      </c>
      <c r="F355" s="21">
        <f>ROUND(H354*B5/100/12,2)</f>
        <v/>
      </c>
      <c r="G355" s="21">
        <f>IF((ROUND(H354-ROUND($B$11-F355,2),2)&lt;=0),H354,ROUND($B$11-F355,2))</f>
        <v/>
      </c>
      <c r="H355" s="21">
        <f>IF((ROUND(H354-ROUND($B$11-F355,2),2)&lt;=0),0,ROUND(H354-G355,2))</f>
        <v/>
      </c>
    </row>
    <row r="356">
      <c r="A356" s="6" t="n">
        <v>342</v>
      </c>
      <c r="B356" s="19">
        <f>DATE(YEAR(B8)+INT((MONTH(B8)-1+341)/12),MOD(MONTH(B8)-1+341,12)+1,1)+(DAY(B8)-1)</f>
        <v/>
      </c>
      <c r="C356" s="21">
        <f>ROUND(E355*B5/100/12,2)</f>
        <v/>
      </c>
      <c r="D356" s="21">
        <f>IF((OR(ROUND(E355-ROUND($B$10-C356,2),2)&lt;=0,342=B6)),E355,ROUND($B$10-C356,2))</f>
        <v/>
      </c>
      <c r="E356" s="21">
        <f>IF((OR(ROUND(E355-ROUND($B$10-C356,2),2)&lt;=0,342=B6)),0,ROUND(E355-D356,2))</f>
        <v/>
      </c>
      <c r="F356" s="21">
        <f>ROUND(H355*B5/100/12,2)</f>
        <v/>
      </c>
      <c r="G356" s="21">
        <f>IF((ROUND(H355-ROUND($B$11-F356,2),2)&lt;=0),H355,ROUND($B$11-F356,2))</f>
        <v/>
      </c>
      <c r="H356" s="21">
        <f>IF((ROUND(H355-ROUND($B$11-F356,2),2)&lt;=0),0,ROUND(H355-G356,2))</f>
        <v/>
      </c>
    </row>
    <row r="357">
      <c r="A357" s="6" t="n">
        <v>343</v>
      </c>
      <c r="B357" s="19">
        <f>DATE(YEAR(B8)+INT((MONTH(B8)-1+342)/12),MOD(MONTH(B8)-1+342,12)+1,1)+(DAY(B8)-1)</f>
        <v/>
      </c>
      <c r="C357" s="21">
        <f>ROUND(E356*B5/100/12,2)</f>
        <v/>
      </c>
      <c r="D357" s="21">
        <f>IF((OR(ROUND(E356-ROUND($B$10-C357,2),2)&lt;=0,343=B6)),E356,ROUND($B$10-C357,2))</f>
        <v/>
      </c>
      <c r="E357" s="21">
        <f>IF((OR(ROUND(E356-ROUND($B$10-C357,2),2)&lt;=0,343=B6)),0,ROUND(E356-D357,2))</f>
        <v/>
      </c>
      <c r="F357" s="21">
        <f>ROUND(H356*B5/100/12,2)</f>
        <v/>
      </c>
      <c r="G357" s="21">
        <f>IF((ROUND(H356-ROUND($B$11-F357,2),2)&lt;=0),H356,ROUND($B$11-F357,2))</f>
        <v/>
      </c>
      <c r="H357" s="21">
        <f>IF((ROUND(H356-ROUND($B$11-F357,2),2)&lt;=0),0,ROUND(H356-G357,2))</f>
        <v/>
      </c>
    </row>
    <row r="358">
      <c r="A358" s="6" t="n">
        <v>344</v>
      </c>
      <c r="B358" s="19">
        <f>DATE(YEAR(B8)+INT((MONTH(B8)-1+343)/12),MOD(MONTH(B8)-1+343,12)+1,1)+(DAY(B8)-1)</f>
        <v/>
      </c>
      <c r="C358" s="21">
        <f>ROUND(E357*B5/100/12,2)</f>
        <v/>
      </c>
      <c r="D358" s="21">
        <f>IF((OR(ROUND(E357-ROUND($B$10-C358,2),2)&lt;=0,344=B6)),E357,ROUND($B$10-C358,2))</f>
        <v/>
      </c>
      <c r="E358" s="21">
        <f>IF((OR(ROUND(E357-ROUND($B$10-C358,2),2)&lt;=0,344=B6)),0,ROUND(E357-D358,2))</f>
        <v/>
      </c>
      <c r="F358" s="21">
        <f>ROUND(H357*B5/100/12,2)</f>
        <v/>
      </c>
      <c r="G358" s="21">
        <f>IF((ROUND(H357-ROUND($B$11-F358,2),2)&lt;=0),H357,ROUND($B$11-F358,2))</f>
        <v/>
      </c>
      <c r="H358" s="21">
        <f>IF((ROUND(H357-ROUND($B$11-F358,2),2)&lt;=0),0,ROUND(H357-G358,2))</f>
        <v/>
      </c>
    </row>
    <row r="359">
      <c r="A359" s="6" t="n">
        <v>345</v>
      </c>
      <c r="B359" s="19">
        <f>DATE(YEAR(B8)+INT((MONTH(B8)-1+344)/12),MOD(MONTH(B8)-1+344,12)+1,1)+(DAY(B8)-1)</f>
        <v/>
      </c>
      <c r="C359" s="21">
        <f>ROUND(E358*B5/100/12,2)</f>
        <v/>
      </c>
      <c r="D359" s="21">
        <f>IF((OR(ROUND(E358-ROUND($B$10-C359,2),2)&lt;=0,345=B6)),E358,ROUND($B$10-C359,2))</f>
        <v/>
      </c>
      <c r="E359" s="21">
        <f>IF((OR(ROUND(E358-ROUND($B$10-C359,2),2)&lt;=0,345=B6)),0,ROUND(E358-D359,2))</f>
        <v/>
      </c>
      <c r="F359" s="21">
        <f>ROUND(H358*B5/100/12,2)</f>
        <v/>
      </c>
      <c r="G359" s="21">
        <f>IF((ROUND(H358-ROUND($B$11-F359,2),2)&lt;=0),H358,ROUND($B$11-F359,2))</f>
        <v/>
      </c>
      <c r="H359" s="21">
        <f>IF((ROUND(H358-ROUND($B$11-F359,2),2)&lt;=0),0,ROUND(H358-G359,2))</f>
        <v/>
      </c>
    </row>
    <row r="360">
      <c r="A360" s="6" t="n">
        <v>346</v>
      </c>
      <c r="B360" s="19">
        <f>DATE(YEAR(B8)+INT((MONTH(B8)-1+345)/12),MOD(MONTH(B8)-1+345,12)+1,1)+(DAY(B8)-1)</f>
        <v/>
      </c>
      <c r="C360" s="21">
        <f>ROUND(E359*B5/100/12,2)</f>
        <v/>
      </c>
      <c r="D360" s="21">
        <f>IF((OR(ROUND(E359-ROUND($B$10-C360,2),2)&lt;=0,346=B6)),E359,ROUND($B$10-C360,2))</f>
        <v/>
      </c>
      <c r="E360" s="21">
        <f>IF((OR(ROUND(E359-ROUND($B$10-C360,2),2)&lt;=0,346=B6)),0,ROUND(E359-D360,2))</f>
        <v/>
      </c>
      <c r="F360" s="21">
        <f>ROUND(H359*B5/100/12,2)</f>
        <v/>
      </c>
      <c r="G360" s="21">
        <f>IF((ROUND(H359-ROUND($B$11-F360,2),2)&lt;=0),H359,ROUND($B$11-F360,2))</f>
        <v/>
      </c>
      <c r="H360" s="21">
        <f>IF((ROUND(H359-ROUND($B$11-F360,2),2)&lt;=0),0,ROUND(H359-G360,2))</f>
        <v/>
      </c>
    </row>
    <row r="361">
      <c r="A361" s="6" t="n">
        <v>347</v>
      </c>
      <c r="B361" s="19">
        <f>DATE(YEAR(B8)+INT((MONTH(B8)-1+346)/12),MOD(MONTH(B8)-1+346,12)+1,1)+(DAY(B8)-1)</f>
        <v/>
      </c>
      <c r="C361" s="21">
        <f>ROUND(E360*B5/100/12,2)</f>
        <v/>
      </c>
      <c r="D361" s="21">
        <f>IF((OR(ROUND(E360-ROUND($B$10-C361,2),2)&lt;=0,347=B6)),E360,ROUND($B$10-C361,2))</f>
        <v/>
      </c>
      <c r="E361" s="21">
        <f>IF((OR(ROUND(E360-ROUND($B$10-C361,2),2)&lt;=0,347=B6)),0,ROUND(E360-D361,2))</f>
        <v/>
      </c>
      <c r="F361" s="21">
        <f>ROUND(H360*B5/100/12,2)</f>
        <v/>
      </c>
      <c r="G361" s="21">
        <f>IF((ROUND(H360-ROUND($B$11-F361,2),2)&lt;=0),H360,ROUND($B$11-F361,2))</f>
        <v/>
      </c>
      <c r="H361" s="21">
        <f>IF((ROUND(H360-ROUND($B$11-F361,2),2)&lt;=0),0,ROUND(H360-G361,2))</f>
        <v/>
      </c>
    </row>
    <row r="362">
      <c r="A362" s="6" t="n">
        <v>348</v>
      </c>
      <c r="B362" s="19">
        <f>DATE(YEAR(B8)+INT((MONTH(B8)-1+347)/12),MOD(MONTH(B8)-1+347,12)+1,1)+(DAY(B8)-1)</f>
        <v/>
      </c>
      <c r="C362" s="21">
        <f>ROUND(E361*B5/100/12,2)</f>
        <v/>
      </c>
      <c r="D362" s="21">
        <f>IF((OR(ROUND(E361-ROUND($B$10-C362,2),2)&lt;=0,348=B6)),E361,ROUND($B$10-C362,2))</f>
        <v/>
      </c>
      <c r="E362" s="21">
        <f>IF((OR(ROUND(E361-ROUND($B$10-C362,2),2)&lt;=0,348=B6)),0,ROUND(E361-D362,2))</f>
        <v/>
      </c>
      <c r="F362" s="21">
        <f>ROUND(H361*B5/100/12,2)</f>
        <v/>
      </c>
      <c r="G362" s="21">
        <f>IF((ROUND(H361-ROUND($B$11-F362,2),2)&lt;=0),H361,ROUND($B$11-F362,2))</f>
        <v/>
      </c>
      <c r="H362" s="21">
        <f>IF((ROUND(H361-ROUND($B$11-F362,2),2)&lt;=0),0,ROUND(H361-G362,2))</f>
        <v/>
      </c>
    </row>
    <row r="363">
      <c r="A363" s="6" t="n">
        <v>349</v>
      </c>
      <c r="B363" s="19">
        <f>DATE(YEAR(B8)+INT((MONTH(B8)-1+348)/12),MOD(MONTH(B8)-1+348,12)+1,1)+(DAY(B8)-1)</f>
        <v/>
      </c>
      <c r="C363" s="21">
        <f>ROUND(E362*B5/100/12,2)</f>
        <v/>
      </c>
      <c r="D363" s="21">
        <f>IF((OR(ROUND(E362-ROUND($B$10-C363,2),2)&lt;=0,349=B6)),E362,ROUND($B$10-C363,2))</f>
        <v/>
      </c>
      <c r="E363" s="21">
        <f>IF((OR(ROUND(E362-ROUND($B$10-C363,2),2)&lt;=0,349=B6)),0,ROUND(E362-D363,2))</f>
        <v/>
      </c>
      <c r="F363" s="21">
        <f>ROUND(H362*B5/100/12,2)</f>
        <v/>
      </c>
      <c r="G363" s="21">
        <f>IF((ROUND(H362-ROUND($B$11-F363,2),2)&lt;=0),H362,ROUND($B$11-F363,2))</f>
        <v/>
      </c>
      <c r="H363" s="21">
        <f>IF((ROUND(H362-ROUND($B$11-F363,2),2)&lt;=0),0,ROUND(H362-G363,2))</f>
        <v/>
      </c>
    </row>
    <row r="364">
      <c r="A364" s="6" t="n">
        <v>350</v>
      </c>
      <c r="B364" s="19">
        <f>DATE(YEAR(B8)+INT((MONTH(B8)-1+349)/12),MOD(MONTH(B8)-1+349,12)+1,1)+(DAY(B8)-1)</f>
        <v/>
      </c>
      <c r="C364" s="21">
        <f>ROUND(E363*B5/100/12,2)</f>
        <v/>
      </c>
      <c r="D364" s="21">
        <f>IF((OR(ROUND(E363-ROUND($B$10-C364,2),2)&lt;=0,350=B6)),E363,ROUND($B$10-C364,2))</f>
        <v/>
      </c>
      <c r="E364" s="21">
        <f>IF((OR(ROUND(E363-ROUND($B$10-C364,2),2)&lt;=0,350=B6)),0,ROUND(E363-D364,2))</f>
        <v/>
      </c>
      <c r="F364" s="21">
        <f>ROUND(H363*B5/100/12,2)</f>
        <v/>
      </c>
      <c r="G364" s="21">
        <f>IF((ROUND(H363-ROUND($B$11-F364,2),2)&lt;=0),H363,ROUND($B$11-F364,2))</f>
        <v/>
      </c>
      <c r="H364" s="21">
        <f>IF((ROUND(H363-ROUND($B$11-F364,2),2)&lt;=0),0,ROUND(H363-G364,2))</f>
        <v/>
      </c>
    </row>
    <row r="365">
      <c r="A365" s="6" t="n">
        <v>351</v>
      </c>
      <c r="B365" s="19">
        <f>DATE(YEAR(B8)+INT((MONTH(B8)-1+350)/12),MOD(MONTH(B8)-1+350,12)+1,1)+(DAY(B8)-1)</f>
        <v/>
      </c>
      <c r="C365" s="21">
        <f>ROUND(E364*B5/100/12,2)</f>
        <v/>
      </c>
      <c r="D365" s="21">
        <f>IF((OR(ROUND(E364-ROUND($B$10-C365,2),2)&lt;=0,351=B6)),E364,ROUND($B$10-C365,2))</f>
        <v/>
      </c>
      <c r="E365" s="21">
        <f>IF((OR(ROUND(E364-ROUND($B$10-C365,2),2)&lt;=0,351=B6)),0,ROUND(E364-D365,2))</f>
        <v/>
      </c>
      <c r="F365" s="21">
        <f>ROUND(H364*B5/100/12,2)</f>
        <v/>
      </c>
      <c r="G365" s="21">
        <f>IF((ROUND(H364-ROUND($B$11-F365,2),2)&lt;=0),H364,ROUND($B$11-F365,2))</f>
        <v/>
      </c>
      <c r="H365" s="21">
        <f>IF((ROUND(H364-ROUND($B$11-F365,2),2)&lt;=0),0,ROUND(H364-G365,2))</f>
        <v/>
      </c>
    </row>
    <row r="366">
      <c r="A366" s="6" t="n">
        <v>352</v>
      </c>
      <c r="B366" s="19">
        <f>DATE(YEAR(B8)+INT((MONTH(B8)-1+351)/12),MOD(MONTH(B8)-1+351,12)+1,1)+(DAY(B8)-1)</f>
        <v/>
      </c>
      <c r="C366" s="21">
        <f>ROUND(E365*B5/100/12,2)</f>
        <v/>
      </c>
      <c r="D366" s="21">
        <f>IF((OR(ROUND(E365-ROUND($B$10-C366,2),2)&lt;=0,352=B6)),E365,ROUND($B$10-C366,2))</f>
        <v/>
      </c>
      <c r="E366" s="21">
        <f>IF((OR(ROUND(E365-ROUND($B$10-C366,2),2)&lt;=0,352=B6)),0,ROUND(E365-D366,2))</f>
        <v/>
      </c>
      <c r="F366" s="21">
        <f>ROUND(H365*B5/100/12,2)</f>
        <v/>
      </c>
      <c r="G366" s="21">
        <f>IF((ROUND(H365-ROUND($B$11-F366,2),2)&lt;=0),H365,ROUND($B$11-F366,2))</f>
        <v/>
      </c>
      <c r="H366" s="21">
        <f>IF((ROUND(H365-ROUND($B$11-F366,2),2)&lt;=0),0,ROUND(H365-G366,2))</f>
        <v/>
      </c>
    </row>
    <row r="367">
      <c r="A367" s="6" t="n">
        <v>353</v>
      </c>
      <c r="B367" s="19">
        <f>DATE(YEAR(B8)+INT((MONTH(B8)-1+352)/12),MOD(MONTH(B8)-1+352,12)+1,1)+(DAY(B8)-1)</f>
        <v/>
      </c>
      <c r="C367" s="21">
        <f>ROUND(E366*B5/100/12,2)</f>
        <v/>
      </c>
      <c r="D367" s="21">
        <f>IF((OR(ROUND(E366-ROUND($B$10-C367,2),2)&lt;=0,353=B6)),E366,ROUND($B$10-C367,2))</f>
        <v/>
      </c>
      <c r="E367" s="21">
        <f>IF((OR(ROUND(E366-ROUND($B$10-C367,2),2)&lt;=0,353=B6)),0,ROUND(E366-D367,2))</f>
        <v/>
      </c>
      <c r="F367" s="21">
        <f>ROUND(H366*B5/100/12,2)</f>
        <v/>
      </c>
      <c r="G367" s="21">
        <f>IF((ROUND(H366-ROUND($B$11-F367,2),2)&lt;=0),H366,ROUND($B$11-F367,2))</f>
        <v/>
      </c>
      <c r="H367" s="21">
        <f>IF((ROUND(H366-ROUND($B$11-F367,2),2)&lt;=0),0,ROUND(H366-G367,2))</f>
        <v/>
      </c>
    </row>
    <row r="368">
      <c r="A368" s="6" t="n">
        <v>354</v>
      </c>
      <c r="B368" s="19">
        <f>DATE(YEAR(B8)+INT((MONTH(B8)-1+353)/12),MOD(MONTH(B8)-1+353,12)+1,1)+(DAY(B8)-1)</f>
        <v/>
      </c>
      <c r="C368" s="21">
        <f>ROUND(E367*B5/100/12,2)</f>
        <v/>
      </c>
      <c r="D368" s="21">
        <f>IF((OR(ROUND(E367-ROUND($B$10-C368,2),2)&lt;=0,354=B6)),E367,ROUND($B$10-C368,2))</f>
        <v/>
      </c>
      <c r="E368" s="21">
        <f>IF((OR(ROUND(E367-ROUND($B$10-C368,2),2)&lt;=0,354=B6)),0,ROUND(E367-D368,2))</f>
        <v/>
      </c>
      <c r="F368" s="21">
        <f>ROUND(H367*B5/100/12,2)</f>
        <v/>
      </c>
      <c r="G368" s="21">
        <f>IF((ROUND(H367-ROUND($B$11-F368,2),2)&lt;=0),H367,ROUND($B$11-F368,2))</f>
        <v/>
      </c>
      <c r="H368" s="21">
        <f>IF((ROUND(H367-ROUND($B$11-F368,2),2)&lt;=0),0,ROUND(H367-G368,2))</f>
        <v/>
      </c>
    </row>
    <row r="369">
      <c r="A369" s="6" t="n">
        <v>355</v>
      </c>
      <c r="B369" s="19">
        <f>DATE(YEAR(B8)+INT((MONTH(B8)-1+354)/12),MOD(MONTH(B8)-1+354,12)+1,1)+(DAY(B8)-1)</f>
        <v/>
      </c>
      <c r="C369" s="21">
        <f>ROUND(E368*B5/100/12,2)</f>
        <v/>
      </c>
      <c r="D369" s="21">
        <f>IF((OR(ROUND(E368-ROUND($B$10-C369,2),2)&lt;=0,355=B6)),E368,ROUND($B$10-C369,2))</f>
        <v/>
      </c>
      <c r="E369" s="21">
        <f>IF((OR(ROUND(E368-ROUND($B$10-C369,2),2)&lt;=0,355=B6)),0,ROUND(E368-D369,2))</f>
        <v/>
      </c>
      <c r="F369" s="21">
        <f>ROUND(H368*B5/100/12,2)</f>
        <v/>
      </c>
      <c r="G369" s="21">
        <f>IF((ROUND(H368-ROUND($B$11-F369,2),2)&lt;=0),H368,ROUND($B$11-F369,2))</f>
        <v/>
      </c>
      <c r="H369" s="21">
        <f>IF((ROUND(H368-ROUND($B$11-F369,2),2)&lt;=0),0,ROUND(H368-G369,2))</f>
        <v/>
      </c>
    </row>
    <row r="370">
      <c r="A370" s="6" t="n">
        <v>356</v>
      </c>
      <c r="B370" s="19">
        <f>DATE(YEAR(B8)+INT((MONTH(B8)-1+355)/12),MOD(MONTH(B8)-1+355,12)+1,1)+(DAY(B8)-1)</f>
        <v/>
      </c>
      <c r="C370" s="21">
        <f>ROUND(E369*B5/100/12,2)</f>
        <v/>
      </c>
      <c r="D370" s="21">
        <f>IF((OR(ROUND(E369-ROUND($B$10-C370,2),2)&lt;=0,356=B6)),E369,ROUND($B$10-C370,2))</f>
        <v/>
      </c>
      <c r="E370" s="21">
        <f>IF((OR(ROUND(E369-ROUND($B$10-C370,2),2)&lt;=0,356=B6)),0,ROUND(E369-D370,2))</f>
        <v/>
      </c>
      <c r="F370" s="21">
        <f>ROUND(H369*B5/100/12,2)</f>
        <v/>
      </c>
      <c r="G370" s="21">
        <f>IF((ROUND(H369-ROUND($B$11-F370,2),2)&lt;=0),H369,ROUND($B$11-F370,2))</f>
        <v/>
      </c>
      <c r="H370" s="21">
        <f>IF((ROUND(H369-ROUND($B$11-F370,2),2)&lt;=0),0,ROUND(H369-G370,2))</f>
        <v/>
      </c>
    </row>
    <row r="371">
      <c r="A371" s="6" t="n">
        <v>357</v>
      </c>
      <c r="B371" s="19">
        <f>DATE(YEAR(B8)+INT((MONTH(B8)-1+356)/12),MOD(MONTH(B8)-1+356,12)+1,1)+(DAY(B8)-1)</f>
        <v/>
      </c>
      <c r="C371" s="21">
        <f>ROUND(E370*B5/100/12,2)</f>
        <v/>
      </c>
      <c r="D371" s="21">
        <f>IF((OR(ROUND(E370-ROUND($B$10-C371,2),2)&lt;=0,357=B6)),E370,ROUND($B$10-C371,2))</f>
        <v/>
      </c>
      <c r="E371" s="21">
        <f>IF((OR(ROUND(E370-ROUND($B$10-C371,2),2)&lt;=0,357=B6)),0,ROUND(E370-D371,2))</f>
        <v/>
      </c>
      <c r="F371" s="21">
        <f>ROUND(H370*B5/100/12,2)</f>
        <v/>
      </c>
      <c r="G371" s="21">
        <f>IF((ROUND(H370-ROUND($B$11-F371,2),2)&lt;=0),H370,ROUND($B$11-F371,2))</f>
        <v/>
      </c>
      <c r="H371" s="21">
        <f>IF((ROUND(H370-ROUND($B$11-F371,2),2)&lt;=0),0,ROUND(H370-G371,2))</f>
        <v/>
      </c>
    </row>
    <row r="372">
      <c r="A372" s="6" t="n">
        <v>358</v>
      </c>
      <c r="B372" s="19">
        <f>DATE(YEAR(B8)+INT((MONTH(B8)-1+357)/12),MOD(MONTH(B8)-1+357,12)+1,1)+(DAY(B8)-1)</f>
        <v/>
      </c>
      <c r="C372" s="21">
        <f>ROUND(E371*B5/100/12,2)</f>
        <v/>
      </c>
      <c r="D372" s="21">
        <f>IF((OR(ROUND(E371-ROUND($B$10-C372,2),2)&lt;=0,358=B6)),E371,ROUND($B$10-C372,2))</f>
        <v/>
      </c>
      <c r="E372" s="21">
        <f>IF((OR(ROUND(E371-ROUND($B$10-C372,2),2)&lt;=0,358=B6)),0,ROUND(E371-D372,2))</f>
        <v/>
      </c>
      <c r="F372" s="21">
        <f>ROUND(H371*B5/100/12,2)</f>
        <v/>
      </c>
      <c r="G372" s="21">
        <f>IF((ROUND(H371-ROUND($B$11-F372,2),2)&lt;=0),H371,ROUND($B$11-F372,2))</f>
        <v/>
      </c>
      <c r="H372" s="21">
        <f>IF((ROUND(H371-ROUND($B$11-F372,2),2)&lt;=0),0,ROUND(H371-G372,2))</f>
        <v/>
      </c>
    </row>
    <row r="373">
      <c r="A373" s="6" t="n">
        <v>359</v>
      </c>
      <c r="B373" s="19">
        <f>DATE(YEAR(B8)+INT((MONTH(B8)-1+358)/12),MOD(MONTH(B8)-1+358,12)+1,1)+(DAY(B8)-1)</f>
        <v/>
      </c>
      <c r="C373" s="21">
        <f>ROUND(E372*B5/100/12,2)</f>
        <v/>
      </c>
      <c r="D373" s="21">
        <f>IF((OR(ROUND(E372-ROUND($B$10-C373,2),2)&lt;=0,359=B6)),E372,ROUND($B$10-C373,2))</f>
        <v/>
      </c>
      <c r="E373" s="21">
        <f>IF((OR(ROUND(E372-ROUND($B$10-C373,2),2)&lt;=0,359=B6)),0,ROUND(E372-D373,2))</f>
        <v/>
      </c>
      <c r="F373" s="21">
        <f>ROUND(H372*B5/100/12,2)</f>
        <v/>
      </c>
      <c r="G373" s="21">
        <f>IF((ROUND(H372-ROUND($B$11-F373,2),2)&lt;=0),H372,ROUND($B$11-F373,2))</f>
        <v/>
      </c>
      <c r="H373" s="21">
        <f>IF((ROUND(H372-ROUND($B$11-F373,2),2)&lt;=0),0,ROUND(H372-G373,2))</f>
        <v/>
      </c>
    </row>
    <row r="374">
      <c r="A374" s="6" t="n">
        <v>360</v>
      </c>
      <c r="B374" s="19">
        <f>DATE(YEAR(B8)+INT((MONTH(B8)-1+359)/12),MOD(MONTH(B8)-1+359,12)+1,1)+(DAY(B8)-1)</f>
        <v/>
      </c>
      <c r="C374" s="21">
        <f>ROUND(E373*B5/100/12,2)</f>
        <v/>
      </c>
      <c r="D374" s="21">
        <f>IF((OR(ROUND(E373-ROUND($B$10-C374,2),2)&lt;=0,360=B6)),E373,ROUND($B$10-C374,2))</f>
        <v/>
      </c>
      <c r="E374" s="21">
        <f>IF((OR(ROUND(E373-ROUND($B$10-C374,2),2)&lt;=0,360=B6)),0,ROUND(E373-D374,2))</f>
        <v/>
      </c>
      <c r="F374" s="21">
        <f>ROUND(H373*B5/100/12,2)</f>
        <v/>
      </c>
      <c r="G374" s="21">
        <f>IF((ROUND(H373-ROUND($B$11-F374,2),2)&lt;=0),H373,ROUND($B$11-F374,2))</f>
        <v/>
      </c>
      <c r="H374" s="21">
        <f>IF((ROUND(H373-ROUND($B$11-F374,2),2)&lt;=0),0,ROUND(H373-G374,2))</f>
        <v/>
      </c>
    </row>
    <row r="375"/>
    <row r="376">
      <c r="A376" s="17" t="inlineStr">
        <is>
          <t>Original months to payoff</t>
        </is>
      </c>
      <c r="B376" s="18">
        <f>IFERROR(MATCH(0,$E$15:$E$374,0),"exceeds 360-row table")</f>
        <v/>
      </c>
    </row>
    <row r="377">
      <c r="A377" s="17" t="inlineStr">
        <is>
          <t>New months to payoff (with extra)</t>
        </is>
      </c>
      <c r="B377" s="18">
        <f>IFERROR(MATCH(0,$H$15:$H$374,0),"exceeds 360-row table")</f>
        <v/>
      </c>
    </row>
    <row r="378">
      <c r="A378" s="17" t="inlineStr">
        <is>
          <t>Months saved</t>
        </is>
      </c>
      <c r="B378" s="18">
        <f>IFERROR(B376-B377,"n/a")</f>
        <v/>
      </c>
    </row>
    <row r="379">
      <c r="A379" s="17" t="inlineStr">
        <is>
          <t>Original total interest</t>
        </is>
      </c>
      <c r="B379" s="21">
        <f>SUM($C$15:$C$374)</f>
        <v/>
      </c>
    </row>
    <row r="380">
      <c r="A380" s="17" t="inlineStr">
        <is>
          <t>New total interest (with extra)</t>
        </is>
      </c>
      <c r="B380" s="21">
        <f>SUM($F$15:$F$374)</f>
        <v/>
      </c>
    </row>
    <row r="381">
      <c r="A381" s="17" t="inlineStr">
        <is>
          <t>Interest saved</t>
        </is>
      </c>
      <c r="B381" s="21">
        <f>B379-B380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8" customWidth="1" min="2" max="2"/>
  </cols>
  <sheetData>
    <row r="1">
      <c r="A1" s="1" t="inlineStr">
        <is>
          <t>Discount Points Breakeven</t>
        </is>
      </c>
    </row>
    <row r="2"/>
    <row r="3"/>
    <row r="4">
      <c r="A4" s="17" t="inlineStr">
        <is>
          <t>Loan amount ($)</t>
        </is>
      </c>
      <c r="B4" s="9" t="n">
        <v>400000</v>
      </c>
    </row>
    <row r="5">
      <c r="A5" s="17" t="inlineStr">
        <is>
          <t>Points purchased (1 = 1% of loan)</t>
        </is>
      </c>
      <c r="B5" s="24" t="n">
        <v>1</v>
      </c>
    </row>
    <row r="6">
      <c r="A6" s="17" t="inlineStr">
        <is>
          <t>Rate reduction from points (pts)</t>
        </is>
      </c>
      <c r="B6" s="8" t="n">
        <v>0.25</v>
      </c>
    </row>
    <row r="7">
      <c r="A7" s="17" t="inlineStr">
        <is>
          <t>Original rate (%)</t>
        </is>
      </c>
      <c r="B7" s="8" t="n">
        <v>6.5</v>
      </c>
    </row>
    <row r="8">
      <c r="A8" s="17" t="inlineStr">
        <is>
          <t>Term (months)</t>
        </is>
      </c>
      <c r="B8" s="23" t="n">
        <v>360</v>
      </c>
    </row>
    <row r="9"/>
    <row r="10">
      <c r="A10" s="17" t="inlineStr">
        <is>
          <t>Points cost</t>
        </is>
      </c>
      <c r="B10" s="21">
        <f>ROUND(B4*B5/100,2)</f>
        <v/>
      </c>
    </row>
    <row r="11">
      <c r="A11" s="17" t="inlineStr">
        <is>
          <t>Monthly payment (original rate)</t>
        </is>
      </c>
      <c r="B11" s="21">
        <f>ROUND(-PMT(B7/100/12,B8,B4),2)</f>
        <v/>
      </c>
    </row>
    <row r="12">
      <c r="A12" s="17" t="inlineStr">
        <is>
          <t>Monthly payment (with points)</t>
        </is>
      </c>
      <c r="B12" s="21">
        <f>ROUND(-PMT((B7-B6)/100/12,B8,B4),2)</f>
        <v/>
      </c>
    </row>
    <row r="13">
      <c r="A13" s="17" t="inlineStr">
        <is>
          <t>Monthly savings</t>
        </is>
      </c>
      <c r="B13" s="21">
        <f>B11-B12</f>
        <v/>
      </c>
    </row>
    <row r="14">
      <c r="A14" s="17" t="inlineStr">
        <is>
          <t>Breakeven (months)</t>
        </is>
      </c>
      <c r="B14" s="6">
        <f>IF(B13&lt;=0,"never (no monthly savings)",B10/B13)</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8" customWidth="1" min="2" max="2"/>
  </cols>
  <sheetData>
    <row r="1">
      <c r="A1" s="1" t="inlineStr">
        <is>
          <t>Refinance Comparison</t>
        </is>
      </c>
    </row>
    <row r="2">
      <c r="A2" s="2" t="inlineStr">
        <is>
          <t>Total costs use n*payment over the full term, a quick-comparison simplification -- expect the same small rounding-drift deviation from a full cent-rounded schedule documented in docs/new-req/004-rounding-drift-accuracy-disclosure.md.</t>
        </is>
      </c>
    </row>
    <row r="3"/>
    <row r="4">
      <c r="A4" s="17" t="inlineStr">
        <is>
          <t>Old: remaining balance ($)</t>
        </is>
      </c>
      <c r="B4" s="9" t="n">
        <v>280000</v>
      </c>
    </row>
    <row r="5">
      <c r="A5" s="17" t="inlineStr">
        <is>
          <t>Old: rate (%)</t>
        </is>
      </c>
      <c r="B5" s="8" t="n">
        <v>7</v>
      </c>
    </row>
    <row r="6">
      <c r="A6" s="17" t="inlineStr">
        <is>
          <t>Old: remaining term (years)</t>
        </is>
      </c>
      <c r="B6" s="24" t="n">
        <v>28</v>
      </c>
    </row>
    <row r="7">
      <c r="A7" s="17" t="inlineStr">
        <is>
          <t>New: loan amount ($)</t>
        </is>
      </c>
      <c r="B7" s="9" t="n">
        <v>280000</v>
      </c>
    </row>
    <row r="8">
      <c r="A8" s="17" t="inlineStr">
        <is>
          <t>New: rate (%)</t>
        </is>
      </c>
      <c r="B8" s="8" t="n">
        <v>6</v>
      </c>
    </row>
    <row r="9">
      <c r="A9" s="17" t="inlineStr">
        <is>
          <t>New: term (years)</t>
        </is>
      </c>
      <c r="B9" s="24" t="n">
        <v>30</v>
      </c>
    </row>
    <row r="10">
      <c r="A10" s="17" t="inlineStr">
        <is>
          <t>Closing costs ($)</t>
        </is>
      </c>
      <c r="B10" s="9" t="n">
        <v>6000</v>
      </c>
    </row>
    <row r="11"/>
    <row r="12">
      <c r="A12" s="17" t="inlineStr">
        <is>
          <t>Old monthly payment</t>
        </is>
      </c>
      <c r="B12" s="21">
        <f>ROUND(-PMT(B5/100/12,B6*12,B4),2)</f>
        <v/>
      </c>
    </row>
    <row r="13">
      <c r="A13" s="17" t="inlineStr">
        <is>
          <t>New monthly payment</t>
        </is>
      </c>
      <c r="B13" s="21">
        <f>ROUND(-PMT(B8/100/12,B9*12,B7),2)</f>
        <v/>
      </c>
    </row>
    <row r="14">
      <c r="A14" s="17" t="inlineStr">
        <is>
          <t>Old total cost (remaining term)</t>
        </is>
      </c>
      <c r="B14" s="21">
        <f>B12*B6*12</f>
        <v/>
      </c>
    </row>
    <row r="15">
      <c r="A15" s="17" t="inlineStr">
        <is>
          <t>New total cost (incl. closing costs)</t>
        </is>
      </c>
      <c r="B15" s="21">
        <f>B13*B9*12+B10</f>
        <v/>
      </c>
    </row>
    <row r="16">
      <c r="A16" s="17" t="inlineStr">
        <is>
          <t>Net savings</t>
        </is>
      </c>
      <c r="B16" s="21">
        <f>B14-B15</f>
        <v/>
      </c>
    </row>
    <row r="17">
      <c r="A17" s="17" t="inlineStr">
        <is>
          <t>Breakeven (months)</t>
        </is>
      </c>
      <c r="B17" s="6">
        <f>IF(B12-B13&lt;=0,"never (no monthly savings)",B10/(B12-B13))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s>
  <sheetData>
    <row r="1">
      <c r="A1" s="1" t="inlineStr">
        <is>
          <t>Compare Loan Offers</t>
        </is>
      </c>
    </row>
    <row r="2">
      <c r="A2" s="2" t="inlineStr">
        <is>
          <t>Up to 4 offers, side by side.</t>
        </is>
      </c>
    </row>
    <row r="3"/>
    <row r="4">
      <c r="A4" s="5" t="n"/>
      <c r="B4" s="5" t="inlineStr">
        <is>
          <t>Offer 1</t>
        </is>
      </c>
      <c r="C4" s="5" t="inlineStr">
        <is>
          <t>Offer 2</t>
        </is>
      </c>
      <c r="D4" s="5" t="inlineStr">
        <is>
          <t>Offer 3</t>
        </is>
      </c>
      <c r="E4" s="5" t="inlineStr">
        <is>
          <t>Offer 4</t>
        </is>
      </c>
    </row>
    <row r="5">
      <c r="A5" s="17" t="inlineStr">
        <is>
          <t>Loan amount ($)</t>
        </is>
      </c>
      <c r="B5" s="9" t="n">
        <v>300000</v>
      </c>
      <c r="C5" s="9" t="n">
        <v>300000</v>
      </c>
      <c r="D5" s="9" t="n">
        <v>300000</v>
      </c>
      <c r="E5" s="9" t="n">
        <v>300000</v>
      </c>
    </row>
    <row r="6">
      <c r="A6" s="17" t="inlineStr">
        <is>
          <t>Rate (%)</t>
        </is>
      </c>
      <c r="B6" s="8" t="n">
        <v>6.5</v>
      </c>
      <c r="C6" s="8" t="n">
        <v>6</v>
      </c>
      <c r="D6" s="8" t="n">
        <v>6.5</v>
      </c>
      <c r="E6" s="8" t="n">
        <v>5.75</v>
      </c>
    </row>
    <row r="7">
      <c r="A7" s="17" t="inlineStr">
        <is>
          <t>Term (years)</t>
        </is>
      </c>
      <c r="B7" s="24" t="n">
        <v>30</v>
      </c>
      <c r="C7" s="24" t="n">
        <v>30</v>
      </c>
      <c r="D7" s="24" t="n">
        <v>15</v>
      </c>
      <c r="E7" s="24" t="n">
        <v>15</v>
      </c>
    </row>
    <row r="8">
      <c r="A8" s="17" t="inlineStr">
        <is>
          <t>Monthly payment</t>
        </is>
      </c>
      <c r="B8" s="21">
        <f>ROUND(-PMT(B6/100/12,B7*12,B5),2)</f>
        <v/>
      </c>
      <c r="C8" s="21">
        <f>ROUND(-PMT(C6/100/12,C7*12,C5),2)</f>
        <v/>
      </c>
      <c r="D8" s="21">
        <f>ROUND(-PMT(D6/100/12,D7*12,D5),2)</f>
        <v/>
      </c>
      <c r="E8" s="21">
        <f>ROUND(-PMT(E6/100/12,E7*12,E5),2)</f>
        <v/>
      </c>
    </row>
    <row r="9">
      <c r="A9" s="17" t="inlineStr">
        <is>
          <t>Total interest</t>
        </is>
      </c>
      <c r="B9" s="21">
        <f>B8*B7*12-B5</f>
        <v/>
      </c>
      <c r="C9" s="21">
        <f>C8*C7*12-C5</f>
        <v/>
      </c>
      <c r="D9" s="21">
        <f>D8*D7*12-D5</f>
        <v/>
      </c>
      <c r="E9" s="21">
        <f>E8*E7*12-E5</f>
        <v/>
      </c>
    </row>
    <row r="10">
      <c r="A10" s="17" t="inlineStr">
        <is>
          <t>Total of payments</t>
        </is>
      </c>
      <c r="B10" s="21">
        <f>B8*B7*12</f>
        <v/>
      </c>
      <c r="C10" s="21">
        <f>C8*C7*12</f>
        <v/>
      </c>
      <c r="D10" s="21">
        <f>D8*D7*12</f>
        <v/>
      </c>
      <c r="E10" s="21">
        <f>E8*E7*12</f>
        <v/>
      </c>
    </row>
    <row r="11"/>
    <row r="12">
      <c r="A12" s="17" t="inlineStr">
        <is>
          <t>Lowest monthly payment</t>
        </is>
      </c>
      <c r="B12" s="6">
        <f>INDEX($B$4:$E$4,MATCH(MIN(B8:E8),B8:E8,0))</f>
        <v/>
      </c>
    </row>
    <row r="13">
      <c r="A13" s="17" t="inlineStr">
        <is>
          <t>Lowest total interest</t>
        </is>
      </c>
      <c r="B13" s="6">
        <f>INDEX($B$4:$E$4,MATCH(MIN(B9:E9),B9:E9,0))</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8" customWidth="1" min="2" max="2"/>
  </cols>
  <sheetData>
    <row r="1">
      <c r="A1" s="1" t="inlineStr">
        <is>
          <t>LTV, CLTV &amp; DSCR</t>
        </is>
      </c>
    </row>
    <row r="2"/>
    <row r="3"/>
    <row r="4">
      <c r="A4" s="4" t="inlineStr">
        <is>
          <t>Loan-to-Value (LTV)</t>
        </is>
      </c>
    </row>
    <row r="5">
      <c r="A5" s="17" t="inlineStr">
        <is>
          <t>Loan amount ($)</t>
        </is>
      </c>
      <c r="B5" s="9" t="n">
        <v>270000</v>
      </c>
    </row>
    <row r="6">
      <c r="A6" s="17" t="inlineStr">
        <is>
          <t>Property value ($)</t>
        </is>
      </c>
      <c r="B6" s="9" t="n">
        <v>300000</v>
      </c>
    </row>
    <row r="7">
      <c r="A7" s="17" t="inlineStr">
        <is>
          <t>LTV</t>
        </is>
      </c>
      <c r="B7" s="22">
        <f>IF(B6=0,"n/a",B5/B6)</f>
        <v/>
      </c>
    </row>
    <row r="8"/>
    <row r="9"/>
    <row r="10">
      <c r="A10" s="4" t="inlineStr">
        <is>
          <t>Combined LTV (CLTV)</t>
        </is>
      </c>
    </row>
    <row r="11">
      <c r="A11" s="17" t="inlineStr">
        <is>
          <t>First lien balance ($)</t>
        </is>
      </c>
      <c r="B11" s="9" t="n">
        <v>200000</v>
      </c>
    </row>
    <row r="12">
      <c r="A12" s="17" t="inlineStr">
        <is>
          <t>Second lien / HELOC ($)</t>
        </is>
      </c>
      <c r="B12" s="9" t="n">
        <v>50000</v>
      </c>
    </row>
    <row r="13">
      <c r="A13" s="17" t="inlineStr">
        <is>
          <t>Property value ($)</t>
        </is>
      </c>
      <c r="B13" s="9" t="n">
        <v>300000</v>
      </c>
    </row>
    <row r="14">
      <c r="A14" s="17" t="inlineStr">
        <is>
          <t>CLTV</t>
        </is>
      </c>
      <c r="B14" s="22">
        <f>IF(B13=0,"n/a",(B11+B12)/B13)</f>
        <v/>
      </c>
    </row>
    <row r="15"/>
    <row r="16"/>
    <row r="17">
      <c r="A17" s="4" t="inlineStr">
        <is>
          <t>Debt Service Coverage Ratio (DSCR)</t>
        </is>
      </c>
    </row>
    <row r="18">
      <c r="A18" s="17" t="inlineStr">
        <is>
          <t>Net operating income ($/yr)</t>
        </is>
      </c>
      <c r="B18" s="9" t="n">
        <v>120000</v>
      </c>
    </row>
    <row r="19">
      <c r="A19" s="17" t="inlineStr">
        <is>
          <t>Annual debt service ($/yr)</t>
        </is>
      </c>
      <c r="B19" s="9" t="n">
        <v>90000</v>
      </c>
    </row>
    <row r="20">
      <c r="A20" s="17" t="inlineStr">
        <is>
          <t>DSCR</t>
        </is>
      </c>
      <c r="B20" s="25">
        <f>IF(B19=0,"n/a",B18/B19)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8" customWidth="1" min="2" max="2"/>
  </cols>
  <sheetData>
    <row r="1">
      <c r="A1" s="1" t="inlineStr">
        <is>
          <t>ARM Rate Reset</t>
        </is>
      </c>
    </row>
    <row r="2">
      <c r="A2" s="2" t="inlineStr">
        <is>
          <t>Pure rate-cap calculator; plug the capped rate into a Segments row to model the resulting schedule.</t>
        </is>
      </c>
    </row>
    <row r="3"/>
    <row r="4">
      <c r="A4" s="17" t="inlineStr">
        <is>
          <t>Is this the first reset? (Y/N)</t>
        </is>
      </c>
      <c r="B4" s="10" t="inlineStr">
        <is>
          <t>Y</t>
        </is>
      </c>
    </row>
    <row r="5">
      <c r="A5" s="17" t="inlineStr">
        <is>
          <t>Previous rate (%)</t>
        </is>
      </c>
      <c r="B5" s="8" t="n">
        <v>5</v>
      </c>
    </row>
    <row r="6">
      <c r="A6" s="17" t="inlineStr">
        <is>
          <t>Initial (start) rate (%)</t>
        </is>
      </c>
      <c r="B6" s="8" t="n">
        <v>4</v>
      </c>
    </row>
    <row r="7">
      <c r="A7" s="17" t="inlineStr">
        <is>
          <t>Current index rate (%)</t>
        </is>
      </c>
      <c r="B7" s="8" t="n">
        <v>5.5</v>
      </c>
    </row>
    <row r="8">
      <c r="A8" s="17" t="inlineStr">
        <is>
          <t>Margin (%)</t>
        </is>
      </c>
      <c r="B8" s="8" t="n">
        <v>2.75</v>
      </c>
    </row>
    <row r="9">
      <c r="A9" s="17" t="inlineStr">
        <is>
          <t>Initial cap (pts, blank = none)</t>
        </is>
      </c>
      <c r="B9" s="24" t="n">
        <v>2</v>
      </c>
    </row>
    <row r="10">
      <c r="A10" s="17" t="inlineStr">
        <is>
          <t>Periodic cap (pts, blank = none)</t>
        </is>
      </c>
      <c r="B10" s="24" t="n">
        <v>2</v>
      </c>
    </row>
    <row r="11">
      <c r="A11" s="17" t="inlineStr">
        <is>
          <t>Lifetime cap (pts, blank = none)</t>
        </is>
      </c>
      <c r="B11" s="24" t="n">
        <v>5</v>
      </c>
    </row>
    <row r="12">
      <c r="A12" s="17" t="inlineStr">
        <is>
          <t>Remaining balance ($)</t>
        </is>
      </c>
      <c r="B12" s="9" t="n">
        <v>380000</v>
      </c>
    </row>
    <row r="13">
      <c r="A13" s="17" t="inlineStr">
        <is>
          <t>Remaining amortization (months)</t>
        </is>
      </c>
      <c r="B13" s="23" t="n">
        <v>300</v>
      </c>
    </row>
    <row r="14"/>
    <row r="15">
      <c r="A15" s="17" t="inlineStr">
        <is>
          <t>Fully-indexed rate (%)</t>
        </is>
      </c>
      <c r="B15" s="26">
        <f>B7+B8</f>
        <v/>
      </c>
    </row>
    <row r="16">
      <c r="A16" s="17" t="inlineStr">
        <is>
          <t>Capped rate (%)</t>
        </is>
      </c>
      <c r="B16" s="26">
        <f>MAX(0,MIN(IF(IF(B4="Y",B9,B10)="",B15,MIN(B15,B5+IF(B4="Y",B9,B10))),IF(B11="",B15,B6+B11)))</f>
        <v/>
      </c>
    </row>
    <row r="17">
      <c r="A17" s="17" t="inlineStr">
        <is>
          <t>New monthly payment</t>
        </is>
      </c>
      <c r="B17" s="21">
        <f>ROUND(-PMT(B16/100/12,B13,B12),2)</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8" customWidth="1" min="2" max="2"/>
  </cols>
  <sheetData>
    <row r="1">
      <c r="A1" s="1" t="inlineStr">
        <is>
          <t>Fees &amp; APR</t>
        </is>
      </c>
    </row>
    <row r="2">
      <c r="A2" s="2" t="inlineStr">
        <is>
          <t>A simplified actuarial-method APR (via Excel's RATE function) -- not a certified TILA/Reg Z disclosure. See docs/new-req/002-fees-and-apr.md.</t>
        </is>
      </c>
    </row>
    <row r="3"/>
    <row r="4">
      <c r="A4" s="17" t="inlineStr">
        <is>
          <t>Loan amount (note amount, $)</t>
        </is>
      </c>
      <c r="B4" s="9" t="n">
        <v>300000</v>
      </c>
    </row>
    <row r="5">
      <c r="A5" s="17" t="inlineStr">
        <is>
          <t>Annual interest rate / note rate (%)</t>
        </is>
      </c>
      <c r="B5" s="8" t="n">
        <v>6.5</v>
      </c>
    </row>
    <row r="6">
      <c r="A6" s="17" t="inlineStr">
        <is>
          <t>Term (months)</t>
        </is>
      </c>
      <c r="B6" s="23" t="n">
        <v>360</v>
      </c>
    </row>
    <row r="7"/>
    <row r="8"/>
    <row r="9">
      <c r="A9" s="5" t="inlineStr">
        <is>
          <t>Fee name</t>
        </is>
      </c>
      <c r="B9" s="5" t="inlineStr">
        <is>
          <t>Amount</t>
        </is>
      </c>
      <c r="C9" s="5" t="inlineStr">
        <is>
          <t>Financed? (Y/N)</t>
        </is>
      </c>
    </row>
    <row r="10">
      <c r="A10" s="10" t="inlineStr">
        <is>
          <t>Origination fee</t>
        </is>
      </c>
      <c r="B10" s="9" t="n">
        <v>3000</v>
      </c>
      <c r="C10" s="10" t="inlineStr">
        <is>
          <t>N</t>
        </is>
      </c>
    </row>
    <row r="11">
      <c r="A11" s="10" t="inlineStr">
        <is>
          <t>Application fee</t>
        </is>
      </c>
      <c r="B11" s="9" t="n">
        <v>500</v>
      </c>
      <c r="C11" s="10" t="inlineStr">
        <is>
          <t>N</t>
        </is>
      </c>
    </row>
    <row r="12">
      <c r="A12" s="10" t="inlineStr">
        <is>
          <t>Appraisal</t>
        </is>
      </c>
      <c r="B12" s="9" t="n">
        <v>650</v>
      </c>
      <c r="C12" s="10" t="inlineStr">
        <is>
          <t>N</t>
        </is>
      </c>
    </row>
    <row r="13">
      <c r="A13" s="10" t="n"/>
      <c r="B13" s="9" t="n"/>
      <c r="C13" s="10" t="n"/>
    </row>
    <row r="14">
      <c r="A14" s="10" t="n"/>
      <c r="B14" s="9" t="n"/>
      <c r="C14" s="10" t="n"/>
    </row>
    <row r="15">
      <c r="A15" s="10" t="n"/>
      <c r="B15" s="9" t="n"/>
      <c r="C15" s="10" t="n"/>
    </row>
    <row r="16">
      <c r="A16" s="10" t="n"/>
      <c r="B16" s="9" t="n"/>
      <c r="C16" s="10" t="n"/>
    </row>
    <row r="17"/>
    <row r="18">
      <c r="A18" s="17" t="inlineStr">
        <is>
          <t>Total fees</t>
        </is>
      </c>
      <c r="B18" s="21">
        <f>SUM($B$10:$B$16)</f>
        <v/>
      </c>
    </row>
    <row r="19">
      <c r="A19" s="17" t="inlineStr">
        <is>
          <t>Total financed fees</t>
        </is>
      </c>
      <c r="B19" s="21">
        <f>SUMIF($C$10:$C$16,"Y",$B$10:$B$16)</f>
        <v/>
      </c>
    </row>
    <row r="20">
      <c r="A20" s="17" t="inlineStr">
        <is>
          <t>Total cash fees</t>
        </is>
      </c>
      <c r="B20" s="21">
        <f>SUMIF($C$10:$C$16,"&lt;&gt;Y",$B$10:$B$16)-SUMIF($C$10:$C$16,"",$B$10:$B$16)</f>
        <v/>
      </c>
    </row>
    <row r="21">
      <c r="A21" s="17" t="inlineStr">
        <is>
          <t>Effective loan amount</t>
        </is>
      </c>
      <c r="B21" s="21">
        <f>B4+B19</f>
        <v/>
      </c>
    </row>
    <row r="22">
      <c r="A22" s="17" t="inlineStr">
        <is>
          <t>Monthly payment</t>
        </is>
      </c>
      <c r="B22" s="21">
        <f>ROUND(-PMT(B5/100/12,B6,B21),2)</f>
        <v/>
      </c>
    </row>
    <row r="23">
      <c r="A23" s="17" t="inlineStr">
        <is>
          <t>Amount financed</t>
        </is>
      </c>
      <c r="B23" s="21">
        <f>B21-B20</f>
        <v/>
      </c>
    </row>
    <row r="24">
      <c r="A24" s="17" t="inlineStr">
        <is>
          <t>APR (%)</t>
        </is>
      </c>
      <c r="B24" s="26">
        <f>IFERROR(RATE(B6,-B22,B23)*12*100,"n/a -- fees too large relative to loan")</f>
        <v/>
      </c>
    </row>
    <row r="25">
      <c r="A25" s="17" t="inlineStr">
        <is>
          <t>APR minus note rate (pts)</t>
        </is>
      </c>
      <c r="B25" s="26">
        <f>IFERROR(B24-B5,"n/a")</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8" customWidth="1" min="2" max="2"/>
  </cols>
  <sheetData>
    <row r="1">
      <c r="A1" s="1" t="inlineStr">
        <is>
          <t>DTI &amp; Affordability</t>
        </is>
      </c>
    </row>
    <row r="2"/>
    <row r="3"/>
    <row r="4">
      <c r="A4" s="4" t="inlineStr">
        <is>
          <t>Check my DTI</t>
        </is>
      </c>
    </row>
    <row r="5">
      <c r="A5" s="17" t="inlineStr">
        <is>
          <t>Gross monthly income ($)</t>
        </is>
      </c>
      <c r="B5" s="9" t="n">
        <v>9000</v>
      </c>
    </row>
    <row r="6">
      <c r="A6" s="17" t="inlineStr">
        <is>
          <t>Full housing payment ($/mo)</t>
        </is>
      </c>
      <c r="B6" s="9" t="n">
        <v>2200</v>
      </c>
    </row>
    <row r="7">
      <c r="A7" s="17" t="inlineStr">
        <is>
          <t>Other monthly debts ($)</t>
        </is>
      </c>
      <c r="B7" s="9" t="n">
        <v>500</v>
      </c>
    </row>
    <row r="8">
      <c r="A8" s="17" t="inlineStr">
        <is>
          <t>Front-end max (%)</t>
        </is>
      </c>
      <c r="B8" s="24" t="n">
        <v>28</v>
      </c>
    </row>
    <row r="9">
      <c r="A9" s="17" t="inlineStr">
        <is>
          <t>Back-end max (%)</t>
        </is>
      </c>
      <c r="B9" s="24" t="n">
        <v>36</v>
      </c>
    </row>
    <row r="10"/>
    <row r="11">
      <c r="A11" s="17" t="inlineStr">
        <is>
          <t>Front-end DTI</t>
        </is>
      </c>
      <c r="B11" s="22">
        <f>B6/B5</f>
        <v/>
      </c>
    </row>
    <row r="12">
      <c r="A12" s="17" t="inlineStr">
        <is>
          <t>Back-end DTI</t>
        </is>
      </c>
      <c r="B12" s="22">
        <f>(B6+B7)/B5</f>
        <v/>
      </c>
    </row>
    <row r="13">
      <c r="A13" s="17" t="inlineStr">
        <is>
          <t>Front-end OK?</t>
        </is>
      </c>
      <c r="B13" s="6">
        <f>B11&lt;=B8/100</f>
        <v/>
      </c>
    </row>
    <row r="14">
      <c r="A14" s="17" t="inlineStr">
        <is>
          <t>Back-end OK?</t>
        </is>
      </c>
      <c r="B14" s="6">
        <f>B12&lt;=B9/100</f>
        <v/>
      </c>
    </row>
    <row r="15">
      <c r="A15" s="17" t="inlineStr">
        <is>
          <t>Qualifies?</t>
        </is>
      </c>
      <c r="B15" s="6">
        <f>AND(B13,B14)</f>
        <v/>
      </c>
    </row>
    <row r="16"/>
    <row r="17"/>
    <row r="18">
      <c r="A18" s="4" t="inlineStr">
        <is>
          <t>How much can I afford</t>
        </is>
      </c>
    </row>
    <row r="19">
      <c r="A19" s="17" t="inlineStr">
        <is>
          <t>Gross monthly income ($)</t>
        </is>
      </c>
      <c r="B19" s="9" t="n">
        <v>9000</v>
      </c>
    </row>
    <row r="20">
      <c r="A20" s="17" t="inlineStr">
        <is>
          <t>Other monthly debts ($)</t>
        </is>
      </c>
      <c r="B20" s="9" t="n">
        <v>500</v>
      </c>
    </row>
    <row r="21">
      <c r="A21" s="17" t="inlineStr">
        <is>
          <t>Annual interest rate (%)</t>
        </is>
      </c>
      <c r="B21" s="8" t="n">
        <v>6.5</v>
      </c>
    </row>
    <row r="22">
      <c r="A22" s="17" t="inlineStr">
        <is>
          <t>Term (months)</t>
        </is>
      </c>
      <c r="B22" s="23" t="n">
        <v>360</v>
      </c>
    </row>
    <row r="23">
      <c r="A23" s="17" t="inlineStr">
        <is>
          <t>Est. non-P&amp;I housing costs ($/mo)</t>
        </is>
      </c>
      <c r="B23" s="9" t="n">
        <v>400</v>
      </c>
    </row>
    <row r="24">
      <c r="A24" s="17" t="inlineStr">
        <is>
          <t>Front-end max (%)</t>
        </is>
      </c>
      <c r="B24" s="24" t="n">
        <v>28</v>
      </c>
    </row>
    <row r="25">
      <c r="A25" s="17" t="inlineStr">
        <is>
          <t>Back-end max (%)</t>
        </is>
      </c>
      <c r="B25" s="24" t="n">
        <v>36</v>
      </c>
    </row>
    <row r="26">
      <c r="A26" s="17" t="inlineStr">
        <is>
          <t>Down payment ($)</t>
        </is>
      </c>
      <c r="B26" s="9" t="n">
        <v>60000</v>
      </c>
    </row>
    <row r="27"/>
    <row r="28">
      <c r="A28" s="17" t="inlineStr">
        <is>
          <t>Front-end allowance</t>
        </is>
      </c>
      <c r="B28" s="21">
        <f>B19*B24/100-B23</f>
        <v/>
      </c>
    </row>
    <row r="29">
      <c r="A29" s="17" t="inlineStr">
        <is>
          <t>Back-end allowance</t>
        </is>
      </c>
      <c r="B29" s="21">
        <f>B19*B25/100-B20-B23</f>
        <v/>
      </c>
    </row>
    <row r="30">
      <c r="A30" s="17" t="inlineStr">
        <is>
          <t>Max P&amp;I payment</t>
        </is>
      </c>
      <c r="B30" s="21">
        <f>ROUND(MAX(0,MIN(B28,B29)),2)</f>
        <v/>
      </c>
    </row>
    <row r="31">
      <c r="A31" s="17" t="inlineStr">
        <is>
          <t>Binding constraint</t>
        </is>
      </c>
      <c r="B31" s="6">
        <f>IF(B28&lt;=B29,"front_end","back_end")</f>
        <v/>
      </c>
    </row>
    <row r="32">
      <c r="A32" s="17" t="inlineStr">
        <is>
          <t>Max loan amount</t>
        </is>
      </c>
      <c r="B32" s="21">
        <f>IF(B30=0,0,ROUND(PV(B21/100/12,B22,-B30),2))</f>
        <v/>
      </c>
    </row>
    <row r="33">
      <c r="A33" s="17" t="inlineStr">
        <is>
          <t>Max home price</t>
        </is>
      </c>
      <c r="B33" s="21">
        <f>B32+B26</f>
        <v/>
      </c>
    </row>
    <row r="34">
      <c r="A34" s="17" t="inlineStr">
        <is>
          <t>Qualifies?</t>
        </is>
      </c>
      <c r="B34" s="6">
        <f>B30&gt;0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2026-09-21T02:40:58Z</dcterms:created>
  <dcterms:modified xsi:type="dcterms:W3CDTF">2026-09-21T02:40:58Z</dcterms:modified>
</cp:coreProperties>
</file>