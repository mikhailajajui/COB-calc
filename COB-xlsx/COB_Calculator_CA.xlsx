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_CA" sheetId="1" state="visible" r:id="rId1"/>
    <sheet xmlns:r="http://schemas.openxmlformats.org/officeDocument/2006/relationships" name="COB_CA_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0.00000000"/>
    <numFmt numFmtId="166" formatCode="yyyy-mm-dd"/>
    <numFmt numFmtId="167" formatCode="0.000000%"/>
    <numFmt numFmtId="168" formatCode="0.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</font>
    <font>
      <name val="Arial"/>
      <color rgb="000000FF"/>
    </font>
    <font>
      <name val="Arial"/>
      <color rgb="0000000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0" pivotButton="0" quotePrefix="0" xfId="0"/>
    <xf numFmtId="164" fontId="5" fillId="2" borderId="1" pivotButton="0" quotePrefix="0" xfId="0"/>
    <xf numFmtId="165" fontId="5" fillId="2" borderId="1" pivotButton="0" quotePrefix="0" xfId="0"/>
    <xf numFmtId="3" fontId="5" fillId="2" borderId="1" pivotButton="0" quotePrefix="0" xfId="0"/>
    <xf numFmtId="166" fontId="5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3" fontId="6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168" fontId="6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46" customWidth="1" min="3" max="3"/>
    <col width="14" customWidth="1" min="4" max="4"/>
    <col width="12" customWidth="1" min="5" max="5"/>
  </cols>
  <sheetData>
    <row r="1">
      <c r="A1" s="1" t="inlineStr">
        <is>
          <t>Canadian Cost of Borrowing (COB) Disclosure -- inputs &amp; summary</t>
        </is>
      </c>
    </row>
    <row r="2">
      <c r="A2" s="2" t="inlineStr">
        <is>
          <t>Borrower-facing COST-OF-BORROWING ESTIMATE, not a certified regulatory disclosure -- see docs/new-req/006-cost-of-borrowing-disclosure.md. Blue cells = edit; black = computed. Every input field stays visible for every Flow (no macros can hide/show fields) -- pick Flow/Product type/Rate type below, then read the four computed helper rows to see which date field, trigger-rate, compounding, and accrued-interest rules actually apply; unused fields for your Flow are simply ignored by the formulas.</t>
        </is>
      </c>
    </row>
    <row r="3"/>
    <row r="4">
      <c r="A4" s="3" t="inlineStr">
        <is>
          <t>Flow / product / rate-type selection</t>
        </is>
      </c>
      <c r="D4" s="4" t="inlineStr">
        <is>
          <t>Frequency</t>
        </is>
      </c>
      <c r="E4" s="4" t="inlineStr">
        <is>
          <t>Payments/Yr</t>
        </is>
      </c>
    </row>
    <row r="5">
      <c r="A5" s="4" t="inlineStr">
        <is>
          <t>Flow</t>
        </is>
      </c>
      <c r="B5" s="5" t="inlineStr">
        <is>
          <t>New mortgage</t>
        </is>
      </c>
      <c r="D5" s="6" t="inlineStr">
        <is>
          <t>monthly</t>
        </is>
      </c>
      <c r="E5" s="6" t="n">
        <v>12</v>
      </c>
    </row>
    <row r="6">
      <c r="A6" s="4" t="inlineStr">
        <is>
          <t>Product type</t>
        </is>
      </c>
      <c r="B6" s="5" t="inlineStr">
        <is>
          <t>mortgage</t>
        </is>
      </c>
      <c r="D6" s="6" t="inlineStr">
        <is>
          <t>semiMonthly</t>
        </is>
      </c>
      <c r="E6" s="6" t="n">
        <v>24</v>
      </c>
    </row>
    <row r="7">
      <c r="A7" s="4" t="inlineStr">
        <is>
          <t>Rate type</t>
        </is>
      </c>
      <c r="B7" s="5" t="inlineStr">
        <is>
          <t>variable</t>
        </is>
      </c>
      <c r="D7" s="6" t="inlineStr">
        <is>
          <t>biweekly</t>
        </is>
      </c>
      <c r="E7" s="6" t="n">
        <v>26</v>
      </c>
    </row>
    <row r="8">
      <c r="D8" s="6" t="inlineStr">
        <is>
          <t>weekly</t>
        </is>
      </c>
      <c r="E8" s="6" t="n">
        <v>52</v>
      </c>
    </row>
    <row r="9">
      <c r="A9" s="4" t="inlineStr">
        <is>
          <t>Date field used (per spec's Flow table)</t>
        </is>
      </c>
      <c r="B9" s="6">
        <f>IF(OR(B5="New mortgage",B5="New loan"),"Pre-approval date","Renewal date")</f>
        <v/>
      </c>
    </row>
    <row r="10">
      <c r="A10" s="4" t="inlineStr">
        <is>
          <t>Accrued-interest carry-forward applies?</t>
        </is>
      </c>
      <c r="B10" s="6">
        <f>IF(OR(B5="Existing mortgage",B5="Existing loan",B5="Payment change",B5="Variable rate payment change"),"Yes","No")</f>
        <v/>
      </c>
    </row>
    <row r="11">
      <c r="A11" s="4" t="inlineStr">
        <is>
          <t>Compounding convention (eq. 1 / eq. 2)</t>
        </is>
      </c>
      <c r="B11" s="6">
        <f>IF(AND(B6="mortgage",B7="fixed"),"Semi-annual (Interest Act s.6, CONFIRMED)","Monthly (best-available default, eq. 2)")</f>
        <v/>
      </c>
    </row>
    <row r="12">
      <c r="A12" s="4" t="inlineStr">
        <is>
          <t>Trigger rate computed? (mortgage + variable only)</t>
        </is>
      </c>
      <c r="B12" s="6">
        <f>IF(AND(B6="mortgage",B7="variable"),"Yes","No / N/A")</f>
        <v/>
      </c>
    </row>
    <row r="13"/>
    <row r="14">
      <c r="A14" s="3" t="inlineStr">
        <is>
          <t>Inputs -- common to every flow</t>
        </is>
      </c>
    </row>
    <row r="15">
      <c r="A15" s="4" t="inlineStr">
        <is>
          <t>Loan amount ($) / current outstanding balance ($)</t>
        </is>
      </c>
      <c r="B15" s="7" t="n">
        <v>400000</v>
      </c>
      <c r="C15" s="2" t="inlineStr">
        <is>
          <t>New flows: the new loan/mortgage face amount. Existing/Payment-change flows: enter the CURRENT OUTSTANDING BALANCE here instead (same field, reused per spec).</t>
        </is>
      </c>
    </row>
    <row r="16">
      <c r="A16" s="4" t="inlineStr">
        <is>
          <t>Contract rate, nominal annual (%)</t>
        </is>
      </c>
      <c r="B16" s="8" t="n">
        <v>5</v>
      </c>
    </row>
    <row r="17">
      <c r="A17" s="4" t="inlineStr">
        <is>
          <t>Payment frequency</t>
        </is>
      </c>
      <c r="B17" s="5" t="inlineStr">
        <is>
          <t>monthly</t>
        </is>
      </c>
    </row>
    <row r="18">
      <c r="A18" s="4" t="inlineStr">
        <is>
          <t>Term years (CONTRACT TERM, not amortization)</t>
        </is>
      </c>
      <c r="B18" s="9" t="n">
        <v>5</v>
      </c>
    </row>
    <row r="19">
      <c r="A19" s="4" t="inlineStr">
        <is>
          <t>Term months (contract term, extra months)</t>
        </is>
      </c>
      <c r="B19" s="9" t="n">
        <v>0</v>
      </c>
    </row>
    <row r="20">
      <c r="A20" s="4" t="inlineStr">
        <is>
          <t>Remaining amortization years</t>
        </is>
      </c>
      <c r="B20" s="9" t="n">
        <v>25</v>
      </c>
    </row>
    <row r="21">
      <c r="A21" s="4" t="inlineStr">
        <is>
          <t>Remaining amortization months (extra)</t>
        </is>
      </c>
      <c r="B21" s="9" t="n">
        <v>0</v>
      </c>
    </row>
    <row r="22">
      <c r="A22" s="4" t="inlineStr">
        <is>
          <t>First payment date</t>
        </is>
      </c>
      <c r="B22" s="10" t="inlineStr">
        <is>
          <t>2026-02-01</t>
        </is>
      </c>
    </row>
    <row r="23">
      <c r="A23" s="4" t="inlineStr">
        <is>
          <t>End date (this term's maturity/renewal date)</t>
        </is>
      </c>
      <c r="B23" s="10" t="inlineStr">
        <is>
          <t>2031-01-01</t>
        </is>
      </c>
    </row>
    <row r="24"/>
    <row r="25">
      <c r="A25" s="3" t="inlineStr">
        <is>
          <t>Inputs -- flow-conditional</t>
        </is>
      </c>
    </row>
    <row r="26">
      <c r="A26" s="4" t="inlineStr">
        <is>
          <t>Disbursal date (new flows only)</t>
        </is>
      </c>
      <c r="B26" s="10" t="inlineStr">
        <is>
          <t>2026-01-15</t>
        </is>
      </c>
    </row>
    <row r="27">
      <c r="A27" s="4" t="inlineStr">
        <is>
          <t>Pre-approval date (new mortgage / new loan only)</t>
        </is>
      </c>
      <c r="B27" s="10" t="inlineStr">
        <is>
          <t>2025-12-01</t>
        </is>
      </c>
    </row>
    <row r="28">
      <c r="A28" s="4" t="inlineStr">
        <is>
          <t>Renewal date (existing/payment-change flows only)</t>
        </is>
      </c>
      <c r="B28" s="10" t="inlineStr">
        <is>
          <t>2026-01-01</t>
        </is>
      </c>
    </row>
    <row r="29">
      <c r="A29" s="4" t="inlineStr">
        <is>
          <t>Accrued interest ($) -- existing/renewal flows only</t>
        </is>
      </c>
      <c r="B29" s="7" t="n">
        <v>0</v>
      </c>
      <c r="C29" s="2" t="inlineStr">
        <is>
          <t>Judgment call: capitalized into this term's opening balance when the carry-forward row above reads Yes -- see docs/new-req/006's Excel implementation notes.</t>
        </is>
      </c>
    </row>
    <row r="30">
      <c r="A30" s="4" t="inlineStr">
        <is>
          <t>Semi-annual compounding reference date (fixed mortgages only)</t>
        </is>
      </c>
      <c r="B30" s="10" t="inlineStr">
        <is>
          <t>2026-01-01</t>
        </is>
      </c>
      <c r="C30" s="2" t="inlineStr">
        <is>
          <t>Display/reference only -- eq. 1's periodic-rate conversion does not depend on this date (see spec 006, equation 1). Not used in any formula below.</t>
        </is>
      </c>
    </row>
    <row r="31"/>
    <row r="32">
      <c r="A32" s="3" t="inlineStr">
        <is>
          <t>Fees (equation 7's fee-inclusion list)</t>
        </is>
      </c>
    </row>
    <row r="33">
      <c r="A33" s="2" t="inlineStr">
        <is>
          <t>Financed? and Included in COB? are INDEPENDENT flags (spec 006 eq. 7) -- e.g. a prepayment penalty or discharge fee is never included in cob_amount even if financed.</t>
        </is>
      </c>
    </row>
    <row r="34"/>
    <row r="35">
      <c r="A35" s="11" t="inlineStr">
        <is>
          <t>Fee name</t>
        </is>
      </c>
      <c r="B35" s="11" t="inlineStr">
        <is>
          <t>Amount ($)</t>
        </is>
      </c>
      <c r="C35" s="11" t="inlineStr">
        <is>
          <t>Financed? (Y/N)</t>
        </is>
      </c>
      <c r="D35" s="11" t="inlineStr">
        <is>
          <t>Included in COB? (Y/N)</t>
        </is>
      </c>
    </row>
    <row r="36">
      <c r="A36" s="5" t="inlineStr">
        <is>
          <t>Administrative charge</t>
        </is>
      </c>
      <c r="B36" s="7" t="n">
        <v>200</v>
      </c>
      <c r="C36" s="5" t="inlineStr">
        <is>
          <t>N</t>
        </is>
      </c>
      <c r="D36" s="5" t="inlineStr">
        <is>
          <t>Y</t>
        </is>
      </c>
    </row>
    <row r="37">
      <c r="A37" s="5" t="inlineStr">
        <is>
          <t>Appraisal fee (lender-required)</t>
        </is>
      </c>
      <c r="B37" s="7" t="n">
        <v>400</v>
      </c>
      <c r="C37" s="5" t="inlineStr">
        <is>
          <t>N</t>
        </is>
      </c>
      <c r="D37" s="5" t="inlineStr">
        <is>
          <t>Y</t>
        </is>
      </c>
    </row>
    <row r="38">
      <c r="A38" s="5" t="inlineStr">
        <is>
          <t>Broker fee (paid by lender to broker, included in amount borrowed)</t>
        </is>
      </c>
      <c r="B38" s="7" t="n">
        <v>500</v>
      </c>
      <c r="C38" s="5" t="inlineStr">
        <is>
          <t>Y</t>
        </is>
      </c>
      <c r="D38" s="5" t="inlineStr">
        <is>
          <t>Y</t>
        </is>
      </c>
    </row>
    <row r="39">
      <c r="A39" s="5" t="inlineStr">
        <is>
          <t>Prepayment penalty</t>
        </is>
      </c>
      <c r="B39" s="7" t="n">
        <v>0</v>
      </c>
      <c r="C39" s="5" t="inlineStr">
        <is>
          <t>N</t>
        </is>
      </c>
      <c r="D39" s="5" t="inlineStr">
        <is>
          <t>N</t>
        </is>
      </c>
    </row>
    <row r="40">
      <c r="A40" s="5" t="inlineStr">
        <is>
          <t>Discharge fee</t>
        </is>
      </c>
      <c r="B40" s="7" t="n">
        <v>0</v>
      </c>
      <c r="C40" s="5" t="inlineStr">
        <is>
          <t>N</t>
        </is>
      </c>
      <c r="D40" s="5" t="inlineStr">
        <is>
          <t>N</t>
        </is>
      </c>
    </row>
    <row r="41">
      <c r="A41" s="5" t="inlineStr">
        <is>
          <t>Mortgage default insurance premium (high-ratio)</t>
        </is>
      </c>
      <c r="B41" s="7" t="n">
        <v>0</v>
      </c>
      <c r="C41" s="5" t="inlineStr">
        <is>
          <t>Y</t>
        </is>
      </c>
      <c r="D41" s="5" t="inlineStr">
        <is>
          <t>N</t>
        </is>
      </c>
    </row>
    <row r="42"/>
    <row r="43">
      <c r="A43" s="3" t="inlineStr">
        <is>
          <t>Derived quantities</t>
        </is>
      </c>
    </row>
    <row r="44">
      <c r="A44" s="4" t="inlineStr">
        <is>
          <t>Payments per year (n)</t>
        </is>
      </c>
      <c r="B44" s="12">
        <f>INDEX($E$5:$E$8,MATCH(B17,$D$5:$D$8,0))</f>
        <v/>
      </c>
    </row>
    <row r="45">
      <c r="A45" s="4" t="inlineStr">
        <is>
          <t>Periodic rate i_period (eq. 1 / eq. 2)</t>
        </is>
      </c>
      <c r="B45" s="13">
        <f>IF(AND(B6="mortgage",B7="fixed"),(1+B16/100/2)^(2/B44)-1,B16/100/B44)</f>
        <v/>
      </c>
    </row>
    <row r="46">
      <c r="A46" s="4" t="inlineStr">
        <is>
          <t>Total fees</t>
        </is>
      </c>
      <c r="B46" s="14">
        <f>SUM($B$36:$B$41)</f>
        <v/>
      </c>
    </row>
    <row r="47">
      <c r="A47" s="4" t="inlineStr">
        <is>
          <t>Total financed fees</t>
        </is>
      </c>
      <c r="B47" s="14">
        <f>SUMIF($C$36:$C$41,"Y",$B$36:$B$41)</f>
        <v/>
      </c>
    </row>
    <row r="48">
      <c r="A48" s="4" t="inlineStr">
        <is>
          <t>Total cash fees</t>
        </is>
      </c>
      <c r="B48" s="14">
        <f>B46-B47</f>
        <v/>
      </c>
    </row>
    <row r="49">
      <c r="A49" s="4" t="inlineStr">
        <is>
          <t>Total fees included in cob_amount (eq. 7 list)</t>
        </is>
      </c>
      <c r="B49" s="14">
        <f>SUMIF($D$36:$D$41,"Y",$B$36:$B$41)</f>
        <v/>
      </c>
    </row>
    <row r="50">
      <c r="A50" s="4" t="inlineStr">
        <is>
          <t>Disbursal amount (cash actually advanced)</t>
        </is>
      </c>
      <c r="B50" s="14">
        <f>B15+B47-B48</f>
        <v/>
      </c>
      <c r="C50" s="2" t="inlineStr">
        <is>
          <t>Per spec 006's resolved 'Financed fees' formulas (matching spec 002's effective_loan_amount/amount_financed exactly): financed fees layer ON TOP of loan_amount (never reduce disbursal); only cash fees reduce disbursal. See docs/new-req/006's Excel implementation notes.</t>
        </is>
      </c>
    </row>
    <row r="51">
      <c r="A51" s="4" t="inlineStr">
        <is>
          <t>Accrued interest capitalized into this term's opening balance</t>
        </is>
      </c>
      <c r="B51" s="14">
        <f>IF(B10="Yes",B29,0)</f>
        <v/>
      </c>
    </row>
    <row r="52">
      <c r="A52" s="4" t="inlineStr">
        <is>
          <t>Amortized principal P0 (opening balance this term)</t>
        </is>
      </c>
      <c r="B52" s="14">
        <f>B15+B47+B51</f>
        <v/>
      </c>
    </row>
    <row r="53">
      <c r="A53" s="4" t="inlineStr">
        <is>
          <t>Term total months</t>
        </is>
      </c>
      <c r="B53" s="12">
        <f>(B18*12+B19)</f>
        <v/>
      </c>
    </row>
    <row r="54">
      <c r="A54" s="4" t="inlineStr">
        <is>
          <t>Term, years (T, eq. 6, 2dp)</t>
        </is>
      </c>
      <c r="B54" s="15">
        <f>ROUND(B53/12,2)</f>
        <v/>
      </c>
    </row>
    <row r="55">
      <c r="A55" s="4" t="inlineStr">
        <is>
          <t>Remaining amortization total months</t>
        </is>
      </c>
      <c r="B55" s="12">
        <f>(B20*12+B21)</f>
        <v/>
      </c>
    </row>
    <row r="56">
      <c r="A56" s="4" t="inlineStr">
        <is>
          <t>Remaining amortization total periods (n in eq. 3)</t>
        </is>
      </c>
      <c r="B56" s="12">
        <f>ROUND(B55/12*B44,0)</f>
        <v/>
      </c>
    </row>
    <row r="57">
      <c r="A57" s="4" t="inlineStr">
        <is>
          <t>Term length, periods (raw, before clamping to remaining amortization)</t>
        </is>
      </c>
      <c r="B57" s="12">
        <f>ROUND(B53/12*B44,0)</f>
        <v/>
      </c>
    </row>
    <row r="58">
      <c r="A58" s="4" t="inlineStr">
        <is>
          <t>Term length, periods (schedule bound, clamped)</t>
        </is>
      </c>
      <c r="B58" s="12">
        <f>MIN(B57,B56)</f>
        <v/>
      </c>
      <c r="C58" s="2" t="inlineStr">
        <is>
          <t>Clamped so a term can never run longer than remaining amortization. Bounded to 520 schedule rows -- see COB_CA_Schedule.</t>
        </is>
      </c>
    </row>
    <row r="59">
      <c r="A59" s="4" t="inlineStr">
        <is>
          <t>Payment amount (eq. 3 -- always an OUTPUT, never entered)</t>
        </is>
      </c>
      <c r="B59" s="14">
        <f>ROUND(-PMT(B45,B56,B52),2)</f>
        <v/>
      </c>
    </row>
    <row r="60">
      <c r="A60" s="4" t="inlineStr">
        <is>
          <t>Trigger rate % (eq. 4 -- mortgage + variable only)</t>
        </is>
      </c>
      <c r="B60" s="16">
        <f>IF(B12="Yes",ROUND(B59*B44/B52*100,4),"N/A")</f>
        <v/>
      </c>
      <c r="C60" s="2" t="inlineStr">
        <is>
          <t>total_borrowed = current outstanding balance = P0 above (== loan_amount for a brand-new disbursal, == the current-balance input for existing/renewal/payment-change flows).</t>
        </is>
      </c>
    </row>
    <row r="61">
      <c r="A61" s="4" t="inlineStr">
        <is>
          <t>(helper) first_payment_date + term_total_months, whole-month date</t>
        </is>
      </c>
      <c r="B61" s="17">
        <f>DATE(YEAR(B22)+INT((MONTH(B22)-1+B53)/12),MOD(MONTH(B22)-1+B53,12)+1,1)+(DAY(B22)-1)</f>
        <v/>
      </c>
      <c r="C61" s="2" t="inlineStr">
        <is>
          <t>Explicit month-rollover arithmetic (not EDATE), matching this project's other date formulas -- see docs/new-req/005.</t>
        </is>
      </c>
    </row>
    <row r="62">
      <c r="A62" s="4" t="inlineStr">
        <is>
          <t>term_days (eq. 8, DISPLAY ONLY -- never feeds any monetary formula)</t>
        </is>
      </c>
      <c r="B62" s="12">
        <f>B23-B61</f>
        <v/>
      </c>
    </row>
    <row r="63"/>
    <row r="64">
      <c r="A64" s="3" t="inlineStr">
        <is>
          <t>Outputs -- scoped to the current contract term only</t>
        </is>
      </c>
    </row>
    <row r="65">
      <c r="A65" s="4" t="inlineStr">
        <is>
          <t>number_of_payments</t>
        </is>
      </c>
      <c r="B65" s="12">
        <f>COUNTIF(COB_CA_Schedule!$H$5:$H$524,TRUE)</f>
        <v/>
      </c>
    </row>
    <row r="66">
      <c r="A66" s="4" t="inlineStr">
        <is>
          <t>total_payment</t>
        </is>
      </c>
      <c r="B66" s="14">
        <f>SUMIFS(COB_CA_Schedule!$F$5:$F$524,COB_CA_Schedule!$H$5:$H$524,TRUE)</f>
        <v/>
      </c>
    </row>
    <row r="67">
      <c r="A67" s="4" t="inlineStr">
        <is>
          <t>total_interest</t>
        </is>
      </c>
      <c r="B67" s="14">
        <f>SUMIFS(COB_CA_Schedule!$D$5:$D$524,COB_CA_Schedule!$H$5:$H$524,TRUE)</f>
        <v/>
      </c>
    </row>
    <row r="68">
      <c r="A68" s="4" t="inlineStr">
        <is>
          <t>principal_payment (== total_payment - total_interest, eq. 5)</t>
        </is>
      </c>
      <c r="B68" s="14">
        <f>B66-B67</f>
        <v/>
      </c>
    </row>
    <row r="69">
      <c r="A69" s="4" t="inlineStr">
        <is>
          <t>Ending balance at term maturity (next renewal's opening balance)</t>
        </is>
      </c>
      <c r="B69" s="14">
        <f>IFERROR(INDEX(COB_CA_Schedule!$G$5:$G$524,MATCH(B58,COB_CA_Schedule!$A$5:$A$524,0)),"n/a")</f>
        <v/>
      </c>
    </row>
    <row r="70">
      <c r="A70" s="4" t="inlineStr">
        <is>
          <t>P: average outstanding balance per period (eq. 6)</t>
        </is>
      </c>
      <c r="B70" s="14">
        <f>IF(B65=0,0,SUMPRODUCT((COB_CA_Schedule!$H$5:$H$524)*(COB_CA_Schedule!$C$5:$C$524))/B65)</f>
        <v/>
      </c>
      <c r="C70" s="2" t="inlineStr">
        <is>
          <t>Average, across this term's counted periods, of the balance outstanding at the END of each period BEFORE that period's payment is subtracted -- i.e. each period's beginning balance (interest accrues on it before the payment is applied). Per Financial Consumer Protection Framework Regulations SOR/2021-181 s.47(1).</t>
        </is>
      </c>
    </row>
    <row r="71">
      <c r="A71" s="4" t="inlineStr">
        <is>
          <t>cob_amount = total_interest + fees included in COB (eq. 7)</t>
        </is>
      </c>
      <c r="B71" s="14">
        <f>B67+B49</f>
        <v/>
      </c>
    </row>
    <row r="72">
      <c r="A72" s="4" t="inlineStr">
        <is>
          <t>cob_rate_percent = (C/(T*P))*100 (eq. 6)</t>
        </is>
      </c>
      <c r="B72" s="16">
        <f>IF(OR(B54=0,B70=0),"n/a",ROUND(B71/(B54*B70)*100,4))</f>
        <v/>
      </c>
      <c r="C72" s="2" t="inlineStr">
        <is>
          <t>Regulatory average-outstanding-balance formula (Financial Consumer Protection Framework Regulations SOR/2021-181 ss.47-48) -- deliberately NOT spec 002's IRR/actuarial APR solve.</t>
        </is>
      </c>
    </row>
    <row r="73"/>
    <row r="74">
      <c r="A74" s="2" t="inlineStr">
        <is>
          <t>Optional: COB_Calculator_CA_macros.bas (in this folder) adds a chart of the schedule above plus a one-click disclosure-summary PDF export -- see COB-xlsx/MANUAL.md, "COB_CA macros", for how to import it (requires saving this file as a macro-enabled .xlsm; not required to use any of the formulas on this sheet).</t>
        </is>
      </c>
    </row>
  </sheetData>
  <dataValidations count="5">
    <dataValidation sqref="B5" showDropDown="0" showInputMessage="0" showErrorMessage="0" allowBlank="0" type="list">
      <formula1>"New mortgage,New loan,Existing mortgage,Existing loan,Payment change,Variable rate payment change"</formula1>
    </dataValidation>
    <dataValidation sqref="B6" showDropDown="0" showInputMessage="0" showErrorMessage="0" allowBlank="0" type="list">
      <formula1>"mortgage,personalLoan"</formula1>
    </dataValidation>
    <dataValidation sqref="B7" showDropDown="0" showInputMessage="0" showErrorMessage="0" allowBlank="0" type="list">
      <formula1>"variable,fixed"</formula1>
    </dataValidation>
    <dataValidation sqref="B17" showDropDown="0" showInputMessage="0" showErrorMessage="0" allowBlank="0" type="list">
      <formula1>"monthly,semiMonthly,biweekly,weekly"</formula1>
    </dataValidation>
    <dataValidation sqref="C36:D41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6" customWidth="1" min="7" max="7"/>
    <col width="14" customWidth="1" min="8" max="8"/>
  </cols>
  <sheetData>
    <row r="1">
      <c r="A1" s="1" t="inlineStr">
        <is>
          <t>COB_CA amortization schedule (computed) -- do not edit</t>
        </is>
      </c>
    </row>
    <row r="2">
      <c r="A2" s="2" t="inlineStr">
        <is>
          <t>One row per period within the CURRENT CONTRACT TERM ONLY (not the full amortization) -- bounded to 520 rows. Rows past the term's own length (COB_CA!B58) freeze at the term's own ending balance; rows past an early full payoff (rare -- only if remaining amortization is shorter than the term) read $0, same self-stabilizing technique used throughout COB_Calculator.xlsx (see docs/new-req/005).</t>
        </is>
      </c>
    </row>
    <row r="3"/>
    <row r="4">
      <c r="A4" s="11" t="inlineStr">
        <is>
          <t>Period #</t>
        </is>
      </c>
      <c r="B4" s="11" t="inlineStr">
        <is>
          <t>Period Date</t>
        </is>
      </c>
      <c r="C4" s="11" t="inlineStr">
        <is>
          <t>Beginning Balance</t>
        </is>
      </c>
      <c r="D4" s="11" t="inlineStr">
        <is>
          <t>Interest</t>
        </is>
      </c>
      <c r="E4" s="11" t="inlineStr">
        <is>
          <t>Principal</t>
        </is>
      </c>
      <c r="F4" s="11" t="inlineStr">
        <is>
          <t>Payment</t>
        </is>
      </c>
      <c r="G4" s="11" t="inlineStr">
        <is>
          <t>Ending Balance</t>
        </is>
      </c>
      <c r="H4" s="11" t="inlineStr">
        <is>
          <t>Counted in term totals?</t>
        </is>
      </c>
    </row>
    <row r="5">
      <c r="A5" s="6" t="n">
        <v>1</v>
      </c>
      <c r="B5" s="17">
        <f>IF(COB_CA!$B$44=12,DATE(YEAR(COB_CA!$B$22)+INT((MONTH(COB_CA!$B$22)-1+0)/12),MOD(MONTH(COB_CA!$B$22)-1+0,12)+1,1)+(DAY(COB_CA!$B$22)-1),IF(COB_CA!$B$44=24,COB_CA!$B$22+ROUND((0*365.25)/24,0),IF(COB_CA!$B$44=26,COB_CA!$B$22+0,COB_CA!$B$22+0)))</f>
        <v/>
      </c>
      <c r="C5" s="14">
        <f>COB_CA!$B$52</f>
        <v/>
      </c>
      <c r="D5" s="14">
        <f>IF((A5&lt;=COB_CA!$B$58),ROUND(C5*COB_CA!$B$45,2),0)</f>
        <v/>
      </c>
      <c r="E5" s="14">
        <f>IF((A5&lt;=COB_CA!$B$58),IF(AND((A5&lt;=COB_CA!$B$58),ROUND(C5-ROUND(COB_CA!$B$59-D5,2),2)&lt;=0),C5,ROUND(COB_CA!$B$59-D5,2)),0)</f>
        <v/>
      </c>
      <c r="F5" s="14">
        <f>IF((A5&lt;=COB_CA!$B$58),IF(AND((A5&lt;=COB_CA!$B$58),ROUND(C5-ROUND(COB_CA!$B$59-D5,2),2)&lt;=0),ROUND(D5+E5,2),COB_CA!$B$59),0)</f>
        <v/>
      </c>
      <c r="G5" s="14">
        <f>IF((A5&lt;=COB_CA!$B$58),IF(AND((A5&lt;=COB_CA!$B$58),ROUND(C5-ROUND(COB_CA!$B$59-D5,2),2)&lt;=0),0,ROUND(C5-E5,2)),C5)</f>
        <v/>
      </c>
      <c r="H5" s="6">
        <f>(A5&lt;=COB_CA!$B$58)</f>
        <v/>
      </c>
    </row>
    <row r="6">
      <c r="A6" s="6" t="n">
        <v>2</v>
      </c>
      <c r="B6" s="17">
        <f>IF(COB_CA!$B$44=12,DATE(YEAR(COB_CA!$B$22)+INT((MONTH(COB_CA!$B$22)-1+1)/12),MOD(MONTH(COB_CA!$B$22)-1+1,12)+1,1)+(DAY(COB_CA!$B$22)-1),IF(COB_CA!$B$44=24,COB_CA!$B$22+ROUND((1*365.25)/24,0),IF(COB_CA!$B$44=26,COB_CA!$B$22+14,COB_CA!$B$22+7)))</f>
        <v/>
      </c>
      <c r="C6" s="14">
        <f>G5</f>
        <v/>
      </c>
      <c r="D6" s="14">
        <f>IF((A6&lt;=COB_CA!$B$58),ROUND(C6*COB_CA!$B$45,2),0)</f>
        <v/>
      </c>
      <c r="E6" s="14">
        <f>IF((A6&lt;=COB_CA!$B$58),IF(AND((A6&lt;=COB_CA!$B$58),ROUND(C6-ROUND(COB_CA!$B$59-D6,2),2)&lt;=0),C6,ROUND(COB_CA!$B$59-D6,2)),0)</f>
        <v/>
      </c>
      <c r="F6" s="14">
        <f>IF((A6&lt;=COB_CA!$B$58),IF(AND((A6&lt;=COB_CA!$B$58),ROUND(C6-ROUND(COB_CA!$B$59-D6,2),2)&lt;=0),ROUND(D6+E6,2),COB_CA!$B$59),0)</f>
        <v/>
      </c>
      <c r="G6" s="14">
        <f>IF((A6&lt;=COB_CA!$B$58),IF(AND((A6&lt;=COB_CA!$B$58),ROUND(C6-ROUND(COB_CA!$B$59-D6,2),2)&lt;=0),0,ROUND(C6-E6,2)),C6)</f>
        <v/>
      </c>
      <c r="H6" s="6">
        <f>AND(H5,C5&gt;0,(A6&lt;=COB_CA!$B$58))</f>
        <v/>
      </c>
    </row>
    <row r="7">
      <c r="A7" s="6" t="n">
        <v>3</v>
      </c>
      <c r="B7" s="17">
        <f>IF(COB_CA!$B$44=12,DATE(YEAR(COB_CA!$B$22)+INT((MONTH(COB_CA!$B$22)-1+2)/12),MOD(MONTH(COB_CA!$B$22)-1+2,12)+1,1)+(DAY(COB_CA!$B$22)-1),IF(COB_CA!$B$44=24,COB_CA!$B$22+ROUND((2*365.25)/24,0),IF(COB_CA!$B$44=26,COB_CA!$B$22+28,COB_CA!$B$22+14)))</f>
        <v/>
      </c>
      <c r="C7" s="14">
        <f>G6</f>
        <v/>
      </c>
      <c r="D7" s="14">
        <f>IF((A7&lt;=COB_CA!$B$58),ROUND(C7*COB_CA!$B$45,2),0)</f>
        <v/>
      </c>
      <c r="E7" s="14">
        <f>IF((A7&lt;=COB_CA!$B$58),IF(AND((A7&lt;=COB_CA!$B$58),ROUND(C7-ROUND(COB_CA!$B$59-D7,2),2)&lt;=0),C7,ROUND(COB_CA!$B$59-D7,2)),0)</f>
        <v/>
      </c>
      <c r="F7" s="14">
        <f>IF((A7&lt;=COB_CA!$B$58),IF(AND((A7&lt;=COB_CA!$B$58),ROUND(C7-ROUND(COB_CA!$B$59-D7,2),2)&lt;=0),ROUND(D7+E7,2),COB_CA!$B$59),0)</f>
        <v/>
      </c>
      <c r="G7" s="14">
        <f>IF((A7&lt;=COB_CA!$B$58),IF(AND((A7&lt;=COB_CA!$B$58),ROUND(C7-ROUND(COB_CA!$B$59-D7,2),2)&lt;=0),0,ROUND(C7-E7,2)),C7)</f>
        <v/>
      </c>
      <c r="H7" s="6">
        <f>AND(H6,C6&gt;0,(A7&lt;=COB_CA!$B$58))</f>
        <v/>
      </c>
    </row>
    <row r="8">
      <c r="A8" s="6" t="n">
        <v>4</v>
      </c>
      <c r="B8" s="17">
        <f>IF(COB_CA!$B$44=12,DATE(YEAR(COB_CA!$B$22)+INT((MONTH(COB_CA!$B$22)-1+3)/12),MOD(MONTH(COB_CA!$B$22)-1+3,12)+1,1)+(DAY(COB_CA!$B$22)-1),IF(COB_CA!$B$44=24,COB_CA!$B$22+ROUND((3*365.25)/24,0),IF(COB_CA!$B$44=26,COB_CA!$B$22+42,COB_CA!$B$22+21)))</f>
        <v/>
      </c>
      <c r="C8" s="14">
        <f>G7</f>
        <v/>
      </c>
      <c r="D8" s="14">
        <f>IF((A8&lt;=COB_CA!$B$58),ROUND(C8*COB_CA!$B$45,2),0)</f>
        <v/>
      </c>
      <c r="E8" s="14">
        <f>IF((A8&lt;=COB_CA!$B$58),IF(AND((A8&lt;=COB_CA!$B$58),ROUND(C8-ROUND(COB_CA!$B$59-D8,2),2)&lt;=0),C8,ROUND(COB_CA!$B$59-D8,2)),0)</f>
        <v/>
      </c>
      <c r="F8" s="14">
        <f>IF((A8&lt;=COB_CA!$B$58),IF(AND((A8&lt;=COB_CA!$B$58),ROUND(C8-ROUND(COB_CA!$B$59-D8,2),2)&lt;=0),ROUND(D8+E8,2),COB_CA!$B$59),0)</f>
        <v/>
      </c>
      <c r="G8" s="14">
        <f>IF((A8&lt;=COB_CA!$B$58),IF(AND((A8&lt;=COB_CA!$B$58),ROUND(C8-ROUND(COB_CA!$B$59-D8,2),2)&lt;=0),0,ROUND(C8-E8,2)),C8)</f>
        <v/>
      </c>
      <c r="H8" s="6">
        <f>AND(H7,C7&gt;0,(A8&lt;=COB_CA!$B$58))</f>
        <v/>
      </c>
    </row>
    <row r="9">
      <c r="A9" s="6" t="n">
        <v>5</v>
      </c>
      <c r="B9" s="17">
        <f>IF(COB_CA!$B$44=12,DATE(YEAR(COB_CA!$B$22)+INT((MONTH(COB_CA!$B$22)-1+4)/12),MOD(MONTH(COB_CA!$B$22)-1+4,12)+1,1)+(DAY(COB_CA!$B$22)-1),IF(COB_CA!$B$44=24,COB_CA!$B$22+ROUND((4*365.25)/24,0),IF(COB_CA!$B$44=26,COB_CA!$B$22+56,COB_CA!$B$22+28)))</f>
        <v/>
      </c>
      <c r="C9" s="14">
        <f>G8</f>
        <v/>
      </c>
      <c r="D9" s="14">
        <f>IF((A9&lt;=COB_CA!$B$58),ROUND(C9*COB_CA!$B$45,2),0)</f>
        <v/>
      </c>
      <c r="E9" s="14">
        <f>IF((A9&lt;=COB_CA!$B$58),IF(AND((A9&lt;=COB_CA!$B$58),ROUND(C9-ROUND(COB_CA!$B$59-D9,2),2)&lt;=0),C9,ROUND(COB_CA!$B$59-D9,2)),0)</f>
        <v/>
      </c>
      <c r="F9" s="14">
        <f>IF((A9&lt;=COB_CA!$B$58),IF(AND((A9&lt;=COB_CA!$B$58),ROUND(C9-ROUND(COB_CA!$B$59-D9,2),2)&lt;=0),ROUND(D9+E9,2),COB_CA!$B$59),0)</f>
        <v/>
      </c>
      <c r="G9" s="14">
        <f>IF((A9&lt;=COB_CA!$B$58),IF(AND((A9&lt;=COB_CA!$B$58),ROUND(C9-ROUND(COB_CA!$B$59-D9,2),2)&lt;=0),0,ROUND(C9-E9,2)),C9)</f>
        <v/>
      </c>
      <c r="H9" s="6">
        <f>AND(H8,C8&gt;0,(A9&lt;=COB_CA!$B$58))</f>
        <v/>
      </c>
    </row>
    <row r="10">
      <c r="A10" s="6" t="n">
        <v>6</v>
      </c>
      <c r="B10" s="17">
        <f>IF(COB_CA!$B$44=12,DATE(YEAR(COB_CA!$B$22)+INT((MONTH(COB_CA!$B$22)-1+5)/12),MOD(MONTH(COB_CA!$B$22)-1+5,12)+1,1)+(DAY(COB_CA!$B$22)-1),IF(COB_CA!$B$44=24,COB_CA!$B$22+ROUND((5*365.25)/24,0),IF(COB_CA!$B$44=26,COB_CA!$B$22+70,COB_CA!$B$22+35)))</f>
        <v/>
      </c>
      <c r="C10" s="14">
        <f>G9</f>
        <v/>
      </c>
      <c r="D10" s="14">
        <f>IF((A10&lt;=COB_CA!$B$58),ROUND(C10*COB_CA!$B$45,2),0)</f>
        <v/>
      </c>
      <c r="E10" s="14">
        <f>IF((A10&lt;=COB_CA!$B$58),IF(AND((A10&lt;=COB_CA!$B$58),ROUND(C10-ROUND(COB_CA!$B$59-D10,2),2)&lt;=0),C10,ROUND(COB_CA!$B$59-D10,2)),0)</f>
        <v/>
      </c>
      <c r="F10" s="14">
        <f>IF((A10&lt;=COB_CA!$B$58),IF(AND((A10&lt;=COB_CA!$B$58),ROUND(C10-ROUND(COB_CA!$B$59-D10,2),2)&lt;=0),ROUND(D10+E10,2),COB_CA!$B$59),0)</f>
        <v/>
      </c>
      <c r="G10" s="14">
        <f>IF((A10&lt;=COB_CA!$B$58),IF(AND((A10&lt;=COB_CA!$B$58),ROUND(C10-ROUND(COB_CA!$B$59-D10,2),2)&lt;=0),0,ROUND(C10-E10,2)),C10)</f>
        <v/>
      </c>
      <c r="H10" s="6">
        <f>AND(H9,C9&gt;0,(A10&lt;=COB_CA!$B$58))</f>
        <v/>
      </c>
    </row>
    <row r="11">
      <c r="A11" s="6" t="n">
        <v>7</v>
      </c>
      <c r="B11" s="17">
        <f>IF(COB_CA!$B$44=12,DATE(YEAR(COB_CA!$B$22)+INT((MONTH(COB_CA!$B$22)-1+6)/12),MOD(MONTH(COB_CA!$B$22)-1+6,12)+1,1)+(DAY(COB_CA!$B$22)-1),IF(COB_CA!$B$44=24,COB_CA!$B$22+ROUND((6*365.25)/24,0),IF(COB_CA!$B$44=26,COB_CA!$B$22+84,COB_CA!$B$22+42)))</f>
        <v/>
      </c>
      <c r="C11" s="14">
        <f>G10</f>
        <v/>
      </c>
      <c r="D11" s="14">
        <f>IF((A11&lt;=COB_CA!$B$58),ROUND(C11*COB_CA!$B$45,2),0)</f>
        <v/>
      </c>
      <c r="E11" s="14">
        <f>IF((A11&lt;=COB_CA!$B$58),IF(AND((A11&lt;=COB_CA!$B$58),ROUND(C11-ROUND(COB_CA!$B$59-D11,2),2)&lt;=0),C11,ROUND(COB_CA!$B$59-D11,2)),0)</f>
        <v/>
      </c>
      <c r="F11" s="14">
        <f>IF((A11&lt;=COB_CA!$B$58),IF(AND((A11&lt;=COB_CA!$B$58),ROUND(C11-ROUND(COB_CA!$B$59-D11,2),2)&lt;=0),ROUND(D11+E11,2),COB_CA!$B$59),0)</f>
        <v/>
      </c>
      <c r="G11" s="14">
        <f>IF((A11&lt;=COB_CA!$B$58),IF(AND((A11&lt;=COB_CA!$B$58),ROUND(C11-ROUND(COB_CA!$B$59-D11,2),2)&lt;=0),0,ROUND(C11-E11,2)),C11)</f>
        <v/>
      </c>
      <c r="H11" s="6">
        <f>AND(H10,C10&gt;0,(A11&lt;=COB_CA!$B$58))</f>
        <v/>
      </c>
    </row>
    <row r="12">
      <c r="A12" s="6" t="n">
        <v>8</v>
      </c>
      <c r="B12" s="17">
        <f>IF(COB_CA!$B$44=12,DATE(YEAR(COB_CA!$B$22)+INT((MONTH(COB_CA!$B$22)-1+7)/12),MOD(MONTH(COB_CA!$B$22)-1+7,12)+1,1)+(DAY(COB_CA!$B$22)-1),IF(COB_CA!$B$44=24,COB_CA!$B$22+ROUND((7*365.25)/24,0),IF(COB_CA!$B$44=26,COB_CA!$B$22+98,COB_CA!$B$22+49)))</f>
        <v/>
      </c>
      <c r="C12" s="14">
        <f>G11</f>
        <v/>
      </c>
      <c r="D12" s="14">
        <f>IF((A12&lt;=COB_CA!$B$58),ROUND(C12*COB_CA!$B$45,2),0)</f>
        <v/>
      </c>
      <c r="E12" s="14">
        <f>IF((A12&lt;=COB_CA!$B$58),IF(AND((A12&lt;=COB_CA!$B$58),ROUND(C12-ROUND(COB_CA!$B$59-D12,2),2)&lt;=0),C12,ROUND(COB_CA!$B$59-D12,2)),0)</f>
        <v/>
      </c>
      <c r="F12" s="14">
        <f>IF((A12&lt;=COB_CA!$B$58),IF(AND((A12&lt;=COB_CA!$B$58),ROUND(C12-ROUND(COB_CA!$B$59-D12,2),2)&lt;=0),ROUND(D12+E12,2),COB_CA!$B$59),0)</f>
        <v/>
      </c>
      <c r="G12" s="14">
        <f>IF((A12&lt;=COB_CA!$B$58),IF(AND((A12&lt;=COB_CA!$B$58),ROUND(C12-ROUND(COB_CA!$B$59-D12,2),2)&lt;=0),0,ROUND(C12-E12,2)),C12)</f>
        <v/>
      </c>
      <c r="H12" s="6">
        <f>AND(H11,C11&gt;0,(A12&lt;=COB_CA!$B$58))</f>
        <v/>
      </c>
    </row>
    <row r="13">
      <c r="A13" s="6" t="n">
        <v>9</v>
      </c>
      <c r="B13" s="17">
        <f>IF(COB_CA!$B$44=12,DATE(YEAR(COB_CA!$B$22)+INT((MONTH(COB_CA!$B$22)-1+8)/12),MOD(MONTH(COB_CA!$B$22)-1+8,12)+1,1)+(DAY(COB_CA!$B$22)-1),IF(COB_CA!$B$44=24,COB_CA!$B$22+ROUND((8*365.25)/24,0),IF(COB_CA!$B$44=26,COB_CA!$B$22+112,COB_CA!$B$22+56)))</f>
        <v/>
      </c>
      <c r="C13" s="14">
        <f>G12</f>
        <v/>
      </c>
      <c r="D13" s="14">
        <f>IF((A13&lt;=COB_CA!$B$58),ROUND(C13*COB_CA!$B$45,2),0)</f>
        <v/>
      </c>
      <c r="E13" s="14">
        <f>IF((A13&lt;=COB_CA!$B$58),IF(AND((A13&lt;=COB_CA!$B$58),ROUND(C13-ROUND(COB_CA!$B$59-D13,2),2)&lt;=0),C13,ROUND(COB_CA!$B$59-D13,2)),0)</f>
        <v/>
      </c>
      <c r="F13" s="14">
        <f>IF((A13&lt;=COB_CA!$B$58),IF(AND((A13&lt;=COB_CA!$B$58),ROUND(C13-ROUND(COB_CA!$B$59-D13,2),2)&lt;=0),ROUND(D13+E13,2),COB_CA!$B$59),0)</f>
        <v/>
      </c>
      <c r="G13" s="14">
        <f>IF((A13&lt;=COB_CA!$B$58),IF(AND((A13&lt;=COB_CA!$B$58),ROUND(C13-ROUND(COB_CA!$B$59-D13,2),2)&lt;=0),0,ROUND(C13-E13,2)),C13)</f>
        <v/>
      </c>
      <c r="H13" s="6">
        <f>AND(H12,C12&gt;0,(A13&lt;=COB_CA!$B$58))</f>
        <v/>
      </c>
    </row>
    <row r="14">
      <c r="A14" s="6" t="n">
        <v>10</v>
      </c>
      <c r="B14" s="17">
        <f>IF(COB_CA!$B$44=12,DATE(YEAR(COB_CA!$B$22)+INT((MONTH(COB_CA!$B$22)-1+9)/12),MOD(MONTH(COB_CA!$B$22)-1+9,12)+1,1)+(DAY(COB_CA!$B$22)-1),IF(COB_CA!$B$44=24,COB_CA!$B$22+ROUND((9*365.25)/24,0),IF(COB_CA!$B$44=26,COB_CA!$B$22+126,COB_CA!$B$22+63)))</f>
        <v/>
      </c>
      <c r="C14" s="14">
        <f>G13</f>
        <v/>
      </c>
      <c r="D14" s="14">
        <f>IF((A14&lt;=COB_CA!$B$58),ROUND(C14*COB_CA!$B$45,2),0)</f>
        <v/>
      </c>
      <c r="E14" s="14">
        <f>IF((A14&lt;=COB_CA!$B$58),IF(AND((A14&lt;=COB_CA!$B$58),ROUND(C14-ROUND(COB_CA!$B$59-D14,2),2)&lt;=0),C14,ROUND(COB_CA!$B$59-D14,2)),0)</f>
        <v/>
      </c>
      <c r="F14" s="14">
        <f>IF((A14&lt;=COB_CA!$B$58),IF(AND((A14&lt;=COB_CA!$B$58),ROUND(C14-ROUND(COB_CA!$B$59-D14,2),2)&lt;=0),ROUND(D14+E14,2),COB_CA!$B$59),0)</f>
        <v/>
      </c>
      <c r="G14" s="14">
        <f>IF((A14&lt;=COB_CA!$B$58),IF(AND((A14&lt;=COB_CA!$B$58),ROUND(C14-ROUND(COB_CA!$B$59-D14,2),2)&lt;=0),0,ROUND(C14-E14,2)),C14)</f>
        <v/>
      </c>
      <c r="H14" s="6">
        <f>AND(H13,C13&gt;0,(A14&lt;=COB_CA!$B$58))</f>
        <v/>
      </c>
    </row>
    <row r="15">
      <c r="A15" s="6" t="n">
        <v>11</v>
      </c>
      <c r="B15" s="17">
        <f>IF(COB_CA!$B$44=12,DATE(YEAR(COB_CA!$B$22)+INT((MONTH(COB_CA!$B$22)-1+10)/12),MOD(MONTH(COB_CA!$B$22)-1+10,12)+1,1)+(DAY(COB_CA!$B$22)-1),IF(COB_CA!$B$44=24,COB_CA!$B$22+ROUND((10*365.25)/24,0),IF(COB_CA!$B$44=26,COB_CA!$B$22+140,COB_CA!$B$22+70)))</f>
        <v/>
      </c>
      <c r="C15" s="14">
        <f>G14</f>
        <v/>
      </c>
      <c r="D15" s="14">
        <f>IF((A15&lt;=COB_CA!$B$58),ROUND(C15*COB_CA!$B$45,2),0)</f>
        <v/>
      </c>
      <c r="E15" s="14">
        <f>IF((A15&lt;=COB_CA!$B$58),IF(AND((A15&lt;=COB_CA!$B$58),ROUND(C15-ROUND(COB_CA!$B$59-D15,2),2)&lt;=0),C15,ROUND(COB_CA!$B$59-D15,2)),0)</f>
        <v/>
      </c>
      <c r="F15" s="14">
        <f>IF((A15&lt;=COB_CA!$B$58),IF(AND((A15&lt;=COB_CA!$B$58),ROUND(C15-ROUND(COB_CA!$B$59-D15,2),2)&lt;=0),ROUND(D15+E15,2),COB_CA!$B$59),0)</f>
        <v/>
      </c>
      <c r="G15" s="14">
        <f>IF((A15&lt;=COB_CA!$B$58),IF(AND((A15&lt;=COB_CA!$B$58),ROUND(C15-ROUND(COB_CA!$B$59-D15,2),2)&lt;=0),0,ROUND(C15-E15,2)),C15)</f>
        <v/>
      </c>
      <c r="H15" s="6">
        <f>AND(H14,C14&gt;0,(A15&lt;=COB_CA!$B$58))</f>
        <v/>
      </c>
    </row>
    <row r="16">
      <c r="A16" s="6" t="n">
        <v>12</v>
      </c>
      <c r="B16" s="17">
        <f>IF(COB_CA!$B$44=12,DATE(YEAR(COB_CA!$B$22)+INT((MONTH(COB_CA!$B$22)-1+11)/12),MOD(MONTH(COB_CA!$B$22)-1+11,12)+1,1)+(DAY(COB_CA!$B$22)-1),IF(COB_CA!$B$44=24,COB_CA!$B$22+ROUND((11*365.25)/24,0),IF(COB_CA!$B$44=26,COB_CA!$B$22+154,COB_CA!$B$22+77)))</f>
        <v/>
      </c>
      <c r="C16" s="14">
        <f>G15</f>
        <v/>
      </c>
      <c r="D16" s="14">
        <f>IF((A16&lt;=COB_CA!$B$58),ROUND(C16*COB_CA!$B$45,2),0)</f>
        <v/>
      </c>
      <c r="E16" s="14">
        <f>IF((A16&lt;=COB_CA!$B$58),IF(AND((A16&lt;=COB_CA!$B$58),ROUND(C16-ROUND(COB_CA!$B$59-D16,2),2)&lt;=0),C16,ROUND(COB_CA!$B$59-D16,2)),0)</f>
        <v/>
      </c>
      <c r="F16" s="14">
        <f>IF((A16&lt;=COB_CA!$B$58),IF(AND((A16&lt;=COB_CA!$B$58),ROUND(C16-ROUND(COB_CA!$B$59-D16,2),2)&lt;=0),ROUND(D16+E16,2),COB_CA!$B$59),0)</f>
        <v/>
      </c>
      <c r="G16" s="14">
        <f>IF((A16&lt;=COB_CA!$B$58),IF(AND((A16&lt;=COB_CA!$B$58),ROUND(C16-ROUND(COB_CA!$B$59-D16,2),2)&lt;=0),0,ROUND(C16-E16,2)),C16)</f>
        <v/>
      </c>
      <c r="H16" s="6">
        <f>AND(H15,C15&gt;0,(A16&lt;=COB_CA!$B$58))</f>
        <v/>
      </c>
    </row>
    <row r="17">
      <c r="A17" s="6" t="n">
        <v>13</v>
      </c>
      <c r="B17" s="17">
        <f>IF(COB_CA!$B$44=12,DATE(YEAR(COB_CA!$B$22)+INT((MONTH(COB_CA!$B$22)-1+12)/12),MOD(MONTH(COB_CA!$B$22)-1+12,12)+1,1)+(DAY(COB_CA!$B$22)-1),IF(COB_CA!$B$44=24,COB_CA!$B$22+ROUND((12*365.25)/24,0),IF(COB_CA!$B$44=26,COB_CA!$B$22+168,COB_CA!$B$22+84)))</f>
        <v/>
      </c>
      <c r="C17" s="14">
        <f>G16</f>
        <v/>
      </c>
      <c r="D17" s="14">
        <f>IF((A17&lt;=COB_CA!$B$58),ROUND(C17*COB_CA!$B$45,2),0)</f>
        <v/>
      </c>
      <c r="E17" s="14">
        <f>IF((A17&lt;=COB_CA!$B$58),IF(AND((A17&lt;=COB_CA!$B$58),ROUND(C17-ROUND(COB_CA!$B$59-D17,2),2)&lt;=0),C17,ROUND(COB_CA!$B$59-D17,2)),0)</f>
        <v/>
      </c>
      <c r="F17" s="14">
        <f>IF((A17&lt;=COB_CA!$B$58),IF(AND((A17&lt;=COB_CA!$B$58),ROUND(C17-ROUND(COB_CA!$B$59-D17,2),2)&lt;=0),ROUND(D17+E17,2),COB_CA!$B$59),0)</f>
        <v/>
      </c>
      <c r="G17" s="14">
        <f>IF((A17&lt;=COB_CA!$B$58),IF(AND((A17&lt;=COB_CA!$B$58),ROUND(C17-ROUND(COB_CA!$B$59-D17,2),2)&lt;=0),0,ROUND(C17-E17,2)),C17)</f>
        <v/>
      </c>
      <c r="H17" s="6">
        <f>AND(H16,C16&gt;0,(A17&lt;=COB_CA!$B$58))</f>
        <v/>
      </c>
    </row>
    <row r="18">
      <c r="A18" s="6" t="n">
        <v>14</v>
      </c>
      <c r="B18" s="17">
        <f>IF(COB_CA!$B$44=12,DATE(YEAR(COB_CA!$B$22)+INT((MONTH(COB_CA!$B$22)-1+13)/12),MOD(MONTH(COB_CA!$B$22)-1+13,12)+1,1)+(DAY(COB_CA!$B$22)-1),IF(COB_CA!$B$44=24,COB_CA!$B$22+ROUND((13*365.25)/24,0),IF(COB_CA!$B$44=26,COB_CA!$B$22+182,COB_CA!$B$22+91)))</f>
        <v/>
      </c>
      <c r="C18" s="14">
        <f>G17</f>
        <v/>
      </c>
      <c r="D18" s="14">
        <f>IF((A18&lt;=COB_CA!$B$58),ROUND(C18*COB_CA!$B$45,2),0)</f>
        <v/>
      </c>
      <c r="E18" s="14">
        <f>IF((A18&lt;=COB_CA!$B$58),IF(AND((A18&lt;=COB_CA!$B$58),ROUND(C18-ROUND(COB_CA!$B$59-D18,2),2)&lt;=0),C18,ROUND(COB_CA!$B$59-D18,2)),0)</f>
        <v/>
      </c>
      <c r="F18" s="14">
        <f>IF((A18&lt;=COB_CA!$B$58),IF(AND((A18&lt;=COB_CA!$B$58),ROUND(C18-ROUND(COB_CA!$B$59-D18,2),2)&lt;=0),ROUND(D18+E18,2),COB_CA!$B$59),0)</f>
        <v/>
      </c>
      <c r="G18" s="14">
        <f>IF((A18&lt;=COB_CA!$B$58),IF(AND((A18&lt;=COB_CA!$B$58),ROUND(C18-ROUND(COB_CA!$B$59-D18,2),2)&lt;=0),0,ROUND(C18-E18,2)),C18)</f>
        <v/>
      </c>
      <c r="H18" s="6">
        <f>AND(H17,C17&gt;0,(A18&lt;=COB_CA!$B$58))</f>
        <v/>
      </c>
    </row>
    <row r="19">
      <c r="A19" s="6" t="n">
        <v>15</v>
      </c>
      <c r="B19" s="17">
        <f>IF(COB_CA!$B$44=12,DATE(YEAR(COB_CA!$B$22)+INT((MONTH(COB_CA!$B$22)-1+14)/12),MOD(MONTH(COB_CA!$B$22)-1+14,12)+1,1)+(DAY(COB_CA!$B$22)-1),IF(COB_CA!$B$44=24,COB_CA!$B$22+ROUND((14*365.25)/24,0),IF(COB_CA!$B$44=26,COB_CA!$B$22+196,COB_CA!$B$22+98)))</f>
        <v/>
      </c>
      <c r="C19" s="14">
        <f>G18</f>
        <v/>
      </c>
      <c r="D19" s="14">
        <f>IF((A19&lt;=COB_CA!$B$58),ROUND(C19*COB_CA!$B$45,2),0)</f>
        <v/>
      </c>
      <c r="E19" s="14">
        <f>IF((A19&lt;=COB_CA!$B$58),IF(AND((A19&lt;=COB_CA!$B$58),ROUND(C19-ROUND(COB_CA!$B$59-D19,2),2)&lt;=0),C19,ROUND(COB_CA!$B$59-D19,2)),0)</f>
        <v/>
      </c>
      <c r="F19" s="14">
        <f>IF((A19&lt;=COB_CA!$B$58),IF(AND((A19&lt;=COB_CA!$B$58),ROUND(C19-ROUND(COB_CA!$B$59-D19,2),2)&lt;=0),ROUND(D19+E19,2),COB_CA!$B$59),0)</f>
        <v/>
      </c>
      <c r="G19" s="14">
        <f>IF((A19&lt;=COB_CA!$B$58),IF(AND((A19&lt;=COB_CA!$B$58),ROUND(C19-ROUND(COB_CA!$B$59-D19,2),2)&lt;=0),0,ROUND(C19-E19,2)),C19)</f>
        <v/>
      </c>
      <c r="H19" s="6">
        <f>AND(H18,C18&gt;0,(A19&lt;=COB_CA!$B$58))</f>
        <v/>
      </c>
    </row>
    <row r="20">
      <c r="A20" s="6" t="n">
        <v>16</v>
      </c>
      <c r="B20" s="17">
        <f>IF(COB_CA!$B$44=12,DATE(YEAR(COB_CA!$B$22)+INT((MONTH(COB_CA!$B$22)-1+15)/12),MOD(MONTH(COB_CA!$B$22)-1+15,12)+1,1)+(DAY(COB_CA!$B$22)-1),IF(COB_CA!$B$44=24,COB_CA!$B$22+ROUND((15*365.25)/24,0),IF(COB_CA!$B$44=26,COB_CA!$B$22+210,COB_CA!$B$22+105)))</f>
        <v/>
      </c>
      <c r="C20" s="14">
        <f>G19</f>
        <v/>
      </c>
      <c r="D20" s="14">
        <f>IF((A20&lt;=COB_CA!$B$58),ROUND(C20*COB_CA!$B$45,2),0)</f>
        <v/>
      </c>
      <c r="E20" s="14">
        <f>IF((A20&lt;=COB_CA!$B$58),IF(AND((A20&lt;=COB_CA!$B$58),ROUND(C20-ROUND(COB_CA!$B$59-D20,2),2)&lt;=0),C20,ROUND(COB_CA!$B$59-D20,2)),0)</f>
        <v/>
      </c>
      <c r="F20" s="14">
        <f>IF((A20&lt;=COB_CA!$B$58),IF(AND((A20&lt;=COB_CA!$B$58),ROUND(C20-ROUND(COB_CA!$B$59-D20,2),2)&lt;=0),ROUND(D20+E20,2),COB_CA!$B$59),0)</f>
        <v/>
      </c>
      <c r="G20" s="14">
        <f>IF((A20&lt;=COB_CA!$B$58),IF(AND((A20&lt;=COB_CA!$B$58),ROUND(C20-ROUND(COB_CA!$B$59-D20,2),2)&lt;=0),0,ROUND(C20-E20,2)),C20)</f>
        <v/>
      </c>
      <c r="H20" s="6">
        <f>AND(H19,C19&gt;0,(A20&lt;=COB_CA!$B$58))</f>
        <v/>
      </c>
    </row>
    <row r="21">
      <c r="A21" s="6" t="n">
        <v>17</v>
      </c>
      <c r="B21" s="17">
        <f>IF(COB_CA!$B$44=12,DATE(YEAR(COB_CA!$B$22)+INT((MONTH(COB_CA!$B$22)-1+16)/12),MOD(MONTH(COB_CA!$B$22)-1+16,12)+1,1)+(DAY(COB_CA!$B$22)-1),IF(COB_CA!$B$44=24,COB_CA!$B$22+ROUND((16*365.25)/24,0),IF(COB_CA!$B$44=26,COB_CA!$B$22+224,COB_CA!$B$22+112)))</f>
        <v/>
      </c>
      <c r="C21" s="14">
        <f>G20</f>
        <v/>
      </c>
      <c r="D21" s="14">
        <f>IF((A21&lt;=COB_CA!$B$58),ROUND(C21*COB_CA!$B$45,2),0)</f>
        <v/>
      </c>
      <c r="E21" s="14">
        <f>IF((A21&lt;=COB_CA!$B$58),IF(AND((A21&lt;=COB_CA!$B$58),ROUND(C21-ROUND(COB_CA!$B$59-D21,2),2)&lt;=0),C21,ROUND(COB_CA!$B$59-D21,2)),0)</f>
        <v/>
      </c>
      <c r="F21" s="14">
        <f>IF((A21&lt;=COB_CA!$B$58),IF(AND((A21&lt;=COB_CA!$B$58),ROUND(C21-ROUND(COB_CA!$B$59-D21,2),2)&lt;=0),ROUND(D21+E21,2),COB_CA!$B$59),0)</f>
        <v/>
      </c>
      <c r="G21" s="14">
        <f>IF((A21&lt;=COB_CA!$B$58),IF(AND((A21&lt;=COB_CA!$B$58),ROUND(C21-ROUND(COB_CA!$B$59-D21,2),2)&lt;=0),0,ROUND(C21-E21,2)),C21)</f>
        <v/>
      </c>
      <c r="H21" s="6">
        <f>AND(H20,C20&gt;0,(A21&lt;=COB_CA!$B$58))</f>
        <v/>
      </c>
    </row>
    <row r="22">
      <c r="A22" s="6" t="n">
        <v>18</v>
      </c>
      <c r="B22" s="17">
        <f>IF(COB_CA!$B$44=12,DATE(YEAR(COB_CA!$B$22)+INT((MONTH(COB_CA!$B$22)-1+17)/12),MOD(MONTH(COB_CA!$B$22)-1+17,12)+1,1)+(DAY(COB_CA!$B$22)-1),IF(COB_CA!$B$44=24,COB_CA!$B$22+ROUND((17*365.25)/24,0),IF(COB_CA!$B$44=26,COB_CA!$B$22+238,COB_CA!$B$22+119)))</f>
        <v/>
      </c>
      <c r="C22" s="14">
        <f>G21</f>
        <v/>
      </c>
      <c r="D22" s="14">
        <f>IF((A22&lt;=COB_CA!$B$58),ROUND(C22*COB_CA!$B$45,2),0)</f>
        <v/>
      </c>
      <c r="E22" s="14">
        <f>IF((A22&lt;=COB_CA!$B$58),IF(AND((A22&lt;=COB_CA!$B$58),ROUND(C22-ROUND(COB_CA!$B$59-D22,2),2)&lt;=0),C22,ROUND(COB_CA!$B$59-D22,2)),0)</f>
        <v/>
      </c>
      <c r="F22" s="14">
        <f>IF((A22&lt;=COB_CA!$B$58),IF(AND((A22&lt;=COB_CA!$B$58),ROUND(C22-ROUND(COB_CA!$B$59-D22,2),2)&lt;=0),ROUND(D22+E22,2),COB_CA!$B$59),0)</f>
        <v/>
      </c>
      <c r="G22" s="14">
        <f>IF((A22&lt;=COB_CA!$B$58),IF(AND((A22&lt;=COB_CA!$B$58),ROUND(C22-ROUND(COB_CA!$B$59-D22,2),2)&lt;=0),0,ROUND(C22-E22,2)),C22)</f>
        <v/>
      </c>
      <c r="H22" s="6">
        <f>AND(H21,C21&gt;0,(A22&lt;=COB_CA!$B$58))</f>
        <v/>
      </c>
    </row>
    <row r="23">
      <c r="A23" s="6" t="n">
        <v>19</v>
      </c>
      <c r="B23" s="17">
        <f>IF(COB_CA!$B$44=12,DATE(YEAR(COB_CA!$B$22)+INT((MONTH(COB_CA!$B$22)-1+18)/12),MOD(MONTH(COB_CA!$B$22)-1+18,12)+1,1)+(DAY(COB_CA!$B$22)-1),IF(COB_CA!$B$44=24,COB_CA!$B$22+ROUND((18*365.25)/24,0),IF(COB_CA!$B$44=26,COB_CA!$B$22+252,COB_CA!$B$22+126)))</f>
        <v/>
      </c>
      <c r="C23" s="14">
        <f>G22</f>
        <v/>
      </c>
      <c r="D23" s="14">
        <f>IF((A23&lt;=COB_CA!$B$58),ROUND(C23*COB_CA!$B$45,2),0)</f>
        <v/>
      </c>
      <c r="E23" s="14">
        <f>IF((A23&lt;=COB_CA!$B$58),IF(AND((A23&lt;=COB_CA!$B$58),ROUND(C23-ROUND(COB_CA!$B$59-D23,2),2)&lt;=0),C23,ROUND(COB_CA!$B$59-D23,2)),0)</f>
        <v/>
      </c>
      <c r="F23" s="14">
        <f>IF((A23&lt;=COB_CA!$B$58),IF(AND((A23&lt;=COB_CA!$B$58),ROUND(C23-ROUND(COB_CA!$B$59-D23,2),2)&lt;=0),ROUND(D23+E23,2),COB_CA!$B$59),0)</f>
        <v/>
      </c>
      <c r="G23" s="14">
        <f>IF((A23&lt;=COB_CA!$B$58),IF(AND((A23&lt;=COB_CA!$B$58),ROUND(C23-ROUND(COB_CA!$B$59-D23,2),2)&lt;=0),0,ROUND(C23-E23,2)),C23)</f>
        <v/>
      </c>
      <c r="H23" s="6">
        <f>AND(H22,C22&gt;0,(A23&lt;=COB_CA!$B$58))</f>
        <v/>
      </c>
    </row>
    <row r="24">
      <c r="A24" s="6" t="n">
        <v>20</v>
      </c>
      <c r="B24" s="17">
        <f>IF(COB_CA!$B$44=12,DATE(YEAR(COB_CA!$B$22)+INT((MONTH(COB_CA!$B$22)-1+19)/12),MOD(MONTH(COB_CA!$B$22)-1+19,12)+1,1)+(DAY(COB_CA!$B$22)-1),IF(COB_CA!$B$44=24,COB_CA!$B$22+ROUND((19*365.25)/24,0),IF(COB_CA!$B$44=26,COB_CA!$B$22+266,COB_CA!$B$22+133)))</f>
        <v/>
      </c>
      <c r="C24" s="14">
        <f>G23</f>
        <v/>
      </c>
      <c r="D24" s="14">
        <f>IF((A24&lt;=COB_CA!$B$58),ROUND(C24*COB_CA!$B$45,2),0)</f>
        <v/>
      </c>
      <c r="E24" s="14">
        <f>IF((A24&lt;=COB_CA!$B$58),IF(AND((A24&lt;=COB_CA!$B$58),ROUND(C24-ROUND(COB_CA!$B$59-D24,2),2)&lt;=0),C24,ROUND(COB_CA!$B$59-D24,2)),0)</f>
        <v/>
      </c>
      <c r="F24" s="14">
        <f>IF((A24&lt;=COB_CA!$B$58),IF(AND((A24&lt;=COB_CA!$B$58),ROUND(C24-ROUND(COB_CA!$B$59-D24,2),2)&lt;=0),ROUND(D24+E24,2),COB_CA!$B$59),0)</f>
        <v/>
      </c>
      <c r="G24" s="14">
        <f>IF((A24&lt;=COB_CA!$B$58),IF(AND((A24&lt;=COB_CA!$B$58),ROUND(C24-ROUND(COB_CA!$B$59-D24,2),2)&lt;=0),0,ROUND(C24-E24,2)),C24)</f>
        <v/>
      </c>
      <c r="H24" s="6">
        <f>AND(H23,C23&gt;0,(A24&lt;=COB_CA!$B$58))</f>
        <v/>
      </c>
    </row>
    <row r="25">
      <c r="A25" s="6" t="n">
        <v>21</v>
      </c>
      <c r="B25" s="17">
        <f>IF(COB_CA!$B$44=12,DATE(YEAR(COB_CA!$B$22)+INT((MONTH(COB_CA!$B$22)-1+20)/12),MOD(MONTH(COB_CA!$B$22)-1+20,12)+1,1)+(DAY(COB_CA!$B$22)-1),IF(COB_CA!$B$44=24,COB_CA!$B$22+ROUND((20*365.25)/24,0),IF(COB_CA!$B$44=26,COB_CA!$B$22+280,COB_CA!$B$22+140)))</f>
        <v/>
      </c>
      <c r="C25" s="14">
        <f>G24</f>
        <v/>
      </c>
      <c r="D25" s="14">
        <f>IF((A25&lt;=COB_CA!$B$58),ROUND(C25*COB_CA!$B$45,2),0)</f>
        <v/>
      </c>
      <c r="E25" s="14">
        <f>IF((A25&lt;=COB_CA!$B$58),IF(AND((A25&lt;=COB_CA!$B$58),ROUND(C25-ROUND(COB_CA!$B$59-D25,2),2)&lt;=0),C25,ROUND(COB_CA!$B$59-D25,2)),0)</f>
        <v/>
      </c>
      <c r="F25" s="14">
        <f>IF((A25&lt;=COB_CA!$B$58),IF(AND((A25&lt;=COB_CA!$B$58),ROUND(C25-ROUND(COB_CA!$B$59-D25,2),2)&lt;=0),ROUND(D25+E25,2),COB_CA!$B$59),0)</f>
        <v/>
      </c>
      <c r="G25" s="14">
        <f>IF((A25&lt;=COB_CA!$B$58),IF(AND((A25&lt;=COB_CA!$B$58),ROUND(C25-ROUND(COB_CA!$B$59-D25,2),2)&lt;=0),0,ROUND(C25-E25,2)),C25)</f>
        <v/>
      </c>
      <c r="H25" s="6">
        <f>AND(H24,C24&gt;0,(A25&lt;=COB_CA!$B$58))</f>
        <v/>
      </c>
    </row>
    <row r="26">
      <c r="A26" s="6" t="n">
        <v>22</v>
      </c>
      <c r="B26" s="17">
        <f>IF(COB_CA!$B$44=12,DATE(YEAR(COB_CA!$B$22)+INT((MONTH(COB_CA!$B$22)-1+21)/12),MOD(MONTH(COB_CA!$B$22)-1+21,12)+1,1)+(DAY(COB_CA!$B$22)-1),IF(COB_CA!$B$44=24,COB_CA!$B$22+ROUND((21*365.25)/24,0),IF(COB_CA!$B$44=26,COB_CA!$B$22+294,COB_CA!$B$22+147)))</f>
        <v/>
      </c>
      <c r="C26" s="14">
        <f>G25</f>
        <v/>
      </c>
      <c r="D26" s="14">
        <f>IF((A26&lt;=COB_CA!$B$58),ROUND(C26*COB_CA!$B$45,2),0)</f>
        <v/>
      </c>
      <c r="E26" s="14">
        <f>IF((A26&lt;=COB_CA!$B$58),IF(AND((A26&lt;=COB_CA!$B$58),ROUND(C26-ROUND(COB_CA!$B$59-D26,2),2)&lt;=0),C26,ROUND(COB_CA!$B$59-D26,2)),0)</f>
        <v/>
      </c>
      <c r="F26" s="14">
        <f>IF((A26&lt;=COB_CA!$B$58),IF(AND((A26&lt;=COB_CA!$B$58),ROUND(C26-ROUND(COB_CA!$B$59-D26,2),2)&lt;=0),ROUND(D26+E26,2),COB_CA!$B$59),0)</f>
        <v/>
      </c>
      <c r="G26" s="14">
        <f>IF((A26&lt;=COB_CA!$B$58),IF(AND((A26&lt;=COB_CA!$B$58),ROUND(C26-ROUND(COB_CA!$B$59-D26,2),2)&lt;=0),0,ROUND(C26-E26,2)),C26)</f>
        <v/>
      </c>
      <c r="H26" s="6">
        <f>AND(H25,C25&gt;0,(A26&lt;=COB_CA!$B$58))</f>
        <v/>
      </c>
    </row>
    <row r="27">
      <c r="A27" s="6" t="n">
        <v>23</v>
      </c>
      <c r="B27" s="17">
        <f>IF(COB_CA!$B$44=12,DATE(YEAR(COB_CA!$B$22)+INT((MONTH(COB_CA!$B$22)-1+22)/12),MOD(MONTH(COB_CA!$B$22)-1+22,12)+1,1)+(DAY(COB_CA!$B$22)-1),IF(COB_CA!$B$44=24,COB_CA!$B$22+ROUND((22*365.25)/24,0),IF(COB_CA!$B$44=26,COB_CA!$B$22+308,COB_CA!$B$22+154)))</f>
        <v/>
      </c>
      <c r="C27" s="14">
        <f>G26</f>
        <v/>
      </c>
      <c r="D27" s="14">
        <f>IF((A27&lt;=COB_CA!$B$58),ROUND(C27*COB_CA!$B$45,2),0)</f>
        <v/>
      </c>
      <c r="E27" s="14">
        <f>IF((A27&lt;=COB_CA!$B$58),IF(AND((A27&lt;=COB_CA!$B$58),ROUND(C27-ROUND(COB_CA!$B$59-D27,2),2)&lt;=0),C27,ROUND(COB_CA!$B$59-D27,2)),0)</f>
        <v/>
      </c>
      <c r="F27" s="14">
        <f>IF((A27&lt;=COB_CA!$B$58),IF(AND((A27&lt;=COB_CA!$B$58),ROUND(C27-ROUND(COB_CA!$B$59-D27,2),2)&lt;=0),ROUND(D27+E27,2),COB_CA!$B$59),0)</f>
        <v/>
      </c>
      <c r="G27" s="14">
        <f>IF((A27&lt;=COB_CA!$B$58),IF(AND((A27&lt;=COB_CA!$B$58),ROUND(C27-ROUND(COB_CA!$B$59-D27,2),2)&lt;=0),0,ROUND(C27-E27,2)),C27)</f>
        <v/>
      </c>
      <c r="H27" s="6">
        <f>AND(H26,C26&gt;0,(A27&lt;=COB_CA!$B$58))</f>
        <v/>
      </c>
    </row>
    <row r="28">
      <c r="A28" s="6" t="n">
        <v>24</v>
      </c>
      <c r="B28" s="17">
        <f>IF(COB_CA!$B$44=12,DATE(YEAR(COB_CA!$B$22)+INT((MONTH(COB_CA!$B$22)-1+23)/12),MOD(MONTH(COB_CA!$B$22)-1+23,12)+1,1)+(DAY(COB_CA!$B$22)-1),IF(COB_CA!$B$44=24,COB_CA!$B$22+ROUND((23*365.25)/24,0),IF(COB_CA!$B$44=26,COB_CA!$B$22+322,COB_CA!$B$22+161)))</f>
        <v/>
      </c>
      <c r="C28" s="14">
        <f>G27</f>
        <v/>
      </c>
      <c r="D28" s="14">
        <f>IF((A28&lt;=COB_CA!$B$58),ROUND(C28*COB_CA!$B$45,2),0)</f>
        <v/>
      </c>
      <c r="E28" s="14">
        <f>IF((A28&lt;=COB_CA!$B$58),IF(AND((A28&lt;=COB_CA!$B$58),ROUND(C28-ROUND(COB_CA!$B$59-D28,2),2)&lt;=0),C28,ROUND(COB_CA!$B$59-D28,2)),0)</f>
        <v/>
      </c>
      <c r="F28" s="14">
        <f>IF((A28&lt;=COB_CA!$B$58),IF(AND((A28&lt;=COB_CA!$B$58),ROUND(C28-ROUND(COB_CA!$B$59-D28,2),2)&lt;=0),ROUND(D28+E28,2),COB_CA!$B$59),0)</f>
        <v/>
      </c>
      <c r="G28" s="14">
        <f>IF((A28&lt;=COB_CA!$B$58),IF(AND((A28&lt;=COB_CA!$B$58),ROUND(C28-ROUND(COB_CA!$B$59-D28,2),2)&lt;=0),0,ROUND(C28-E28,2)),C28)</f>
        <v/>
      </c>
      <c r="H28" s="6">
        <f>AND(H27,C27&gt;0,(A28&lt;=COB_CA!$B$58))</f>
        <v/>
      </c>
    </row>
    <row r="29">
      <c r="A29" s="6" t="n">
        <v>25</v>
      </c>
      <c r="B29" s="17">
        <f>IF(COB_CA!$B$44=12,DATE(YEAR(COB_CA!$B$22)+INT((MONTH(COB_CA!$B$22)-1+24)/12),MOD(MONTH(COB_CA!$B$22)-1+24,12)+1,1)+(DAY(COB_CA!$B$22)-1),IF(COB_CA!$B$44=24,COB_CA!$B$22+ROUND((24*365.25)/24,0),IF(COB_CA!$B$44=26,COB_CA!$B$22+336,COB_CA!$B$22+168)))</f>
        <v/>
      </c>
      <c r="C29" s="14">
        <f>G28</f>
        <v/>
      </c>
      <c r="D29" s="14">
        <f>IF((A29&lt;=COB_CA!$B$58),ROUND(C29*COB_CA!$B$45,2),0)</f>
        <v/>
      </c>
      <c r="E29" s="14">
        <f>IF((A29&lt;=COB_CA!$B$58),IF(AND((A29&lt;=COB_CA!$B$58),ROUND(C29-ROUND(COB_CA!$B$59-D29,2),2)&lt;=0),C29,ROUND(COB_CA!$B$59-D29,2)),0)</f>
        <v/>
      </c>
      <c r="F29" s="14">
        <f>IF((A29&lt;=COB_CA!$B$58),IF(AND((A29&lt;=COB_CA!$B$58),ROUND(C29-ROUND(COB_CA!$B$59-D29,2),2)&lt;=0),ROUND(D29+E29,2),COB_CA!$B$59),0)</f>
        <v/>
      </c>
      <c r="G29" s="14">
        <f>IF((A29&lt;=COB_CA!$B$58),IF(AND((A29&lt;=COB_CA!$B$58),ROUND(C29-ROUND(COB_CA!$B$59-D29,2),2)&lt;=0),0,ROUND(C29-E29,2)),C29)</f>
        <v/>
      </c>
      <c r="H29" s="6">
        <f>AND(H28,C28&gt;0,(A29&lt;=COB_CA!$B$58))</f>
        <v/>
      </c>
    </row>
    <row r="30">
      <c r="A30" s="6" t="n">
        <v>26</v>
      </c>
      <c r="B30" s="17">
        <f>IF(COB_CA!$B$44=12,DATE(YEAR(COB_CA!$B$22)+INT((MONTH(COB_CA!$B$22)-1+25)/12),MOD(MONTH(COB_CA!$B$22)-1+25,12)+1,1)+(DAY(COB_CA!$B$22)-1),IF(COB_CA!$B$44=24,COB_CA!$B$22+ROUND((25*365.25)/24,0),IF(COB_CA!$B$44=26,COB_CA!$B$22+350,COB_CA!$B$22+175)))</f>
        <v/>
      </c>
      <c r="C30" s="14">
        <f>G29</f>
        <v/>
      </c>
      <c r="D30" s="14">
        <f>IF((A30&lt;=COB_CA!$B$58),ROUND(C30*COB_CA!$B$45,2),0)</f>
        <v/>
      </c>
      <c r="E30" s="14">
        <f>IF((A30&lt;=COB_CA!$B$58),IF(AND((A30&lt;=COB_CA!$B$58),ROUND(C30-ROUND(COB_CA!$B$59-D30,2),2)&lt;=0),C30,ROUND(COB_CA!$B$59-D30,2)),0)</f>
        <v/>
      </c>
      <c r="F30" s="14">
        <f>IF((A30&lt;=COB_CA!$B$58),IF(AND((A30&lt;=COB_CA!$B$58),ROUND(C30-ROUND(COB_CA!$B$59-D30,2),2)&lt;=0),ROUND(D30+E30,2),COB_CA!$B$59),0)</f>
        <v/>
      </c>
      <c r="G30" s="14">
        <f>IF((A30&lt;=COB_CA!$B$58),IF(AND((A30&lt;=COB_CA!$B$58),ROUND(C30-ROUND(COB_CA!$B$59-D30,2),2)&lt;=0),0,ROUND(C30-E30,2)),C30)</f>
        <v/>
      </c>
      <c r="H30" s="6">
        <f>AND(H29,C29&gt;0,(A30&lt;=COB_CA!$B$58))</f>
        <v/>
      </c>
    </row>
    <row r="31">
      <c r="A31" s="6" t="n">
        <v>27</v>
      </c>
      <c r="B31" s="17">
        <f>IF(COB_CA!$B$44=12,DATE(YEAR(COB_CA!$B$22)+INT((MONTH(COB_CA!$B$22)-1+26)/12),MOD(MONTH(COB_CA!$B$22)-1+26,12)+1,1)+(DAY(COB_CA!$B$22)-1),IF(COB_CA!$B$44=24,COB_CA!$B$22+ROUND((26*365.25)/24,0),IF(COB_CA!$B$44=26,COB_CA!$B$22+364,COB_CA!$B$22+182)))</f>
        <v/>
      </c>
      <c r="C31" s="14">
        <f>G30</f>
        <v/>
      </c>
      <c r="D31" s="14">
        <f>IF((A31&lt;=COB_CA!$B$58),ROUND(C31*COB_CA!$B$45,2),0)</f>
        <v/>
      </c>
      <c r="E31" s="14">
        <f>IF((A31&lt;=COB_CA!$B$58),IF(AND((A31&lt;=COB_CA!$B$58),ROUND(C31-ROUND(COB_CA!$B$59-D31,2),2)&lt;=0),C31,ROUND(COB_CA!$B$59-D31,2)),0)</f>
        <v/>
      </c>
      <c r="F31" s="14">
        <f>IF((A31&lt;=COB_CA!$B$58),IF(AND((A31&lt;=COB_CA!$B$58),ROUND(C31-ROUND(COB_CA!$B$59-D31,2),2)&lt;=0),ROUND(D31+E31,2),COB_CA!$B$59),0)</f>
        <v/>
      </c>
      <c r="G31" s="14">
        <f>IF((A31&lt;=COB_CA!$B$58),IF(AND((A31&lt;=COB_CA!$B$58),ROUND(C31-ROUND(COB_CA!$B$59-D31,2),2)&lt;=0),0,ROUND(C31-E31,2)),C31)</f>
        <v/>
      </c>
      <c r="H31" s="6">
        <f>AND(H30,C30&gt;0,(A31&lt;=COB_CA!$B$58))</f>
        <v/>
      </c>
    </row>
    <row r="32">
      <c r="A32" s="6" t="n">
        <v>28</v>
      </c>
      <c r="B32" s="17">
        <f>IF(COB_CA!$B$44=12,DATE(YEAR(COB_CA!$B$22)+INT((MONTH(COB_CA!$B$22)-1+27)/12),MOD(MONTH(COB_CA!$B$22)-1+27,12)+1,1)+(DAY(COB_CA!$B$22)-1),IF(COB_CA!$B$44=24,COB_CA!$B$22+ROUND((27*365.25)/24,0),IF(COB_CA!$B$44=26,COB_CA!$B$22+378,COB_CA!$B$22+189)))</f>
        <v/>
      </c>
      <c r="C32" s="14">
        <f>G31</f>
        <v/>
      </c>
      <c r="D32" s="14">
        <f>IF((A32&lt;=COB_CA!$B$58),ROUND(C32*COB_CA!$B$45,2),0)</f>
        <v/>
      </c>
      <c r="E32" s="14">
        <f>IF((A32&lt;=COB_CA!$B$58),IF(AND((A32&lt;=COB_CA!$B$58),ROUND(C32-ROUND(COB_CA!$B$59-D32,2),2)&lt;=0),C32,ROUND(COB_CA!$B$59-D32,2)),0)</f>
        <v/>
      </c>
      <c r="F32" s="14">
        <f>IF((A32&lt;=COB_CA!$B$58),IF(AND((A32&lt;=COB_CA!$B$58),ROUND(C32-ROUND(COB_CA!$B$59-D32,2),2)&lt;=0),ROUND(D32+E32,2),COB_CA!$B$59),0)</f>
        <v/>
      </c>
      <c r="G32" s="14">
        <f>IF((A32&lt;=COB_CA!$B$58),IF(AND((A32&lt;=COB_CA!$B$58),ROUND(C32-ROUND(COB_CA!$B$59-D32,2),2)&lt;=0),0,ROUND(C32-E32,2)),C32)</f>
        <v/>
      </c>
      <c r="H32" s="6">
        <f>AND(H31,C31&gt;0,(A32&lt;=COB_CA!$B$58))</f>
        <v/>
      </c>
    </row>
    <row r="33">
      <c r="A33" s="6" t="n">
        <v>29</v>
      </c>
      <c r="B33" s="17">
        <f>IF(COB_CA!$B$44=12,DATE(YEAR(COB_CA!$B$22)+INT((MONTH(COB_CA!$B$22)-1+28)/12),MOD(MONTH(COB_CA!$B$22)-1+28,12)+1,1)+(DAY(COB_CA!$B$22)-1),IF(COB_CA!$B$44=24,COB_CA!$B$22+ROUND((28*365.25)/24,0),IF(COB_CA!$B$44=26,COB_CA!$B$22+392,COB_CA!$B$22+196)))</f>
        <v/>
      </c>
      <c r="C33" s="14">
        <f>G32</f>
        <v/>
      </c>
      <c r="D33" s="14">
        <f>IF((A33&lt;=COB_CA!$B$58),ROUND(C33*COB_CA!$B$45,2),0)</f>
        <v/>
      </c>
      <c r="E33" s="14">
        <f>IF((A33&lt;=COB_CA!$B$58),IF(AND((A33&lt;=COB_CA!$B$58),ROUND(C33-ROUND(COB_CA!$B$59-D33,2),2)&lt;=0),C33,ROUND(COB_CA!$B$59-D33,2)),0)</f>
        <v/>
      </c>
      <c r="F33" s="14">
        <f>IF((A33&lt;=COB_CA!$B$58),IF(AND((A33&lt;=COB_CA!$B$58),ROUND(C33-ROUND(COB_CA!$B$59-D33,2),2)&lt;=0),ROUND(D33+E33,2),COB_CA!$B$59),0)</f>
        <v/>
      </c>
      <c r="G33" s="14">
        <f>IF((A33&lt;=COB_CA!$B$58),IF(AND((A33&lt;=COB_CA!$B$58),ROUND(C33-ROUND(COB_CA!$B$59-D33,2),2)&lt;=0),0,ROUND(C33-E33,2)),C33)</f>
        <v/>
      </c>
      <c r="H33" s="6">
        <f>AND(H32,C32&gt;0,(A33&lt;=COB_CA!$B$58))</f>
        <v/>
      </c>
    </row>
    <row r="34">
      <c r="A34" s="6" t="n">
        <v>30</v>
      </c>
      <c r="B34" s="17">
        <f>IF(COB_CA!$B$44=12,DATE(YEAR(COB_CA!$B$22)+INT((MONTH(COB_CA!$B$22)-1+29)/12),MOD(MONTH(COB_CA!$B$22)-1+29,12)+1,1)+(DAY(COB_CA!$B$22)-1),IF(COB_CA!$B$44=24,COB_CA!$B$22+ROUND((29*365.25)/24,0),IF(COB_CA!$B$44=26,COB_CA!$B$22+406,COB_CA!$B$22+203)))</f>
        <v/>
      </c>
      <c r="C34" s="14">
        <f>G33</f>
        <v/>
      </c>
      <c r="D34" s="14">
        <f>IF((A34&lt;=COB_CA!$B$58),ROUND(C34*COB_CA!$B$45,2),0)</f>
        <v/>
      </c>
      <c r="E34" s="14">
        <f>IF((A34&lt;=COB_CA!$B$58),IF(AND((A34&lt;=COB_CA!$B$58),ROUND(C34-ROUND(COB_CA!$B$59-D34,2),2)&lt;=0),C34,ROUND(COB_CA!$B$59-D34,2)),0)</f>
        <v/>
      </c>
      <c r="F34" s="14">
        <f>IF((A34&lt;=COB_CA!$B$58),IF(AND((A34&lt;=COB_CA!$B$58),ROUND(C34-ROUND(COB_CA!$B$59-D34,2),2)&lt;=0),ROUND(D34+E34,2),COB_CA!$B$59),0)</f>
        <v/>
      </c>
      <c r="G34" s="14">
        <f>IF((A34&lt;=COB_CA!$B$58),IF(AND((A34&lt;=COB_CA!$B$58),ROUND(C34-ROUND(COB_CA!$B$59-D34,2),2)&lt;=0),0,ROUND(C34-E34,2)),C34)</f>
        <v/>
      </c>
      <c r="H34" s="6">
        <f>AND(H33,C33&gt;0,(A34&lt;=COB_CA!$B$58))</f>
        <v/>
      </c>
    </row>
    <row r="35">
      <c r="A35" s="6" t="n">
        <v>31</v>
      </c>
      <c r="B35" s="17">
        <f>IF(COB_CA!$B$44=12,DATE(YEAR(COB_CA!$B$22)+INT((MONTH(COB_CA!$B$22)-1+30)/12),MOD(MONTH(COB_CA!$B$22)-1+30,12)+1,1)+(DAY(COB_CA!$B$22)-1),IF(COB_CA!$B$44=24,COB_CA!$B$22+ROUND((30*365.25)/24,0),IF(COB_CA!$B$44=26,COB_CA!$B$22+420,COB_CA!$B$22+210)))</f>
        <v/>
      </c>
      <c r="C35" s="14">
        <f>G34</f>
        <v/>
      </c>
      <c r="D35" s="14">
        <f>IF((A35&lt;=COB_CA!$B$58),ROUND(C35*COB_CA!$B$45,2),0)</f>
        <v/>
      </c>
      <c r="E35" s="14">
        <f>IF((A35&lt;=COB_CA!$B$58),IF(AND((A35&lt;=COB_CA!$B$58),ROUND(C35-ROUND(COB_CA!$B$59-D35,2),2)&lt;=0),C35,ROUND(COB_CA!$B$59-D35,2)),0)</f>
        <v/>
      </c>
      <c r="F35" s="14">
        <f>IF((A35&lt;=COB_CA!$B$58),IF(AND((A35&lt;=COB_CA!$B$58),ROUND(C35-ROUND(COB_CA!$B$59-D35,2),2)&lt;=0),ROUND(D35+E35,2),COB_CA!$B$59),0)</f>
        <v/>
      </c>
      <c r="G35" s="14">
        <f>IF((A35&lt;=COB_CA!$B$58),IF(AND((A35&lt;=COB_CA!$B$58),ROUND(C35-ROUND(COB_CA!$B$59-D35,2),2)&lt;=0),0,ROUND(C35-E35,2)),C35)</f>
        <v/>
      </c>
      <c r="H35" s="6">
        <f>AND(H34,C34&gt;0,(A35&lt;=COB_CA!$B$58))</f>
        <v/>
      </c>
    </row>
    <row r="36">
      <c r="A36" s="6" t="n">
        <v>32</v>
      </c>
      <c r="B36" s="17">
        <f>IF(COB_CA!$B$44=12,DATE(YEAR(COB_CA!$B$22)+INT((MONTH(COB_CA!$B$22)-1+31)/12),MOD(MONTH(COB_CA!$B$22)-1+31,12)+1,1)+(DAY(COB_CA!$B$22)-1),IF(COB_CA!$B$44=24,COB_CA!$B$22+ROUND((31*365.25)/24,0),IF(COB_CA!$B$44=26,COB_CA!$B$22+434,COB_CA!$B$22+217)))</f>
        <v/>
      </c>
      <c r="C36" s="14">
        <f>G35</f>
        <v/>
      </c>
      <c r="D36" s="14">
        <f>IF((A36&lt;=COB_CA!$B$58),ROUND(C36*COB_CA!$B$45,2),0)</f>
        <v/>
      </c>
      <c r="E36" s="14">
        <f>IF((A36&lt;=COB_CA!$B$58),IF(AND((A36&lt;=COB_CA!$B$58),ROUND(C36-ROUND(COB_CA!$B$59-D36,2),2)&lt;=0),C36,ROUND(COB_CA!$B$59-D36,2)),0)</f>
        <v/>
      </c>
      <c r="F36" s="14">
        <f>IF((A36&lt;=COB_CA!$B$58),IF(AND((A36&lt;=COB_CA!$B$58),ROUND(C36-ROUND(COB_CA!$B$59-D36,2),2)&lt;=0),ROUND(D36+E36,2),COB_CA!$B$59),0)</f>
        <v/>
      </c>
      <c r="G36" s="14">
        <f>IF((A36&lt;=COB_CA!$B$58),IF(AND((A36&lt;=COB_CA!$B$58),ROUND(C36-ROUND(COB_CA!$B$59-D36,2),2)&lt;=0),0,ROUND(C36-E36,2)),C36)</f>
        <v/>
      </c>
      <c r="H36" s="6">
        <f>AND(H35,C35&gt;0,(A36&lt;=COB_CA!$B$58))</f>
        <v/>
      </c>
    </row>
    <row r="37">
      <c r="A37" s="6" t="n">
        <v>33</v>
      </c>
      <c r="B37" s="17">
        <f>IF(COB_CA!$B$44=12,DATE(YEAR(COB_CA!$B$22)+INT((MONTH(COB_CA!$B$22)-1+32)/12),MOD(MONTH(COB_CA!$B$22)-1+32,12)+1,1)+(DAY(COB_CA!$B$22)-1),IF(COB_CA!$B$44=24,COB_CA!$B$22+ROUND((32*365.25)/24,0),IF(COB_CA!$B$44=26,COB_CA!$B$22+448,COB_CA!$B$22+224)))</f>
        <v/>
      </c>
      <c r="C37" s="14">
        <f>G36</f>
        <v/>
      </c>
      <c r="D37" s="14">
        <f>IF((A37&lt;=COB_CA!$B$58),ROUND(C37*COB_CA!$B$45,2),0)</f>
        <v/>
      </c>
      <c r="E37" s="14">
        <f>IF((A37&lt;=COB_CA!$B$58),IF(AND((A37&lt;=COB_CA!$B$58),ROUND(C37-ROUND(COB_CA!$B$59-D37,2),2)&lt;=0),C37,ROUND(COB_CA!$B$59-D37,2)),0)</f>
        <v/>
      </c>
      <c r="F37" s="14">
        <f>IF((A37&lt;=COB_CA!$B$58),IF(AND((A37&lt;=COB_CA!$B$58),ROUND(C37-ROUND(COB_CA!$B$59-D37,2),2)&lt;=0),ROUND(D37+E37,2),COB_CA!$B$59),0)</f>
        <v/>
      </c>
      <c r="G37" s="14">
        <f>IF((A37&lt;=COB_CA!$B$58),IF(AND((A37&lt;=COB_CA!$B$58),ROUND(C37-ROUND(COB_CA!$B$59-D37,2),2)&lt;=0),0,ROUND(C37-E37,2)),C37)</f>
        <v/>
      </c>
      <c r="H37" s="6">
        <f>AND(H36,C36&gt;0,(A37&lt;=COB_CA!$B$58))</f>
        <v/>
      </c>
    </row>
    <row r="38">
      <c r="A38" s="6" t="n">
        <v>34</v>
      </c>
      <c r="B38" s="17">
        <f>IF(COB_CA!$B$44=12,DATE(YEAR(COB_CA!$B$22)+INT((MONTH(COB_CA!$B$22)-1+33)/12),MOD(MONTH(COB_CA!$B$22)-1+33,12)+1,1)+(DAY(COB_CA!$B$22)-1),IF(COB_CA!$B$44=24,COB_CA!$B$22+ROUND((33*365.25)/24,0),IF(COB_CA!$B$44=26,COB_CA!$B$22+462,COB_CA!$B$22+231)))</f>
        <v/>
      </c>
      <c r="C38" s="14">
        <f>G37</f>
        <v/>
      </c>
      <c r="D38" s="14">
        <f>IF((A38&lt;=COB_CA!$B$58),ROUND(C38*COB_CA!$B$45,2),0)</f>
        <v/>
      </c>
      <c r="E38" s="14">
        <f>IF((A38&lt;=COB_CA!$B$58),IF(AND((A38&lt;=COB_CA!$B$58),ROUND(C38-ROUND(COB_CA!$B$59-D38,2),2)&lt;=0),C38,ROUND(COB_CA!$B$59-D38,2)),0)</f>
        <v/>
      </c>
      <c r="F38" s="14">
        <f>IF((A38&lt;=COB_CA!$B$58),IF(AND((A38&lt;=COB_CA!$B$58),ROUND(C38-ROUND(COB_CA!$B$59-D38,2),2)&lt;=0),ROUND(D38+E38,2),COB_CA!$B$59),0)</f>
        <v/>
      </c>
      <c r="G38" s="14">
        <f>IF((A38&lt;=COB_CA!$B$58),IF(AND((A38&lt;=COB_CA!$B$58),ROUND(C38-ROUND(COB_CA!$B$59-D38,2),2)&lt;=0),0,ROUND(C38-E38,2)),C38)</f>
        <v/>
      </c>
      <c r="H38" s="6">
        <f>AND(H37,C37&gt;0,(A38&lt;=COB_CA!$B$58))</f>
        <v/>
      </c>
    </row>
    <row r="39">
      <c r="A39" s="6" t="n">
        <v>35</v>
      </c>
      <c r="B39" s="17">
        <f>IF(COB_CA!$B$44=12,DATE(YEAR(COB_CA!$B$22)+INT((MONTH(COB_CA!$B$22)-1+34)/12),MOD(MONTH(COB_CA!$B$22)-1+34,12)+1,1)+(DAY(COB_CA!$B$22)-1),IF(COB_CA!$B$44=24,COB_CA!$B$22+ROUND((34*365.25)/24,0),IF(COB_CA!$B$44=26,COB_CA!$B$22+476,COB_CA!$B$22+238)))</f>
        <v/>
      </c>
      <c r="C39" s="14">
        <f>G38</f>
        <v/>
      </c>
      <c r="D39" s="14">
        <f>IF((A39&lt;=COB_CA!$B$58),ROUND(C39*COB_CA!$B$45,2),0)</f>
        <v/>
      </c>
      <c r="E39" s="14">
        <f>IF((A39&lt;=COB_CA!$B$58),IF(AND((A39&lt;=COB_CA!$B$58),ROUND(C39-ROUND(COB_CA!$B$59-D39,2),2)&lt;=0),C39,ROUND(COB_CA!$B$59-D39,2)),0)</f>
        <v/>
      </c>
      <c r="F39" s="14">
        <f>IF((A39&lt;=COB_CA!$B$58),IF(AND((A39&lt;=COB_CA!$B$58),ROUND(C39-ROUND(COB_CA!$B$59-D39,2),2)&lt;=0),ROUND(D39+E39,2),COB_CA!$B$59),0)</f>
        <v/>
      </c>
      <c r="G39" s="14">
        <f>IF((A39&lt;=COB_CA!$B$58),IF(AND((A39&lt;=COB_CA!$B$58),ROUND(C39-ROUND(COB_CA!$B$59-D39,2),2)&lt;=0),0,ROUND(C39-E39,2)),C39)</f>
        <v/>
      </c>
      <c r="H39" s="6">
        <f>AND(H38,C38&gt;0,(A39&lt;=COB_CA!$B$58))</f>
        <v/>
      </c>
    </row>
    <row r="40">
      <c r="A40" s="6" t="n">
        <v>36</v>
      </c>
      <c r="B40" s="17">
        <f>IF(COB_CA!$B$44=12,DATE(YEAR(COB_CA!$B$22)+INT((MONTH(COB_CA!$B$22)-1+35)/12),MOD(MONTH(COB_CA!$B$22)-1+35,12)+1,1)+(DAY(COB_CA!$B$22)-1),IF(COB_CA!$B$44=24,COB_CA!$B$22+ROUND((35*365.25)/24,0),IF(COB_CA!$B$44=26,COB_CA!$B$22+490,COB_CA!$B$22+245)))</f>
        <v/>
      </c>
      <c r="C40" s="14">
        <f>G39</f>
        <v/>
      </c>
      <c r="D40" s="14">
        <f>IF((A40&lt;=COB_CA!$B$58),ROUND(C40*COB_CA!$B$45,2),0)</f>
        <v/>
      </c>
      <c r="E40" s="14">
        <f>IF((A40&lt;=COB_CA!$B$58),IF(AND((A40&lt;=COB_CA!$B$58),ROUND(C40-ROUND(COB_CA!$B$59-D40,2),2)&lt;=0),C40,ROUND(COB_CA!$B$59-D40,2)),0)</f>
        <v/>
      </c>
      <c r="F40" s="14">
        <f>IF((A40&lt;=COB_CA!$B$58),IF(AND((A40&lt;=COB_CA!$B$58),ROUND(C40-ROUND(COB_CA!$B$59-D40,2),2)&lt;=0),ROUND(D40+E40,2),COB_CA!$B$59),0)</f>
        <v/>
      </c>
      <c r="G40" s="14">
        <f>IF((A40&lt;=COB_CA!$B$58),IF(AND((A40&lt;=COB_CA!$B$58),ROUND(C40-ROUND(COB_CA!$B$59-D40,2),2)&lt;=0),0,ROUND(C40-E40,2)),C40)</f>
        <v/>
      </c>
      <c r="H40" s="6">
        <f>AND(H39,C39&gt;0,(A40&lt;=COB_CA!$B$58))</f>
        <v/>
      </c>
    </row>
    <row r="41">
      <c r="A41" s="6" t="n">
        <v>37</v>
      </c>
      <c r="B41" s="17">
        <f>IF(COB_CA!$B$44=12,DATE(YEAR(COB_CA!$B$22)+INT((MONTH(COB_CA!$B$22)-1+36)/12),MOD(MONTH(COB_CA!$B$22)-1+36,12)+1,1)+(DAY(COB_CA!$B$22)-1),IF(COB_CA!$B$44=24,COB_CA!$B$22+ROUND((36*365.25)/24,0),IF(COB_CA!$B$44=26,COB_CA!$B$22+504,COB_CA!$B$22+252)))</f>
        <v/>
      </c>
      <c r="C41" s="14">
        <f>G40</f>
        <v/>
      </c>
      <c r="D41" s="14">
        <f>IF((A41&lt;=COB_CA!$B$58),ROUND(C41*COB_CA!$B$45,2),0)</f>
        <v/>
      </c>
      <c r="E41" s="14">
        <f>IF((A41&lt;=COB_CA!$B$58),IF(AND((A41&lt;=COB_CA!$B$58),ROUND(C41-ROUND(COB_CA!$B$59-D41,2),2)&lt;=0),C41,ROUND(COB_CA!$B$59-D41,2)),0)</f>
        <v/>
      </c>
      <c r="F41" s="14">
        <f>IF((A41&lt;=COB_CA!$B$58),IF(AND((A41&lt;=COB_CA!$B$58),ROUND(C41-ROUND(COB_CA!$B$59-D41,2),2)&lt;=0),ROUND(D41+E41,2),COB_CA!$B$59),0)</f>
        <v/>
      </c>
      <c r="G41" s="14">
        <f>IF((A41&lt;=COB_CA!$B$58),IF(AND((A41&lt;=COB_CA!$B$58),ROUND(C41-ROUND(COB_CA!$B$59-D41,2),2)&lt;=0),0,ROUND(C41-E41,2)),C41)</f>
        <v/>
      </c>
      <c r="H41" s="6">
        <f>AND(H40,C40&gt;0,(A41&lt;=COB_CA!$B$58))</f>
        <v/>
      </c>
    </row>
    <row r="42">
      <c r="A42" s="6" t="n">
        <v>38</v>
      </c>
      <c r="B42" s="17">
        <f>IF(COB_CA!$B$44=12,DATE(YEAR(COB_CA!$B$22)+INT((MONTH(COB_CA!$B$22)-1+37)/12),MOD(MONTH(COB_CA!$B$22)-1+37,12)+1,1)+(DAY(COB_CA!$B$22)-1),IF(COB_CA!$B$44=24,COB_CA!$B$22+ROUND((37*365.25)/24,0),IF(COB_CA!$B$44=26,COB_CA!$B$22+518,COB_CA!$B$22+259)))</f>
        <v/>
      </c>
      <c r="C42" s="14">
        <f>G41</f>
        <v/>
      </c>
      <c r="D42" s="14">
        <f>IF((A42&lt;=COB_CA!$B$58),ROUND(C42*COB_CA!$B$45,2),0)</f>
        <v/>
      </c>
      <c r="E42" s="14">
        <f>IF((A42&lt;=COB_CA!$B$58),IF(AND((A42&lt;=COB_CA!$B$58),ROUND(C42-ROUND(COB_CA!$B$59-D42,2),2)&lt;=0),C42,ROUND(COB_CA!$B$59-D42,2)),0)</f>
        <v/>
      </c>
      <c r="F42" s="14">
        <f>IF((A42&lt;=COB_CA!$B$58),IF(AND((A42&lt;=COB_CA!$B$58),ROUND(C42-ROUND(COB_CA!$B$59-D42,2),2)&lt;=0),ROUND(D42+E42,2),COB_CA!$B$59),0)</f>
        <v/>
      </c>
      <c r="G42" s="14">
        <f>IF((A42&lt;=COB_CA!$B$58),IF(AND((A42&lt;=COB_CA!$B$58),ROUND(C42-ROUND(COB_CA!$B$59-D42,2),2)&lt;=0),0,ROUND(C42-E42,2)),C42)</f>
        <v/>
      </c>
      <c r="H42" s="6">
        <f>AND(H41,C41&gt;0,(A42&lt;=COB_CA!$B$58))</f>
        <v/>
      </c>
    </row>
    <row r="43">
      <c r="A43" s="6" t="n">
        <v>39</v>
      </c>
      <c r="B43" s="17">
        <f>IF(COB_CA!$B$44=12,DATE(YEAR(COB_CA!$B$22)+INT((MONTH(COB_CA!$B$22)-1+38)/12),MOD(MONTH(COB_CA!$B$22)-1+38,12)+1,1)+(DAY(COB_CA!$B$22)-1),IF(COB_CA!$B$44=24,COB_CA!$B$22+ROUND((38*365.25)/24,0),IF(COB_CA!$B$44=26,COB_CA!$B$22+532,COB_CA!$B$22+266)))</f>
        <v/>
      </c>
      <c r="C43" s="14">
        <f>G42</f>
        <v/>
      </c>
      <c r="D43" s="14">
        <f>IF((A43&lt;=COB_CA!$B$58),ROUND(C43*COB_CA!$B$45,2),0)</f>
        <v/>
      </c>
      <c r="E43" s="14">
        <f>IF((A43&lt;=COB_CA!$B$58),IF(AND((A43&lt;=COB_CA!$B$58),ROUND(C43-ROUND(COB_CA!$B$59-D43,2),2)&lt;=0),C43,ROUND(COB_CA!$B$59-D43,2)),0)</f>
        <v/>
      </c>
      <c r="F43" s="14">
        <f>IF((A43&lt;=COB_CA!$B$58),IF(AND((A43&lt;=COB_CA!$B$58),ROUND(C43-ROUND(COB_CA!$B$59-D43,2),2)&lt;=0),ROUND(D43+E43,2),COB_CA!$B$59),0)</f>
        <v/>
      </c>
      <c r="G43" s="14">
        <f>IF((A43&lt;=COB_CA!$B$58),IF(AND((A43&lt;=COB_CA!$B$58),ROUND(C43-ROUND(COB_CA!$B$59-D43,2),2)&lt;=0),0,ROUND(C43-E43,2)),C43)</f>
        <v/>
      </c>
      <c r="H43" s="6">
        <f>AND(H42,C42&gt;0,(A43&lt;=COB_CA!$B$58))</f>
        <v/>
      </c>
    </row>
    <row r="44">
      <c r="A44" s="6" t="n">
        <v>40</v>
      </c>
      <c r="B44" s="17">
        <f>IF(COB_CA!$B$44=12,DATE(YEAR(COB_CA!$B$22)+INT((MONTH(COB_CA!$B$22)-1+39)/12),MOD(MONTH(COB_CA!$B$22)-1+39,12)+1,1)+(DAY(COB_CA!$B$22)-1),IF(COB_CA!$B$44=24,COB_CA!$B$22+ROUND((39*365.25)/24,0),IF(COB_CA!$B$44=26,COB_CA!$B$22+546,COB_CA!$B$22+273)))</f>
        <v/>
      </c>
      <c r="C44" s="14">
        <f>G43</f>
        <v/>
      </c>
      <c r="D44" s="14">
        <f>IF((A44&lt;=COB_CA!$B$58),ROUND(C44*COB_CA!$B$45,2),0)</f>
        <v/>
      </c>
      <c r="E44" s="14">
        <f>IF((A44&lt;=COB_CA!$B$58),IF(AND((A44&lt;=COB_CA!$B$58),ROUND(C44-ROUND(COB_CA!$B$59-D44,2),2)&lt;=0),C44,ROUND(COB_CA!$B$59-D44,2)),0)</f>
        <v/>
      </c>
      <c r="F44" s="14">
        <f>IF((A44&lt;=COB_CA!$B$58),IF(AND((A44&lt;=COB_CA!$B$58),ROUND(C44-ROUND(COB_CA!$B$59-D44,2),2)&lt;=0),ROUND(D44+E44,2),COB_CA!$B$59),0)</f>
        <v/>
      </c>
      <c r="G44" s="14">
        <f>IF((A44&lt;=COB_CA!$B$58),IF(AND((A44&lt;=COB_CA!$B$58),ROUND(C44-ROUND(COB_CA!$B$59-D44,2),2)&lt;=0),0,ROUND(C44-E44,2)),C44)</f>
        <v/>
      </c>
      <c r="H44" s="6">
        <f>AND(H43,C43&gt;0,(A44&lt;=COB_CA!$B$58))</f>
        <v/>
      </c>
    </row>
    <row r="45">
      <c r="A45" s="6" t="n">
        <v>41</v>
      </c>
      <c r="B45" s="17">
        <f>IF(COB_CA!$B$44=12,DATE(YEAR(COB_CA!$B$22)+INT((MONTH(COB_CA!$B$22)-1+40)/12),MOD(MONTH(COB_CA!$B$22)-1+40,12)+1,1)+(DAY(COB_CA!$B$22)-1),IF(COB_CA!$B$44=24,COB_CA!$B$22+ROUND((40*365.25)/24,0),IF(COB_CA!$B$44=26,COB_CA!$B$22+560,COB_CA!$B$22+280)))</f>
        <v/>
      </c>
      <c r="C45" s="14">
        <f>G44</f>
        <v/>
      </c>
      <c r="D45" s="14">
        <f>IF((A45&lt;=COB_CA!$B$58),ROUND(C45*COB_CA!$B$45,2),0)</f>
        <v/>
      </c>
      <c r="E45" s="14">
        <f>IF((A45&lt;=COB_CA!$B$58),IF(AND((A45&lt;=COB_CA!$B$58),ROUND(C45-ROUND(COB_CA!$B$59-D45,2),2)&lt;=0),C45,ROUND(COB_CA!$B$59-D45,2)),0)</f>
        <v/>
      </c>
      <c r="F45" s="14">
        <f>IF((A45&lt;=COB_CA!$B$58),IF(AND((A45&lt;=COB_CA!$B$58),ROUND(C45-ROUND(COB_CA!$B$59-D45,2),2)&lt;=0),ROUND(D45+E45,2),COB_CA!$B$59),0)</f>
        <v/>
      </c>
      <c r="G45" s="14">
        <f>IF((A45&lt;=COB_CA!$B$58),IF(AND((A45&lt;=COB_CA!$B$58),ROUND(C45-ROUND(COB_CA!$B$59-D45,2),2)&lt;=0),0,ROUND(C45-E45,2)),C45)</f>
        <v/>
      </c>
      <c r="H45" s="6">
        <f>AND(H44,C44&gt;0,(A45&lt;=COB_CA!$B$58))</f>
        <v/>
      </c>
    </row>
    <row r="46">
      <c r="A46" s="6" t="n">
        <v>42</v>
      </c>
      <c r="B46" s="17">
        <f>IF(COB_CA!$B$44=12,DATE(YEAR(COB_CA!$B$22)+INT((MONTH(COB_CA!$B$22)-1+41)/12),MOD(MONTH(COB_CA!$B$22)-1+41,12)+1,1)+(DAY(COB_CA!$B$22)-1),IF(COB_CA!$B$44=24,COB_CA!$B$22+ROUND((41*365.25)/24,0),IF(COB_CA!$B$44=26,COB_CA!$B$22+574,COB_CA!$B$22+287)))</f>
        <v/>
      </c>
      <c r="C46" s="14">
        <f>G45</f>
        <v/>
      </c>
      <c r="D46" s="14">
        <f>IF((A46&lt;=COB_CA!$B$58),ROUND(C46*COB_CA!$B$45,2),0)</f>
        <v/>
      </c>
      <c r="E46" s="14">
        <f>IF((A46&lt;=COB_CA!$B$58),IF(AND((A46&lt;=COB_CA!$B$58),ROUND(C46-ROUND(COB_CA!$B$59-D46,2),2)&lt;=0),C46,ROUND(COB_CA!$B$59-D46,2)),0)</f>
        <v/>
      </c>
      <c r="F46" s="14">
        <f>IF((A46&lt;=COB_CA!$B$58),IF(AND((A46&lt;=COB_CA!$B$58),ROUND(C46-ROUND(COB_CA!$B$59-D46,2),2)&lt;=0),ROUND(D46+E46,2),COB_CA!$B$59),0)</f>
        <v/>
      </c>
      <c r="G46" s="14">
        <f>IF((A46&lt;=COB_CA!$B$58),IF(AND((A46&lt;=COB_CA!$B$58),ROUND(C46-ROUND(COB_CA!$B$59-D46,2),2)&lt;=0),0,ROUND(C46-E46,2)),C46)</f>
        <v/>
      </c>
      <c r="H46" s="6">
        <f>AND(H45,C45&gt;0,(A46&lt;=COB_CA!$B$58))</f>
        <v/>
      </c>
    </row>
    <row r="47">
      <c r="A47" s="6" t="n">
        <v>43</v>
      </c>
      <c r="B47" s="17">
        <f>IF(COB_CA!$B$44=12,DATE(YEAR(COB_CA!$B$22)+INT((MONTH(COB_CA!$B$22)-1+42)/12),MOD(MONTH(COB_CA!$B$22)-1+42,12)+1,1)+(DAY(COB_CA!$B$22)-1),IF(COB_CA!$B$44=24,COB_CA!$B$22+ROUND((42*365.25)/24,0),IF(COB_CA!$B$44=26,COB_CA!$B$22+588,COB_CA!$B$22+294)))</f>
        <v/>
      </c>
      <c r="C47" s="14">
        <f>G46</f>
        <v/>
      </c>
      <c r="D47" s="14">
        <f>IF((A47&lt;=COB_CA!$B$58),ROUND(C47*COB_CA!$B$45,2),0)</f>
        <v/>
      </c>
      <c r="E47" s="14">
        <f>IF((A47&lt;=COB_CA!$B$58),IF(AND((A47&lt;=COB_CA!$B$58),ROUND(C47-ROUND(COB_CA!$B$59-D47,2),2)&lt;=0),C47,ROUND(COB_CA!$B$59-D47,2)),0)</f>
        <v/>
      </c>
      <c r="F47" s="14">
        <f>IF((A47&lt;=COB_CA!$B$58),IF(AND((A47&lt;=COB_CA!$B$58),ROUND(C47-ROUND(COB_CA!$B$59-D47,2),2)&lt;=0),ROUND(D47+E47,2),COB_CA!$B$59),0)</f>
        <v/>
      </c>
      <c r="G47" s="14">
        <f>IF((A47&lt;=COB_CA!$B$58),IF(AND((A47&lt;=COB_CA!$B$58),ROUND(C47-ROUND(COB_CA!$B$59-D47,2),2)&lt;=0),0,ROUND(C47-E47,2)),C47)</f>
        <v/>
      </c>
      <c r="H47" s="6">
        <f>AND(H46,C46&gt;0,(A47&lt;=COB_CA!$B$58))</f>
        <v/>
      </c>
    </row>
    <row r="48">
      <c r="A48" s="6" t="n">
        <v>44</v>
      </c>
      <c r="B48" s="17">
        <f>IF(COB_CA!$B$44=12,DATE(YEAR(COB_CA!$B$22)+INT((MONTH(COB_CA!$B$22)-1+43)/12),MOD(MONTH(COB_CA!$B$22)-1+43,12)+1,1)+(DAY(COB_CA!$B$22)-1),IF(COB_CA!$B$44=24,COB_CA!$B$22+ROUND((43*365.25)/24,0),IF(COB_CA!$B$44=26,COB_CA!$B$22+602,COB_CA!$B$22+301)))</f>
        <v/>
      </c>
      <c r="C48" s="14">
        <f>G47</f>
        <v/>
      </c>
      <c r="D48" s="14">
        <f>IF((A48&lt;=COB_CA!$B$58),ROUND(C48*COB_CA!$B$45,2),0)</f>
        <v/>
      </c>
      <c r="E48" s="14">
        <f>IF((A48&lt;=COB_CA!$B$58),IF(AND((A48&lt;=COB_CA!$B$58),ROUND(C48-ROUND(COB_CA!$B$59-D48,2),2)&lt;=0),C48,ROUND(COB_CA!$B$59-D48,2)),0)</f>
        <v/>
      </c>
      <c r="F48" s="14">
        <f>IF((A48&lt;=COB_CA!$B$58),IF(AND((A48&lt;=COB_CA!$B$58),ROUND(C48-ROUND(COB_CA!$B$59-D48,2),2)&lt;=0),ROUND(D48+E48,2),COB_CA!$B$59),0)</f>
        <v/>
      </c>
      <c r="G48" s="14">
        <f>IF((A48&lt;=COB_CA!$B$58),IF(AND((A48&lt;=COB_CA!$B$58),ROUND(C48-ROUND(COB_CA!$B$59-D48,2),2)&lt;=0),0,ROUND(C48-E48,2)),C48)</f>
        <v/>
      </c>
      <c r="H48" s="6">
        <f>AND(H47,C47&gt;0,(A48&lt;=COB_CA!$B$58))</f>
        <v/>
      </c>
    </row>
    <row r="49">
      <c r="A49" s="6" t="n">
        <v>45</v>
      </c>
      <c r="B49" s="17">
        <f>IF(COB_CA!$B$44=12,DATE(YEAR(COB_CA!$B$22)+INT((MONTH(COB_CA!$B$22)-1+44)/12),MOD(MONTH(COB_CA!$B$22)-1+44,12)+1,1)+(DAY(COB_CA!$B$22)-1),IF(COB_CA!$B$44=24,COB_CA!$B$22+ROUND((44*365.25)/24,0),IF(COB_CA!$B$44=26,COB_CA!$B$22+616,COB_CA!$B$22+308)))</f>
        <v/>
      </c>
      <c r="C49" s="14">
        <f>G48</f>
        <v/>
      </c>
      <c r="D49" s="14">
        <f>IF((A49&lt;=COB_CA!$B$58),ROUND(C49*COB_CA!$B$45,2),0)</f>
        <v/>
      </c>
      <c r="E49" s="14">
        <f>IF((A49&lt;=COB_CA!$B$58),IF(AND((A49&lt;=COB_CA!$B$58),ROUND(C49-ROUND(COB_CA!$B$59-D49,2),2)&lt;=0),C49,ROUND(COB_CA!$B$59-D49,2)),0)</f>
        <v/>
      </c>
      <c r="F49" s="14">
        <f>IF((A49&lt;=COB_CA!$B$58),IF(AND((A49&lt;=COB_CA!$B$58),ROUND(C49-ROUND(COB_CA!$B$59-D49,2),2)&lt;=0),ROUND(D49+E49,2),COB_CA!$B$59),0)</f>
        <v/>
      </c>
      <c r="G49" s="14">
        <f>IF((A49&lt;=COB_CA!$B$58),IF(AND((A49&lt;=COB_CA!$B$58),ROUND(C49-ROUND(COB_CA!$B$59-D49,2),2)&lt;=0),0,ROUND(C49-E49,2)),C49)</f>
        <v/>
      </c>
      <c r="H49" s="6">
        <f>AND(H48,C48&gt;0,(A49&lt;=COB_CA!$B$58))</f>
        <v/>
      </c>
    </row>
    <row r="50">
      <c r="A50" s="6" t="n">
        <v>46</v>
      </c>
      <c r="B50" s="17">
        <f>IF(COB_CA!$B$44=12,DATE(YEAR(COB_CA!$B$22)+INT((MONTH(COB_CA!$B$22)-1+45)/12),MOD(MONTH(COB_CA!$B$22)-1+45,12)+1,1)+(DAY(COB_CA!$B$22)-1),IF(COB_CA!$B$44=24,COB_CA!$B$22+ROUND((45*365.25)/24,0),IF(COB_CA!$B$44=26,COB_CA!$B$22+630,COB_CA!$B$22+315)))</f>
        <v/>
      </c>
      <c r="C50" s="14">
        <f>G49</f>
        <v/>
      </c>
      <c r="D50" s="14">
        <f>IF((A50&lt;=COB_CA!$B$58),ROUND(C50*COB_CA!$B$45,2),0)</f>
        <v/>
      </c>
      <c r="E50" s="14">
        <f>IF((A50&lt;=COB_CA!$B$58),IF(AND((A50&lt;=COB_CA!$B$58),ROUND(C50-ROUND(COB_CA!$B$59-D50,2),2)&lt;=0),C50,ROUND(COB_CA!$B$59-D50,2)),0)</f>
        <v/>
      </c>
      <c r="F50" s="14">
        <f>IF((A50&lt;=COB_CA!$B$58),IF(AND((A50&lt;=COB_CA!$B$58),ROUND(C50-ROUND(COB_CA!$B$59-D50,2),2)&lt;=0),ROUND(D50+E50,2),COB_CA!$B$59),0)</f>
        <v/>
      </c>
      <c r="G50" s="14">
        <f>IF((A50&lt;=COB_CA!$B$58),IF(AND((A50&lt;=COB_CA!$B$58),ROUND(C50-ROUND(COB_CA!$B$59-D50,2),2)&lt;=0),0,ROUND(C50-E50,2)),C50)</f>
        <v/>
      </c>
      <c r="H50" s="6">
        <f>AND(H49,C49&gt;0,(A50&lt;=COB_CA!$B$58))</f>
        <v/>
      </c>
    </row>
    <row r="51">
      <c r="A51" s="6" t="n">
        <v>47</v>
      </c>
      <c r="B51" s="17">
        <f>IF(COB_CA!$B$44=12,DATE(YEAR(COB_CA!$B$22)+INT((MONTH(COB_CA!$B$22)-1+46)/12),MOD(MONTH(COB_CA!$B$22)-1+46,12)+1,1)+(DAY(COB_CA!$B$22)-1),IF(COB_CA!$B$44=24,COB_CA!$B$22+ROUND((46*365.25)/24,0),IF(COB_CA!$B$44=26,COB_CA!$B$22+644,COB_CA!$B$22+322)))</f>
        <v/>
      </c>
      <c r="C51" s="14">
        <f>G50</f>
        <v/>
      </c>
      <c r="D51" s="14">
        <f>IF((A51&lt;=COB_CA!$B$58),ROUND(C51*COB_CA!$B$45,2),0)</f>
        <v/>
      </c>
      <c r="E51" s="14">
        <f>IF((A51&lt;=COB_CA!$B$58),IF(AND((A51&lt;=COB_CA!$B$58),ROUND(C51-ROUND(COB_CA!$B$59-D51,2),2)&lt;=0),C51,ROUND(COB_CA!$B$59-D51,2)),0)</f>
        <v/>
      </c>
      <c r="F51" s="14">
        <f>IF((A51&lt;=COB_CA!$B$58),IF(AND((A51&lt;=COB_CA!$B$58),ROUND(C51-ROUND(COB_CA!$B$59-D51,2),2)&lt;=0),ROUND(D51+E51,2),COB_CA!$B$59),0)</f>
        <v/>
      </c>
      <c r="G51" s="14">
        <f>IF((A51&lt;=COB_CA!$B$58),IF(AND((A51&lt;=COB_CA!$B$58),ROUND(C51-ROUND(COB_CA!$B$59-D51,2),2)&lt;=0),0,ROUND(C51-E51,2)),C51)</f>
        <v/>
      </c>
      <c r="H51" s="6">
        <f>AND(H50,C50&gt;0,(A51&lt;=COB_CA!$B$58))</f>
        <v/>
      </c>
    </row>
    <row r="52">
      <c r="A52" s="6" t="n">
        <v>48</v>
      </c>
      <c r="B52" s="17">
        <f>IF(COB_CA!$B$44=12,DATE(YEAR(COB_CA!$B$22)+INT((MONTH(COB_CA!$B$22)-1+47)/12),MOD(MONTH(COB_CA!$B$22)-1+47,12)+1,1)+(DAY(COB_CA!$B$22)-1),IF(COB_CA!$B$44=24,COB_CA!$B$22+ROUND((47*365.25)/24,0),IF(COB_CA!$B$44=26,COB_CA!$B$22+658,COB_CA!$B$22+329)))</f>
        <v/>
      </c>
      <c r="C52" s="14">
        <f>G51</f>
        <v/>
      </c>
      <c r="D52" s="14">
        <f>IF((A52&lt;=COB_CA!$B$58),ROUND(C52*COB_CA!$B$45,2),0)</f>
        <v/>
      </c>
      <c r="E52" s="14">
        <f>IF((A52&lt;=COB_CA!$B$58),IF(AND((A52&lt;=COB_CA!$B$58),ROUND(C52-ROUND(COB_CA!$B$59-D52,2),2)&lt;=0),C52,ROUND(COB_CA!$B$59-D52,2)),0)</f>
        <v/>
      </c>
      <c r="F52" s="14">
        <f>IF((A52&lt;=COB_CA!$B$58),IF(AND((A52&lt;=COB_CA!$B$58),ROUND(C52-ROUND(COB_CA!$B$59-D52,2),2)&lt;=0),ROUND(D52+E52,2),COB_CA!$B$59),0)</f>
        <v/>
      </c>
      <c r="G52" s="14">
        <f>IF((A52&lt;=COB_CA!$B$58),IF(AND((A52&lt;=COB_CA!$B$58),ROUND(C52-ROUND(COB_CA!$B$59-D52,2),2)&lt;=0),0,ROUND(C52-E52,2)),C52)</f>
        <v/>
      </c>
      <c r="H52" s="6">
        <f>AND(H51,C51&gt;0,(A52&lt;=COB_CA!$B$58))</f>
        <v/>
      </c>
    </row>
    <row r="53">
      <c r="A53" s="6" t="n">
        <v>49</v>
      </c>
      <c r="B53" s="17">
        <f>IF(COB_CA!$B$44=12,DATE(YEAR(COB_CA!$B$22)+INT((MONTH(COB_CA!$B$22)-1+48)/12),MOD(MONTH(COB_CA!$B$22)-1+48,12)+1,1)+(DAY(COB_CA!$B$22)-1),IF(COB_CA!$B$44=24,COB_CA!$B$22+ROUND((48*365.25)/24,0),IF(COB_CA!$B$44=26,COB_CA!$B$22+672,COB_CA!$B$22+336)))</f>
        <v/>
      </c>
      <c r="C53" s="14">
        <f>G52</f>
        <v/>
      </c>
      <c r="D53" s="14">
        <f>IF((A53&lt;=COB_CA!$B$58),ROUND(C53*COB_CA!$B$45,2),0)</f>
        <v/>
      </c>
      <c r="E53" s="14">
        <f>IF((A53&lt;=COB_CA!$B$58),IF(AND((A53&lt;=COB_CA!$B$58),ROUND(C53-ROUND(COB_CA!$B$59-D53,2),2)&lt;=0),C53,ROUND(COB_CA!$B$59-D53,2)),0)</f>
        <v/>
      </c>
      <c r="F53" s="14">
        <f>IF((A53&lt;=COB_CA!$B$58),IF(AND((A53&lt;=COB_CA!$B$58),ROUND(C53-ROUND(COB_CA!$B$59-D53,2),2)&lt;=0),ROUND(D53+E53,2),COB_CA!$B$59),0)</f>
        <v/>
      </c>
      <c r="G53" s="14">
        <f>IF((A53&lt;=COB_CA!$B$58),IF(AND((A53&lt;=COB_CA!$B$58),ROUND(C53-ROUND(COB_CA!$B$59-D53,2),2)&lt;=0),0,ROUND(C53-E53,2)),C53)</f>
        <v/>
      </c>
      <c r="H53" s="6">
        <f>AND(H52,C52&gt;0,(A53&lt;=COB_CA!$B$58))</f>
        <v/>
      </c>
    </row>
    <row r="54">
      <c r="A54" s="6" t="n">
        <v>50</v>
      </c>
      <c r="B54" s="17">
        <f>IF(COB_CA!$B$44=12,DATE(YEAR(COB_CA!$B$22)+INT((MONTH(COB_CA!$B$22)-1+49)/12),MOD(MONTH(COB_CA!$B$22)-1+49,12)+1,1)+(DAY(COB_CA!$B$22)-1),IF(COB_CA!$B$44=24,COB_CA!$B$22+ROUND((49*365.25)/24,0),IF(COB_CA!$B$44=26,COB_CA!$B$22+686,COB_CA!$B$22+343)))</f>
        <v/>
      </c>
      <c r="C54" s="14">
        <f>G53</f>
        <v/>
      </c>
      <c r="D54" s="14">
        <f>IF((A54&lt;=COB_CA!$B$58),ROUND(C54*COB_CA!$B$45,2),0)</f>
        <v/>
      </c>
      <c r="E54" s="14">
        <f>IF((A54&lt;=COB_CA!$B$58),IF(AND((A54&lt;=COB_CA!$B$58),ROUND(C54-ROUND(COB_CA!$B$59-D54,2),2)&lt;=0),C54,ROUND(COB_CA!$B$59-D54,2)),0)</f>
        <v/>
      </c>
      <c r="F54" s="14">
        <f>IF((A54&lt;=COB_CA!$B$58),IF(AND((A54&lt;=COB_CA!$B$58),ROUND(C54-ROUND(COB_CA!$B$59-D54,2),2)&lt;=0),ROUND(D54+E54,2),COB_CA!$B$59),0)</f>
        <v/>
      </c>
      <c r="G54" s="14">
        <f>IF((A54&lt;=COB_CA!$B$58),IF(AND((A54&lt;=COB_CA!$B$58),ROUND(C54-ROUND(COB_CA!$B$59-D54,2),2)&lt;=0),0,ROUND(C54-E54,2)),C54)</f>
        <v/>
      </c>
      <c r="H54" s="6">
        <f>AND(H53,C53&gt;0,(A54&lt;=COB_CA!$B$58))</f>
        <v/>
      </c>
    </row>
    <row r="55">
      <c r="A55" s="6" t="n">
        <v>51</v>
      </c>
      <c r="B55" s="17">
        <f>IF(COB_CA!$B$44=12,DATE(YEAR(COB_CA!$B$22)+INT((MONTH(COB_CA!$B$22)-1+50)/12),MOD(MONTH(COB_CA!$B$22)-1+50,12)+1,1)+(DAY(COB_CA!$B$22)-1),IF(COB_CA!$B$44=24,COB_CA!$B$22+ROUND((50*365.25)/24,0),IF(COB_CA!$B$44=26,COB_CA!$B$22+700,COB_CA!$B$22+350)))</f>
        <v/>
      </c>
      <c r="C55" s="14">
        <f>G54</f>
        <v/>
      </c>
      <c r="D55" s="14">
        <f>IF((A55&lt;=COB_CA!$B$58),ROUND(C55*COB_CA!$B$45,2),0)</f>
        <v/>
      </c>
      <c r="E55" s="14">
        <f>IF((A55&lt;=COB_CA!$B$58),IF(AND((A55&lt;=COB_CA!$B$58),ROUND(C55-ROUND(COB_CA!$B$59-D55,2),2)&lt;=0),C55,ROUND(COB_CA!$B$59-D55,2)),0)</f>
        <v/>
      </c>
      <c r="F55" s="14">
        <f>IF((A55&lt;=COB_CA!$B$58),IF(AND((A55&lt;=COB_CA!$B$58),ROUND(C55-ROUND(COB_CA!$B$59-D55,2),2)&lt;=0),ROUND(D55+E55,2),COB_CA!$B$59),0)</f>
        <v/>
      </c>
      <c r="G55" s="14">
        <f>IF((A55&lt;=COB_CA!$B$58),IF(AND((A55&lt;=COB_CA!$B$58),ROUND(C55-ROUND(COB_CA!$B$59-D55,2),2)&lt;=0),0,ROUND(C55-E55,2)),C55)</f>
        <v/>
      </c>
      <c r="H55" s="6">
        <f>AND(H54,C54&gt;0,(A55&lt;=COB_CA!$B$58))</f>
        <v/>
      </c>
    </row>
    <row r="56">
      <c r="A56" s="6" t="n">
        <v>52</v>
      </c>
      <c r="B56" s="17">
        <f>IF(COB_CA!$B$44=12,DATE(YEAR(COB_CA!$B$22)+INT((MONTH(COB_CA!$B$22)-1+51)/12),MOD(MONTH(COB_CA!$B$22)-1+51,12)+1,1)+(DAY(COB_CA!$B$22)-1),IF(COB_CA!$B$44=24,COB_CA!$B$22+ROUND((51*365.25)/24,0),IF(COB_CA!$B$44=26,COB_CA!$B$22+714,COB_CA!$B$22+357)))</f>
        <v/>
      </c>
      <c r="C56" s="14">
        <f>G55</f>
        <v/>
      </c>
      <c r="D56" s="14">
        <f>IF((A56&lt;=COB_CA!$B$58),ROUND(C56*COB_CA!$B$45,2),0)</f>
        <v/>
      </c>
      <c r="E56" s="14">
        <f>IF((A56&lt;=COB_CA!$B$58),IF(AND((A56&lt;=COB_CA!$B$58),ROUND(C56-ROUND(COB_CA!$B$59-D56,2),2)&lt;=0),C56,ROUND(COB_CA!$B$59-D56,2)),0)</f>
        <v/>
      </c>
      <c r="F56" s="14">
        <f>IF((A56&lt;=COB_CA!$B$58),IF(AND((A56&lt;=COB_CA!$B$58),ROUND(C56-ROUND(COB_CA!$B$59-D56,2),2)&lt;=0),ROUND(D56+E56,2),COB_CA!$B$59),0)</f>
        <v/>
      </c>
      <c r="G56" s="14">
        <f>IF((A56&lt;=COB_CA!$B$58),IF(AND((A56&lt;=COB_CA!$B$58),ROUND(C56-ROUND(COB_CA!$B$59-D56,2),2)&lt;=0),0,ROUND(C56-E56,2)),C56)</f>
        <v/>
      </c>
      <c r="H56" s="6">
        <f>AND(H55,C55&gt;0,(A56&lt;=COB_CA!$B$58))</f>
        <v/>
      </c>
    </row>
    <row r="57">
      <c r="A57" s="6" t="n">
        <v>53</v>
      </c>
      <c r="B57" s="17">
        <f>IF(COB_CA!$B$44=12,DATE(YEAR(COB_CA!$B$22)+INT((MONTH(COB_CA!$B$22)-1+52)/12),MOD(MONTH(COB_CA!$B$22)-1+52,12)+1,1)+(DAY(COB_CA!$B$22)-1),IF(COB_CA!$B$44=24,COB_CA!$B$22+ROUND((52*365.25)/24,0),IF(COB_CA!$B$44=26,COB_CA!$B$22+728,COB_CA!$B$22+364)))</f>
        <v/>
      </c>
      <c r="C57" s="14">
        <f>G56</f>
        <v/>
      </c>
      <c r="D57" s="14">
        <f>IF((A57&lt;=COB_CA!$B$58),ROUND(C57*COB_CA!$B$45,2),0)</f>
        <v/>
      </c>
      <c r="E57" s="14">
        <f>IF((A57&lt;=COB_CA!$B$58),IF(AND((A57&lt;=COB_CA!$B$58),ROUND(C57-ROUND(COB_CA!$B$59-D57,2),2)&lt;=0),C57,ROUND(COB_CA!$B$59-D57,2)),0)</f>
        <v/>
      </c>
      <c r="F57" s="14">
        <f>IF((A57&lt;=COB_CA!$B$58),IF(AND((A57&lt;=COB_CA!$B$58),ROUND(C57-ROUND(COB_CA!$B$59-D57,2),2)&lt;=0),ROUND(D57+E57,2),COB_CA!$B$59),0)</f>
        <v/>
      </c>
      <c r="G57" s="14">
        <f>IF((A57&lt;=COB_CA!$B$58),IF(AND((A57&lt;=COB_CA!$B$58),ROUND(C57-ROUND(COB_CA!$B$59-D57,2),2)&lt;=0),0,ROUND(C57-E57,2)),C57)</f>
        <v/>
      </c>
      <c r="H57" s="6">
        <f>AND(H56,C56&gt;0,(A57&lt;=COB_CA!$B$58))</f>
        <v/>
      </c>
    </row>
    <row r="58">
      <c r="A58" s="6" t="n">
        <v>54</v>
      </c>
      <c r="B58" s="17">
        <f>IF(COB_CA!$B$44=12,DATE(YEAR(COB_CA!$B$22)+INT((MONTH(COB_CA!$B$22)-1+53)/12),MOD(MONTH(COB_CA!$B$22)-1+53,12)+1,1)+(DAY(COB_CA!$B$22)-1),IF(COB_CA!$B$44=24,COB_CA!$B$22+ROUND((53*365.25)/24,0),IF(COB_CA!$B$44=26,COB_CA!$B$22+742,COB_CA!$B$22+371)))</f>
        <v/>
      </c>
      <c r="C58" s="14">
        <f>G57</f>
        <v/>
      </c>
      <c r="D58" s="14">
        <f>IF((A58&lt;=COB_CA!$B$58),ROUND(C58*COB_CA!$B$45,2),0)</f>
        <v/>
      </c>
      <c r="E58" s="14">
        <f>IF((A58&lt;=COB_CA!$B$58),IF(AND((A58&lt;=COB_CA!$B$58),ROUND(C58-ROUND(COB_CA!$B$59-D58,2),2)&lt;=0),C58,ROUND(COB_CA!$B$59-D58,2)),0)</f>
        <v/>
      </c>
      <c r="F58" s="14">
        <f>IF((A58&lt;=COB_CA!$B$58),IF(AND((A58&lt;=COB_CA!$B$58),ROUND(C58-ROUND(COB_CA!$B$59-D58,2),2)&lt;=0),ROUND(D58+E58,2),COB_CA!$B$59),0)</f>
        <v/>
      </c>
      <c r="G58" s="14">
        <f>IF((A58&lt;=COB_CA!$B$58),IF(AND((A58&lt;=COB_CA!$B$58),ROUND(C58-ROUND(COB_CA!$B$59-D58,2),2)&lt;=0),0,ROUND(C58-E58,2)),C58)</f>
        <v/>
      </c>
      <c r="H58" s="6">
        <f>AND(H57,C57&gt;0,(A58&lt;=COB_CA!$B$58))</f>
        <v/>
      </c>
    </row>
    <row r="59">
      <c r="A59" s="6" t="n">
        <v>55</v>
      </c>
      <c r="B59" s="17">
        <f>IF(COB_CA!$B$44=12,DATE(YEAR(COB_CA!$B$22)+INT((MONTH(COB_CA!$B$22)-1+54)/12),MOD(MONTH(COB_CA!$B$22)-1+54,12)+1,1)+(DAY(COB_CA!$B$22)-1),IF(COB_CA!$B$44=24,COB_CA!$B$22+ROUND((54*365.25)/24,0),IF(COB_CA!$B$44=26,COB_CA!$B$22+756,COB_CA!$B$22+378)))</f>
        <v/>
      </c>
      <c r="C59" s="14">
        <f>G58</f>
        <v/>
      </c>
      <c r="D59" s="14">
        <f>IF((A59&lt;=COB_CA!$B$58),ROUND(C59*COB_CA!$B$45,2),0)</f>
        <v/>
      </c>
      <c r="E59" s="14">
        <f>IF((A59&lt;=COB_CA!$B$58),IF(AND((A59&lt;=COB_CA!$B$58),ROUND(C59-ROUND(COB_CA!$B$59-D59,2),2)&lt;=0),C59,ROUND(COB_CA!$B$59-D59,2)),0)</f>
        <v/>
      </c>
      <c r="F59" s="14">
        <f>IF((A59&lt;=COB_CA!$B$58),IF(AND((A59&lt;=COB_CA!$B$58),ROUND(C59-ROUND(COB_CA!$B$59-D59,2),2)&lt;=0),ROUND(D59+E59,2),COB_CA!$B$59),0)</f>
        <v/>
      </c>
      <c r="G59" s="14">
        <f>IF((A59&lt;=COB_CA!$B$58),IF(AND((A59&lt;=COB_CA!$B$58),ROUND(C59-ROUND(COB_CA!$B$59-D59,2),2)&lt;=0),0,ROUND(C59-E59,2)),C59)</f>
        <v/>
      </c>
      <c r="H59" s="6">
        <f>AND(H58,C58&gt;0,(A59&lt;=COB_CA!$B$58))</f>
        <v/>
      </c>
    </row>
    <row r="60">
      <c r="A60" s="6" t="n">
        <v>56</v>
      </c>
      <c r="B60" s="17">
        <f>IF(COB_CA!$B$44=12,DATE(YEAR(COB_CA!$B$22)+INT((MONTH(COB_CA!$B$22)-1+55)/12),MOD(MONTH(COB_CA!$B$22)-1+55,12)+1,1)+(DAY(COB_CA!$B$22)-1),IF(COB_CA!$B$44=24,COB_CA!$B$22+ROUND((55*365.25)/24,0),IF(COB_CA!$B$44=26,COB_CA!$B$22+770,COB_CA!$B$22+385)))</f>
        <v/>
      </c>
      <c r="C60" s="14">
        <f>G59</f>
        <v/>
      </c>
      <c r="D60" s="14">
        <f>IF((A60&lt;=COB_CA!$B$58),ROUND(C60*COB_CA!$B$45,2),0)</f>
        <v/>
      </c>
      <c r="E60" s="14">
        <f>IF((A60&lt;=COB_CA!$B$58),IF(AND((A60&lt;=COB_CA!$B$58),ROUND(C60-ROUND(COB_CA!$B$59-D60,2),2)&lt;=0),C60,ROUND(COB_CA!$B$59-D60,2)),0)</f>
        <v/>
      </c>
      <c r="F60" s="14">
        <f>IF((A60&lt;=COB_CA!$B$58),IF(AND((A60&lt;=COB_CA!$B$58),ROUND(C60-ROUND(COB_CA!$B$59-D60,2),2)&lt;=0),ROUND(D60+E60,2),COB_CA!$B$59),0)</f>
        <v/>
      </c>
      <c r="G60" s="14">
        <f>IF((A60&lt;=COB_CA!$B$58),IF(AND((A60&lt;=COB_CA!$B$58),ROUND(C60-ROUND(COB_CA!$B$59-D60,2),2)&lt;=0),0,ROUND(C60-E60,2)),C60)</f>
        <v/>
      </c>
      <c r="H60" s="6">
        <f>AND(H59,C59&gt;0,(A60&lt;=COB_CA!$B$58))</f>
        <v/>
      </c>
    </row>
    <row r="61">
      <c r="A61" s="6" t="n">
        <v>57</v>
      </c>
      <c r="B61" s="17">
        <f>IF(COB_CA!$B$44=12,DATE(YEAR(COB_CA!$B$22)+INT((MONTH(COB_CA!$B$22)-1+56)/12),MOD(MONTH(COB_CA!$B$22)-1+56,12)+1,1)+(DAY(COB_CA!$B$22)-1),IF(COB_CA!$B$44=24,COB_CA!$B$22+ROUND((56*365.25)/24,0),IF(COB_CA!$B$44=26,COB_CA!$B$22+784,COB_CA!$B$22+392)))</f>
        <v/>
      </c>
      <c r="C61" s="14">
        <f>G60</f>
        <v/>
      </c>
      <c r="D61" s="14">
        <f>IF((A61&lt;=COB_CA!$B$58),ROUND(C61*COB_CA!$B$45,2),0)</f>
        <v/>
      </c>
      <c r="E61" s="14">
        <f>IF((A61&lt;=COB_CA!$B$58),IF(AND((A61&lt;=COB_CA!$B$58),ROUND(C61-ROUND(COB_CA!$B$59-D61,2),2)&lt;=0),C61,ROUND(COB_CA!$B$59-D61,2)),0)</f>
        <v/>
      </c>
      <c r="F61" s="14">
        <f>IF((A61&lt;=COB_CA!$B$58),IF(AND((A61&lt;=COB_CA!$B$58),ROUND(C61-ROUND(COB_CA!$B$59-D61,2),2)&lt;=0),ROUND(D61+E61,2),COB_CA!$B$59),0)</f>
        <v/>
      </c>
      <c r="G61" s="14">
        <f>IF((A61&lt;=COB_CA!$B$58),IF(AND((A61&lt;=COB_CA!$B$58),ROUND(C61-ROUND(COB_CA!$B$59-D61,2),2)&lt;=0),0,ROUND(C61-E61,2)),C61)</f>
        <v/>
      </c>
      <c r="H61" s="6">
        <f>AND(H60,C60&gt;0,(A61&lt;=COB_CA!$B$58))</f>
        <v/>
      </c>
    </row>
    <row r="62">
      <c r="A62" s="6" t="n">
        <v>58</v>
      </c>
      <c r="B62" s="17">
        <f>IF(COB_CA!$B$44=12,DATE(YEAR(COB_CA!$B$22)+INT((MONTH(COB_CA!$B$22)-1+57)/12),MOD(MONTH(COB_CA!$B$22)-1+57,12)+1,1)+(DAY(COB_CA!$B$22)-1),IF(COB_CA!$B$44=24,COB_CA!$B$22+ROUND((57*365.25)/24,0),IF(COB_CA!$B$44=26,COB_CA!$B$22+798,COB_CA!$B$22+399)))</f>
        <v/>
      </c>
      <c r="C62" s="14">
        <f>G61</f>
        <v/>
      </c>
      <c r="D62" s="14">
        <f>IF((A62&lt;=COB_CA!$B$58),ROUND(C62*COB_CA!$B$45,2),0)</f>
        <v/>
      </c>
      <c r="E62" s="14">
        <f>IF((A62&lt;=COB_CA!$B$58),IF(AND((A62&lt;=COB_CA!$B$58),ROUND(C62-ROUND(COB_CA!$B$59-D62,2),2)&lt;=0),C62,ROUND(COB_CA!$B$59-D62,2)),0)</f>
        <v/>
      </c>
      <c r="F62" s="14">
        <f>IF((A62&lt;=COB_CA!$B$58),IF(AND((A62&lt;=COB_CA!$B$58),ROUND(C62-ROUND(COB_CA!$B$59-D62,2),2)&lt;=0),ROUND(D62+E62,2),COB_CA!$B$59),0)</f>
        <v/>
      </c>
      <c r="G62" s="14">
        <f>IF((A62&lt;=COB_CA!$B$58),IF(AND((A62&lt;=COB_CA!$B$58),ROUND(C62-ROUND(COB_CA!$B$59-D62,2),2)&lt;=0),0,ROUND(C62-E62,2)),C62)</f>
        <v/>
      </c>
      <c r="H62" s="6">
        <f>AND(H61,C61&gt;0,(A62&lt;=COB_CA!$B$58))</f>
        <v/>
      </c>
    </row>
    <row r="63">
      <c r="A63" s="6" t="n">
        <v>59</v>
      </c>
      <c r="B63" s="17">
        <f>IF(COB_CA!$B$44=12,DATE(YEAR(COB_CA!$B$22)+INT((MONTH(COB_CA!$B$22)-1+58)/12),MOD(MONTH(COB_CA!$B$22)-1+58,12)+1,1)+(DAY(COB_CA!$B$22)-1),IF(COB_CA!$B$44=24,COB_CA!$B$22+ROUND((58*365.25)/24,0),IF(COB_CA!$B$44=26,COB_CA!$B$22+812,COB_CA!$B$22+406)))</f>
        <v/>
      </c>
      <c r="C63" s="14">
        <f>G62</f>
        <v/>
      </c>
      <c r="D63" s="14">
        <f>IF((A63&lt;=COB_CA!$B$58),ROUND(C63*COB_CA!$B$45,2),0)</f>
        <v/>
      </c>
      <c r="E63" s="14">
        <f>IF((A63&lt;=COB_CA!$B$58),IF(AND((A63&lt;=COB_CA!$B$58),ROUND(C63-ROUND(COB_CA!$B$59-D63,2),2)&lt;=0),C63,ROUND(COB_CA!$B$59-D63,2)),0)</f>
        <v/>
      </c>
      <c r="F63" s="14">
        <f>IF((A63&lt;=COB_CA!$B$58),IF(AND((A63&lt;=COB_CA!$B$58),ROUND(C63-ROUND(COB_CA!$B$59-D63,2),2)&lt;=0),ROUND(D63+E63,2),COB_CA!$B$59),0)</f>
        <v/>
      </c>
      <c r="G63" s="14">
        <f>IF((A63&lt;=COB_CA!$B$58),IF(AND((A63&lt;=COB_CA!$B$58),ROUND(C63-ROUND(COB_CA!$B$59-D63,2),2)&lt;=0),0,ROUND(C63-E63,2)),C63)</f>
        <v/>
      </c>
      <c r="H63" s="6">
        <f>AND(H62,C62&gt;0,(A63&lt;=COB_CA!$B$58))</f>
        <v/>
      </c>
    </row>
    <row r="64">
      <c r="A64" s="6" t="n">
        <v>60</v>
      </c>
      <c r="B64" s="17">
        <f>IF(COB_CA!$B$44=12,DATE(YEAR(COB_CA!$B$22)+INT((MONTH(COB_CA!$B$22)-1+59)/12),MOD(MONTH(COB_CA!$B$22)-1+59,12)+1,1)+(DAY(COB_CA!$B$22)-1),IF(COB_CA!$B$44=24,COB_CA!$B$22+ROUND((59*365.25)/24,0),IF(COB_CA!$B$44=26,COB_CA!$B$22+826,COB_CA!$B$22+413)))</f>
        <v/>
      </c>
      <c r="C64" s="14">
        <f>G63</f>
        <v/>
      </c>
      <c r="D64" s="14">
        <f>IF((A64&lt;=COB_CA!$B$58),ROUND(C64*COB_CA!$B$45,2),0)</f>
        <v/>
      </c>
      <c r="E64" s="14">
        <f>IF((A64&lt;=COB_CA!$B$58),IF(AND((A64&lt;=COB_CA!$B$58),ROUND(C64-ROUND(COB_CA!$B$59-D64,2),2)&lt;=0),C64,ROUND(COB_CA!$B$59-D64,2)),0)</f>
        <v/>
      </c>
      <c r="F64" s="14">
        <f>IF((A64&lt;=COB_CA!$B$58),IF(AND((A64&lt;=COB_CA!$B$58),ROUND(C64-ROUND(COB_CA!$B$59-D64,2),2)&lt;=0),ROUND(D64+E64,2),COB_CA!$B$59),0)</f>
        <v/>
      </c>
      <c r="G64" s="14">
        <f>IF((A64&lt;=COB_CA!$B$58),IF(AND((A64&lt;=COB_CA!$B$58),ROUND(C64-ROUND(COB_CA!$B$59-D64,2),2)&lt;=0),0,ROUND(C64-E64,2)),C64)</f>
        <v/>
      </c>
      <c r="H64" s="6">
        <f>AND(H63,C63&gt;0,(A64&lt;=COB_CA!$B$58))</f>
        <v/>
      </c>
    </row>
    <row r="65">
      <c r="A65" s="6" t="n">
        <v>61</v>
      </c>
      <c r="B65" s="17">
        <f>IF(COB_CA!$B$44=12,DATE(YEAR(COB_CA!$B$22)+INT((MONTH(COB_CA!$B$22)-1+60)/12),MOD(MONTH(COB_CA!$B$22)-1+60,12)+1,1)+(DAY(COB_CA!$B$22)-1),IF(COB_CA!$B$44=24,COB_CA!$B$22+ROUND((60*365.25)/24,0),IF(COB_CA!$B$44=26,COB_CA!$B$22+840,COB_CA!$B$22+420)))</f>
        <v/>
      </c>
      <c r="C65" s="14">
        <f>G64</f>
        <v/>
      </c>
      <c r="D65" s="14">
        <f>IF((A65&lt;=COB_CA!$B$58),ROUND(C65*COB_CA!$B$45,2),0)</f>
        <v/>
      </c>
      <c r="E65" s="14">
        <f>IF((A65&lt;=COB_CA!$B$58),IF(AND((A65&lt;=COB_CA!$B$58),ROUND(C65-ROUND(COB_CA!$B$59-D65,2),2)&lt;=0),C65,ROUND(COB_CA!$B$59-D65,2)),0)</f>
        <v/>
      </c>
      <c r="F65" s="14">
        <f>IF((A65&lt;=COB_CA!$B$58),IF(AND((A65&lt;=COB_CA!$B$58),ROUND(C65-ROUND(COB_CA!$B$59-D65,2),2)&lt;=0),ROUND(D65+E65,2),COB_CA!$B$59),0)</f>
        <v/>
      </c>
      <c r="G65" s="14">
        <f>IF((A65&lt;=COB_CA!$B$58),IF(AND((A65&lt;=COB_CA!$B$58),ROUND(C65-ROUND(COB_CA!$B$59-D65,2),2)&lt;=0),0,ROUND(C65-E65,2)),C65)</f>
        <v/>
      </c>
      <c r="H65" s="6">
        <f>AND(H64,C64&gt;0,(A65&lt;=COB_CA!$B$58))</f>
        <v/>
      </c>
    </row>
    <row r="66">
      <c r="A66" s="6" t="n">
        <v>62</v>
      </c>
      <c r="B66" s="17">
        <f>IF(COB_CA!$B$44=12,DATE(YEAR(COB_CA!$B$22)+INT((MONTH(COB_CA!$B$22)-1+61)/12),MOD(MONTH(COB_CA!$B$22)-1+61,12)+1,1)+(DAY(COB_CA!$B$22)-1),IF(COB_CA!$B$44=24,COB_CA!$B$22+ROUND((61*365.25)/24,0),IF(COB_CA!$B$44=26,COB_CA!$B$22+854,COB_CA!$B$22+427)))</f>
        <v/>
      </c>
      <c r="C66" s="14">
        <f>G65</f>
        <v/>
      </c>
      <c r="D66" s="14">
        <f>IF((A66&lt;=COB_CA!$B$58),ROUND(C66*COB_CA!$B$45,2),0)</f>
        <v/>
      </c>
      <c r="E66" s="14">
        <f>IF((A66&lt;=COB_CA!$B$58),IF(AND((A66&lt;=COB_CA!$B$58),ROUND(C66-ROUND(COB_CA!$B$59-D66,2),2)&lt;=0),C66,ROUND(COB_CA!$B$59-D66,2)),0)</f>
        <v/>
      </c>
      <c r="F66" s="14">
        <f>IF((A66&lt;=COB_CA!$B$58),IF(AND((A66&lt;=COB_CA!$B$58),ROUND(C66-ROUND(COB_CA!$B$59-D66,2),2)&lt;=0),ROUND(D66+E66,2),COB_CA!$B$59),0)</f>
        <v/>
      </c>
      <c r="G66" s="14">
        <f>IF((A66&lt;=COB_CA!$B$58),IF(AND((A66&lt;=COB_CA!$B$58),ROUND(C66-ROUND(COB_CA!$B$59-D66,2),2)&lt;=0),0,ROUND(C66-E66,2)),C66)</f>
        <v/>
      </c>
      <c r="H66" s="6">
        <f>AND(H65,C65&gt;0,(A66&lt;=COB_CA!$B$58))</f>
        <v/>
      </c>
    </row>
    <row r="67">
      <c r="A67" s="6" t="n">
        <v>63</v>
      </c>
      <c r="B67" s="17">
        <f>IF(COB_CA!$B$44=12,DATE(YEAR(COB_CA!$B$22)+INT((MONTH(COB_CA!$B$22)-1+62)/12),MOD(MONTH(COB_CA!$B$22)-1+62,12)+1,1)+(DAY(COB_CA!$B$22)-1),IF(COB_CA!$B$44=24,COB_CA!$B$22+ROUND((62*365.25)/24,0),IF(COB_CA!$B$44=26,COB_CA!$B$22+868,COB_CA!$B$22+434)))</f>
        <v/>
      </c>
      <c r="C67" s="14">
        <f>G66</f>
        <v/>
      </c>
      <c r="D67" s="14">
        <f>IF((A67&lt;=COB_CA!$B$58),ROUND(C67*COB_CA!$B$45,2),0)</f>
        <v/>
      </c>
      <c r="E67" s="14">
        <f>IF((A67&lt;=COB_CA!$B$58),IF(AND((A67&lt;=COB_CA!$B$58),ROUND(C67-ROUND(COB_CA!$B$59-D67,2),2)&lt;=0),C67,ROUND(COB_CA!$B$59-D67,2)),0)</f>
        <v/>
      </c>
      <c r="F67" s="14">
        <f>IF((A67&lt;=COB_CA!$B$58),IF(AND((A67&lt;=COB_CA!$B$58),ROUND(C67-ROUND(COB_CA!$B$59-D67,2),2)&lt;=0),ROUND(D67+E67,2),COB_CA!$B$59),0)</f>
        <v/>
      </c>
      <c r="G67" s="14">
        <f>IF((A67&lt;=COB_CA!$B$58),IF(AND((A67&lt;=COB_CA!$B$58),ROUND(C67-ROUND(COB_CA!$B$59-D67,2),2)&lt;=0),0,ROUND(C67-E67,2)),C67)</f>
        <v/>
      </c>
      <c r="H67" s="6">
        <f>AND(H66,C66&gt;0,(A67&lt;=COB_CA!$B$58))</f>
        <v/>
      </c>
    </row>
    <row r="68">
      <c r="A68" s="6" t="n">
        <v>64</v>
      </c>
      <c r="B68" s="17">
        <f>IF(COB_CA!$B$44=12,DATE(YEAR(COB_CA!$B$22)+INT((MONTH(COB_CA!$B$22)-1+63)/12),MOD(MONTH(COB_CA!$B$22)-1+63,12)+1,1)+(DAY(COB_CA!$B$22)-1),IF(COB_CA!$B$44=24,COB_CA!$B$22+ROUND((63*365.25)/24,0),IF(COB_CA!$B$44=26,COB_CA!$B$22+882,COB_CA!$B$22+441)))</f>
        <v/>
      </c>
      <c r="C68" s="14">
        <f>G67</f>
        <v/>
      </c>
      <c r="D68" s="14">
        <f>IF((A68&lt;=COB_CA!$B$58),ROUND(C68*COB_CA!$B$45,2),0)</f>
        <v/>
      </c>
      <c r="E68" s="14">
        <f>IF((A68&lt;=COB_CA!$B$58),IF(AND((A68&lt;=COB_CA!$B$58),ROUND(C68-ROUND(COB_CA!$B$59-D68,2),2)&lt;=0),C68,ROUND(COB_CA!$B$59-D68,2)),0)</f>
        <v/>
      </c>
      <c r="F68" s="14">
        <f>IF((A68&lt;=COB_CA!$B$58),IF(AND((A68&lt;=COB_CA!$B$58),ROUND(C68-ROUND(COB_CA!$B$59-D68,2),2)&lt;=0),ROUND(D68+E68,2),COB_CA!$B$59),0)</f>
        <v/>
      </c>
      <c r="G68" s="14">
        <f>IF((A68&lt;=COB_CA!$B$58),IF(AND((A68&lt;=COB_CA!$B$58),ROUND(C68-ROUND(COB_CA!$B$59-D68,2),2)&lt;=0),0,ROUND(C68-E68,2)),C68)</f>
        <v/>
      </c>
      <c r="H68" s="6">
        <f>AND(H67,C67&gt;0,(A68&lt;=COB_CA!$B$58))</f>
        <v/>
      </c>
    </row>
    <row r="69">
      <c r="A69" s="6" t="n">
        <v>65</v>
      </c>
      <c r="B69" s="17">
        <f>IF(COB_CA!$B$44=12,DATE(YEAR(COB_CA!$B$22)+INT((MONTH(COB_CA!$B$22)-1+64)/12),MOD(MONTH(COB_CA!$B$22)-1+64,12)+1,1)+(DAY(COB_CA!$B$22)-1),IF(COB_CA!$B$44=24,COB_CA!$B$22+ROUND((64*365.25)/24,0),IF(COB_CA!$B$44=26,COB_CA!$B$22+896,COB_CA!$B$22+448)))</f>
        <v/>
      </c>
      <c r="C69" s="14">
        <f>G68</f>
        <v/>
      </c>
      <c r="D69" s="14">
        <f>IF((A69&lt;=COB_CA!$B$58),ROUND(C69*COB_CA!$B$45,2),0)</f>
        <v/>
      </c>
      <c r="E69" s="14">
        <f>IF((A69&lt;=COB_CA!$B$58),IF(AND((A69&lt;=COB_CA!$B$58),ROUND(C69-ROUND(COB_CA!$B$59-D69,2),2)&lt;=0),C69,ROUND(COB_CA!$B$59-D69,2)),0)</f>
        <v/>
      </c>
      <c r="F69" s="14">
        <f>IF((A69&lt;=COB_CA!$B$58),IF(AND((A69&lt;=COB_CA!$B$58),ROUND(C69-ROUND(COB_CA!$B$59-D69,2),2)&lt;=0),ROUND(D69+E69,2),COB_CA!$B$59),0)</f>
        <v/>
      </c>
      <c r="G69" s="14">
        <f>IF((A69&lt;=COB_CA!$B$58),IF(AND((A69&lt;=COB_CA!$B$58),ROUND(C69-ROUND(COB_CA!$B$59-D69,2),2)&lt;=0),0,ROUND(C69-E69,2)),C69)</f>
        <v/>
      </c>
      <c r="H69" s="6">
        <f>AND(H68,C68&gt;0,(A69&lt;=COB_CA!$B$58))</f>
        <v/>
      </c>
    </row>
    <row r="70">
      <c r="A70" s="6" t="n">
        <v>66</v>
      </c>
      <c r="B70" s="17">
        <f>IF(COB_CA!$B$44=12,DATE(YEAR(COB_CA!$B$22)+INT((MONTH(COB_CA!$B$22)-1+65)/12),MOD(MONTH(COB_CA!$B$22)-1+65,12)+1,1)+(DAY(COB_CA!$B$22)-1),IF(COB_CA!$B$44=24,COB_CA!$B$22+ROUND((65*365.25)/24,0),IF(COB_CA!$B$44=26,COB_CA!$B$22+910,COB_CA!$B$22+455)))</f>
        <v/>
      </c>
      <c r="C70" s="14">
        <f>G69</f>
        <v/>
      </c>
      <c r="D70" s="14">
        <f>IF((A70&lt;=COB_CA!$B$58),ROUND(C70*COB_CA!$B$45,2),0)</f>
        <v/>
      </c>
      <c r="E70" s="14">
        <f>IF((A70&lt;=COB_CA!$B$58),IF(AND((A70&lt;=COB_CA!$B$58),ROUND(C70-ROUND(COB_CA!$B$59-D70,2),2)&lt;=0),C70,ROUND(COB_CA!$B$59-D70,2)),0)</f>
        <v/>
      </c>
      <c r="F70" s="14">
        <f>IF((A70&lt;=COB_CA!$B$58),IF(AND((A70&lt;=COB_CA!$B$58),ROUND(C70-ROUND(COB_CA!$B$59-D70,2),2)&lt;=0),ROUND(D70+E70,2),COB_CA!$B$59),0)</f>
        <v/>
      </c>
      <c r="G70" s="14">
        <f>IF((A70&lt;=COB_CA!$B$58),IF(AND((A70&lt;=COB_CA!$B$58),ROUND(C70-ROUND(COB_CA!$B$59-D70,2),2)&lt;=0),0,ROUND(C70-E70,2)),C70)</f>
        <v/>
      </c>
      <c r="H70" s="6">
        <f>AND(H69,C69&gt;0,(A70&lt;=COB_CA!$B$58))</f>
        <v/>
      </c>
    </row>
    <row r="71">
      <c r="A71" s="6" t="n">
        <v>67</v>
      </c>
      <c r="B71" s="17">
        <f>IF(COB_CA!$B$44=12,DATE(YEAR(COB_CA!$B$22)+INT((MONTH(COB_CA!$B$22)-1+66)/12),MOD(MONTH(COB_CA!$B$22)-1+66,12)+1,1)+(DAY(COB_CA!$B$22)-1),IF(COB_CA!$B$44=24,COB_CA!$B$22+ROUND((66*365.25)/24,0),IF(COB_CA!$B$44=26,COB_CA!$B$22+924,COB_CA!$B$22+462)))</f>
        <v/>
      </c>
      <c r="C71" s="14">
        <f>G70</f>
        <v/>
      </c>
      <c r="D71" s="14">
        <f>IF((A71&lt;=COB_CA!$B$58),ROUND(C71*COB_CA!$B$45,2),0)</f>
        <v/>
      </c>
      <c r="E71" s="14">
        <f>IF((A71&lt;=COB_CA!$B$58),IF(AND((A71&lt;=COB_CA!$B$58),ROUND(C71-ROUND(COB_CA!$B$59-D71,2),2)&lt;=0),C71,ROUND(COB_CA!$B$59-D71,2)),0)</f>
        <v/>
      </c>
      <c r="F71" s="14">
        <f>IF((A71&lt;=COB_CA!$B$58),IF(AND((A71&lt;=COB_CA!$B$58),ROUND(C71-ROUND(COB_CA!$B$59-D71,2),2)&lt;=0),ROUND(D71+E71,2),COB_CA!$B$59),0)</f>
        <v/>
      </c>
      <c r="G71" s="14">
        <f>IF((A71&lt;=COB_CA!$B$58),IF(AND((A71&lt;=COB_CA!$B$58),ROUND(C71-ROUND(COB_CA!$B$59-D71,2),2)&lt;=0),0,ROUND(C71-E71,2)),C71)</f>
        <v/>
      </c>
      <c r="H71" s="6">
        <f>AND(H70,C70&gt;0,(A71&lt;=COB_CA!$B$58))</f>
        <v/>
      </c>
    </row>
    <row r="72">
      <c r="A72" s="6" t="n">
        <v>68</v>
      </c>
      <c r="B72" s="17">
        <f>IF(COB_CA!$B$44=12,DATE(YEAR(COB_CA!$B$22)+INT((MONTH(COB_CA!$B$22)-1+67)/12),MOD(MONTH(COB_CA!$B$22)-1+67,12)+1,1)+(DAY(COB_CA!$B$22)-1),IF(COB_CA!$B$44=24,COB_CA!$B$22+ROUND((67*365.25)/24,0),IF(COB_CA!$B$44=26,COB_CA!$B$22+938,COB_CA!$B$22+469)))</f>
        <v/>
      </c>
      <c r="C72" s="14">
        <f>G71</f>
        <v/>
      </c>
      <c r="D72" s="14">
        <f>IF((A72&lt;=COB_CA!$B$58),ROUND(C72*COB_CA!$B$45,2),0)</f>
        <v/>
      </c>
      <c r="E72" s="14">
        <f>IF((A72&lt;=COB_CA!$B$58),IF(AND((A72&lt;=COB_CA!$B$58),ROUND(C72-ROUND(COB_CA!$B$59-D72,2),2)&lt;=0),C72,ROUND(COB_CA!$B$59-D72,2)),0)</f>
        <v/>
      </c>
      <c r="F72" s="14">
        <f>IF((A72&lt;=COB_CA!$B$58),IF(AND((A72&lt;=COB_CA!$B$58),ROUND(C72-ROUND(COB_CA!$B$59-D72,2),2)&lt;=0),ROUND(D72+E72,2),COB_CA!$B$59),0)</f>
        <v/>
      </c>
      <c r="G72" s="14">
        <f>IF((A72&lt;=COB_CA!$B$58),IF(AND((A72&lt;=COB_CA!$B$58),ROUND(C72-ROUND(COB_CA!$B$59-D72,2),2)&lt;=0),0,ROUND(C72-E72,2)),C72)</f>
        <v/>
      </c>
      <c r="H72" s="6">
        <f>AND(H71,C71&gt;0,(A72&lt;=COB_CA!$B$58))</f>
        <v/>
      </c>
    </row>
    <row r="73">
      <c r="A73" s="6" t="n">
        <v>69</v>
      </c>
      <c r="B73" s="17">
        <f>IF(COB_CA!$B$44=12,DATE(YEAR(COB_CA!$B$22)+INT((MONTH(COB_CA!$B$22)-1+68)/12),MOD(MONTH(COB_CA!$B$22)-1+68,12)+1,1)+(DAY(COB_CA!$B$22)-1),IF(COB_CA!$B$44=24,COB_CA!$B$22+ROUND((68*365.25)/24,0),IF(COB_CA!$B$44=26,COB_CA!$B$22+952,COB_CA!$B$22+476)))</f>
        <v/>
      </c>
      <c r="C73" s="14">
        <f>G72</f>
        <v/>
      </c>
      <c r="D73" s="14">
        <f>IF((A73&lt;=COB_CA!$B$58),ROUND(C73*COB_CA!$B$45,2),0)</f>
        <v/>
      </c>
      <c r="E73" s="14">
        <f>IF((A73&lt;=COB_CA!$B$58),IF(AND((A73&lt;=COB_CA!$B$58),ROUND(C73-ROUND(COB_CA!$B$59-D73,2),2)&lt;=0),C73,ROUND(COB_CA!$B$59-D73,2)),0)</f>
        <v/>
      </c>
      <c r="F73" s="14">
        <f>IF((A73&lt;=COB_CA!$B$58),IF(AND((A73&lt;=COB_CA!$B$58),ROUND(C73-ROUND(COB_CA!$B$59-D73,2),2)&lt;=0),ROUND(D73+E73,2),COB_CA!$B$59),0)</f>
        <v/>
      </c>
      <c r="G73" s="14">
        <f>IF((A73&lt;=COB_CA!$B$58),IF(AND((A73&lt;=COB_CA!$B$58),ROUND(C73-ROUND(COB_CA!$B$59-D73,2),2)&lt;=0),0,ROUND(C73-E73,2)),C73)</f>
        <v/>
      </c>
      <c r="H73" s="6">
        <f>AND(H72,C72&gt;0,(A73&lt;=COB_CA!$B$58))</f>
        <v/>
      </c>
    </row>
    <row r="74">
      <c r="A74" s="6" t="n">
        <v>70</v>
      </c>
      <c r="B74" s="17">
        <f>IF(COB_CA!$B$44=12,DATE(YEAR(COB_CA!$B$22)+INT((MONTH(COB_CA!$B$22)-1+69)/12),MOD(MONTH(COB_CA!$B$22)-1+69,12)+1,1)+(DAY(COB_CA!$B$22)-1),IF(COB_CA!$B$44=24,COB_CA!$B$22+ROUND((69*365.25)/24,0),IF(COB_CA!$B$44=26,COB_CA!$B$22+966,COB_CA!$B$22+483)))</f>
        <v/>
      </c>
      <c r="C74" s="14">
        <f>G73</f>
        <v/>
      </c>
      <c r="D74" s="14">
        <f>IF((A74&lt;=COB_CA!$B$58),ROUND(C74*COB_CA!$B$45,2),0)</f>
        <v/>
      </c>
      <c r="E74" s="14">
        <f>IF((A74&lt;=COB_CA!$B$58),IF(AND((A74&lt;=COB_CA!$B$58),ROUND(C74-ROUND(COB_CA!$B$59-D74,2),2)&lt;=0),C74,ROUND(COB_CA!$B$59-D74,2)),0)</f>
        <v/>
      </c>
      <c r="F74" s="14">
        <f>IF((A74&lt;=COB_CA!$B$58),IF(AND((A74&lt;=COB_CA!$B$58),ROUND(C74-ROUND(COB_CA!$B$59-D74,2),2)&lt;=0),ROUND(D74+E74,2),COB_CA!$B$59),0)</f>
        <v/>
      </c>
      <c r="G74" s="14">
        <f>IF((A74&lt;=COB_CA!$B$58),IF(AND((A74&lt;=COB_CA!$B$58),ROUND(C74-ROUND(COB_CA!$B$59-D74,2),2)&lt;=0),0,ROUND(C74-E74,2)),C74)</f>
        <v/>
      </c>
      <c r="H74" s="6">
        <f>AND(H73,C73&gt;0,(A74&lt;=COB_CA!$B$58))</f>
        <v/>
      </c>
    </row>
    <row r="75">
      <c r="A75" s="6" t="n">
        <v>71</v>
      </c>
      <c r="B75" s="17">
        <f>IF(COB_CA!$B$44=12,DATE(YEAR(COB_CA!$B$22)+INT((MONTH(COB_CA!$B$22)-1+70)/12),MOD(MONTH(COB_CA!$B$22)-1+70,12)+1,1)+(DAY(COB_CA!$B$22)-1),IF(COB_CA!$B$44=24,COB_CA!$B$22+ROUND((70*365.25)/24,0),IF(COB_CA!$B$44=26,COB_CA!$B$22+980,COB_CA!$B$22+490)))</f>
        <v/>
      </c>
      <c r="C75" s="14">
        <f>G74</f>
        <v/>
      </c>
      <c r="D75" s="14">
        <f>IF((A75&lt;=COB_CA!$B$58),ROUND(C75*COB_CA!$B$45,2),0)</f>
        <v/>
      </c>
      <c r="E75" s="14">
        <f>IF((A75&lt;=COB_CA!$B$58),IF(AND((A75&lt;=COB_CA!$B$58),ROUND(C75-ROUND(COB_CA!$B$59-D75,2),2)&lt;=0),C75,ROUND(COB_CA!$B$59-D75,2)),0)</f>
        <v/>
      </c>
      <c r="F75" s="14">
        <f>IF((A75&lt;=COB_CA!$B$58),IF(AND((A75&lt;=COB_CA!$B$58),ROUND(C75-ROUND(COB_CA!$B$59-D75,2),2)&lt;=0),ROUND(D75+E75,2),COB_CA!$B$59),0)</f>
        <v/>
      </c>
      <c r="G75" s="14">
        <f>IF((A75&lt;=COB_CA!$B$58),IF(AND((A75&lt;=COB_CA!$B$58),ROUND(C75-ROUND(COB_CA!$B$59-D75,2),2)&lt;=0),0,ROUND(C75-E75,2)),C75)</f>
        <v/>
      </c>
      <c r="H75" s="6">
        <f>AND(H74,C74&gt;0,(A75&lt;=COB_CA!$B$58))</f>
        <v/>
      </c>
    </row>
    <row r="76">
      <c r="A76" s="6" t="n">
        <v>72</v>
      </c>
      <c r="B76" s="17">
        <f>IF(COB_CA!$B$44=12,DATE(YEAR(COB_CA!$B$22)+INT((MONTH(COB_CA!$B$22)-1+71)/12),MOD(MONTH(COB_CA!$B$22)-1+71,12)+1,1)+(DAY(COB_CA!$B$22)-1),IF(COB_CA!$B$44=24,COB_CA!$B$22+ROUND((71*365.25)/24,0),IF(COB_CA!$B$44=26,COB_CA!$B$22+994,COB_CA!$B$22+497)))</f>
        <v/>
      </c>
      <c r="C76" s="14">
        <f>G75</f>
        <v/>
      </c>
      <c r="D76" s="14">
        <f>IF((A76&lt;=COB_CA!$B$58),ROUND(C76*COB_CA!$B$45,2),0)</f>
        <v/>
      </c>
      <c r="E76" s="14">
        <f>IF((A76&lt;=COB_CA!$B$58),IF(AND((A76&lt;=COB_CA!$B$58),ROUND(C76-ROUND(COB_CA!$B$59-D76,2),2)&lt;=0),C76,ROUND(COB_CA!$B$59-D76,2)),0)</f>
        <v/>
      </c>
      <c r="F76" s="14">
        <f>IF((A76&lt;=COB_CA!$B$58),IF(AND((A76&lt;=COB_CA!$B$58),ROUND(C76-ROUND(COB_CA!$B$59-D76,2),2)&lt;=0),ROUND(D76+E76,2),COB_CA!$B$59),0)</f>
        <v/>
      </c>
      <c r="G76" s="14">
        <f>IF((A76&lt;=COB_CA!$B$58),IF(AND((A76&lt;=COB_CA!$B$58),ROUND(C76-ROUND(COB_CA!$B$59-D76,2),2)&lt;=0),0,ROUND(C76-E76,2)),C76)</f>
        <v/>
      </c>
      <c r="H76" s="6">
        <f>AND(H75,C75&gt;0,(A76&lt;=COB_CA!$B$58))</f>
        <v/>
      </c>
    </row>
    <row r="77">
      <c r="A77" s="6" t="n">
        <v>73</v>
      </c>
      <c r="B77" s="17">
        <f>IF(COB_CA!$B$44=12,DATE(YEAR(COB_CA!$B$22)+INT((MONTH(COB_CA!$B$22)-1+72)/12),MOD(MONTH(COB_CA!$B$22)-1+72,12)+1,1)+(DAY(COB_CA!$B$22)-1),IF(COB_CA!$B$44=24,COB_CA!$B$22+ROUND((72*365.25)/24,0),IF(COB_CA!$B$44=26,COB_CA!$B$22+1008,COB_CA!$B$22+504)))</f>
        <v/>
      </c>
      <c r="C77" s="14">
        <f>G76</f>
        <v/>
      </c>
      <c r="D77" s="14">
        <f>IF((A77&lt;=COB_CA!$B$58),ROUND(C77*COB_CA!$B$45,2),0)</f>
        <v/>
      </c>
      <c r="E77" s="14">
        <f>IF((A77&lt;=COB_CA!$B$58),IF(AND((A77&lt;=COB_CA!$B$58),ROUND(C77-ROUND(COB_CA!$B$59-D77,2),2)&lt;=0),C77,ROUND(COB_CA!$B$59-D77,2)),0)</f>
        <v/>
      </c>
      <c r="F77" s="14">
        <f>IF((A77&lt;=COB_CA!$B$58),IF(AND((A77&lt;=COB_CA!$B$58),ROUND(C77-ROUND(COB_CA!$B$59-D77,2),2)&lt;=0),ROUND(D77+E77,2),COB_CA!$B$59),0)</f>
        <v/>
      </c>
      <c r="G77" s="14">
        <f>IF((A77&lt;=COB_CA!$B$58),IF(AND((A77&lt;=COB_CA!$B$58),ROUND(C77-ROUND(COB_CA!$B$59-D77,2),2)&lt;=0),0,ROUND(C77-E77,2)),C77)</f>
        <v/>
      </c>
      <c r="H77" s="6">
        <f>AND(H76,C76&gt;0,(A77&lt;=COB_CA!$B$58))</f>
        <v/>
      </c>
    </row>
    <row r="78">
      <c r="A78" s="6" t="n">
        <v>74</v>
      </c>
      <c r="B78" s="17">
        <f>IF(COB_CA!$B$44=12,DATE(YEAR(COB_CA!$B$22)+INT((MONTH(COB_CA!$B$22)-1+73)/12),MOD(MONTH(COB_CA!$B$22)-1+73,12)+1,1)+(DAY(COB_CA!$B$22)-1),IF(COB_CA!$B$44=24,COB_CA!$B$22+ROUND((73*365.25)/24,0),IF(COB_CA!$B$44=26,COB_CA!$B$22+1022,COB_CA!$B$22+511)))</f>
        <v/>
      </c>
      <c r="C78" s="14">
        <f>G77</f>
        <v/>
      </c>
      <c r="D78" s="14">
        <f>IF((A78&lt;=COB_CA!$B$58),ROUND(C78*COB_CA!$B$45,2),0)</f>
        <v/>
      </c>
      <c r="E78" s="14">
        <f>IF((A78&lt;=COB_CA!$B$58),IF(AND((A78&lt;=COB_CA!$B$58),ROUND(C78-ROUND(COB_CA!$B$59-D78,2),2)&lt;=0),C78,ROUND(COB_CA!$B$59-D78,2)),0)</f>
        <v/>
      </c>
      <c r="F78" s="14">
        <f>IF((A78&lt;=COB_CA!$B$58),IF(AND((A78&lt;=COB_CA!$B$58),ROUND(C78-ROUND(COB_CA!$B$59-D78,2),2)&lt;=0),ROUND(D78+E78,2),COB_CA!$B$59),0)</f>
        <v/>
      </c>
      <c r="G78" s="14">
        <f>IF((A78&lt;=COB_CA!$B$58),IF(AND((A78&lt;=COB_CA!$B$58),ROUND(C78-ROUND(COB_CA!$B$59-D78,2),2)&lt;=0),0,ROUND(C78-E78,2)),C78)</f>
        <v/>
      </c>
      <c r="H78" s="6">
        <f>AND(H77,C77&gt;0,(A78&lt;=COB_CA!$B$58))</f>
        <v/>
      </c>
    </row>
    <row r="79">
      <c r="A79" s="6" t="n">
        <v>75</v>
      </c>
      <c r="B79" s="17">
        <f>IF(COB_CA!$B$44=12,DATE(YEAR(COB_CA!$B$22)+INT((MONTH(COB_CA!$B$22)-1+74)/12),MOD(MONTH(COB_CA!$B$22)-1+74,12)+1,1)+(DAY(COB_CA!$B$22)-1),IF(COB_CA!$B$44=24,COB_CA!$B$22+ROUND((74*365.25)/24,0),IF(COB_CA!$B$44=26,COB_CA!$B$22+1036,COB_CA!$B$22+518)))</f>
        <v/>
      </c>
      <c r="C79" s="14">
        <f>G78</f>
        <v/>
      </c>
      <c r="D79" s="14">
        <f>IF((A79&lt;=COB_CA!$B$58),ROUND(C79*COB_CA!$B$45,2),0)</f>
        <v/>
      </c>
      <c r="E79" s="14">
        <f>IF((A79&lt;=COB_CA!$B$58),IF(AND((A79&lt;=COB_CA!$B$58),ROUND(C79-ROUND(COB_CA!$B$59-D79,2),2)&lt;=0),C79,ROUND(COB_CA!$B$59-D79,2)),0)</f>
        <v/>
      </c>
      <c r="F79" s="14">
        <f>IF((A79&lt;=COB_CA!$B$58),IF(AND((A79&lt;=COB_CA!$B$58),ROUND(C79-ROUND(COB_CA!$B$59-D79,2),2)&lt;=0),ROUND(D79+E79,2),COB_CA!$B$59),0)</f>
        <v/>
      </c>
      <c r="G79" s="14">
        <f>IF((A79&lt;=COB_CA!$B$58),IF(AND((A79&lt;=COB_CA!$B$58),ROUND(C79-ROUND(COB_CA!$B$59-D79,2),2)&lt;=0),0,ROUND(C79-E79,2)),C79)</f>
        <v/>
      </c>
      <c r="H79" s="6">
        <f>AND(H78,C78&gt;0,(A79&lt;=COB_CA!$B$58))</f>
        <v/>
      </c>
    </row>
    <row r="80">
      <c r="A80" s="6" t="n">
        <v>76</v>
      </c>
      <c r="B80" s="17">
        <f>IF(COB_CA!$B$44=12,DATE(YEAR(COB_CA!$B$22)+INT((MONTH(COB_CA!$B$22)-1+75)/12),MOD(MONTH(COB_CA!$B$22)-1+75,12)+1,1)+(DAY(COB_CA!$B$22)-1),IF(COB_CA!$B$44=24,COB_CA!$B$22+ROUND((75*365.25)/24,0),IF(COB_CA!$B$44=26,COB_CA!$B$22+1050,COB_CA!$B$22+525)))</f>
        <v/>
      </c>
      <c r="C80" s="14">
        <f>G79</f>
        <v/>
      </c>
      <c r="D80" s="14">
        <f>IF((A80&lt;=COB_CA!$B$58),ROUND(C80*COB_CA!$B$45,2),0)</f>
        <v/>
      </c>
      <c r="E80" s="14">
        <f>IF((A80&lt;=COB_CA!$B$58),IF(AND((A80&lt;=COB_CA!$B$58),ROUND(C80-ROUND(COB_CA!$B$59-D80,2),2)&lt;=0),C80,ROUND(COB_CA!$B$59-D80,2)),0)</f>
        <v/>
      </c>
      <c r="F80" s="14">
        <f>IF((A80&lt;=COB_CA!$B$58),IF(AND((A80&lt;=COB_CA!$B$58),ROUND(C80-ROUND(COB_CA!$B$59-D80,2),2)&lt;=0),ROUND(D80+E80,2),COB_CA!$B$59),0)</f>
        <v/>
      </c>
      <c r="G80" s="14">
        <f>IF((A80&lt;=COB_CA!$B$58),IF(AND((A80&lt;=COB_CA!$B$58),ROUND(C80-ROUND(COB_CA!$B$59-D80,2),2)&lt;=0),0,ROUND(C80-E80,2)),C80)</f>
        <v/>
      </c>
      <c r="H80" s="6">
        <f>AND(H79,C79&gt;0,(A80&lt;=COB_CA!$B$58))</f>
        <v/>
      </c>
    </row>
    <row r="81">
      <c r="A81" s="6" t="n">
        <v>77</v>
      </c>
      <c r="B81" s="17">
        <f>IF(COB_CA!$B$44=12,DATE(YEAR(COB_CA!$B$22)+INT((MONTH(COB_CA!$B$22)-1+76)/12),MOD(MONTH(COB_CA!$B$22)-1+76,12)+1,1)+(DAY(COB_CA!$B$22)-1),IF(COB_CA!$B$44=24,COB_CA!$B$22+ROUND((76*365.25)/24,0),IF(COB_CA!$B$44=26,COB_CA!$B$22+1064,COB_CA!$B$22+532)))</f>
        <v/>
      </c>
      <c r="C81" s="14">
        <f>G80</f>
        <v/>
      </c>
      <c r="D81" s="14">
        <f>IF((A81&lt;=COB_CA!$B$58),ROUND(C81*COB_CA!$B$45,2),0)</f>
        <v/>
      </c>
      <c r="E81" s="14">
        <f>IF((A81&lt;=COB_CA!$B$58),IF(AND((A81&lt;=COB_CA!$B$58),ROUND(C81-ROUND(COB_CA!$B$59-D81,2),2)&lt;=0),C81,ROUND(COB_CA!$B$59-D81,2)),0)</f>
        <v/>
      </c>
      <c r="F81" s="14">
        <f>IF((A81&lt;=COB_CA!$B$58),IF(AND((A81&lt;=COB_CA!$B$58),ROUND(C81-ROUND(COB_CA!$B$59-D81,2),2)&lt;=0),ROUND(D81+E81,2),COB_CA!$B$59),0)</f>
        <v/>
      </c>
      <c r="G81" s="14">
        <f>IF((A81&lt;=COB_CA!$B$58),IF(AND((A81&lt;=COB_CA!$B$58),ROUND(C81-ROUND(COB_CA!$B$59-D81,2),2)&lt;=0),0,ROUND(C81-E81,2)),C81)</f>
        <v/>
      </c>
      <c r="H81" s="6">
        <f>AND(H80,C80&gt;0,(A81&lt;=COB_CA!$B$58))</f>
        <v/>
      </c>
    </row>
    <row r="82">
      <c r="A82" s="6" t="n">
        <v>78</v>
      </c>
      <c r="B82" s="17">
        <f>IF(COB_CA!$B$44=12,DATE(YEAR(COB_CA!$B$22)+INT((MONTH(COB_CA!$B$22)-1+77)/12),MOD(MONTH(COB_CA!$B$22)-1+77,12)+1,1)+(DAY(COB_CA!$B$22)-1),IF(COB_CA!$B$44=24,COB_CA!$B$22+ROUND((77*365.25)/24,0),IF(COB_CA!$B$44=26,COB_CA!$B$22+1078,COB_CA!$B$22+539)))</f>
        <v/>
      </c>
      <c r="C82" s="14">
        <f>G81</f>
        <v/>
      </c>
      <c r="D82" s="14">
        <f>IF((A82&lt;=COB_CA!$B$58),ROUND(C82*COB_CA!$B$45,2),0)</f>
        <v/>
      </c>
      <c r="E82" s="14">
        <f>IF((A82&lt;=COB_CA!$B$58),IF(AND((A82&lt;=COB_CA!$B$58),ROUND(C82-ROUND(COB_CA!$B$59-D82,2),2)&lt;=0),C82,ROUND(COB_CA!$B$59-D82,2)),0)</f>
        <v/>
      </c>
      <c r="F82" s="14">
        <f>IF((A82&lt;=COB_CA!$B$58),IF(AND((A82&lt;=COB_CA!$B$58),ROUND(C82-ROUND(COB_CA!$B$59-D82,2),2)&lt;=0),ROUND(D82+E82,2),COB_CA!$B$59),0)</f>
        <v/>
      </c>
      <c r="G82" s="14">
        <f>IF((A82&lt;=COB_CA!$B$58),IF(AND((A82&lt;=COB_CA!$B$58),ROUND(C82-ROUND(COB_CA!$B$59-D82,2),2)&lt;=0),0,ROUND(C82-E82,2)),C82)</f>
        <v/>
      </c>
      <c r="H82" s="6">
        <f>AND(H81,C81&gt;0,(A82&lt;=COB_CA!$B$58))</f>
        <v/>
      </c>
    </row>
    <row r="83">
      <c r="A83" s="6" t="n">
        <v>79</v>
      </c>
      <c r="B83" s="17">
        <f>IF(COB_CA!$B$44=12,DATE(YEAR(COB_CA!$B$22)+INT((MONTH(COB_CA!$B$22)-1+78)/12),MOD(MONTH(COB_CA!$B$22)-1+78,12)+1,1)+(DAY(COB_CA!$B$22)-1),IF(COB_CA!$B$44=24,COB_CA!$B$22+ROUND((78*365.25)/24,0),IF(COB_CA!$B$44=26,COB_CA!$B$22+1092,COB_CA!$B$22+546)))</f>
        <v/>
      </c>
      <c r="C83" s="14">
        <f>G82</f>
        <v/>
      </c>
      <c r="D83" s="14">
        <f>IF((A83&lt;=COB_CA!$B$58),ROUND(C83*COB_CA!$B$45,2),0)</f>
        <v/>
      </c>
      <c r="E83" s="14">
        <f>IF((A83&lt;=COB_CA!$B$58),IF(AND((A83&lt;=COB_CA!$B$58),ROUND(C83-ROUND(COB_CA!$B$59-D83,2),2)&lt;=0),C83,ROUND(COB_CA!$B$59-D83,2)),0)</f>
        <v/>
      </c>
      <c r="F83" s="14">
        <f>IF((A83&lt;=COB_CA!$B$58),IF(AND((A83&lt;=COB_CA!$B$58),ROUND(C83-ROUND(COB_CA!$B$59-D83,2),2)&lt;=0),ROUND(D83+E83,2),COB_CA!$B$59),0)</f>
        <v/>
      </c>
      <c r="G83" s="14">
        <f>IF((A83&lt;=COB_CA!$B$58),IF(AND((A83&lt;=COB_CA!$B$58),ROUND(C83-ROUND(COB_CA!$B$59-D83,2),2)&lt;=0),0,ROUND(C83-E83,2)),C83)</f>
        <v/>
      </c>
      <c r="H83" s="6">
        <f>AND(H82,C82&gt;0,(A83&lt;=COB_CA!$B$58))</f>
        <v/>
      </c>
    </row>
    <row r="84">
      <c r="A84" s="6" t="n">
        <v>80</v>
      </c>
      <c r="B84" s="17">
        <f>IF(COB_CA!$B$44=12,DATE(YEAR(COB_CA!$B$22)+INT((MONTH(COB_CA!$B$22)-1+79)/12),MOD(MONTH(COB_CA!$B$22)-1+79,12)+1,1)+(DAY(COB_CA!$B$22)-1),IF(COB_CA!$B$44=24,COB_CA!$B$22+ROUND((79*365.25)/24,0),IF(COB_CA!$B$44=26,COB_CA!$B$22+1106,COB_CA!$B$22+553)))</f>
        <v/>
      </c>
      <c r="C84" s="14">
        <f>G83</f>
        <v/>
      </c>
      <c r="D84" s="14">
        <f>IF((A84&lt;=COB_CA!$B$58),ROUND(C84*COB_CA!$B$45,2),0)</f>
        <v/>
      </c>
      <c r="E84" s="14">
        <f>IF((A84&lt;=COB_CA!$B$58),IF(AND((A84&lt;=COB_CA!$B$58),ROUND(C84-ROUND(COB_CA!$B$59-D84,2),2)&lt;=0),C84,ROUND(COB_CA!$B$59-D84,2)),0)</f>
        <v/>
      </c>
      <c r="F84" s="14">
        <f>IF((A84&lt;=COB_CA!$B$58),IF(AND((A84&lt;=COB_CA!$B$58),ROUND(C84-ROUND(COB_CA!$B$59-D84,2),2)&lt;=0),ROUND(D84+E84,2),COB_CA!$B$59),0)</f>
        <v/>
      </c>
      <c r="G84" s="14">
        <f>IF((A84&lt;=COB_CA!$B$58),IF(AND((A84&lt;=COB_CA!$B$58),ROUND(C84-ROUND(COB_CA!$B$59-D84,2),2)&lt;=0),0,ROUND(C84-E84,2)),C84)</f>
        <v/>
      </c>
      <c r="H84" s="6">
        <f>AND(H83,C83&gt;0,(A84&lt;=COB_CA!$B$58))</f>
        <v/>
      </c>
    </row>
    <row r="85">
      <c r="A85" s="6" t="n">
        <v>81</v>
      </c>
      <c r="B85" s="17">
        <f>IF(COB_CA!$B$44=12,DATE(YEAR(COB_CA!$B$22)+INT((MONTH(COB_CA!$B$22)-1+80)/12),MOD(MONTH(COB_CA!$B$22)-1+80,12)+1,1)+(DAY(COB_CA!$B$22)-1),IF(COB_CA!$B$44=24,COB_CA!$B$22+ROUND((80*365.25)/24,0),IF(COB_CA!$B$44=26,COB_CA!$B$22+1120,COB_CA!$B$22+560)))</f>
        <v/>
      </c>
      <c r="C85" s="14">
        <f>G84</f>
        <v/>
      </c>
      <c r="D85" s="14">
        <f>IF((A85&lt;=COB_CA!$B$58),ROUND(C85*COB_CA!$B$45,2),0)</f>
        <v/>
      </c>
      <c r="E85" s="14">
        <f>IF((A85&lt;=COB_CA!$B$58),IF(AND((A85&lt;=COB_CA!$B$58),ROUND(C85-ROUND(COB_CA!$B$59-D85,2),2)&lt;=0),C85,ROUND(COB_CA!$B$59-D85,2)),0)</f>
        <v/>
      </c>
      <c r="F85" s="14">
        <f>IF((A85&lt;=COB_CA!$B$58),IF(AND((A85&lt;=COB_CA!$B$58),ROUND(C85-ROUND(COB_CA!$B$59-D85,2),2)&lt;=0),ROUND(D85+E85,2),COB_CA!$B$59),0)</f>
        <v/>
      </c>
      <c r="G85" s="14">
        <f>IF((A85&lt;=COB_CA!$B$58),IF(AND((A85&lt;=COB_CA!$B$58),ROUND(C85-ROUND(COB_CA!$B$59-D85,2),2)&lt;=0),0,ROUND(C85-E85,2)),C85)</f>
        <v/>
      </c>
      <c r="H85" s="6">
        <f>AND(H84,C84&gt;0,(A85&lt;=COB_CA!$B$58))</f>
        <v/>
      </c>
    </row>
    <row r="86">
      <c r="A86" s="6" t="n">
        <v>82</v>
      </c>
      <c r="B86" s="17">
        <f>IF(COB_CA!$B$44=12,DATE(YEAR(COB_CA!$B$22)+INT((MONTH(COB_CA!$B$22)-1+81)/12),MOD(MONTH(COB_CA!$B$22)-1+81,12)+1,1)+(DAY(COB_CA!$B$22)-1),IF(COB_CA!$B$44=24,COB_CA!$B$22+ROUND((81*365.25)/24,0),IF(COB_CA!$B$44=26,COB_CA!$B$22+1134,COB_CA!$B$22+567)))</f>
        <v/>
      </c>
      <c r="C86" s="14">
        <f>G85</f>
        <v/>
      </c>
      <c r="D86" s="14">
        <f>IF((A86&lt;=COB_CA!$B$58),ROUND(C86*COB_CA!$B$45,2),0)</f>
        <v/>
      </c>
      <c r="E86" s="14">
        <f>IF((A86&lt;=COB_CA!$B$58),IF(AND((A86&lt;=COB_CA!$B$58),ROUND(C86-ROUND(COB_CA!$B$59-D86,2),2)&lt;=0),C86,ROUND(COB_CA!$B$59-D86,2)),0)</f>
        <v/>
      </c>
      <c r="F86" s="14">
        <f>IF((A86&lt;=COB_CA!$B$58),IF(AND((A86&lt;=COB_CA!$B$58),ROUND(C86-ROUND(COB_CA!$B$59-D86,2),2)&lt;=0),ROUND(D86+E86,2),COB_CA!$B$59),0)</f>
        <v/>
      </c>
      <c r="G86" s="14">
        <f>IF((A86&lt;=COB_CA!$B$58),IF(AND((A86&lt;=COB_CA!$B$58),ROUND(C86-ROUND(COB_CA!$B$59-D86,2),2)&lt;=0),0,ROUND(C86-E86,2)),C86)</f>
        <v/>
      </c>
      <c r="H86" s="6">
        <f>AND(H85,C85&gt;0,(A86&lt;=COB_CA!$B$58))</f>
        <v/>
      </c>
    </row>
    <row r="87">
      <c r="A87" s="6" t="n">
        <v>83</v>
      </c>
      <c r="B87" s="17">
        <f>IF(COB_CA!$B$44=12,DATE(YEAR(COB_CA!$B$22)+INT((MONTH(COB_CA!$B$22)-1+82)/12),MOD(MONTH(COB_CA!$B$22)-1+82,12)+1,1)+(DAY(COB_CA!$B$22)-1),IF(COB_CA!$B$44=24,COB_CA!$B$22+ROUND((82*365.25)/24,0),IF(COB_CA!$B$44=26,COB_CA!$B$22+1148,COB_CA!$B$22+574)))</f>
        <v/>
      </c>
      <c r="C87" s="14">
        <f>G86</f>
        <v/>
      </c>
      <c r="D87" s="14">
        <f>IF((A87&lt;=COB_CA!$B$58),ROUND(C87*COB_CA!$B$45,2),0)</f>
        <v/>
      </c>
      <c r="E87" s="14">
        <f>IF((A87&lt;=COB_CA!$B$58),IF(AND((A87&lt;=COB_CA!$B$58),ROUND(C87-ROUND(COB_CA!$B$59-D87,2),2)&lt;=0),C87,ROUND(COB_CA!$B$59-D87,2)),0)</f>
        <v/>
      </c>
      <c r="F87" s="14">
        <f>IF((A87&lt;=COB_CA!$B$58),IF(AND((A87&lt;=COB_CA!$B$58),ROUND(C87-ROUND(COB_CA!$B$59-D87,2),2)&lt;=0),ROUND(D87+E87,2),COB_CA!$B$59),0)</f>
        <v/>
      </c>
      <c r="G87" s="14">
        <f>IF((A87&lt;=COB_CA!$B$58),IF(AND((A87&lt;=COB_CA!$B$58),ROUND(C87-ROUND(COB_CA!$B$59-D87,2),2)&lt;=0),0,ROUND(C87-E87,2)),C87)</f>
        <v/>
      </c>
      <c r="H87" s="6">
        <f>AND(H86,C86&gt;0,(A87&lt;=COB_CA!$B$58))</f>
        <v/>
      </c>
    </row>
    <row r="88">
      <c r="A88" s="6" t="n">
        <v>84</v>
      </c>
      <c r="B88" s="17">
        <f>IF(COB_CA!$B$44=12,DATE(YEAR(COB_CA!$B$22)+INT((MONTH(COB_CA!$B$22)-1+83)/12),MOD(MONTH(COB_CA!$B$22)-1+83,12)+1,1)+(DAY(COB_CA!$B$22)-1),IF(COB_CA!$B$44=24,COB_CA!$B$22+ROUND((83*365.25)/24,0),IF(COB_CA!$B$44=26,COB_CA!$B$22+1162,COB_CA!$B$22+581)))</f>
        <v/>
      </c>
      <c r="C88" s="14">
        <f>G87</f>
        <v/>
      </c>
      <c r="D88" s="14">
        <f>IF((A88&lt;=COB_CA!$B$58),ROUND(C88*COB_CA!$B$45,2),0)</f>
        <v/>
      </c>
      <c r="E88" s="14">
        <f>IF((A88&lt;=COB_CA!$B$58),IF(AND((A88&lt;=COB_CA!$B$58),ROUND(C88-ROUND(COB_CA!$B$59-D88,2),2)&lt;=0),C88,ROUND(COB_CA!$B$59-D88,2)),0)</f>
        <v/>
      </c>
      <c r="F88" s="14">
        <f>IF((A88&lt;=COB_CA!$B$58),IF(AND((A88&lt;=COB_CA!$B$58),ROUND(C88-ROUND(COB_CA!$B$59-D88,2),2)&lt;=0),ROUND(D88+E88,2),COB_CA!$B$59),0)</f>
        <v/>
      </c>
      <c r="G88" s="14">
        <f>IF((A88&lt;=COB_CA!$B$58),IF(AND((A88&lt;=COB_CA!$B$58),ROUND(C88-ROUND(COB_CA!$B$59-D88,2),2)&lt;=0),0,ROUND(C88-E88,2)),C88)</f>
        <v/>
      </c>
      <c r="H88" s="6">
        <f>AND(H87,C87&gt;0,(A88&lt;=COB_CA!$B$58))</f>
        <v/>
      </c>
    </row>
    <row r="89">
      <c r="A89" s="6" t="n">
        <v>85</v>
      </c>
      <c r="B89" s="17">
        <f>IF(COB_CA!$B$44=12,DATE(YEAR(COB_CA!$B$22)+INT((MONTH(COB_CA!$B$22)-1+84)/12),MOD(MONTH(COB_CA!$B$22)-1+84,12)+1,1)+(DAY(COB_CA!$B$22)-1),IF(COB_CA!$B$44=24,COB_CA!$B$22+ROUND((84*365.25)/24,0),IF(COB_CA!$B$44=26,COB_CA!$B$22+1176,COB_CA!$B$22+588)))</f>
        <v/>
      </c>
      <c r="C89" s="14">
        <f>G88</f>
        <v/>
      </c>
      <c r="D89" s="14">
        <f>IF((A89&lt;=COB_CA!$B$58),ROUND(C89*COB_CA!$B$45,2),0)</f>
        <v/>
      </c>
      <c r="E89" s="14">
        <f>IF((A89&lt;=COB_CA!$B$58),IF(AND((A89&lt;=COB_CA!$B$58),ROUND(C89-ROUND(COB_CA!$B$59-D89,2),2)&lt;=0),C89,ROUND(COB_CA!$B$59-D89,2)),0)</f>
        <v/>
      </c>
      <c r="F89" s="14">
        <f>IF((A89&lt;=COB_CA!$B$58),IF(AND((A89&lt;=COB_CA!$B$58),ROUND(C89-ROUND(COB_CA!$B$59-D89,2),2)&lt;=0),ROUND(D89+E89,2),COB_CA!$B$59),0)</f>
        <v/>
      </c>
      <c r="G89" s="14">
        <f>IF((A89&lt;=COB_CA!$B$58),IF(AND((A89&lt;=COB_CA!$B$58),ROUND(C89-ROUND(COB_CA!$B$59-D89,2),2)&lt;=0),0,ROUND(C89-E89,2)),C89)</f>
        <v/>
      </c>
      <c r="H89" s="6">
        <f>AND(H88,C88&gt;0,(A89&lt;=COB_CA!$B$58))</f>
        <v/>
      </c>
    </row>
    <row r="90">
      <c r="A90" s="6" t="n">
        <v>86</v>
      </c>
      <c r="B90" s="17">
        <f>IF(COB_CA!$B$44=12,DATE(YEAR(COB_CA!$B$22)+INT((MONTH(COB_CA!$B$22)-1+85)/12),MOD(MONTH(COB_CA!$B$22)-1+85,12)+1,1)+(DAY(COB_CA!$B$22)-1),IF(COB_CA!$B$44=24,COB_CA!$B$22+ROUND((85*365.25)/24,0),IF(COB_CA!$B$44=26,COB_CA!$B$22+1190,COB_CA!$B$22+595)))</f>
        <v/>
      </c>
      <c r="C90" s="14">
        <f>G89</f>
        <v/>
      </c>
      <c r="D90" s="14">
        <f>IF((A90&lt;=COB_CA!$B$58),ROUND(C90*COB_CA!$B$45,2),0)</f>
        <v/>
      </c>
      <c r="E90" s="14">
        <f>IF((A90&lt;=COB_CA!$B$58),IF(AND((A90&lt;=COB_CA!$B$58),ROUND(C90-ROUND(COB_CA!$B$59-D90,2),2)&lt;=0),C90,ROUND(COB_CA!$B$59-D90,2)),0)</f>
        <v/>
      </c>
      <c r="F90" s="14">
        <f>IF((A90&lt;=COB_CA!$B$58),IF(AND((A90&lt;=COB_CA!$B$58),ROUND(C90-ROUND(COB_CA!$B$59-D90,2),2)&lt;=0),ROUND(D90+E90,2),COB_CA!$B$59),0)</f>
        <v/>
      </c>
      <c r="G90" s="14">
        <f>IF((A90&lt;=COB_CA!$B$58),IF(AND((A90&lt;=COB_CA!$B$58),ROUND(C90-ROUND(COB_CA!$B$59-D90,2),2)&lt;=0),0,ROUND(C90-E90,2)),C90)</f>
        <v/>
      </c>
      <c r="H90" s="6">
        <f>AND(H89,C89&gt;0,(A90&lt;=COB_CA!$B$58))</f>
        <v/>
      </c>
    </row>
    <row r="91">
      <c r="A91" s="6" t="n">
        <v>87</v>
      </c>
      <c r="B91" s="17">
        <f>IF(COB_CA!$B$44=12,DATE(YEAR(COB_CA!$B$22)+INT((MONTH(COB_CA!$B$22)-1+86)/12),MOD(MONTH(COB_CA!$B$22)-1+86,12)+1,1)+(DAY(COB_CA!$B$22)-1),IF(COB_CA!$B$44=24,COB_CA!$B$22+ROUND((86*365.25)/24,0),IF(COB_CA!$B$44=26,COB_CA!$B$22+1204,COB_CA!$B$22+602)))</f>
        <v/>
      </c>
      <c r="C91" s="14">
        <f>G90</f>
        <v/>
      </c>
      <c r="D91" s="14">
        <f>IF((A91&lt;=COB_CA!$B$58),ROUND(C91*COB_CA!$B$45,2),0)</f>
        <v/>
      </c>
      <c r="E91" s="14">
        <f>IF((A91&lt;=COB_CA!$B$58),IF(AND((A91&lt;=COB_CA!$B$58),ROUND(C91-ROUND(COB_CA!$B$59-D91,2),2)&lt;=0),C91,ROUND(COB_CA!$B$59-D91,2)),0)</f>
        <v/>
      </c>
      <c r="F91" s="14">
        <f>IF((A91&lt;=COB_CA!$B$58),IF(AND((A91&lt;=COB_CA!$B$58),ROUND(C91-ROUND(COB_CA!$B$59-D91,2),2)&lt;=0),ROUND(D91+E91,2),COB_CA!$B$59),0)</f>
        <v/>
      </c>
      <c r="G91" s="14">
        <f>IF((A91&lt;=COB_CA!$B$58),IF(AND((A91&lt;=COB_CA!$B$58),ROUND(C91-ROUND(COB_CA!$B$59-D91,2),2)&lt;=0),0,ROUND(C91-E91,2)),C91)</f>
        <v/>
      </c>
      <c r="H91" s="6">
        <f>AND(H90,C90&gt;0,(A91&lt;=COB_CA!$B$58))</f>
        <v/>
      </c>
    </row>
    <row r="92">
      <c r="A92" s="6" t="n">
        <v>88</v>
      </c>
      <c r="B92" s="17">
        <f>IF(COB_CA!$B$44=12,DATE(YEAR(COB_CA!$B$22)+INT((MONTH(COB_CA!$B$22)-1+87)/12),MOD(MONTH(COB_CA!$B$22)-1+87,12)+1,1)+(DAY(COB_CA!$B$22)-1),IF(COB_CA!$B$44=24,COB_CA!$B$22+ROUND((87*365.25)/24,0),IF(COB_CA!$B$44=26,COB_CA!$B$22+1218,COB_CA!$B$22+609)))</f>
        <v/>
      </c>
      <c r="C92" s="14">
        <f>G91</f>
        <v/>
      </c>
      <c r="D92" s="14">
        <f>IF((A92&lt;=COB_CA!$B$58),ROUND(C92*COB_CA!$B$45,2),0)</f>
        <v/>
      </c>
      <c r="E92" s="14">
        <f>IF((A92&lt;=COB_CA!$B$58),IF(AND((A92&lt;=COB_CA!$B$58),ROUND(C92-ROUND(COB_CA!$B$59-D92,2),2)&lt;=0),C92,ROUND(COB_CA!$B$59-D92,2)),0)</f>
        <v/>
      </c>
      <c r="F92" s="14">
        <f>IF((A92&lt;=COB_CA!$B$58),IF(AND((A92&lt;=COB_CA!$B$58),ROUND(C92-ROUND(COB_CA!$B$59-D92,2),2)&lt;=0),ROUND(D92+E92,2),COB_CA!$B$59),0)</f>
        <v/>
      </c>
      <c r="G92" s="14">
        <f>IF((A92&lt;=COB_CA!$B$58),IF(AND((A92&lt;=COB_CA!$B$58),ROUND(C92-ROUND(COB_CA!$B$59-D92,2),2)&lt;=0),0,ROUND(C92-E92,2)),C92)</f>
        <v/>
      </c>
      <c r="H92" s="6">
        <f>AND(H91,C91&gt;0,(A92&lt;=COB_CA!$B$58))</f>
        <v/>
      </c>
    </row>
    <row r="93">
      <c r="A93" s="6" t="n">
        <v>89</v>
      </c>
      <c r="B93" s="17">
        <f>IF(COB_CA!$B$44=12,DATE(YEAR(COB_CA!$B$22)+INT((MONTH(COB_CA!$B$22)-1+88)/12),MOD(MONTH(COB_CA!$B$22)-1+88,12)+1,1)+(DAY(COB_CA!$B$22)-1),IF(COB_CA!$B$44=24,COB_CA!$B$22+ROUND((88*365.25)/24,0),IF(COB_CA!$B$44=26,COB_CA!$B$22+1232,COB_CA!$B$22+616)))</f>
        <v/>
      </c>
      <c r="C93" s="14">
        <f>G92</f>
        <v/>
      </c>
      <c r="D93" s="14">
        <f>IF((A93&lt;=COB_CA!$B$58),ROUND(C93*COB_CA!$B$45,2),0)</f>
        <v/>
      </c>
      <c r="E93" s="14">
        <f>IF((A93&lt;=COB_CA!$B$58),IF(AND((A93&lt;=COB_CA!$B$58),ROUND(C93-ROUND(COB_CA!$B$59-D93,2),2)&lt;=0),C93,ROUND(COB_CA!$B$59-D93,2)),0)</f>
        <v/>
      </c>
      <c r="F93" s="14">
        <f>IF((A93&lt;=COB_CA!$B$58),IF(AND((A93&lt;=COB_CA!$B$58),ROUND(C93-ROUND(COB_CA!$B$59-D93,2),2)&lt;=0),ROUND(D93+E93,2),COB_CA!$B$59),0)</f>
        <v/>
      </c>
      <c r="G93" s="14">
        <f>IF((A93&lt;=COB_CA!$B$58),IF(AND((A93&lt;=COB_CA!$B$58),ROUND(C93-ROUND(COB_CA!$B$59-D93,2),2)&lt;=0),0,ROUND(C93-E93,2)),C93)</f>
        <v/>
      </c>
      <c r="H93" s="6">
        <f>AND(H92,C92&gt;0,(A93&lt;=COB_CA!$B$58))</f>
        <v/>
      </c>
    </row>
    <row r="94">
      <c r="A94" s="6" t="n">
        <v>90</v>
      </c>
      <c r="B94" s="17">
        <f>IF(COB_CA!$B$44=12,DATE(YEAR(COB_CA!$B$22)+INT((MONTH(COB_CA!$B$22)-1+89)/12),MOD(MONTH(COB_CA!$B$22)-1+89,12)+1,1)+(DAY(COB_CA!$B$22)-1),IF(COB_CA!$B$44=24,COB_CA!$B$22+ROUND((89*365.25)/24,0),IF(COB_CA!$B$44=26,COB_CA!$B$22+1246,COB_CA!$B$22+623)))</f>
        <v/>
      </c>
      <c r="C94" s="14">
        <f>G93</f>
        <v/>
      </c>
      <c r="D94" s="14">
        <f>IF((A94&lt;=COB_CA!$B$58),ROUND(C94*COB_CA!$B$45,2),0)</f>
        <v/>
      </c>
      <c r="E94" s="14">
        <f>IF((A94&lt;=COB_CA!$B$58),IF(AND((A94&lt;=COB_CA!$B$58),ROUND(C94-ROUND(COB_CA!$B$59-D94,2),2)&lt;=0),C94,ROUND(COB_CA!$B$59-D94,2)),0)</f>
        <v/>
      </c>
      <c r="F94" s="14">
        <f>IF((A94&lt;=COB_CA!$B$58),IF(AND((A94&lt;=COB_CA!$B$58),ROUND(C94-ROUND(COB_CA!$B$59-D94,2),2)&lt;=0),ROUND(D94+E94,2),COB_CA!$B$59),0)</f>
        <v/>
      </c>
      <c r="G94" s="14">
        <f>IF((A94&lt;=COB_CA!$B$58),IF(AND((A94&lt;=COB_CA!$B$58),ROUND(C94-ROUND(COB_CA!$B$59-D94,2),2)&lt;=0),0,ROUND(C94-E94,2)),C94)</f>
        <v/>
      </c>
      <c r="H94" s="6">
        <f>AND(H93,C93&gt;0,(A94&lt;=COB_CA!$B$58))</f>
        <v/>
      </c>
    </row>
    <row r="95">
      <c r="A95" s="6" t="n">
        <v>91</v>
      </c>
      <c r="B95" s="17">
        <f>IF(COB_CA!$B$44=12,DATE(YEAR(COB_CA!$B$22)+INT((MONTH(COB_CA!$B$22)-1+90)/12),MOD(MONTH(COB_CA!$B$22)-1+90,12)+1,1)+(DAY(COB_CA!$B$22)-1),IF(COB_CA!$B$44=24,COB_CA!$B$22+ROUND((90*365.25)/24,0),IF(COB_CA!$B$44=26,COB_CA!$B$22+1260,COB_CA!$B$22+630)))</f>
        <v/>
      </c>
      <c r="C95" s="14">
        <f>G94</f>
        <v/>
      </c>
      <c r="D95" s="14">
        <f>IF((A95&lt;=COB_CA!$B$58),ROUND(C95*COB_CA!$B$45,2),0)</f>
        <v/>
      </c>
      <c r="E95" s="14">
        <f>IF((A95&lt;=COB_CA!$B$58),IF(AND((A95&lt;=COB_CA!$B$58),ROUND(C95-ROUND(COB_CA!$B$59-D95,2),2)&lt;=0),C95,ROUND(COB_CA!$B$59-D95,2)),0)</f>
        <v/>
      </c>
      <c r="F95" s="14">
        <f>IF((A95&lt;=COB_CA!$B$58),IF(AND((A95&lt;=COB_CA!$B$58),ROUND(C95-ROUND(COB_CA!$B$59-D95,2),2)&lt;=0),ROUND(D95+E95,2),COB_CA!$B$59),0)</f>
        <v/>
      </c>
      <c r="G95" s="14">
        <f>IF((A95&lt;=COB_CA!$B$58),IF(AND((A95&lt;=COB_CA!$B$58),ROUND(C95-ROUND(COB_CA!$B$59-D95,2),2)&lt;=0),0,ROUND(C95-E95,2)),C95)</f>
        <v/>
      </c>
      <c r="H95" s="6">
        <f>AND(H94,C94&gt;0,(A95&lt;=COB_CA!$B$58))</f>
        <v/>
      </c>
    </row>
    <row r="96">
      <c r="A96" s="6" t="n">
        <v>92</v>
      </c>
      <c r="B96" s="17">
        <f>IF(COB_CA!$B$44=12,DATE(YEAR(COB_CA!$B$22)+INT((MONTH(COB_CA!$B$22)-1+91)/12),MOD(MONTH(COB_CA!$B$22)-1+91,12)+1,1)+(DAY(COB_CA!$B$22)-1),IF(COB_CA!$B$44=24,COB_CA!$B$22+ROUND((91*365.25)/24,0),IF(COB_CA!$B$44=26,COB_CA!$B$22+1274,COB_CA!$B$22+637)))</f>
        <v/>
      </c>
      <c r="C96" s="14">
        <f>G95</f>
        <v/>
      </c>
      <c r="D96" s="14">
        <f>IF((A96&lt;=COB_CA!$B$58),ROUND(C96*COB_CA!$B$45,2),0)</f>
        <v/>
      </c>
      <c r="E96" s="14">
        <f>IF((A96&lt;=COB_CA!$B$58),IF(AND((A96&lt;=COB_CA!$B$58),ROUND(C96-ROUND(COB_CA!$B$59-D96,2),2)&lt;=0),C96,ROUND(COB_CA!$B$59-D96,2)),0)</f>
        <v/>
      </c>
      <c r="F96" s="14">
        <f>IF((A96&lt;=COB_CA!$B$58),IF(AND((A96&lt;=COB_CA!$B$58),ROUND(C96-ROUND(COB_CA!$B$59-D96,2),2)&lt;=0),ROUND(D96+E96,2),COB_CA!$B$59),0)</f>
        <v/>
      </c>
      <c r="G96" s="14">
        <f>IF((A96&lt;=COB_CA!$B$58),IF(AND((A96&lt;=COB_CA!$B$58),ROUND(C96-ROUND(COB_CA!$B$59-D96,2),2)&lt;=0),0,ROUND(C96-E96,2)),C96)</f>
        <v/>
      </c>
      <c r="H96" s="6">
        <f>AND(H95,C95&gt;0,(A96&lt;=COB_CA!$B$58))</f>
        <v/>
      </c>
    </row>
    <row r="97">
      <c r="A97" s="6" t="n">
        <v>93</v>
      </c>
      <c r="B97" s="17">
        <f>IF(COB_CA!$B$44=12,DATE(YEAR(COB_CA!$B$22)+INT((MONTH(COB_CA!$B$22)-1+92)/12),MOD(MONTH(COB_CA!$B$22)-1+92,12)+1,1)+(DAY(COB_CA!$B$22)-1),IF(COB_CA!$B$44=24,COB_CA!$B$22+ROUND((92*365.25)/24,0),IF(COB_CA!$B$44=26,COB_CA!$B$22+1288,COB_CA!$B$22+644)))</f>
        <v/>
      </c>
      <c r="C97" s="14">
        <f>G96</f>
        <v/>
      </c>
      <c r="D97" s="14">
        <f>IF((A97&lt;=COB_CA!$B$58),ROUND(C97*COB_CA!$B$45,2),0)</f>
        <v/>
      </c>
      <c r="E97" s="14">
        <f>IF((A97&lt;=COB_CA!$B$58),IF(AND((A97&lt;=COB_CA!$B$58),ROUND(C97-ROUND(COB_CA!$B$59-D97,2),2)&lt;=0),C97,ROUND(COB_CA!$B$59-D97,2)),0)</f>
        <v/>
      </c>
      <c r="F97" s="14">
        <f>IF((A97&lt;=COB_CA!$B$58),IF(AND((A97&lt;=COB_CA!$B$58),ROUND(C97-ROUND(COB_CA!$B$59-D97,2),2)&lt;=0),ROUND(D97+E97,2),COB_CA!$B$59),0)</f>
        <v/>
      </c>
      <c r="G97" s="14">
        <f>IF((A97&lt;=COB_CA!$B$58),IF(AND((A97&lt;=COB_CA!$B$58),ROUND(C97-ROUND(COB_CA!$B$59-D97,2),2)&lt;=0),0,ROUND(C97-E97,2)),C97)</f>
        <v/>
      </c>
      <c r="H97" s="6">
        <f>AND(H96,C96&gt;0,(A97&lt;=COB_CA!$B$58))</f>
        <v/>
      </c>
    </row>
    <row r="98">
      <c r="A98" s="6" t="n">
        <v>94</v>
      </c>
      <c r="B98" s="17">
        <f>IF(COB_CA!$B$44=12,DATE(YEAR(COB_CA!$B$22)+INT((MONTH(COB_CA!$B$22)-1+93)/12),MOD(MONTH(COB_CA!$B$22)-1+93,12)+1,1)+(DAY(COB_CA!$B$22)-1),IF(COB_CA!$B$44=24,COB_CA!$B$22+ROUND((93*365.25)/24,0),IF(COB_CA!$B$44=26,COB_CA!$B$22+1302,COB_CA!$B$22+651)))</f>
        <v/>
      </c>
      <c r="C98" s="14">
        <f>G97</f>
        <v/>
      </c>
      <c r="D98" s="14">
        <f>IF((A98&lt;=COB_CA!$B$58),ROUND(C98*COB_CA!$B$45,2),0)</f>
        <v/>
      </c>
      <c r="E98" s="14">
        <f>IF((A98&lt;=COB_CA!$B$58),IF(AND((A98&lt;=COB_CA!$B$58),ROUND(C98-ROUND(COB_CA!$B$59-D98,2),2)&lt;=0),C98,ROUND(COB_CA!$B$59-D98,2)),0)</f>
        <v/>
      </c>
      <c r="F98" s="14">
        <f>IF((A98&lt;=COB_CA!$B$58),IF(AND((A98&lt;=COB_CA!$B$58),ROUND(C98-ROUND(COB_CA!$B$59-D98,2),2)&lt;=0),ROUND(D98+E98,2),COB_CA!$B$59),0)</f>
        <v/>
      </c>
      <c r="G98" s="14">
        <f>IF((A98&lt;=COB_CA!$B$58),IF(AND((A98&lt;=COB_CA!$B$58),ROUND(C98-ROUND(COB_CA!$B$59-D98,2),2)&lt;=0),0,ROUND(C98-E98,2)),C98)</f>
        <v/>
      </c>
      <c r="H98" s="6">
        <f>AND(H97,C97&gt;0,(A98&lt;=COB_CA!$B$58))</f>
        <v/>
      </c>
    </row>
    <row r="99">
      <c r="A99" s="6" t="n">
        <v>95</v>
      </c>
      <c r="B99" s="17">
        <f>IF(COB_CA!$B$44=12,DATE(YEAR(COB_CA!$B$22)+INT((MONTH(COB_CA!$B$22)-1+94)/12),MOD(MONTH(COB_CA!$B$22)-1+94,12)+1,1)+(DAY(COB_CA!$B$22)-1),IF(COB_CA!$B$44=24,COB_CA!$B$22+ROUND((94*365.25)/24,0),IF(COB_CA!$B$44=26,COB_CA!$B$22+1316,COB_CA!$B$22+658)))</f>
        <v/>
      </c>
      <c r="C99" s="14">
        <f>G98</f>
        <v/>
      </c>
      <c r="D99" s="14">
        <f>IF((A99&lt;=COB_CA!$B$58),ROUND(C99*COB_CA!$B$45,2),0)</f>
        <v/>
      </c>
      <c r="E99" s="14">
        <f>IF((A99&lt;=COB_CA!$B$58),IF(AND((A99&lt;=COB_CA!$B$58),ROUND(C99-ROUND(COB_CA!$B$59-D99,2),2)&lt;=0),C99,ROUND(COB_CA!$B$59-D99,2)),0)</f>
        <v/>
      </c>
      <c r="F99" s="14">
        <f>IF((A99&lt;=COB_CA!$B$58),IF(AND((A99&lt;=COB_CA!$B$58),ROUND(C99-ROUND(COB_CA!$B$59-D99,2),2)&lt;=0),ROUND(D99+E99,2),COB_CA!$B$59),0)</f>
        <v/>
      </c>
      <c r="G99" s="14">
        <f>IF((A99&lt;=COB_CA!$B$58),IF(AND((A99&lt;=COB_CA!$B$58),ROUND(C99-ROUND(COB_CA!$B$59-D99,2),2)&lt;=0),0,ROUND(C99-E99,2)),C99)</f>
        <v/>
      </c>
      <c r="H99" s="6">
        <f>AND(H98,C98&gt;0,(A99&lt;=COB_CA!$B$58))</f>
        <v/>
      </c>
    </row>
    <row r="100">
      <c r="A100" s="6" t="n">
        <v>96</v>
      </c>
      <c r="B100" s="17">
        <f>IF(COB_CA!$B$44=12,DATE(YEAR(COB_CA!$B$22)+INT((MONTH(COB_CA!$B$22)-1+95)/12),MOD(MONTH(COB_CA!$B$22)-1+95,12)+1,1)+(DAY(COB_CA!$B$22)-1),IF(COB_CA!$B$44=24,COB_CA!$B$22+ROUND((95*365.25)/24,0),IF(COB_CA!$B$44=26,COB_CA!$B$22+1330,COB_CA!$B$22+665)))</f>
        <v/>
      </c>
      <c r="C100" s="14">
        <f>G99</f>
        <v/>
      </c>
      <c r="D100" s="14">
        <f>IF((A100&lt;=COB_CA!$B$58),ROUND(C100*COB_CA!$B$45,2),0)</f>
        <v/>
      </c>
      <c r="E100" s="14">
        <f>IF((A100&lt;=COB_CA!$B$58),IF(AND((A100&lt;=COB_CA!$B$58),ROUND(C100-ROUND(COB_CA!$B$59-D100,2),2)&lt;=0),C100,ROUND(COB_CA!$B$59-D100,2)),0)</f>
        <v/>
      </c>
      <c r="F100" s="14">
        <f>IF((A100&lt;=COB_CA!$B$58),IF(AND((A100&lt;=COB_CA!$B$58),ROUND(C100-ROUND(COB_CA!$B$59-D100,2),2)&lt;=0),ROUND(D100+E100,2),COB_CA!$B$59),0)</f>
        <v/>
      </c>
      <c r="G100" s="14">
        <f>IF((A100&lt;=COB_CA!$B$58),IF(AND((A100&lt;=COB_CA!$B$58),ROUND(C100-ROUND(COB_CA!$B$59-D100,2),2)&lt;=0),0,ROUND(C100-E100,2)),C100)</f>
        <v/>
      </c>
      <c r="H100" s="6">
        <f>AND(H99,C99&gt;0,(A100&lt;=COB_CA!$B$58))</f>
        <v/>
      </c>
    </row>
    <row r="101">
      <c r="A101" s="6" t="n">
        <v>97</v>
      </c>
      <c r="B101" s="17">
        <f>IF(COB_CA!$B$44=12,DATE(YEAR(COB_CA!$B$22)+INT((MONTH(COB_CA!$B$22)-1+96)/12),MOD(MONTH(COB_CA!$B$22)-1+96,12)+1,1)+(DAY(COB_CA!$B$22)-1),IF(COB_CA!$B$44=24,COB_CA!$B$22+ROUND((96*365.25)/24,0),IF(COB_CA!$B$44=26,COB_CA!$B$22+1344,COB_CA!$B$22+672)))</f>
        <v/>
      </c>
      <c r="C101" s="14">
        <f>G100</f>
        <v/>
      </c>
      <c r="D101" s="14">
        <f>IF((A101&lt;=COB_CA!$B$58),ROUND(C101*COB_CA!$B$45,2),0)</f>
        <v/>
      </c>
      <c r="E101" s="14">
        <f>IF((A101&lt;=COB_CA!$B$58),IF(AND((A101&lt;=COB_CA!$B$58),ROUND(C101-ROUND(COB_CA!$B$59-D101,2),2)&lt;=0),C101,ROUND(COB_CA!$B$59-D101,2)),0)</f>
        <v/>
      </c>
      <c r="F101" s="14">
        <f>IF((A101&lt;=COB_CA!$B$58),IF(AND((A101&lt;=COB_CA!$B$58),ROUND(C101-ROUND(COB_CA!$B$59-D101,2),2)&lt;=0),ROUND(D101+E101,2),COB_CA!$B$59),0)</f>
        <v/>
      </c>
      <c r="G101" s="14">
        <f>IF((A101&lt;=COB_CA!$B$58),IF(AND((A101&lt;=COB_CA!$B$58),ROUND(C101-ROUND(COB_CA!$B$59-D101,2),2)&lt;=0),0,ROUND(C101-E101,2)),C101)</f>
        <v/>
      </c>
      <c r="H101" s="6">
        <f>AND(H100,C100&gt;0,(A101&lt;=COB_CA!$B$58))</f>
        <v/>
      </c>
    </row>
    <row r="102">
      <c r="A102" s="6" t="n">
        <v>98</v>
      </c>
      <c r="B102" s="17">
        <f>IF(COB_CA!$B$44=12,DATE(YEAR(COB_CA!$B$22)+INT((MONTH(COB_CA!$B$22)-1+97)/12),MOD(MONTH(COB_CA!$B$22)-1+97,12)+1,1)+(DAY(COB_CA!$B$22)-1),IF(COB_CA!$B$44=24,COB_CA!$B$22+ROUND((97*365.25)/24,0),IF(COB_CA!$B$44=26,COB_CA!$B$22+1358,COB_CA!$B$22+679)))</f>
        <v/>
      </c>
      <c r="C102" s="14">
        <f>G101</f>
        <v/>
      </c>
      <c r="D102" s="14">
        <f>IF((A102&lt;=COB_CA!$B$58),ROUND(C102*COB_CA!$B$45,2),0)</f>
        <v/>
      </c>
      <c r="E102" s="14">
        <f>IF((A102&lt;=COB_CA!$B$58),IF(AND((A102&lt;=COB_CA!$B$58),ROUND(C102-ROUND(COB_CA!$B$59-D102,2),2)&lt;=0),C102,ROUND(COB_CA!$B$59-D102,2)),0)</f>
        <v/>
      </c>
      <c r="F102" s="14">
        <f>IF((A102&lt;=COB_CA!$B$58),IF(AND((A102&lt;=COB_CA!$B$58),ROUND(C102-ROUND(COB_CA!$B$59-D102,2),2)&lt;=0),ROUND(D102+E102,2),COB_CA!$B$59),0)</f>
        <v/>
      </c>
      <c r="G102" s="14">
        <f>IF((A102&lt;=COB_CA!$B$58),IF(AND((A102&lt;=COB_CA!$B$58),ROUND(C102-ROUND(COB_CA!$B$59-D102,2),2)&lt;=0),0,ROUND(C102-E102,2)),C102)</f>
        <v/>
      </c>
      <c r="H102" s="6">
        <f>AND(H101,C101&gt;0,(A102&lt;=COB_CA!$B$58))</f>
        <v/>
      </c>
    </row>
    <row r="103">
      <c r="A103" s="6" t="n">
        <v>99</v>
      </c>
      <c r="B103" s="17">
        <f>IF(COB_CA!$B$44=12,DATE(YEAR(COB_CA!$B$22)+INT((MONTH(COB_CA!$B$22)-1+98)/12),MOD(MONTH(COB_CA!$B$22)-1+98,12)+1,1)+(DAY(COB_CA!$B$22)-1),IF(COB_CA!$B$44=24,COB_CA!$B$22+ROUND((98*365.25)/24,0),IF(COB_CA!$B$44=26,COB_CA!$B$22+1372,COB_CA!$B$22+686)))</f>
        <v/>
      </c>
      <c r="C103" s="14">
        <f>G102</f>
        <v/>
      </c>
      <c r="D103" s="14">
        <f>IF((A103&lt;=COB_CA!$B$58),ROUND(C103*COB_CA!$B$45,2),0)</f>
        <v/>
      </c>
      <c r="E103" s="14">
        <f>IF((A103&lt;=COB_CA!$B$58),IF(AND((A103&lt;=COB_CA!$B$58),ROUND(C103-ROUND(COB_CA!$B$59-D103,2),2)&lt;=0),C103,ROUND(COB_CA!$B$59-D103,2)),0)</f>
        <v/>
      </c>
      <c r="F103" s="14">
        <f>IF((A103&lt;=COB_CA!$B$58),IF(AND((A103&lt;=COB_CA!$B$58),ROUND(C103-ROUND(COB_CA!$B$59-D103,2),2)&lt;=0),ROUND(D103+E103,2),COB_CA!$B$59),0)</f>
        <v/>
      </c>
      <c r="G103" s="14">
        <f>IF((A103&lt;=COB_CA!$B$58),IF(AND((A103&lt;=COB_CA!$B$58),ROUND(C103-ROUND(COB_CA!$B$59-D103,2),2)&lt;=0),0,ROUND(C103-E103,2)),C103)</f>
        <v/>
      </c>
      <c r="H103" s="6">
        <f>AND(H102,C102&gt;0,(A103&lt;=COB_CA!$B$58))</f>
        <v/>
      </c>
    </row>
    <row r="104">
      <c r="A104" s="6" t="n">
        <v>100</v>
      </c>
      <c r="B104" s="17">
        <f>IF(COB_CA!$B$44=12,DATE(YEAR(COB_CA!$B$22)+INT((MONTH(COB_CA!$B$22)-1+99)/12),MOD(MONTH(COB_CA!$B$22)-1+99,12)+1,1)+(DAY(COB_CA!$B$22)-1),IF(COB_CA!$B$44=24,COB_CA!$B$22+ROUND((99*365.25)/24,0),IF(COB_CA!$B$44=26,COB_CA!$B$22+1386,COB_CA!$B$22+693)))</f>
        <v/>
      </c>
      <c r="C104" s="14">
        <f>G103</f>
        <v/>
      </c>
      <c r="D104" s="14">
        <f>IF((A104&lt;=COB_CA!$B$58),ROUND(C104*COB_CA!$B$45,2),0)</f>
        <v/>
      </c>
      <c r="E104" s="14">
        <f>IF((A104&lt;=COB_CA!$B$58),IF(AND((A104&lt;=COB_CA!$B$58),ROUND(C104-ROUND(COB_CA!$B$59-D104,2),2)&lt;=0),C104,ROUND(COB_CA!$B$59-D104,2)),0)</f>
        <v/>
      </c>
      <c r="F104" s="14">
        <f>IF((A104&lt;=COB_CA!$B$58),IF(AND((A104&lt;=COB_CA!$B$58),ROUND(C104-ROUND(COB_CA!$B$59-D104,2),2)&lt;=0),ROUND(D104+E104,2),COB_CA!$B$59),0)</f>
        <v/>
      </c>
      <c r="G104" s="14">
        <f>IF((A104&lt;=COB_CA!$B$58),IF(AND((A104&lt;=COB_CA!$B$58),ROUND(C104-ROUND(COB_CA!$B$59-D104,2),2)&lt;=0),0,ROUND(C104-E104,2)),C104)</f>
        <v/>
      </c>
      <c r="H104" s="6">
        <f>AND(H103,C103&gt;0,(A104&lt;=COB_CA!$B$58))</f>
        <v/>
      </c>
    </row>
    <row r="105">
      <c r="A105" s="6" t="n">
        <v>101</v>
      </c>
      <c r="B105" s="17">
        <f>IF(COB_CA!$B$44=12,DATE(YEAR(COB_CA!$B$22)+INT((MONTH(COB_CA!$B$22)-1+100)/12),MOD(MONTH(COB_CA!$B$22)-1+100,12)+1,1)+(DAY(COB_CA!$B$22)-1),IF(COB_CA!$B$44=24,COB_CA!$B$22+ROUND((100*365.25)/24,0),IF(COB_CA!$B$44=26,COB_CA!$B$22+1400,COB_CA!$B$22+700)))</f>
        <v/>
      </c>
      <c r="C105" s="14">
        <f>G104</f>
        <v/>
      </c>
      <c r="D105" s="14">
        <f>IF((A105&lt;=COB_CA!$B$58),ROUND(C105*COB_CA!$B$45,2),0)</f>
        <v/>
      </c>
      <c r="E105" s="14">
        <f>IF((A105&lt;=COB_CA!$B$58),IF(AND((A105&lt;=COB_CA!$B$58),ROUND(C105-ROUND(COB_CA!$B$59-D105,2),2)&lt;=0),C105,ROUND(COB_CA!$B$59-D105,2)),0)</f>
        <v/>
      </c>
      <c r="F105" s="14">
        <f>IF((A105&lt;=COB_CA!$B$58),IF(AND((A105&lt;=COB_CA!$B$58),ROUND(C105-ROUND(COB_CA!$B$59-D105,2),2)&lt;=0),ROUND(D105+E105,2),COB_CA!$B$59),0)</f>
        <v/>
      </c>
      <c r="G105" s="14">
        <f>IF((A105&lt;=COB_CA!$B$58),IF(AND((A105&lt;=COB_CA!$B$58),ROUND(C105-ROUND(COB_CA!$B$59-D105,2),2)&lt;=0),0,ROUND(C105-E105,2)),C105)</f>
        <v/>
      </c>
      <c r="H105" s="6">
        <f>AND(H104,C104&gt;0,(A105&lt;=COB_CA!$B$58))</f>
        <v/>
      </c>
    </row>
    <row r="106">
      <c r="A106" s="6" t="n">
        <v>102</v>
      </c>
      <c r="B106" s="17">
        <f>IF(COB_CA!$B$44=12,DATE(YEAR(COB_CA!$B$22)+INT((MONTH(COB_CA!$B$22)-1+101)/12),MOD(MONTH(COB_CA!$B$22)-1+101,12)+1,1)+(DAY(COB_CA!$B$22)-1),IF(COB_CA!$B$44=24,COB_CA!$B$22+ROUND((101*365.25)/24,0),IF(COB_CA!$B$44=26,COB_CA!$B$22+1414,COB_CA!$B$22+707)))</f>
        <v/>
      </c>
      <c r="C106" s="14">
        <f>G105</f>
        <v/>
      </c>
      <c r="D106" s="14">
        <f>IF((A106&lt;=COB_CA!$B$58),ROUND(C106*COB_CA!$B$45,2),0)</f>
        <v/>
      </c>
      <c r="E106" s="14">
        <f>IF((A106&lt;=COB_CA!$B$58),IF(AND((A106&lt;=COB_CA!$B$58),ROUND(C106-ROUND(COB_CA!$B$59-D106,2),2)&lt;=0),C106,ROUND(COB_CA!$B$59-D106,2)),0)</f>
        <v/>
      </c>
      <c r="F106" s="14">
        <f>IF((A106&lt;=COB_CA!$B$58),IF(AND((A106&lt;=COB_CA!$B$58),ROUND(C106-ROUND(COB_CA!$B$59-D106,2),2)&lt;=0),ROUND(D106+E106,2),COB_CA!$B$59),0)</f>
        <v/>
      </c>
      <c r="G106" s="14">
        <f>IF((A106&lt;=COB_CA!$B$58),IF(AND((A106&lt;=COB_CA!$B$58),ROUND(C106-ROUND(COB_CA!$B$59-D106,2),2)&lt;=0),0,ROUND(C106-E106,2)),C106)</f>
        <v/>
      </c>
      <c r="H106" s="6">
        <f>AND(H105,C105&gt;0,(A106&lt;=COB_CA!$B$58))</f>
        <v/>
      </c>
    </row>
    <row r="107">
      <c r="A107" s="6" t="n">
        <v>103</v>
      </c>
      <c r="B107" s="17">
        <f>IF(COB_CA!$B$44=12,DATE(YEAR(COB_CA!$B$22)+INT((MONTH(COB_CA!$B$22)-1+102)/12),MOD(MONTH(COB_CA!$B$22)-1+102,12)+1,1)+(DAY(COB_CA!$B$22)-1),IF(COB_CA!$B$44=24,COB_CA!$B$22+ROUND((102*365.25)/24,0),IF(COB_CA!$B$44=26,COB_CA!$B$22+1428,COB_CA!$B$22+714)))</f>
        <v/>
      </c>
      <c r="C107" s="14">
        <f>G106</f>
        <v/>
      </c>
      <c r="D107" s="14">
        <f>IF((A107&lt;=COB_CA!$B$58),ROUND(C107*COB_CA!$B$45,2),0)</f>
        <v/>
      </c>
      <c r="E107" s="14">
        <f>IF((A107&lt;=COB_CA!$B$58),IF(AND((A107&lt;=COB_CA!$B$58),ROUND(C107-ROUND(COB_CA!$B$59-D107,2),2)&lt;=0),C107,ROUND(COB_CA!$B$59-D107,2)),0)</f>
        <v/>
      </c>
      <c r="F107" s="14">
        <f>IF((A107&lt;=COB_CA!$B$58),IF(AND((A107&lt;=COB_CA!$B$58),ROUND(C107-ROUND(COB_CA!$B$59-D107,2),2)&lt;=0),ROUND(D107+E107,2),COB_CA!$B$59),0)</f>
        <v/>
      </c>
      <c r="G107" s="14">
        <f>IF((A107&lt;=COB_CA!$B$58),IF(AND((A107&lt;=COB_CA!$B$58),ROUND(C107-ROUND(COB_CA!$B$59-D107,2),2)&lt;=0),0,ROUND(C107-E107,2)),C107)</f>
        <v/>
      </c>
      <c r="H107" s="6">
        <f>AND(H106,C106&gt;0,(A107&lt;=COB_CA!$B$58))</f>
        <v/>
      </c>
    </row>
    <row r="108">
      <c r="A108" s="6" t="n">
        <v>104</v>
      </c>
      <c r="B108" s="17">
        <f>IF(COB_CA!$B$44=12,DATE(YEAR(COB_CA!$B$22)+INT((MONTH(COB_CA!$B$22)-1+103)/12),MOD(MONTH(COB_CA!$B$22)-1+103,12)+1,1)+(DAY(COB_CA!$B$22)-1),IF(COB_CA!$B$44=24,COB_CA!$B$22+ROUND((103*365.25)/24,0),IF(COB_CA!$B$44=26,COB_CA!$B$22+1442,COB_CA!$B$22+721)))</f>
        <v/>
      </c>
      <c r="C108" s="14">
        <f>G107</f>
        <v/>
      </c>
      <c r="D108" s="14">
        <f>IF((A108&lt;=COB_CA!$B$58),ROUND(C108*COB_CA!$B$45,2),0)</f>
        <v/>
      </c>
      <c r="E108" s="14">
        <f>IF((A108&lt;=COB_CA!$B$58),IF(AND((A108&lt;=COB_CA!$B$58),ROUND(C108-ROUND(COB_CA!$B$59-D108,2),2)&lt;=0),C108,ROUND(COB_CA!$B$59-D108,2)),0)</f>
        <v/>
      </c>
      <c r="F108" s="14">
        <f>IF((A108&lt;=COB_CA!$B$58),IF(AND((A108&lt;=COB_CA!$B$58),ROUND(C108-ROUND(COB_CA!$B$59-D108,2),2)&lt;=0),ROUND(D108+E108,2),COB_CA!$B$59),0)</f>
        <v/>
      </c>
      <c r="G108" s="14">
        <f>IF((A108&lt;=COB_CA!$B$58),IF(AND((A108&lt;=COB_CA!$B$58),ROUND(C108-ROUND(COB_CA!$B$59-D108,2),2)&lt;=0),0,ROUND(C108-E108,2)),C108)</f>
        <v/>
      </c>
      <c r="H108" s="6">
        <f>AND(H107,C107&gt;0,(A108&lt;=COB_CA!$B$58))</f>
        <v/>
      </c>
    </row>
    <row r="109">
      <c r="A109" s="6" t="n">
        <v>105</v>
      </c>
      <c r="B109" s="17">
        <f>IF(COB_CA!$B$44=12,DATE(YEAR(COB_CA!$B$22)+INT((MONTH(COB_CA!$B$22)-1+104)/12),MOD(MONTH(COB_CA!$B$22)-1+104,12)+1,1)+(DAY(COB_CA!$B$22)-1),IF(COB_CA!$B$44=24,COB_CA!$B$22+ROUND((104*365.25)/24,0),IF(COB_CA!$B$44=26,COB_CA!$B$22+1456,COB_CA!$B$22+728)))</f>
        <v/>
      </c>
      <c r="C109" s="14">
        <f>G108</f>
        <v/>
      </c>
      <c r="D109" s="14">
        <f>IF((A109&lt;=COB_CA!$B$58),ROUND(C109*COB_CA!$B$45,2),0)</f>
        <v/>
      </c>
      <c r="E109" s="14">
        <f>IF((A109&lt;=COB_CA!$B$58),IF(AND((A109&lt;=COB_CA!$B$58),ROUND(C109-ROUND(COB_CA!$B$59-D109,2),2)&lt;=0),C109,ROUND(COB_CA!$B$59-D109,2)),0)</f>
        <v/>
      </c>
      <c r="F109" s="14">
        <f>IF((A109&lt;=COB_CA!$B$58),IF(AND((A109&lt;=COB_CA!$B$58),ROUND(C109-ROUND(COB_CA!$B$59-D109,2),2)&lt;=0),ROUND(D109+E109,2),COB_CA!$B$59),0)</f>
        <v/>
      </c>
      <c r="G109" s="14">
        <f>IF((A109&lt;=COB_CA!$B$58),IF(AND((A109&lt;=COB_CA!$B$58),ROUND(C109-ROUND(COB_CA!$B$59-D109,2),2)&lt;=0),0,ROUND(C109-E109,2)),C109)</f>
        <v/>
      </c>
      <c r="H109" s="6">
        <f>AND(H108,C108&gt;0,(A109&lt;=COB_CA!$B$58))</f>
        <v/>
      </c>
    </row>
    <row r="110">
      <c r="A110" s="6" t="n">
        <v>106</v>
      </c>
      <c r="B110" s="17">
        <f>IF(COB_CA!$B$44=12,DATE(YEAR(COB_CA!$B$22)+INT((MONTH(COB_CA!$B$22)-1+105)/12),MOD(MONTH(COB_CA!$B$22)-1+105,12)+1,1)+(DAY(COB_CA!$B$22)-1),IF(COB_CA!$B$44=24,COB_CA!$B$22+ROUND((105*365.25)/24,0),IF(COB_CA!$B$44=26,COB_CA!$B$22+1470,COB_CA!$B$22+735)))</f>
        <v/>
      </c>
      <c r="C110" s="14">
        <f>G109</f>
        <v/>
      </c>
      <c r="D110" s="14">
        <f>IF((A110&lt;=COB_CA!$B$58),ROUND(C110*COB_CA!$B$45,2),0)</f>
        <v/>
      </c>
      <c r="E110" s="14">
        <f>IF((A110&lt;=COB_CA!$B$58),IF(AND((A110&lt;=COB_CA!$B$58),ROUND(C110-ROUND(COB_CA!$B$59-D110,2),2)&lt;=0),C110,ROUND(COB_CA!$B$59-D110,2)),0)</f>
        <v/>
      </c>
      <c r="F110" s="14">
        <f>IF((A110&lt;=COB_CA!$B$58),IF(AND((A110&lt;=COB_CA!$B$58),ROUND(C110-ROUND(COB_CA!$B$59-D110,2),2)&lt;=0),ROUND(D110+E110,2),COB_CA!$B$59),0)</f>
        <v/>
      </c>
      <c r="G110" s="14">
        <f>IF((A110&lt;=COB_CA!$B$58),IF(AND((A110&lt;=COB_CA!$B$58),ROUND(C110-ROUND(COB_CA!$B$59-D110,2),2)&lt;=0),0,ROUND(C110-E110,2)),C110)</f>
        <v/>
      </c>
      <c r="H110" s="6">
        <f>AND(H109,C109&gt;0,(A110&lt;=COB_CA!$B$58))</f>
        <v/>
      </c>
    </row>
    <row r="111">
      <c r="A111" s="6" t="n">
        <v>107</v>
      </c>
      <c r="B111" s="17">
        <f>IF(COB_CA!$B$44=12,DATE(YEAR(COB_CA!$B$22)+INT((MONTH(COB_CA!$B$22)-1+106)/12),MOD(MONTH(COB_CA!$B$22)-1+106,12)+1,1)+(DAY(COB_CA!$B$22)-1),IF(COB_CA!$B$44=24,COB_CA!$B$22+ROUND((106*365.25)/24,0),IF(COB_CA!$B$44=26,COB_CA!$B$22+1484,COB_CA!$B$22+742)))</f>
        <v/>
      </c>
      <c r="C111" s="14">
        <f>G110</f>
        <v/>
      </c>
      <c r="D111" s="14">
        <f>IF((A111&lt;=COB_CA!$B$58),ROUND(C111*COB_CA!$B$45,2),0)</f>
        <v/>
      </c>
      <c r="E111" s="14">
        <f>IF((A111&lt;=COB_CA!$B$58),IF(AND((A111&lt;=COB_CA!$B$58),ROUND(C111-ROUND(COB_CA!$B$59-D111,2),2)&lt;=0),C111,ROUND(COB_CA!$B$59-D111,2)),0)</f>
        <v/>
      </c>
      <c r="F111" s="14">
        <f>IF((A111&lt;=COB_CA!$B$58),IF(AND((A111&lt;=COB_CA!$B$58),ROUND(C111-ROUND(COB_CA!$B$59-D111,2),2)&lt;=0),ROUND(D111+E111,2),COB_CA!$B$59),0)</f>
        <v/>
      </c>
      <c r="G111" s="14">
        <f>IF((A111&lt;=COB_CA!$B$58),IF(AND((A111&lt;=COB_CA!$B$58),ROUND(C111-ROUND(COB_CA!$B$59-D111,2),2)&lt;=0),0,ROUND(C111-E111,2)),C111)</f>
        <v/>
      </c>
      <c r="H111" s="6">
        <f>AND(H110,C110&gt;0,(A111&lt;=COB_CA!$B$58))</f>
        <v/>
      </c>
    </row>
    <row r="112">
      <c r="A112" s="6" t="n">
        <v>108</v>
      </c>
      <c r="B112" s="17">
        <f>IF(COB_CA!$B$44=12,DATE(YEAR(COB_CA!$B$22)+INT((MONTH(COB_CA!$B$22)-1+107)/12),MOD(MONTH(COB_CA!$B$22)-1+107,12)+1,1)+(DAY(COB_CA!$B$22)-1),IF(COB_CA!$B$44=24,COB_CA!$B$22+ROUND((107*365.25)/24,0),IF(COB_CA!$B$44=26,COB_CA!$B$22+1498,COB_CA!$B$22+749)))</f>
        <v/>
      </c>
      <c r="C112" s="14">
        <f>G111</f>
        <v/>
      </c>
      <c r="D112" s="14">
        <f>IF((A112&lt;=COB_CA!$B$58),ROUND(C112*COB_CA!$B$45,2),0)</f>
        <v/>
      </c>
      <c r="E112" s="14">
        <f>IF((A112&lt;=COB_CA!$B$58),IF(AND((A112&lt;=COB_CA!$B$58),ROUND(C112-ROUND(COB_CA!$B$59-D112,2),2)&lt;=0),C112,ROUND(COB_CA!$B$59-D112,2)),0)</f>
        <v/>
      </c>
      <c r="F112" s="14">
        <f>IF((A112&lt;=COB_CA!$B$58),IF(AND((A112&lt;=COB_CA!$B$58),ROUND(C112-ROUND(COB_CA!$B$59-D112,2),2)&lt;=0),ROUND(D112+E112,2),COB_CA!$B$59),0)</f>
        <v/>
      </c>
      <c r="G112" s="14">
        <f>IF((A112&lt;=COB_CA!$B$58),IF(AND((A112&lt;=COB_CA!$B$58),ROUND(C112-ROUND(COB_CA!$B$59-D112,2),2)&lt;=0),0,ROUND(C112-E112,2)),C112)</f>
        <v/>
      </c>
      <c r="H112" s="6">
        <f>AND(H111,C111&gt;0,(A112&lt;=COB_CA!$B$58))</f>
        <v/>
      </c>
    </row>
    <row r="113">
      <c r="A113" s="6" t="n">
        <v>109</v>
      </c>
      <c r="B113" s="17">
        <f>IF(COB_CA!$B$44=12,DATE(YEAR(COB_CA!$B$22)+INT((MONTH(COB_CA!$B$22)-1+108)/12),MOD(MONTH(COB_CA!$B$22)-1+108,12)+1,1)+(DAY(COB_CA!$B$22)-1),IF(COB_CA!$B$44=24,COB_CA!$B$22+ROUND((108*365.25)/24,0),IF(COB_CA!$B$44=26,COB_CA!$B$22+1512,COB_CA!$B$22+756)))</f>
        <v/>
      </c>
      <c r="C113" s="14">
        <f>G112</f>
        <v/>
      </c>
      <c r="D113" s="14">
        <f>IF((A113&lt;=COB_CA!$B$58),ROUND(C113*COB_CA!$B$45,2),0)</f>
        <v/>
      </c>
      <c r="E113" s="14">
        <f>IF((A113&lt;=COB_CA!$B$58),IF(AND((A113&lt;=COB_CA!$B$58),ROUND(C113-ROUND(COB_CA!$B$59-D113,2),2)&lt;=0),C113,ROUND(COB_CA!$B$59-D113,2)),0)</f>
        <v/>
      </c>
      <c r="F113" s="14">
        <f>IF((A113&lt;=COB_CA!$B$58),IF(AND((A113&lt;=COB_CA!$B$58),ROUND(C113-ROUND(COB_CA!$B$59-D113,2),2)&lt;=0),ROUND(D113+E113,2),COB_CA!$B$59),0)</f>
        <v/>
      </c>
      <c r="G113" s="14">
        <f>IF((A113&lt;=COB_CA!$B$58),IF(AND((A113&lt;=COB_CA!$B$58),ROUND(C113-ROUND(COB_CA!$B$59-D113,2),2)&lt;=0),0,ROUND(C113-E113,2)),C113)</f>
        <v/>
      </c>
      <c r="H113" s="6">
        <f>AND(H112,C112&gt;0,(A113&lt;=COB_CA!$B$58))</f>
        <v/>
      </c>
    </row>
    <row r="114">
      <c r="A114" s="6" t="n">
        <v>110</v>
      </c>
      <c r="B114" s="17">
        <f>IF(COB_CA!$B$44=12,DATE(YEAR(COB_CA!$B$22)+INT((MONTH(COB_CA!$B$22)-1+109)/12),MOD(MONTH(COB_CA!$B$22)-1+109,12)+1,1)+(DAY(COB_CA!$B$22)-1),IF(COB_CA!$B$44=24,COB_CA!$B$22+ROUND((109*365.25)/24,0),IF(COB_CA!$B$44=26,COB_CA!$B$22+1526,COB_CA!$B$22+763)))</f>
        <v/>
      </c>
      <c r="C114" s="14">
        <f>G113</f>
        <v/>
      </c>
      <c r="D114" s="14">
        <f>IF((A114&lt;=COB_CA!$B$58),ROUND(C114*COB_CA!$B$45,2),0)</f>
        <v/>
      </c>
      <c r="E114" s="14">
        <f>IF((A114&lt;=COB_CA!$B$58),IF(AND((A114&lt;=COB_CA!$B$58),ROUND(C114-ROUND(COB_CA!$B$59-D114,2),2)&lt;=0),C114,ROUND(COB_CA!$B$59-D114,2)),0)</f>
        <v/>
      </c>
      <c r="F114" s="14">
        <f>IF((A114&lt;=COB_CA!$B$58),IF(AND((A114&lt;=COB_CA!$B$58),ROUND(C114-ROUND(COB_CA!$B$59-D114,2),2)&lt;=0),ROUND(D114+E114,2),COB_CA!$B$59),0)</f>
        <v/>
      </c>
      <c r="G114" s="14">
        <f>IF((A114&lt;=COB_CA!$B$58),IF(AND((A114&lt;=COB_CA!$B$58),ROUND(C114-ROUND(COB_CA!$B$59-D114,2),2)&lt;=0),0,ROUND(C114-E114,2)),C114)</f>
        <v/>
      </c>
      <c r="H114" s="6">
        <f>AND(H113,C113&gt;0,(A114&lt;=COB_CA!$B$58))</f>
        <v/>
      </c>
    </row>
    <row r="115">
      <c r="A115" s="6" t="n">
        <v>111</v>
      </c>
      <c r="B115" s="17">
        <f>IF(COB_CA!$B$44=12,DATE(YEAR(COB_CA!$B$22)+INT((MONTH(COB_CA!$B$22)-1+110)/12),MOD(MONTH(COB_CA!$B$22)-1+110,12)+1,1)+(DAY(COB_CA!$B$22)-1),IF(COB_CA!$B$44=24,COB_CA!$B$22+ROUND((110*365.25)/24,0),IF(COB_CA!$B$44=26,COB_CA!$B$22+1540,COB_CA!$B$22+770)))</f>
        <v/>
      </c>
      <c r="C115" s="14">
        <f>G114</f>
        <v/>
      </c>
      <c r="D115" s="14">
        <f>IF((A115&lt;=COB_CA!$B$58),ROUND(C115*COB_CA!$B$45,2),0)</f>
        <v/>
      </c>
      <c r="E115" s="14">
        <f>IF((A115&lt;=COB_CA!$B$58),IF(AND((A115&lt;=COB_CA!$B$58),ROUND(C115-ROUND(COB_CA!$B$59-D115,2),2)&lt;=0),C115,ROUND(COB_CA!$B$59-D115,2)),0)</f>
        <v/>
      </c>
      <c r="F115" s="14">
        <f>IF((A115&lt;=COB_CA!$B$58),IF(AND((A115&lt;=COB_CA!$B$58),ROUND(C115-ROUND(COB_CA!$B$59-D115,2),2)&lt;=0),ROUND(D115+E115,2),COB_CA!$B$59),0)</f>
        <v/>
      </c>
      <c r="G115" s="14">
        <f>IF((A115&lt;=COB_CA!$B$58),IF(AND((A115&lt;=COB_CA!$B$58),ROUND(C115-ROUND(COB_CA!$B$59-D115,2),2)&lt;=0),0,ROUND(C115-E115,2)),C115)</f>
        <v/>
      </c>
      <c r="H115" s="6">
        <f>AND(H114,C114&gt;0,(A115&lt;=COB_CA!$B$58))</f>
        <v/>
      </c>
    </row>
    <row r="116">
      <c r="A116" s="6" t="n">
        <v>112</v>
      </c>
      <c r="B116" s="17">
        <f>IF(COB_CA!$B$44=12,DATE(YEAR(COB_CA!$B$22)+INT((MONTH(COB_CA!$B$22)-1+111)/12),MOD(MONTH(COB_CA!$B$22)-1+111,12)+1,1)+(DAY(COB_CA!$B$22)-1),IF(COB_CA!$B$44=24,COB_CA!$B$22+ROUND((111*365.25)/24,0),IF(COB_CA!$B$44=26,COB_CA!$B$22+1554,COB_CA!$B$22+777)))</f>
        <v/>
      </c>
      <c r="C116" s="14">
        <f>G115</f>
        <v/>
      </c>
      <c r="D116" s="14">
        <f>IF((A116&lt;=COB_CA!$B$58),ROUND(C116*COB_CA!$B$45,2),0)</f>
        <v/>
      </c>
      <c r="E116" s="14">
        <f>IF((A116&lt;=COB_CA!$B$58),IF(AND((A116&lt;=COB_CA!$B$58),ROUND(C116-ROUND(COB_CA!$B$59-D116,2),2)&lt;=0),C116,ROUND(COB_CA!$B$59-D116,2)),0)</f>
        <v/>
      </c>
      <c r="F116" s="14">
        <f>IF((A116&lt;=COB_CA!$B$58),IF(AND((A116&lt;=COB_CA!$B$58),ROUND(C116-ROUND(COB_CA!$B$59-D116,2),2)&lt;=0),ROUND(D116+E116,2),COB_CA!$B$59),0)</f>
        <v/>
      </c>
      <c r="G116" s="14">
        <f>IF((A116&lt;=COB_CA!$B$58),IF(AND((A116&lt;=COB_CA!$B$58),ROUND(C116-ROUND(COB_CA!$B$59-D116,2),2)&lt;=0),0,ROUND(C116-E116,2)),C116)</f>
        <v/>
      </c>
      <c r="H116" s="6">
        <f>AND(H115,C115&gt;0,(A116&lt;=COB_CA!$B$58))</f>
        <v/>
      </c>
    </row>
    <row r="117">
      <c r="A117" s="6" t="n">
        <v>113</v>
      </c>
      <c r="B117" s="17">
        <f>IF(COB_CA!$B$44=12,DATE(YEAR(COB_CA!$B$22)+INT((MONTH(COB_CA!$B$22)-1+112)/12),MOD(MONTH(COB_CA!$B$22)-1+112,12)+1,1)+(DAY(COB_CA!$B$22)-1),IF(COB_CA!$B$44=24,COB_CA!$B$22+ROUND((112*365.25)/24,0),IF(COB_CA!$B$44=26,COB_CA!$B$22+1568,COB_CA!$B$22+784)))</f>
        <v/>
      </c>
      <c r="C117" s="14">
        <f>G116</f>
        <v/>
      </c>
      <c r="D117" s="14">
        <f>IF((A117&lt;=COB_CA!$B$58),ROUND(C117*COB_CA!$B$45,2),0)</f>
        <v/>
      </c>
      <c r="E117" s="14">
        <f>IF((A117&lt;=COB_CA!$B$58),IF(AND((A117&lt;=COB_CA!$B$58),ROUND(C117-ROUND(COB_CA!$B$59-D117,2),2)&lt;=0),C117,ROUND(COB_CA!$B$59-D117,2)),0)</f>
        <v/>
      </c>
      <c r="F117" s="14">
        <f>IF((A117&lt;=COB_CA!$B$58),IF(AND((A117&lt;=COB_CA!$B$58),ROUND(C117-ROUND(COB_CA!$B$59-D117,2),2)&lt;=0),ROUND(D117+E117,2),COB_CA!$B$59),0)</f>
        <v/>
      </c>
      <c r="G117" s="14">
        <f>IF((A117&lt;=COB_CA!$B$58),IF(AND((A117&lt;=COB_CA!$B$58),ROUND(C117-ROUND(COB_CA!$B$59-D117,2),2)&lt;=0),0,ROUND(C117-E117,2)),C117)</f>
        <v/>
      </c>
      <c r="H117" s="6">
        <f>AND(H116,C116&gt;0,(A117&lt;=COB_CA!$B$58))</f>
        <v/>
      </c>
    </row>
    <row r="118">
      <c r="A118" s="6" t="n">
        <v>114</v>
      </c>
      <c r="B118" s="17">
        <f>IF(COB_CA!$B$44=12,DATE(YEAR(COB_CA!$B$22)+INT((MONTH(COB_CA!$B$22)-1+113)/12),MOD(MONTH(COB_CA!$B$22)-1+113,12)+1,1)+(DAY(COB_CA!$B$22)-1),IF(COB_CA!$B$44=24,COB_CA!$B$22+ROUND((113*365.25)/24,0),IF(COB_CA!$B$44=26,COB_CA!$B$22+1582,COB_CA!$B$22+791)))</f>
        <v/>
      </c>
      <c r="C118" s="14">
        <f>G117</f>
        <v/>
      </c>
      <c r="D118" s="14">
        <f>IF((A118&lt;=COB_CA!$B$58),ROUND(C118*COB_CA!$B$45,2),0)</f>
        <v/>
      </c>
      <c r="E118" s="14">
        <f>IF((A118&lt;=COB_CA!$B$58),IF(AND((A118&lt;=COB_CA!$B$58),ROUND(C118-ROUND(COB_CA!$B$59-D118,2),2)&lt;=0),C118,ROUND(COB_CA!$B$59-D118,2)),0)</f>
        <v/>
      </c>
      <c r="F118" s="14">
        <f>IF((A118&lt;=COB_CA!$B$58),IF(AND((A118&lt;=COB_CA!$B$58),ROUND(C118-ROUND(COB_CA!$B$59-D118,2),2)&lt;=0),ROUND(D118+E118,2),COB_CA!$B$59),0)</f>
        <v/>
      </c>
      <c r="G118" s="14">
        <f>IF((A118&lt;=COB_CA!$B$58),IF(AND((A118&lt;=COB_CA!$B$58),ROUND(C118-ROUND(COB_CA!$B$59-D118,2),2)&lt;=0),0,ROUND(C118-E118,2)),C118)</f>
        <v/>
      </c>
      <c r="H118" s="6">
        <f>AND(H117,C117&gt;0,(A118&lt;=COB_CA!$B$58))</f>
        <v/>
      </c>
    </row>
    <row r="119">
      <c r="A119" s="6" t="n">
        <v>115</v>
      </c>
      <c r="B119" s="17">
        <f>IF(COB_CA!$B$44=12,DATE(YEAR(COB_CA!$B$22)+INT((MONTH(COB_CA!$B$22)-1+114)/12),MOD(MONTH(COB_CA!$B$22)-1+114,12)+1,1)+(DAY(COB_CA!$B$22)-1),IF(COB_CA!$B$44=24,COB_CA!$B$22+ROUND((114*365.25)/24,0),IF(COB_CA!$B$44=26,COB_CA!$B$22+1596,COB_CA!$B$22+798)))</f>
        <v/>
      </c>
      <c r="C119" s="14">
        <f>G118</f>
        <v/>
      </c>
      <c r="D119" s="14">
        <f>IF((A119&lt;=COB_CA!$B$58),ROUND(C119*COB_CA!$B$45,2),0)</f>
        <v/>
      </c>
      <c r="E119" s="14">
        <f>IF((A119&lt;=COB_CA!$B$58),IF(AND((A119&lt;=COB_CA!$B$58),ROUND(C119-ROUND(COB_CA!$B$59-D119,2),2)&lt;=0),C119,ROUND(COB_CA!$B$59-D119,2)),0)</f>
        <v/>
      </c>
      <c r="F119" s="14">
        <f>IF((A119&lt;=COB_CA!$B$58),IF(AND((A119&lt;=COB_CA!$B$58),ROUND(C119-ROUND(COB_CA!$B$59-D119,2),2)&lt;=0),ROUND(D119+E119,2),COB_CA!$B$59),0)</f>
        <v/>
      </c>
      <c r="G119" s="14">
        <f>IF((A119&lt;=COB_CA!$B$58),IF(AND((A119&lt;=COB_CA!$B$58),ROUND(C119-ROUND(COB_CA!$B$59-D119,2),2)&lt;=0),0,ROUND(C119-E119,2)),C119)</f>
        <v/>
      </c>
      <c r="H119" s="6">
        <f>AND(H118,C118&gt;0,(A119&lt;=COB_CA!$B$58))</f>
        <v/>
      </c>
    </row>
    <row r="120">
      <c r="A120" s="6" t="n">
        <v>116</v>
      </c>
      <c r="B120" s="17">
        <f>IF(COB_CA!$B$44=12,DATE(YEAR(COB_CA!$B$22)+INT((MONTH(COB_CA!$B$22)-1+115)/12),MOD(MONTH(COB_CA!$B$22)-1+115,12)+1,1)+(DAY(COB_CA!$B$22)-1),IF(COB_CA!$B$44=24,COB_CA!$B$22+ROUND((115*365.25)/24,0),IF(COB_CA!$B$44=26,COB_CA!$B$22+1610,COB_CA!$B$22+805)))</f>
        <v/>
      </c>
      <c r="C120" s="14">
        <f>G119</f>
        <v/>
      </c>
      <c r="D120" s="14">
        <f>IF((A120&lt;=COB_CA!$B$58),ROUND(C120*COB_CA!$B$45,2),0)</f>
        <v/>
      </c>
      <c r="E120" s="14">
        <f>IF((A120&lt;=COB_CA!$B$58),IF(AND((A120&lt;=COB_CA!$B$58),ROUND(C120-ROUND(COB_CA!$B$59-D120,2),2)&lt;=0),C120,ROUND(COB_CA!$B$59-D120,2)),0)</f>
        <v/>
      </c>
      <c r="F120" s="14">
        <f>IF((A120&lt;=COB_CA!$B$58),IF(AND((A120&lt;=COB_CA!$B$58),ROUND(C120-ROUND(COB_CA!$B$59-D120,2),2)&lt;=0),ROUND(D120+E120,2),COB_CA!$B$59),0)</f>
        <v/>
      </c>
      <c r="G120" s="14">
        <f>IF((A120&lt;=COB_CA!$B$58),IF(AND((A120&lt;=COB_CA!$B$58),ROUND(C120-ROUND(COB_CA!$B$59-D120,2),2)&lt;=0),0,ROUND(C120-E120,2)),C120)</f>
        <v/>
      </c>
      <c r="H120" s="6">
        <f>AND(H119,C119&gt;0,(A120&lt;=COB_CA!$B$58))</f>
        <v/>
      </c>
    </row>
    <row r="121">
      <c r="A121" s="6" t="n">
        <v>117</v>
      </c>
      <c r="B121" s="17">
        <f>IF(COB_CA!$B$44=12,DATE(YEAR(COB_CA!$B$22)+INT((MONTH(COB_CA!$B$22)-1+116)/12),MOD(MONTH(COB_CA!$B$22)-1+116,12)+1,1)+(DAY(COB_CA!$B$22)-1),IF(COB_CA!$B$44=24,COB_CA!$B$22+ROUND((116*365.25)/24,0),IF(COB_CA!$B$44=26,COB_CA!$B$22+1624,COB_CA!$B$22+812)))</f>
        <v/>
      </c>
      <c r="C121" s="14">
        <f>G120</f>
        <v/>
      </c>
      <c r="D121" s="14">
        <f>IF((A121&lt;=COB_CA!$B$58),ROUND(C121*COB_CA!$B$45,2),0)</f>
        <v/>
      </c>
      <c r="E121" s="14">
        <f>IF((A121&lt;=COB_CA!$B$58),IF(AND((A121&lt;=COB_CA!$B$58),ROUND(C121-ROUND(COB_CA!$B$59-D121,2),2)&lt;=0),C121,ROUND(COB_CA!$B$59-D121,2)),0)</f>
        <v/>
      </c>
      <c r="F121" s="14">
        <f>IF((A121&lt;=COB_CA!$B$58),IF(AND((A121&lt;=COB_CA!$B$58),ROUND(C121-ROUND(COB_CA!$B$59-D121,2),2)&lt;=0),ROUND(D121+E121,2),COB_CA!$B$59),0)</f>
        <v/>
      </c>
      <c r="G121" s="14">
        <f>IF((A121&lt;=COB_CA!$B$58),IF(AND((A121&lt;=COB_CA!$B$58),ROUND(C121-ROUND(COB_CA!$B$59-D121,2),2)&lt;=0),0,ROUND(C121-E121,2)),C121)</f>
        <v/>
      </c>
      <c r="H121" s="6">
        <f>AND(H120,C120&gt;0,(A121&lt;=COB_CA!$B$58))</f>
        <v/>
      </c>
    </row>
    <row r="122">
      <c r="A122" s="6" t="n">
        <v>118</v>
      </c>
      <c r="B122" s="17">
        <f>IF(COB_CA!$B$44=12,DATE(YEAR(COB_CA!$B$22)+INT((MONTH(COB_CA!$B$22)-1+117)/12),MOD(MONTH(COB_CA!$B$22)-1+117,12)+1,1)+(DAY(COB_CA!$B$22)-1),IF(COB_CA!$B$44=24,COB_CA!$B$22+ROUND((117*365.25)/24,0),IF(COB_CA!$B$44=26,COB_CA!$B$22+1638,COB_CA!$B$22+819)))</f>
        <v/>
      </c>
      <c r="C122" s="14">
        <f>G121</f>
        <v/>
      </c>
      <c r="D122" s="14">
        <f>IF((A122&lt;=COB_CA!$B$58),ROUND(C122*COB_CA!$B$45,2),0)</f>
        <v/>
      </c>
      <c r="E122" s="14">
        <f>IF((A122&lt;=COB_CA!$B$58),IF(AND((A122&lt;=COB_CA!$B$58),ROUND(C122-ROUND(COB_CA!$B$59-D122,2),2)&lt;=0),C122,ROUND(COB_CA!$B$59-D122,2)),0)</f>
        <v/>
      </c>
      <c r="F122" s="14">
        <f>IF((A122&lt;=COB_CA!$B$58),IF(AND((A122&lt;=COB_CA!$B$58),ROUND(C122-ROUND(COB_CA!$B$59-D122,2),2)&lt;=0),ROUND(D122+E122,2),COB_CA!$B$59),0)</f>
        <v/>
      </c>
      <c r="G122" s="14">
        <f>IF((A122&lt;=COB_CA!$B$58),IF(AND((A122&lt;=COB_CA!$B$58),ROUND(C122-ROUND(COB_CA!$B$59-D122,2),2)&lt;=0),0,ROUND(C122-E122,2)),C122)</f>
        <v/>
      </c>
      <c r="H122" s="6">
        <f>AND(H121,C121&gt;0,(A122&lt;=COB_CA!$B$58))</f>
        <v/>
      </c>
    </row>
    <row r="123">
      <c r="A123" s="6" t="n">
        <v>119</v>
      </c>
      <c r="B123" s="17">
        <f>IF(COB_CA!$B$44=12,DATE(YEAR(COB_CA!$B$22)+INT((MONTH(COB_CA!$B$22)-1+118)/12),MOD(MONTH(COB_CA!$B$22)-1+118,12)+1,1)+(DAY(COB_CA!$B$22)-1),IF(COB_CA!$B$44=24,COB_CA!$B$22+ROUND((118*365.25)/24,0),IF(COB_CA!$B$44=26,COB_CA!$B$22+1652,COB_CA!$B$22+826)))</f>
        <v/>
      </c>
      <c r="C123" s="14">
        <f>G122</f>
        <v/>
      </c>
      <c r="D123" s="14">
        <f>IF((A123&lt;=COB_CA!$B$58),ROUND(C123*COB_CA!$B$45,2),0)</f>
        <v/>
      </c>
      <c r="E123" s="14">
        <f>IF((A123&lt;=COB_CA!$B$58),IF(AND((A123&lt;=COB_CA!$B$58),ROUND(C123-ROUND(COB_CA!$B$59-D123,2),2)&lt;=0),C123,ROUND(COB_CA!$B$59-D123,2)),0)</f>
        <v/>
      </c>
      <c r="F123" s="14">
        <f>IF((A123&lt;=COB_CA!$B$58),IF(AND((A123&lt;=COB_CA!$B$58),ROUND(C123-ROUND(COB_CA!$B$59-D123,2),2)&lt;=0),ROUND(D123+E123,2),COB_CA!$B$59),0)</f>
        <v/>
      </c>
      <c r="G123" s="14">
        <f>IF((A123&lt;=COB_CA!$B$58),IF(AND((A123&lt;=COB_CA!$B$58),ROUND(C123-ROUND(COB_CA!$B$59-D123,2),2)&lt;=0),0,ROUND(C123-E123,2)),C123)</f>
        <v/>
      </c>
      <c r="H123" s="6">
        <f>AND(H122,C122&gt;0,(A123&lt;=COB_CA!$B$58))</f>
        <v/>
      </c>
    </row>
    <row r="124">
      <c r="A124" s="6" t="n">
        <v>120</v>
      </c>
      <c r="B124" s="17">
        <f>IF(COB_CA!$B$44=12,DATE(YEAR(COB_CA!$B$22)+INT((MONTH(COB_CA!$B$22)-1+119)/12),MOD(MONTH(COB_CA!$B$22)-1+119,12)+1,1)+(DAY(COB_CA!$B$22)-1),IF(COB_CA!$B$44=24,COB_CA!$B$22+ROUND((119*365.25)/24,0),IF(COB_CA!$B$44=26,COB_CA!$B$22+1666,COB_CA!$B$22+833)))</f>
        <v/>
      </c>
      <c r="C124" s="14">
        <f>G123</f>
        <v/>
      </c>
      <c r="D124" s="14">
        <f>IF((A124&lt;=COB_CA!$B$58),ROUND(C124*COB_CA!$B$45,2),0)</f>
        <v/>
      </c>
      <c r="E124" s="14">
        <f>IF((A124&lt;=COB_CA!$B$58),IF(AND((A124&lt;=COB_CA!$B$58),ROUND(C124-ROUND(COB_CA!$B$59-D124,2),2)&lt;=0),C124,ROUND(COB_CA!$B$59-D124,2)),0)</f>
        <v/>
      </c>
      <c r="F124" s="14">
        <f>IF((A124&lt;=COB_CA!$B$58),IF(AND((A124&lt;=COB_CA!$B$58),ROUND(C124-ROUND(COB_CA!$B$59-D124,2),2)&lt;=0),ROUND(D124+E124,2),COB_CA!$B$59),0)</f>
        <v/>
      </c>
      <c r="G124" s="14">
        <f>IF((A124&lt;=COB_CA!$B$58),IF(AND((A124&lt;=COB_CA!$B$58),ROUND(C124-ROUND(COB_CA!$B$59-D124,2),2)&lt;=0),0,ROUND(C124-E124,2)),C124)</f>
        <v/>
      </c>
      <c r="H124" s="6">
        <f>AND(H123,C123&gt;0,(A124&lt;=COB_CA!$B$58))</f>
        <v/>
      </c>
    </row>
    <row r="125">
      <c r="A125" s="6" t="n">
        <v>121</v>
      </c>
      <c r="B125" s="17">
        <f>IF(COB_CA!$B$44=12,DATE(YEAR(COB_CA!$B$22)+INT((MONTH(COB_CA!$B$22)-1+120)/12),MOD(MONTH(COB_CA!$B$22)-1+120,12)+1,1)+(DAY(COB_CA!$B$22)-1),IF(COB_CA!$B$44=24,COB_CA!$B$22+ROUND((120*365.25)/24,0),IF(COB_CA!$B$44=26,COB_CA!$B$22+1680,COB_CA!$B$22+840)))</f>
        <v/>
      </c>
      <c r="C125" s="14">
        <f>G124</f>
        <v/>
      </c>
      <c r="D125" s="14">
        <f>IF((A125&lt;=COB_CA!$B$58),ROUND(C125*COB_CA!$B$45,2),0)</f>
        <v/>
      </c>
      <c r="E125" s="14">
        <f>IF((A125&lt;=COB_CA!$B$58),IF(AND((A125&lt;=COB_CA!$B$58),ROUND(C125-ROUND(COB_CA!$B$59-D125,2),2)&lt;=0),C125,ROUND(COB_CA!$B$59-D125,2)),0)</f>
        <v/>
      </c>
      <c r="F125" s="14">
        <f>IF((A125&lt;=COB_CA!$B$58),IF(AND((A125&lt;=COB_CA!$B$58),ROUND(C125-ROUND(COB_CA!$B$59-D125,2),2)&lt;=0),ROUND(D125+E125,2),COB_CA!$B$59),0)</f>
        <v/>
      </c>
      <c r="G125" s="14">
        <f>IF((A125&lt;=COB_CA!$B$58),IF(AND((A125&lt;=COB_CA!$B$58),ROUND(C125-ROUND(COB_CA!$B$59-D125,2),2)&lt;=0),0,ROUND(C125-E125,2)),C125)</f>
        <v/>
      </c>
      <c r="H125" s="6">
        <f>AND(H124,C124&gt;0,(A125&lt;=COB_CA!$B$58))</f>
        <v/>
      </c>
    </row>
    <row r="126">
      <c r="A126" s="6" t="n">
        <v>122</v>
      </c>
      <c r="B126" s="17">
        <f>IF(COB_CA!$B$44=12,DATE(YEAR(COB_CA!$B$22)+INT((MONTH(COB_CA!$B$22)-1+121)/12),MOD(MONTH(COB_CA!$B$22)-1+121,12)+1,1)+(DAY(COB_CA!$B$22)-1),IF(COB_CA!$B$44=24,COB_CA!$B$22+ROUND((121*365.25)/24,0),IF(COB_CA!$B$44=26,COB_CA!$B$22+1694,COB_CA!$B$22+847)))</f>
        <v/>
      </c>
      <c r="C126" s="14">
        <f>G125</f>
        <v/>
      </c>
      <c r="D126" s="14">
        <f>IF((A126&lt;=COB_CA!$B$58),ROUND(C126*COB_CA!$B$45,2),0)</f>
        <v/>
      </c>
      <c r="E126" s="14">
        <f>IF((A126&lt;=COB_CA!$B$58),IF(AND((A126&lt;=COB_CA!$B$58),ROUND(C126-ROUND(COB_CA!$B$59-D126,2),2)&lt;=0),C126,ROUND(COB_CA!$B$59-D126,2)),0)</f>
        <v/>
      </c>
      <c r="F126" s="14">
        <f>IF((A126&lt;=COB_CA!$B$58),IF(AND((A126&lt;=COB_CA!$B$58),ROUND(C126-ROUND(COB_CA!$B$59-D126,2),2)&lt;=0),ROUND(D126+E126,2),COB_CA!$B$59),0)</f>
        <v/>
      </c>
      <c r="G126" s="14">
        <f>IF((A126&lt;=COB_CA!$B$58),IF(AND((A126&lt;=COB_CA!$B$58),ROUND(C126-ROUND(COB_CA!$B$59-D126,2),2)&lt;=0),0,ROUND(C126-E126,2)),C126)</f>
        <v/>
      </c>
      <c r="H126" s="6">
        <f>AND(H125,C125&gt;0,(A126&lt;=COB_CA!$B$58))</f>
        <v/>
      </c>
    </row>
    <row r="127">
      <c r="A127" s="6" t="n">
        <v>123</v>
      </c>
      <c r="B127" s="17">
        <f>IF(COB_CA!$B$44=12,DATE(YEAR(COB_CA!$B$22)+INT((MONTH(COB_CA!$B$22)-1+122)/12),MOD(MONTH(COB_CA!$B$22)-1+122,12)+1,1)+(DAY(COB_CA!$B$22)-1),IF(COB_CA!$B$44=24,COB_CA!$B$22+ROUND((122*365.25)/24,0),IF(COB_CA!$B$44=26,COB_CA!$B$22+1708,COB_CA!$B$22+854)))</f>
        <v/>
      </c>
      <c r="C127" s="14">
        <f>G126</f>
        <v/>
      </c>
      <c r="D127" s="14">
        <f>IF((A127&lt;=COB_CA!$B$58),ROUND(C127*COB_CA!$B$45,2),0)</f>
        <v/>
      </c>
      <c r="E127" s="14">
        <f>IF((A127&lt;=COB_CA!$B$58),IF(AND((A127&lt;=COB_CA!$B$58),ROUND(C127-ROUND(COB_CA!$B$59-D127,2),2)&lt;=0),C127,ROUND(COB_CA!$B$59-D127,2)),0)</f>
        <v/>
      </c>
      <c r="F127" s="14">
        <f>IF((A127&lt;=COB_CA!$B$58),IF(AND((A127&lt;=COB_CA!$B$58),ROUND(C127-ROUND(COB_CA!$B$59-D127,2),2)&lt;=0),ROUND(D127+E127,2),COB_CA!$B$59),0)</f>
        <v/>
      </c>
      <c r="G127" s="14">
        <f>IF((A127&lt;=COB_CA!$B$58),IF(AND((A127&lt;=COB_CA!$B$58),ROUND(C127-ROUND(COB_CA!$B$59-D127,2),2)&lt;=0),0,ROUND(C127-E127,2)),C127)</f>
        <v/>
      </c>
      <c r="H127" s="6">
        <f>AND(H126,C126&gt;0,(A127&lt;=COB_CA!$B$58))</f>
        <v/>
      </c>
    </row>
    <row r="128">
      <c r="A128" s="6" t="n">
        <v>124</v>
      </c>
      <c r="B128" s="17">
        <f>IF(COB_CA!$B$44=12,DATE(YEAR(COB_CA!$B$22)+INT((MONTH(COB_CA!$B$22)-1+123)/12),MOD(MONTH(COB_CA!$B$22)-1+123,12)+1,1)+(DAY(COB_CA!$B$22)-1),IF(COB_CA!$B$44=24,COB_CA!$B$22+ROUND((123*365.25)/24,0),IF(COB_CA!$B$44=26,COB_CA!$B$22+1722,COB_CA!$B$22+861)))</f>
        <v/>
      </c>
      <c r="C128" s="14">
        <f>G127</f>
        <v/>
      </c>
      <c r="D128" s="14">
        <f>IF((A128&lt;=COB_CA!$B$58),ROUND(C128*COB_CA!$B$45,2),0)</f>
        <v/>
      </c>
      <c r="E128" s="14">
        <f>IF((A128&lt;=COB_CA!$B$58),IF(AND((A128&lt;=COB_CA!$B$58),ROUND(C128-ROUND(COB_CA!$B$59-D128,2),2)&lt;=0),C128,ROUND(COB_CA!$B$59-D128,2)),0)</f>
        <v/>
      </c>
      <c r="F128" s="14">
        <f>IF((A128&lt;=COB_CA!$B$58),IF(AND((A128&lt;=COB_CA!$B$58),ROUND(C128-ROUND(COB_CA!$B$59-D128,2),2)&lt;=0),ROUND(D128+E128,2),COB_CA!$B$59),0)</f>
        <v/>
      </c>
      <c r="G128" s="14">
        <f>IF((A128&lt;=COB_CA!$B$58),IF(AND((A128&lt;=COB_CA!$B$58),ROUND(C128-ROUND(COB_CA!$B$59-D128,2),2)&lt;=0),0,ROUND(C128-E128,2)),C128)</f>
        <v/>
      </c>
      <c r="H128" s="6">
        <f>AND(H127,C127&gt;0,(A128&lt;=COB_CA!$B$58))</f>
        <v/>
      </c>
    </row>
    <row r="129">
      <c r="A129" s="6" t="n">
        <v>125</v>
      </c>
      <c r="B129" s="17">
        <f>IF(COB_CA!$B$44=12,DATE(YEAR(COB_CA!$B$22)+INT((MONTH(COB_CA!$B$22)-1+124)/12),MOD(MONTH(COB_CA!$B$22)-1+124,12)+1,1)+(DAY(COB_CA!$B$22)-1),IF(COB_CA!$B$44=24,COB_CA!$B$22+ROUND((124*365.25)/24,0),IF(COB_CA!$B$44=26,COB_CA!$B$22+1736,COB_CA!$B$22+868)))</f>
        <v/>
      </c>
      <c r="C129" s="14">
        <f>G128</f>
        <v/>
      </c>
      <c r="D129" s="14">
        <f>IF((A129&lt;=COB_CA!$B$58),ROUND(C129*COB_CA!$B$45,2),0)</f>
        <v/>
      </c>
      <c r="E129" s="14">
        <f>IF((A129&lt;=COB_CA!$B$58),IF(AND((A129&lt;=COB_CA!$B$58),ROUND(C129-ROUND(COB_CA!$B$59-D129,2),2)&lt;=0),C129,ROUND(COB_CA!$B$59-D129,2)),0)</f>
        <v/>
      </c>
      <c r="F129" s="14">
        <f>IF((A129&lt;=COB_CA!$B$58),IF(AND((A129&lt;=COB_CA!$B$58),ROUND(C129-ROUND(COB_CA!$B$59-D129,2),2)&lt;=0),ROUND(D129+E129,2),COB_CA!$B$59),0)</f>
        <v/>
      </c>
      <c r="G129" s="14">
        <f>IF((A129&lt;=COB_CA!$B$58),IF(AND((A129&lt;=COB_CA!$B$58),ROUND(C129-ROUND(COB_CA!$B$59-D129,2),2)&lt;=0),0,ROUND(C129-E129,2)),C129)</f>
        <v/>
      </c>
      <c r="H129" s="6">
        <f>AND(H128,C128&gt;0,(A129&lt;=COB_CA!$B$58))</f>
        <v/>
      </c>
    </row>
    <row r="130">
      <c r="A130" s="6" t="n">
        <v>126</v>
      </c>
      <c r="B130" s="17">
        <f>IF(COB_CA!$B$44=12,DATE(YEAR(COB_CA!$B$22)+INT((MONTH(COB_CA!$B$22)-1+125)/12),MOD(MONTH(COB_CA!$B$22)-1+125,12)+1,1)+(DAY(COB_CA!$B$22)-1),IF(COB_CA!$B$44=24,COB_CA!$B$22+ROUND((125*365.25)/24,0),IF(COB_CA!$B$44=26,COB_CA!$B$22+1750,COB_CA!$B$22+875)))</f>
        <v/>
      </c>
      <c r="C130" s="14">
        <f>G129</f>
        <v/>
      </c>
      <c r="D130" s="14">
        <f>IF((A130&lt;=COB_CA!$B$58),ROUND(C130*COB_CA!$B$45,2),0)</f>
        <v/>
      </c>
      <c r="E130" s="14">
        <f>IF((A130&lt;=COB_CA!$B$58),IF(AND((A130&lt;=COB_CA!$B$58),ROUND(C130-ROUND(COB_CA!$B$59-D130,2),2)&lt;=0),C130,ROUND(COB_CA!$B$59-D130,2)),0)</f>
        <v/>
      </c>
      <c r="F130" s="14">
        <f>IF((A130&lt;=COB_CA!$B$58),IF(AND((A130&lt;=COB_CA!$B$58),ROUND(C130-ROUND(COB_CA!$B$59-D130,2),2)&lt;=0),ROUND(D130+E130,2),COB_CA!$B$59),0)</f>
        <v/>
      </c>
      <c r="G130" s="14">
        <f>IF((A130&lt;=COB_CA!$B$58),IF(AND((A130&lt;=COB_CA!$B$58),ROUND(C130-ROUND(COB_CA!$B$59-D130,2),2)&lt;=0),0,ROUND(C130-E130,2)),C130)</f>
        <v/>
      </c>
      <c r="H130" s="6">
        <f>AND(H129,C129&gt;0,(A130&lt;=COB_CA!$B$58))</f>
        <v/>
      </c>
    </row>
    <row r="131">
      <c r="A131" s="6" t="n">
        <v>127</v>
      </c>
      <c r="B131" s="17">
        <f>IF(COB_CA!$B$44=12,DATE(YEAR(COB_CA!$B$22)+INT((MONTH(COB_CA!$B$22)-1+126)/12),MOD(MONTH(COB_CA!$B$22)-1+126,12)+1,1)+(DAY(COB_CA!$B$22)-1),IF(COB_CA!$B$44=24,COB_CA!$B$22+ROUND((126*365.25)/24,0),IF(COB_CA!$B$44=26,COB_CA!$B$22+1764,COB_CA!$B$22+882)))</f>
        <v/>
      </c>
      <c r="C131" s="14">
        <f>G130</f>
        <v/>
      </c>
      <c r="D131" s="14">
        <f>IF((A131&lt;=COB_CA!$B$58),ROUND(C131*COB_CA!$B$45,2),0)</f>
        <v/>
      </c>
      <c r="E131" s="14">
        <f>IF((A131&lt;=COB_CA!$B$58),IF(AND((A131&lt;=COB_CA!$B$58),ROUND(C131-ROUND(COB_CA!$B$59-D131,2),2)&lt;=0),C131,ROUND(COB_CA!$B$59-D131,2)),0)</f>
        <v/>
      </c>
      <c r="F131" s="14">
        <f>IF((A131&lt;=COB_CA!$B$58),IF(AND((A131&lt;=COB_CA!$B$58),ROUND(C131-ROUND(COB_CA!$B$59-D131,2),2)&lt;=0),ROUND(D131+E131,2),COB_CA!$B$59),0)</f>
        <v/>
      </c>
      <c r="G131" s="14">
        <f>IF((A131&lt;=COB_CA!$B$58),IF(AND((A131&lt;=COB_CA!$B$58),ROUND(C131-ROUND(COB_CA!$B$59-D131,2),2)&lt;=0),0,ROUND(C131-E131,2)),C131)</f>
        <v/>
      </c>
      <c r="H131" s="6">
        <f>AND(H130,C130&gt;0,(A131&lt;=COB_CA!$B$58))</f>
        <v/>
      </c>
    </row>
    <row r="132">
      <c r="A132" s="6" t="n">
        <v>128</v>
      </c>
      <c r="B132" s="17">
        <f>IF(COB_CA!$B$44=12,DATE(YEAR(COB_CA!$B$22)+INT((MONTH(COB_CA!$B$22)-1+127)/12),MOD(MONTH(COB_CA!$B$22)-1+127,12)+1,1)+(DAY(COB_CA!$B$22)-1),IF(COB_CA!$B$44=24,COB_CA!$B$22+ROUND((127*365.25)/24,0),IF(COB_CA!$B$44=26,COB_CA!$B$22+1778,COB_CA!$B$22+889)))</f>
        <v/>
      </c>
      <c r="C132" s="14">
        <f>G131</f>
        <v/>
      </c>
      <c r="D132" s="14">
        <f>IF((A132&lt;=COB_CA!$B$58),ROUND(C132*COB_CA!$B$45,2),0)</f>
        <v/>
      </c>
      <c r="E132" s="14">
        <f>IF((A132&lt;=COB_CA!$B$58),IF(AND((A132&lt;=COB_CA!$B$58),ROUND(C132-ROUND(COB_CA!$B$59-D132,2),2)&lt;=0),C132,ROUND(COB_CA!$B$59-D132,2)),0)</f>
        <v/>
      </c>
      <c r="F132" s="14">
        <f>IF((A132&lt;=COB_CA!$B$58),IF(AND((A132&lt;=COB_CA!$B$58),ROUND(C132-ROUND(COB_CA!$B$59-D132,2),2)&lt;=0),ROUND(D132+E132,2),COB_CA!$B$59),0)</f>
        <v/>
      </c>
      <c r="G132" s="14">
        <f>IF((A132&lt;=COB_CA!$B$58),IF(AND((A132&lt;=COB_CA!$B$58),ROUND(C132-ROUND(COB_CA!$B$59-D132,2),2)&lt;=0),0,ROUND(C132-E132,2)),C132)</f>
        <v/>
      </c>
      <c r="H132" s="6">
        <f>AND(H131,C131&gt;0,(A132&lt;=COB_CA!$B$58))</f>
        <v/>
      </c>
    </row>
    <row r="133">
      <c r="A133" s="6" t="n">
        <v>129</v>
      </c>
      <c r="B133" s="17">
        <f>IF(COB_CA!$B$44=12,DATE(YEAR(COB_CA!$B$22)+INT((MONTH(COB_CA!$B$22)-1+128)/12),MOD(MONTH(COB_CA!$B$22)-1+128,12)+1,1)+(DAY(COB_CA!$B$22)-1),IF(COB_CA!$B$44=24,COB_CA!$B$22+ROUND((128*365.25)/24,0),IF(COB_CA!$B$44=26,COB_CA!$B$22+1792,COB_CA!$B$22+896)))</f>
        <v/>
      </c>
      <c r="C133" s="14">
        <f>G132</f>
        <v/>
      </c>
      <c r="D133" s="14">
        <f>IF((A133&lt;=COB_CA!$B$58),ROUND(C133*COB_CA!$B$45,2),0)</f>
        <v/>
      </c>
      <c r="E133" s="14">
        <f>IF((A133&lt;=COB_CA!$B$58),IF(AND((A133&lt;=COB_CA!$B$58),ROUND(C133-ROUND(COB_CA!$B$59-D133,2),2)&lt;=0),C133,ROUND(COB_CA!$B$59-D133,2)),0)</f>
        <v/>
      </c>
      <c r="F133" s="14">
        <f>IF((A133&lt;=COB_CA!$B$58),IF(AND((A133&lt;=COB_CA!$B$58),ROUND(C133-ROUND(COB_CA!$B$59-D133,2),2)&lt;=0),ROUND(D133+E133,2),COB_CA!$B$59),0)</f>
        <v/>
      </c>
      <c r="G133" s="14">
        <f>IF((A133&lt;=COB_CA!$B$58),IF(AND((A133&lt;=COB_CA!$B$58),ROUND(C133-ROUND(COB_CA!$B$59-D133,2),2)&lt;=0),0,ROUND(C133-E133,2)),C133)</f>
        <v/>
      </c>
      <c r="H133" s="6">
        <f>AND(H132,C132&gt;0,(A133&lt;=COB_CA!$B$58))</f>
        <v/>
      </c>
    </row>
    <row r="134">
      <c r="A134" s="6" t="n">
        <v>130</v>
      </c>
      <c r="B134" s="17">
        <f>IF(COB_CA!$B$44=12,DATE(YEAR(COB_CA!$B$22)+INT((MONTH(COB_CA!$B$22)-1+129)/12),MOD(MONTH(COB_CA!$B$22)-1+129,12)+1,1)+(DAY(COB_CA!$B$22)-1),IF(COB_CA!$B$44=24,COB_CA!$B$22+ROUND((129*365.25)/24,0),IF(COB_CA!$B$44=26,COB_CA!$B$22+1806,COB_CA!$B$22+903)))</f>
        <v/>
      </c>
      <c r="C134" s="14">
        <f>G133</f>
        <v/>
      </c>
      <c r="D134" s="14">
        <f>IF((A134&lt;=COB_CA!$B$58),ROUND(C134*COB_CA!$B$45,2),0)</f>
        <v/>
      </c>
      <c r="E134" s="14">
        <f>IF((A134&lt;=COB_CA!$B$58),IF(AND((A134&lt;=COB_CA!$B$58),ROUND(C134-ROUND(COB_CA!$B$59-D134,2),2)&lt;=0),C134,ROUND(COB_CA!$B$59-D134,2)),0)</f>
        <v/>
      </c>
      <c r="F134" s="14">
        <f>IF((A134&lt;=COB_CA!$B$58),IF(AND((A134&lt;=COB_CA!$B$58),ROUND(C134-ROUND(COB_CA!$B$59-D134,2),2)&lt;=0),ROUND(D134+E134,2),COB_CA!$B$59),0)</f>
        <v/>
      </c>
      <c r="G134" s="14">
        <f>IF((A134&lt;=COB_CA!$B$58),IF(AND((A134&lt;=COB_CA!$B$58),ROUND(C134-ROUND(COB_CA!$B$59-D134,2),2)&lt;=0),0,ROUND(C134-E134,2)),C134)</f>
        <v/>
      </c>
      <c r="H134" s="6">
        <f>AND(H133,C133&gt;0,(A134&lt;=COB_CA!$B$58))</f>
        <v/>
      </c>
    </row>
    <row r="135">
      <c r="A135" s="6" t="n">
        <v>131</v>
      </c>
      <c r="B135" s="17">
        <f>IF(COB_CA!$B$44=12,DATE(YEAR(COB_CA!$B$22)+INT((MONTH(COB_CA!$B$22)-1+130)/12),MOD(MONTH(COB_CA!$B$22)-1+130,12)+1,1)+(DAY(COB_CA!$B$22)-1),IF(COB_CA!$B$44=24,COB_CA!$B$22+ROUND((130*365.25)/24,0),IF(COB_CA!$B$44=26,COB_CA!$B$22+1820,COB_CA!$B$22+910)))</f>
        <v/>
      </c>
      <c r="C135" s="14">
        <f>G134</f>
        <v/>
      </c>
      <c r="D135" s="14">
        <f>IF((A135&lt;=COB_CA!$B$58),ROUND(C135*COB_CA!$B$45,2),0)</f>
        <v/>
      </c>
      <c r="E135" s="14">
        <f>IF((A135&lt;=COB_CA!$B$58),IF(AND((A135&lt;=COB_CA!$B$58),ROUND(C135-ROUND(COB_CA!$B$59-D135,2),2)&lt;=0),C135,ROUND(COB_CA!$B$59-D135,2)),0)</f>
        <v/>
      </c>
      <c r="F135" s="14">
        <f>IF((A135&lt;=COB_CA!$B$58),IF(AND((A135&lt;=COB_CA!$B$58),ROUND(C135-ROUND(COB_CA!$B$59-D135,2),2)&lt;=0),ROUND(D135+E135,2),COB_CA!$B$59),0)</f>
        <v/>
      </c>
      <c r="G135" s="14">
        <f>IF((A135&lt;=COB_CA!$B$58),IF(AND((A135&lt;=COB_CA!$B$58),ROUND(C135-ROUND(COB_CA!$B$59-D135,2),2)&lt;=0),0,ROUND(C135-E135,2)),C135)</f>
        <v/>
      </c>
      <c r="H135" s="6">
        <f>AND(H134,C134&gt;0,(A135&lt;=COB_CA!$B$58))</f>
        <v/>
      </c>
    </row>
    <row r="136">
      <c r="A136" s="6" t="n">
        <v>132</v>
      </c>
      <c r="B136" s="17">
        <f>IF(COB_CA!$B$44=12,DATE(YEAR(COB_CA!$B$22)+INT((MONTH(COB_CA!$B$22)-1+131)/12),MOD(MONTH(COB_CA!$B$22)-1+131,12)+1,1)+(DAY(COB_CA!$B$22)-1),IF(COB_CA!$B$44=24,COB_CA!$B$22+ROUND((131*365.25)/24,0),IF(COB_CA!$B$44=26,COB_CA!$B$22+1834,COB_CA!$B$22+917)))</f>
        <v/>
      </c>
      <c r="C136" s="14">
        <f>G135</f>
        <v/>
      </c>
      <c r="D136" s="14">
        <f>IF((A136&lt;=COB_CA!$B$58),ROUND(C136*COB_CA!$B$45,2),0)</f>
        <v/>
      </c>
      <c r="E136" s="14">
        <f>IF((A136&lt;=COB_CA!$B$58),IF(AND((A136&lt;=COB_CA!$B$58),ROUND(C136-ROUND(COB_CA!$B$59-D136,2),2)&lt;=0),C136,ROUND(COB_CA!$B$59-D136,2)),0)</f>
        <v/>
      </c>
      <c r="F136" s="14">
        <f>IF((A136&lt;=COB_CA!$B$58),IF(AND((A136&lt;=COB_CA!$B$58),ROUND(C136-ROUND(COB_CA!$B$59-D136,2),2)&lt;=0),ROUND(D136+E136,2),COB_CA!$B$59),0)</f>
        <v/>
      </c>
      <c r="G136" s="14">
        <f>IF((A136&lt;=COB_CA!$B$58),IF(AND((A136&lt;=COB_CA!$B$58),ROUND(C136-ROUND(COB_CA!$B$59-D136,2),2)&lt;=0),0,ROUND(C136-E136,2)),C136)</f>
        <v/>
      </c>
      <c r="H136" s="6">
        <f>AND(H135,C135&gt;0,(A136&lt;=COB_CA!$B$58))</f>
        <v/>
      </c>
    </row>
    <row r="137">
      <c r="A137" s="6" t="n">
        <v>133</v>
      </c>
      <c r="B137" s="17">
        <f>IF(COB_CA!$B$44=12,DATE(YEAR(COB_CA!$B$22)+INT((MONTH(COB_CA!$B$22)-1+132)/12),MOD(MONTH(COB_CA!$B$22)-1+132,12)+1,1)+(DAY(COB_CA!$B$22)-1),IF(COB_CA!$B$44=24,COB_CA!$B$22+ROUND((132*365.25)/24,0),IF(COB_CA!$B$44=26,COB_CA!$B$22+1848,COB_CA!$B$22+924)))</f>
        <v/>
      </c>
      <c r="C137" s="14">
        <f>G136</f>
        <v/>
      </c>
      <c r="D137" s="14">
        <f>IF((A137&lt;=COB_CA!$B$58),ROUND(C137*COB_CA!$B$45,2),0)</f>
        <v/>
      </c>
      <c r="E137" s="14">
        <f>IF((A137&lt;=COB_CA!$B$58),IF(AND((A137&lt;=COB_CA!$B$58),ROUND(C137-ROUND(COB_CA!$B$59-D137,2),2)&lt;=0),C137,ROUND(COB_CA!$B$59-D137,2)),0)</f>
        <v/>
      </c>
      <c r="F137" s="14">
        <f>IF((A137&lt;=COB_CA!$B$58),IF(AND((A137&lt;=COB_CA!$B$58),ROUND(C137-ROUND(COB_CA!$B$59-D137,2),2)&lt;=0),ROUND(D137+E137,2),COB_CA!$B$59),0)</f>
        <v/>
      </c>
      <c r="G137" s="14">
        <f>IF((A137&lt;=COB_CA!$B$58),IF(AND((A137&lt;=COB_CA!$B$58),ROUND(C137-ROUND(COB_CA!$B$59-D137,2),2)&lt;=0),0,ROUND(C137-E137,2)),C137)</f>
        <v/>
      </c>
      <c r="H137" s="6">
        <f>AND(H136,C136&gt;0,(A137&lt;=COB_CA!$B$58))</f>
        <v/>
      </c>
    </row>
    <row r="138">
      <c r="A138" s="6" t="n">
        <v>134</v>
      </c>
      <c r="B138" s="17">
        <f>IF(COB_CA!$B$44=12,DATE(YEAR(COB_CA!$B$22)+INT((MONTH(COB_CA!$B$22)-1+133)/12),MOD(MONTH(COB_CA!$B$22)-1+133,12)+1,1)+(DAY(COB_CA!$B$22)-1),IF(COB_CA!$B$44=24,COB_CA!$B$22+ROUND((133*365.25)/24,0),IF(COB_CA!$B$44=26,COB_CA!$B$22+1862,COB_CA!$B$22+931)))</f>
        <v/>
      </c>
      <c r="C138" s="14">
        <f>G137</f>
        <v/>
      </c>
      <c r="D138" s="14">
        <f>IF((A138&lt;=COB_CA!$B$58),ROUND(C138*COB_CA!$B$45,2),0)</f>
        <v/>
      </c>
      <c r="E138" s="14">
        <f>IF((A138&lt;=COB_CA!$B$58),IF(AND((A138&lt;=COB_CA!$B$58),ROUND(C138-ROUND(COB_CA!$B$59-D138,2),2)&lt;=0),C138,ROUND(COB_CA!$B$59-D138,2)),0)</f>
        <v/>
      </c>
      <c r="F138" s="14">
        <f>IF((A138&lt;=COB_CA!$B$58),IF(AND((A138&lt;=COB_CA!$B$58),ROUND(C138-ROUND(COB_CA!$B$59-D138,2),2)&lt;=0),ROUND(D138+E138,2),COB_CA!$B$59),0)</f>
        <v/>
      </c>
      <c r="G138" s="14">
        <f>IF((A138&lt;=COB_CA!$B$58),IF(AND((A138&lt;=COB_CA!$B$58),ROUND(C138-ROUND(COB_CA!$B$59-D138,2),2)&lt;=0),0,ROUND(C138-E138,2)),C138)</f>
        <v/>
      </c>
      <c r="H138" s="6">
        <f>AND(H137,C137&gt;0,(A138&lt;=COB_CA!$B$58))</f>
        <v/>
      </c>
    </row>
    <row r="139">
      <c r="A139" s="6" t="n">
        <v>135</v>
      </c>
      <c r="B139" s="17">
        <f>IF(COB_CA!$B$44=12,DATE(YEAR(COB_CA!$B$22)+INT((MONTH(COB_CA!$B$22)-1+134)/12),MOD(MONTH(COB_CA!$B$22)-1+134,12)+1,1)+(DAY(COB_CA!$B$22)-1),IF(COB_CA!$B$44=24,COB_CA!$B$22+ROUND((134*365.25)/24,0),IF(COB_CA!$B$44=26,COB_CA!$B$22+1876,COB_CA!$B$22+938)))</f>
        <v/>
      </c>
      <c r="C139" s="14">
        <f>G138</f>
        <v/>
      </c>
      <c r="D139" s="14">
        <f>IF((A139&lt;=COB_CA!$B$58),ROUND(C139*COB_CA!$B$45,2),0)</f>
        <v/>
      </c>
      <c r="E139" s="14">
        <f>IF((A139&lt;=COB_CA!$B$58),IF(AND((A139&lt;=COB_CA!$B$58),ROUND(C139-ROUND(COB_CA!$B$59-D139,2),2)&lt;=0),C139,ROUND(COB_CA!$B$59-D139,2)),0)</f>
        <v/>
      </c>
      <c r="F139" s="14">
        <f>IF((A139&lt;=COB_CA!$B$58),IF(AND((A139&lt;=COB_CA!$B$58),ROUND(C139-ROUND(COB_CA!$B$59-D139,2),2)&lt;=0),ROUND(D139+E139,2),COB_CA!$B$59),0)</f>
        <v/>
      </c>
      <c r="G139" s="14">
        <f>IF((A139&lt;=COB_CA!$B$58),IF(AND((A139&lt;=COB_CA!$B$58),ROUND(C139-ROUND(COB_CA!$B$59-D139,2),2)&lt;=0),0,ROUND(C139-E139,2)),C139)</f>
        <v/>
      </c>
      <c r="H139" s="6">
        <f>AND(H138,C138&gt;0,(A139&lt;=COB_CA!$B$58))</f>
        <v/>
      </c>
    </row>
    <row r="140">
      <c r="A140" s="6" t="n">
        <v>136</v>
      </c>
      <c r="B140" s="17">
        <f>IF(COB_CA!$B$44=12,DATE(YEAR(COB_CA!$B$22)+INT((MONTH(COB_CA!$B$22)-1+135)/12),MOD(MONTH(COB_CA!$B$22)-1+135,12)+1,1)+(DAY(COB_CA!$B$22)-1),IF(COB_CA!$B$44=24,COB_CA!$B$22+ROUND((135*365.25)/24,0),IF(COB_CA!$B$44=26,COB_CA!$B$22+1890,COB_CA!$B$22+945)))</f>
        <v/>
      </c>
      <c r="C140" s="14">
        <f>G139</f>
        <v/>
      </c>
      <c r="D140" s="14">
        <f>IF((A140&lt;=COB_CA!$B$58),ROUND(C140*COB_CA!$B$45,2),0)</f>
        <v/>
      </c>
      <c r="E140" s="14">
        <f>IF((A140&lt;=COB_CA!$B$58),IF(AND((A140&lt;=COB_CA!$B$58),ROUND(C140-ROUND(COB_CA!$B$59-D140,2),2)&lt;=0),C140,ROUND(COB_CA!$B$59-D140,2)),0)</f>
        <v/>
      </c>
      <c r="F140" s="14">
        <f>IF((A140&lt;=COB_CA!$B$58),IF(AND((A140&lt;=COB_CA!$B$58),ROUND(C140-ROUND(COB_CA!$B$59-D140,2),2)&lt;=0),ROUND(D140+E140,2),COB_CA!$B$59),0)</f>
        <v/>
      </c>
      <c r="G140" s="14">
        <f>IF((A140&lt;=COB_CA!$B$58),IF(AND((A140&lt;=COB_CA!$B$58),ROUND(C140-ROUND(COB_CA!$B$59-D140,2),2)&lt;=0),0,ROUND(C140-E140,2)),C140)</f>
        <v/>
      </c>
      <c r="H140" s="6">
        <f>AND(H139,C139&gt;0,(A140&lt;=COB_CA!$B$58))</f>
        <v/>
      </c>
    </row>
    <row r="141">
      <c r="A141" s="6" t="n">
        <v>137</v>
      </c>
      <c r="B141" s="17">
        <f>IF(COB_CA!$B$44=12,DATE(YEAR(COB_CA!$B$22)+INT((MONTH(COB_CA!$B$22)-1+136)/12),MOD(MONTH(COB_CA!$B$22)-1+136,12)+1,1)+(DAY(COB_CA!$B$22)-1),IF(COB_CA!$B$44=24,COB_CA!$B$22+ROUND((136*365.25)/24,0),IF(COB_CA!$B$44=26,COB_CA!$B$22+1904,COB_CA!$B$22+952)))</f>
        <v/>
      </c>
      <c r="C141" s="14">
        <f>G140</f>
        <v/>
      </c>
      <c r="D141" s="14">
        <f>IF((A141&lt;=COB_CA!$B$58),ROUND(C141*COB_CA!$B$45,2),0)</f>
        <v/>
      </c>
      <c r="E141" s="14">
        <f>IF((A141&lt;=COB_CA!$B$58),IF(AND((A141&lt;=COB_CA!$B$58),ROUND(C141-ROUND(COB_CA!$B$59-D141,2),2)&lt;=0),C141,ROUND(COB_CA!$B$59-D141,2)),0)</f>
        <v/>
      </c>
      <c r="F141" s="14">
        <f>IF((A141&lt;=COB_CA!$B$58),IF(AND((A141&lt;=COB_CA!$B$58),ROUND(C141-ROUND(COB_CA!$B$59-D141,2),2)&lt;=0),ROUND(D141+E141,2),COB_CA!$B$59),0)</f>
        <v/>
      </c>
      <c r="G141" s="14">
        <f>IF((A141&lt;=COB_CA!$B$58),IF(AND((A141&lt;=COB_CA!$B$58),ROUND(C141-ROUND(COB_CA!$B$59-D141,2),2)&lt;=0),0,ROUND(C141-E141,2)),C141)</f>
        <v/>
      </c>
      <c r="H141" s="6">
        <f>AND(H140,C140&gt;0,(A141&lt;=COB_CA!$B$58))</f>
        <v/>
      </c>
    </row>
    <row r="142">
      <c r="A142" s="6" t="n">
        <v>138</v>
      </c>
      <c r="B142" s="17">
        <f>IF(COB_CA!$B$44=12,DATE(YEAR(COB_CA!$B$22)+INT((MONTH(COB_CA!$B$22)-1+137)/12),MOD(MONTH(COB_CA!$B$22)-1+137,12)+1,1)+(DAY(COB_CA!$B$22)-1),IF(COB_CA!$B$44=24,COB_CA!$B$22+ROUND((137*365.25)/24,0),IF(COB_CA!$B$44=26,COB_CA!$B$22+1918,COB_CA!$B$22+959)))</f>
        <v/>
      </c>
      <c r="C142" s="14">
        <f>G141</f>
        <v/>
      </c>
      <c r="D142" s="14">
        <f>IF((A142&lt;=COB_CA!$B$58),ROUND(C142*COB_CA!$B$45,2),0)</f>
        <v/>
      </c>
      <c r="E142" s="14">
        <f>IF((A142&lt;=COB_CA!$B$58),IF(AND((A142&lt;=COB_CA!$B$58),ROUND(C142-ROUND(COB_CA!$B$59-D142,2),2)&lt;=0),C142,ROUND(COB_CA!$B$59-D142,2)),0)</f>
        <v/>
      </c>
      <c r="F142" s="14">
        <f>IF((A142&lt;=COB_CA!$B$58),IF(AND((A142&lt;=COB_CA!$B$58),ROUND(C142-ROUND(COB_CA!$B$59-D142,2),2)&lt;=0),ROUND(D142+E142,2),COB_CA!$B$59),0)</f>
        <v/>
      </c>
      <c r="G142" s="14">
        <f>IF((A142&lt;=COB_CA!$B$58),IF(AND((A142&lt;=COB_CA!$B$58),ROUND(C142-ROUND(COB_CA!$B$59-D142,2),2)&lt;=0),0,ROUND(C142-E142,2)),C142)</f>
        <v/>
      </c>
      <c r="H142" s="6">
        <f>AND(H141,C141&gt;0,(A142&lt;=COB_CA!$B$58))</f>
        <v/>
      </c>
    </row>
    <row r="143">
      <c r="A143" s="6" t="n">
        <v>139</v>
      </c>
      <c r="B143" s="17">
        <f>IF(COB_CA!$B$44=12,DATE(YEAR(COB_CA!$B$22)+INT((MONTH(COB_CA!$B$22)-1+138)/12),MOD(MONTH(COB_CA!$B$22)-1+138,12)+1,1)+(DAY(COB_CA!$B$22)-1),IF(COB_CA!$B$44=24,COB_CA!$B$22+ROUND((138*365.25)/24,0),IF(COB_CA!$B$44=26,COB_CA!$B$22+1932,COB_CA!$B$22+966)))</f>
        <v/>
      </c>
      <c r="C143" s="14">
        <f>G142</f>
        <v/>
      </c>
      <c r="D143" s="14">
        <f>IF((A143&lt;=COB_CA!$B$58),ROUND(C143*COB_CA!$B$45,2),0)</f>
        <v/>
      </c>
      <c r="E143" s="14">
        <f>IF((A143&lt;=COB_CA!$B$58),IF(AND((A143&lt;=COB_CA!$B$58),ROUND(C143-ROUND(COB_CA!$B$59-D143,2),2)&lt;=0),C143,ROUND(COB_CA!$B$59-D143,2)),0)</f>
        <v/>
      </c>
      <c r="F143" s="14">
        <f>IF((A143&lt;=COB_CA!$B$58),IF(AND((A143&lt;=COB_CA!$B$58),ROUND(C143-ROUND(COB_CA!$B$59-D143,2),2)&lt;=0),ROUND(D143+E143,2),COB_CA!$B$59),0)</f>
        <v/>
      </c>
      <c r="G143" s="14">
        <f>IF((A143&lt;=COB_CA!$B$58),IF(AND((A143&lt;=COB_CA!$B$58),ROUND(C143-ROUND(COB_CA!$B$59-D143,2),2)&lt;=0),0,ROUND(C143-E143,2)),C143)</f>
        <v/>
      </c>
      <c r="H143" s="6">
        <f>AND(H142,C142&gt;0,(A143&lt;=COB_CA!$B$58))</f>
        <v/>
      </c>
    </row>
    <row r="144">
      <c r="A144" s="6" t="n">
        <v>140</v>
      </c>
      <c r="B144" s="17">
        <f>IF(COB_CA!$B$44=12,DATE(YEAR(COB_CA!$B$22)+INT((MONTH(COB_CA!$B$22)-1+139)/12),MOD(MONTH(COB_CA!$B$22)-1+139,12)+1,1)+(DAY(COB_CA!$B$22)-1),IF(COB_CA!$B$44=24,COB_CA!$B$22+ROUND((139*365.25)/24,0),IF(COB_CA!$B$44=26,COB_CA!$B$22+1946,COB_CA!$B$22+973)))</f>
        <v/>
      </c>
      <c r="C144" s="14">
        <f>G143</f>
        <v/>
      </c>
      <c r="D144" s="14">
        <f>IF((A144&lt;=COB_CA!$B$58),ROUND(C144*COB_CA!$B$45,2),0)</f>
        <v/>
      </c>
      <c r="E144" s="14">
        <f>IF((A144&lt;=COB_CA!$B$58),IF(AND((A144&lt;=COB_CA!$B$58),ROUND(C144-ROUND(COB_CA!$B$59-D144,2),2)&lt;=0),C144,ROUND(COB_CA!$B$59-D144,2)),0)</f>
        <v/>
      </c>
      <c r="F144" s="14">
        <f>IF((A144&lt;=COB_CA!$B$58),IF(AND((A144&lt;=COB_CA!$B$58),ROUND(C144-ROUND(COB_CA!$B$59-D144,2),2)&lt;=0),ROUND(D144+E144,2),COB_CA!$B$59),0)</f>
        <v/>
      </c>
      <c r="G144" s="14">
        <f>IF((A144&lt;=COB_CA!$B$58),IF(AND((A144&lt;=COB_CA!$B$58),ROUND(C144-ROUND(COB_CA!$B$59-D144,2),2)&lt;=0),0,ROUND(C144-E144,2)),C144)</f>
        <v/>
      </c>
      <c r="H144" s="6">
        <f>AND(H143,C143&gt;0,(A144&lt;=COB_CA!$B$58))</f>
        <v/>
      </c>
    </row>
    <row r="145">
      <c r="A145" s="6" t="n">
        <v>141</v>
      </c>
      <c r="B145" s="17">
        <f>IF(COB_CA!$B$44=12,DATE(YEAR(COB_CA!$B$22)+INT((MONTH(COB_CA!$B$22)-1+140)/12),MOD(MONTH(COB_CA!$B$22)-1+140,12)+1,1)+(DAY(COB_CA!$B$22)-1),IF(COB_CA!$B$44=24,COB_CA!$B$22+ROUND((140*365.25)/24,0),IF(COB_CA!$B$44=26,COB_CA!$B$22+1960,COB_CA!$B$22+980)))</f>
        <v/>
      </c>
      <c r="C145" s="14">
        <f>G144</f>
        <v/>
      </c>
      <c r="D145" s="14">
        <f>IF((A145&lt;=COB_CA!$B$58),ROUND(C145*COB_CA!$B$45,2),0)</f>
        <v/>
      </c>
      <c r="E145" s="14">
        <f>IF((A145&lt;=COB_CA!$B$58),IF(AND((A145&lt;=COB_CA!$B$58),ROUND(C145-ROUND(COB_CA!$B$59-D145,2),2)&lt;=0),C145,ROUND(COB_CA!$B$59-D145,2)),0)</f>
        <v/>
      </c>
      <c r="F145" s="14">
        <f>IF((A145&lt;=COB_CA!$B$58),IF(AND((A145&lt;=COB_CA!$B$58),ROUND(C145-ROUND(COB_CA!$B$59-D145,2),2)&lt;=0),ROUND(D145+E145,2),COB_CA!$B$59),0)</f>
        <v/>
      </c>
      <c r="G145" s="14">
        <f>IF((A145&lt;=COB_CA!$B$58),IF(AND((A145&lt;=COB_CA!$B$58),ROUND(C145-ROUND(COB_CA!$B$59-D145,2),2)&lt;=0),0,ROUND(C145-E145,2)),C145)</f>
        <v/>
      </c>
      <c r="H145" s="6">
        <f>AND(H144,C144&gt;0,(A145&lt;=COB_CA!$B$58))</f>
        <v/>
      </c>
    </row>
    <row r="146">
      <c r="A146" s="6" t="n">
        <v>142</v>
      </c>
      <c r="B146" s="17">
        <f>IF(COB_CA!$B$44=12,DATE(YEAR(COB_CA!$B$22)+INT((MONTH(COB_CA!$B$22)-1+141)/12),MOD(MONTH(COB_CA!$B$22)-1+141,12)+1,1)+(DAY(COB_CA!$B$22)-1),IF(COB_CA!$B$44=24,COB_CA!$B$22+ROUND((141*365.25)/24,0),IF(COB_CA!$B$44=26,COB_CA!$B$22+1974,COB_CA!$B$22+987)))</f>
        <v/>
      </c>
      <c r="C146" s="14">
        <f>G145</f>
        <v/>
      </c>
      <c r="D146" s="14">
        <f>IF((A146&lt;=COB_CA!$B$58),ROUND(C146*COB_CA!$B$45,2),0)</f>
        <v/>
      </c>
      <c r="E146" s="14">
        <f>IF((A146&lt;=COB_CA!$B$58),IF(AND((A146&lt;=COB_CA!$B$58),ROUND(C146-ROUND(COB_CA!$B$59-D146,2),2)&lt;=0),C146,ROUND(COB_CA!$B$59-D146,2)),0)</f>
        <v/>
      </c>
      <c r="F146" s="14">
        <f>IF((A146&lt;=COB_CA!$B$58),IF(AND((A146&lt;=COB_CA!$B$58),ROUND(C146-ROUND(COB_CA!$B$59-D146,2),2)&lt;=0),ROUND(D146+E146,2),COB_CA!$B$59),0)</f>
        <v/>
      </c>
      <c r="G146" s="14">
        <f>IF((A146&lt;=COB_CA!$B$58),IF(AND((A146&lt;=COB_CA!$B$58),ROUND(C146-ROUND(COB_CA!$B$59-D146,2),2)&lt;=0),0,ROUND(C146-E146,2)),C146)</f>
        <v/>
      </c>
      <c r="H146" s="6">
        <f>AND(H145,C145&gt;0,(A146&lt;=COB_CA!$B$58))</f>
        <v/>
      </c>
    </row>
    <row r="147">
      <c r="A147" s="6" t="n">
        <v>143</v>
      </c>
      <c r="B147" s="17">
        <f>IF(COB_CA!$B$44=12,DATE(YEAR(COB_CA!$B$22)+INT((MONTH(COB_CA!$B$22)-1+142)/12),MOD(MONTH(COB_CA!$B$22)-1+142,12)+1,1)+(DAY(COB_CA!$B$22)-1),IF(COB_CA!$B$44=24,COB_CA!$B$22+ROUND((142*365.25)/24,0),IF(COB_CA!$B$44=26,COB_CA!$B$22+1988,COB_CA!$B$22+994)))</f>
        <v/>
      </c>
      <c r="C147" s="14">
        <f>G146</f>
        <v/>
      </c>
      <c r="D147" s="14">
        <f>IF((A147&lt;=COB_CA!$B$58),ROUND(C147*COB_CA!$B$45,2),0)</f>
        <v/>
      </c>
      <c r="E147" s="14">
        <f>IF((A147&lt;=COB_CA!$B$58),IF(AND((A147&lt;=COB_CA!$B$58),ROUND(C147-ROUND(COB_CA!$B$59-D147,2),2)&lt;=0),C147,ROUND(COB_CA!$B$59-D147,2)),0)</f>
        <v/>
      </c>
      <c r="F147" s="14">
        <f>IF((A147&lt;=COB_CA!$B$58),IF(AND((A147&lt;=COB_CA!$B$58),ROUND(C147-ROUND(COB_CA!$B$59-D147,2),2)&lt;=0),ROUND(D147+E147,2),COB_CA!$B$59),0)</f>
        <v/>
      </c>
      <c r="G147" s="14">
        <f>IF((A147&lt;=COB_CA!$B$58),IF(AND((A147&lt;=COB_CA!$B$58),ROUND(C147-ROUND(COB_CA!$B$59-D147,2),2)&lt;=0),0,ROUND(C147-E147,2)),C147)</f>
        <v/>
      </c>
      <c r="H147" s="6">
        <f>AND(H146,C146&gt;0,(A147&lt;=COB_CA!$B$58))</f>
        <v/>
      </c>
    </row>
    <row r="148">
      <c r="A148" s="6" t="n">
        <v>144</v>
      </c>
      <c r="B148" s="17">
        <f>IF(COB_CA!$B$44=12,DATE(YEAR(COB_CA!$B$22)+INT((MONTH(COB_CA!$B$22)-1+143)/12),MOD(MONTH(COB_CA!$B$22)-1+143,12)+1,1)+(DAY(COB_CA!$B$22)-1),IF(COB_CA!$B$44=24,COB_CA!$B$22+ROUND((143*365.25)/24,0),IF(COB_CA!$B$44=26,COB_CA!$B$22+2002,COB_CA!$B$22+1001)))</f>
        <v/>
      </c>
      <c r="C148" s="14">
        <f>G147</f>
        <v/>
      </c>
      <c r="D148" s="14">
        <f>IF((A148&lt;=COB_CA!$B$58),ROUND(C148*COB_CA!$B$45,2),0)</f>
        <v/>
      </c>
      <c r="E148" s="14">
        <f>IF((A148&lt;=COB_CA!$B$58),IF(AND((A148&lt;=COB_CA!$B$58),ROUND(C148-ROUND(COB_CA!$B$59-D148,2),2)&lt;=0),C148,ROUND(COB_CA!$B$59-D148,2)),0)</f>
        <v/>
      </c>
      <c r="F148" s="14">
        <f>IF((A148&lt;=COB_CA!$B$58),IF(AND((A148&lt;=COB_CA!$B$58),ROUND(C148-ROUND(COB_CA!$B$59-D148,2),2)&lt;=0),ROUND(D148+E148,2),COB_CA!$B$59),0)</f>
        <v/>
      </c>
      <c r="G148" s="14">
        <f>IF((A148&lt;=COB_CA!$B$58),IF(AND((A148&lt;=COB_CA!$B$58),ROUND(C148-ROUND(COB_CA!$B$59-D148,2),2)&lt;=0),0,ROUND(C148-E148,2)),C148)</f>
        <v/>
      </c>
      <c r="H148" s="6">
        <f>AND(H147,C147&gt;0,(A148&lt;=COB_CA!$B$58))</f>
        <v/>
      </c>
    </row>
    <row r="149">
      <c r="A149" s="6" t="n">
        <v>145</v>
      </c>
      <c r="B149" s="17">
        <f>IF(COB_CA!$B$44=12,DATE(YEAR(COB_CA!$B$22)+INT((MONTH(COB_CA!$B$22)-1+144)/12),MOD(MONTH(COB_CA!$B$22)-1+144,12)+1,1)+(DAY(COB_CA!$B$22)-1),IF(COB_CA!$B$44=24,COB_CA!$B$22+ROUND((144*365.25)/24,0),IF(COB_CA!$B$44=26,COB_CA!$B$22+2016,COB_CA!$B$22+1008)))</f>
        <v/>
      </c>
      <c r="C149" s="14">
        <f>G148</f>
        <v/>
      </c>
      <c r="D149" s="14">
        <f>IF((A149&lt;=COB_CA!$B$58),ROUND(C149*COB_CA!$B$45,2),0)</f>
        <v/>
      </c>
      <c r="E149" s="14">
        <f>IF((A149&lt;=COB_CA!$B$58),IF(AND((A149&lt;=COB_CA!$B$58),ROUND(C149-ROUND(COB_CA!$B$59-D149,2),2)&lt;=0),C149,ROUND(COB_CA!$B$59-D149,2)),0)</f>
        <v/>
      </c>
      <c r="F149" s="14">
        <f>IF((A149&lt;=COB_CA!$B$58),IF(AND((A149&lt;=COB_CA!$B$58),ROUND(C149-ROUND(COB_CA!$B$59-D149,2),2)&lt;=0),ROUND(D149+E149,2),COB_CA!$B$59),0)</f>
        <v/>
      </c>
      <c r="G149" s="14">
        <f>IF((A149&lt;=COB_CA!$B$58),IF(AND((A149&lt;=COB_CA!$B$58),ROUND(C149-ROUND(COB_CA!$B$59-D149,2),2)&lt;=0),0,ROUND(C149-E149,2)),C149)</f>
        <v/>
      </c>
      <c r="H149" s="6">
        <f>AND(H148,C148&gt;0,(A149&lt;=COB_CA!$B$58))</f>
        <v/>
      </c>
    </row>
    <row r="150">
      <c r="A150" s="6" t="n">
        <v>146</v>
      </c>
      <c r="B150" s="17">
        <f>IF(COB_CA!$B$44=12,DATE(YEAR(COB_CA!$B$22)+INT((MONTH(COB_CA!$B$22)-1+145)/12),MOD(MONTH(COB_CA!$B$22)-1+145,12)+1,1)+(DAY(COB_CA!$B$22)-1),IF(COB_CA!$B$44=24,COB_CA!$B$22+ROUND((145*365.25)/24,0),IF(COB_CA!$B$44=26,COB_CA!$B$22+2030,COB_CA!$B$22+1015)))</f>
        <v/>
      </c>
      <c r="C150" s="14">
        <f>G149</f>
        <v/>
      </c>
      <c r="D150" s="14">
        <f>IF((A150&lt;=COB_CA!$B$58),ROUND(C150*COB_CA!$B$45,2),0)</f>
        <v/>
      </c>
      <c r="E150" s="14">
        <f>IF((A150&lt;=COB_CA!$B$58),IF(AND((A150&lt;=COB_CA!$B$58),ROUND(C150-ROUND(COB_CA!$B$59-D150,2),2)&lt;=0),C150,ROUND(COB_CA!$B$59-D150,2)),0)</f>
        <v/>
      </c>
      <c r="F150" s="14">
        <f>IF((A150&lt;=COB_CA!$B$58),IF(AND((A150&lt;=COB_CA!$B$58),ROUND(C150-ROUND(COB_CA!$B$59-D150,2),2)&lt;=0),ROUND(D150+E150,2),COB_CA!$B$59),0)</f>
        <v/>
      </c>
      <c r="G150" s="14">
        <f>IF((A150&lt;=COB_CA!$B$58),IF(AND((A150&lt;=COB_CA!$B$58),ROUND(C150-ROUND(COB_CA!$B$59-D150,2),2)&lt;=0),0,ROUND(C150-E150,2)),C150)</f>
        <v/>
      </c>
      <c r="H150" s="6">
        <f>AND(H149,C149&gt;0,(A150&lt;=COB_CA!$B$58))</f>
        <v/>
      </c>
    </row>
    <row r="151">
      <c r="A151" s="6" t="n">
        <v>147</v>
      </c>
      <c r="B151" s="17">
        <f>IF(COB_CA!$B$44=12,DATE(YEAR(COB_CA!$B$22)+INT((MONTH(COB_CA!$B$22)-1+146)/12),MOD(MONTH(COB_CA!$B$22)-1+146,12)+1,1)+(DAY(COB_CA!$B$22)-1),IF(COB_CA!$B$44=24,COB_CA!$B$22+ROUND((146*365.25)/24,0),IF(COB_CA!$B$44=26,COB_CA!$B$22+2044,COB_CA!$B$22+1022)))</f>
        <v/>
      </c>
      <c r="C151" s="14">
        <f>G150</f>
        <v/>
      </c>
      <c r="D151" s="14">
        <f>IF((A151&lt;=COB_CA!$B$58),ROUND(C151*COB_CA!$B$45,2),0)</f>
        <v/>
      </c>
      <c r="E151" s="14">
        <f>IF((A151&lt;=COB_CA!$B$58),IF(AND((A151&lt;=COB_CA!$B$58),ROUND(C151-ROUND(COB_CA!$B$59-D151,2),2)&lt;=0),C151,ROUND(COB_CA!$B$59-D151,2)),0)</f>
        <v/>
      </c>
      <c r="F151" s="14">
        <f>IF((A151&lt;=COB_CA!$B$58),IF(AND((A151&lt;=COB_CA!$B$58),ROUND(C151-ROUND(COB_CA!$B$59-D151,2),2)&lt;=0),ROUND(D151+E151,2),COB_CA!$B$59),0)</f>
        <v/>
      </c>
      <c r="G151" s="14">
        <f>IF((A151&lt;=COB_CA!$B$58),IF(AND((A151&lt;=COB_CA!$B$58),ROUND(C151-ROUND(COB_CA!$B$59-D151,2),2)&lt;=0),0,ROUND(C151-E151,2)),C151)</f>
        <v/>
      </c>
      <c r="H151" s="6">
        <f>AND(H150,C150&gt;0,(A151&lt;=COB_CA!$B$58))</f>
        <v/>
      </c>
    </row>
    <row r="152">
      <c r="A152" s="6" t="n">
        <v>148</v>
      </c>
      <c r="B152" s="17">
        <f>IF(COB_CA!$B$44=12,DATE(YEAR(COB_CA!$B$22)+INT((MONTH(COB_CA!$B$22)-1+147)/12),MOD(MONTH(COB_CA!$B$22)-1+147,12)+1,1)+(DAY(COB_CA!$B$22)-1),IF(COB_CA!$B$44=24,COB_CA!$B$22+ROUND((147*365.25)/24,0),IF(COB_CA!$B$44=26,COB_CA!$B$22+2058,COB_CA!$B$22+1029)))</f>
        <v/>
      </c>
      <c r="C152" s="14">
        <f>G151</f>
        <v/>
      </c>
      <c r="D152" s="14">
        <f>IF((A152&lt;=COB_CA!$B$58),ROUND(C152*COB_CA!$B$45,2),0)</f>
        <v/>
      </c>
      <c r="E152" s="14">
        <f>IF((A152&lt;=COB_CA!$B$58),IF(AND((A152&lt;=COB_CA!$B$58),ROUND(C152-ROUND(COB_CA!$B$59-D152,2),2)&lt;=0),C152,ROUND(COB_CA!$B$59-D152,2)),0)</f>
        <v/>
      </c>
      <c r="F152" s="14">
        <f>IF((A152&lt;=COB_CA!$B$58),IF(AND((A152&lt;=COB_CA!$B$58),ROUND(C152-ROUND(COB_CA!$B$59-D152,2),2)&lt;=0),ROUND(D152+E152,2),COB_CA!$B$59),0)</f>
        <v/>
      </c>
      <c r="G152" s="14">
        <f>IF((A152&lt;=COB_CA!$B$58),IF(AND((A152&lt;=COB_CA!$B$58),ROUND(C152-ROUND(COB_CA!$B$59-D152,2),2)&lt;=0),0,ROUND(C152-E152,2)),C152)</f>
        <v/>
      </c>
      <c r="H152" s="6">
        <f>AND(H151,C151&gt;0,(A152&lt;=COB_CA!$B$58))</f>
        <v/>
      </c>
    </row>
    <row r="153">
      <c r="A153" s="6" t="n">
        <v>149</v>
      </c>
      <c r="B153" s="17">
        <f>IF(COB_CA!$B$44=12,DATE(YEAR(COB_CA!$B$22)+INT((MONTH(COB_CA!$B$22)-1+148)/12),MOD(MONTH(COB_CA!$B$22)-1+148,12)+1,1)+(DAY(COB_CA!$B$22)-1),IF(COB_CA!$B$44=24,COB_CA!$B$22+ROUND((148*365.25)/24,0),IF(COB_CA!$B$44=26,COB_CA!$B$22+2072,COB_CA!$B$22+1036)))</f>
        <v/>
      </c>
      <c r="C153" s="14">
        <f>G152</f>
        <v/>
      </c>
      <c r="D153" s="14">
        <f>IF((A153&lt;=COB_CA!$B$58),ROUND(C153*COB_CA!$B$45,2),0)</f>
        <v/>
      </c>
      <c r="E153" s="14">
        <f>IF((A153&lt;=COB_CA!$B$58),IF(AND((A153&lt;=COB_CA!$B$58),ROUND(C153-ROUND(COB_CA!$B$59-D153,2),2)&lt;=0),C153,ROUND(COB_CA!$B$59-D153,2)),0)</f>
        <v/>
      </c>
      <c r="F153" s="14">
        <f>IF((A153&lt;=COB_CA!$B$58),IF(AND((A153&lt;=COB_CA!$B$58),ROUND(C153-ROUND(COB_CA!$B$59-D153,2),2)&lt;=0),ROUND(D153+E153,2),COB_CA!$B$59),0)</f>
        <v/>
      </c>
      <c r="G153" s="14">
        <f>IF((A153&lt;=COB_CA!$B$58),IF(AND((A153&lt;=COB_CA!$B$58),ROUND(C153-ROUND(COB_CA!$B$59-D153,2),2)&lt;=0),0,ROUND(C153-E153,2)),C153)</f>
        <v/>
      </c>
      <c r="H153" s="6">
        <f>AND(H152,C152&gt;0,(A153&lt;=COB_CA!$B$58))</f>
        <v/>
      </c>
    </row>
    <row r="154">
      <c r="A154" s="6" t="n">
        <v>150</v>
      </c>
      <c r="B154" s="17">
        <f>IF(COB_CA!$B$44=12,DATE(YEAR(COB_CA!$B$22)+INT((MONTH(COB_CA!$B$22)-1+149)/12),MOD(MONTH(COB_CA!$B$22)-1+149,12)+1,1)+(DAY(COB_CA!$B$22)-1),IF(COB_CA!$B$44=24,COB_CA!$B$22+ROUND((149*365.25)/24,0),IF(COB_CA!$B$44=26,COB_CA!$B$22+2086,COB_CA!$B$22+1043)))</f>
        <v/>
      </c>
      <c r="C154" s="14">
        <f>G153</f>
        <v/>
      </c>
      <c r="D154" s="14">
        <f>IF((A154&lt;=COB_CA!$B$58),ROUND(C154*COB_CA!$B$45,2),0)</f>
        <v/>
      </c>
      <c r="E154" s="14">
        <f>IF((A154&lt;=COB_CA!$B$58),IF(AND((A154&lt;=COB_CA!$B$58),ROUND(C154-ROUND(COB_CA!$B$59-D154,2),2)&lt;=0),C154,ROUND(COB_CA!$B$59-D154,2)),0)</f>
        <v/>
      </c>
      <c r="F154" s="14">
        <f>IF((A154&lt;=COB_CA!$B$58),IF(AND((A154&lt;=COB_CA!$B$58),ROUND(C154-ROUND(COB_CA!$B$59-D154,2),2)&lt;=0),ROUND(D154+E154,2),COB_CA!$B$59),0)</f>
        <v/>
      </c>
      <c r="G154" s="14">
        <f>IF((A154&lt;=COB_CA!$B$58),IF(AND((A154&lt;=COB_CA!$B$58),ROUND(C154-ROUND(COB_CA!$B$59-D154,2),2)&lt;=0),0,ROUND(C154-E154,2)),C154)</f>
        <v/>
      </c>
      <c r="H154" s="6">
        <f>AND(H153,C153&gt;0,(A154&lt;=COB_CA!$B$58))</f>
        <v/>
      </c>
    </row>
    <row r="155">
      <c r="A155" s="6" t="n">
        <v>151</v>
      </c>
      <c r="B155" s="17">
        <f>IF(COB_CA!$B$44=12,DATE(YEAR(COB_CA!$B$22)+INT((MONTH(COB_CA!$B$22)-1+150)/12),MOD(MONTH(COB_CA!$B$22)-1+150,12)+1,1)+(DAY(COB_CA!$B$22)-1),IF(COB_CA!$B$44=24,COB_CA!$B$22+ROUND((150*365.25)/24,0),IF(COB_CA!$B$44=26,COB_CA!$B$22+2100,COB_CA!$B$22+1050)))</f>
        <v/>
      </c>
      <c r="C155" s="14">
        <f>G154</f>
        <v/>
      </c>
      <c r="D155" s="14">
        <f>IF((A155&lt;=COB_CA!$B$58),ROUND(C155*COB_CA!$B$45,2),0)</f>
        <v/>
      </c>
      <c r="E155" s="14">
        <f>IF((A155&lt;=COB_CA!$B$58),IF(AND((A155&lt;=COB_CA!$B$58),ROUND(C155-ROUND(COB_CA!$B$59-D155,2),2)&lt;=0),C155,ROUND(COB_CA!$B$59-D155,2)),0)</f>
        <v/>
      </c>
      <c r="F155" s="14">
        <f>IF((A155&lt;=COB_CA!$B$58),IF(AND((A155&lt;=COB_CA!$B$58),ROUND(C155-ROUND(COB_CA!$B$59-D155,2),2)&lt;=0),ROUND(D155+E155,2),COB_CA!$B$59),0)</f>
        <v/>
      </c>
      <c r="G155" s="14">
        <f>IF((A155&lt;=COB_CA!$B$58),IF(AND((A155&lt;=COB_CA!$B$58),ROUND(C155-ROUND(COB_CA!$B$59-D155,2),2)&lt;=0),0,ROUND(C155-E155,2)),C155)</f>
        <v/>
      </c>
      <c r="H155" s="6">
        <f>AND(H154,C154&gt;0,(A155&lt;=COB_CA!$B$58))</f>
        <v/>
      </c>
    </row>
    <row r="156">
      <c r="A156" s="6" t="n">
        <v>152</v>
      </c>
      <c r="B156" s="17">
        <f>IF(COB_CA!$B$44=12,DATE(YEAR(COB_CA!$B$22)+INT((MONTH(COB_CA!$B$22)-1+151)/12),MOD(MONTH(COB_CA!$B$22)-1+151,12)+1,1)+(DAY(COB_CA!$B$22)-1),IF(COB_CA!$B$44=24,COB_CA!$B$22+ROUND((151*365.25)/24,0),IF(COB_CA!$B$44=26,COB_CA!$B$22+2114,COB_CA!$B$22+1057)))</f>
        <v/>
      </c>
      <c r="C156" s="14">
        <f>G155</f>
        <v/>
      </c>
      <c r="D156" s="14">
        <f>IF((A156&lt;=COB_CA!$B$58),ROUND(C156*COB_CA!$B$45,2),0)</f>
        <v/>
      </c>
      <c r="E156" s="14">
        <f>IF((A156&lt;=COB_CA!$B$58),IF(AND((A156&lt;=COB_CA!$B$58),ROUND(C156-ROUND(COB_CA!$B$59-D156,2),2)&lt;=0),C156,ROUND(COB_CA!$B$59-D156,2)),0)</f>
        <v/>
      </c>
      <c r="F156" s="14">
        <f>IF((A156&lt;=COB_CA!$B$58),IF(AND((A156&lt;=COB_CA!$B$58),ROUND(C156-ROUND(COB_CA!$B$59-D156,2),2)&lt;=0),ROUND(D156+E156,2),COB_CA!$B$59),0)</f>
        <v/>
      </c>
      <c r="G156" s="14">
        <f>IF((A156&lt;=COB_CA!$B$58),IF(AND((A156&lt;=COB_CA!$B$58),ROUND(C156-ROUND(COB_CA!$B$59-D156,2),2)&lt;=0),0,ROUND(C156-E156,2)),C156)</f>
        <v/>
      </c>
      <c r="H156" s="6">
        <f>AND(H155,C155&gt;0,(A156&lt;=COB_CA!$B$58))</f>
        <v/>
      </c>
    </row>
    <row r="157">
      <c r="A157" s="6" t="n">
        <v>153</v>
      </c>
      <c r="B157" s="17">
        <f>IF(COB_CA!$B$44=12,DATE(YEAR(COB_CA!$B$22)+INT((MONTH(COB_CA!$B$22)-1+152)/12),MOD(MONTH(COB_CA!$B$22)-1+152,12)+1,1)+(DAY(COB_CA!$B$22)-1),IF(COB_CA!$B$44=24,COB_CA!$B$22+ROUND((152*365.25)/24,0),IF(COB_CA!$B$44=26,COB_CA!$B$22+2128,COB_CA!$B$22+1064)))</f>
        <v/>
      </c>
      <c r="C157" s="14">
        <f>G156</f>
        <v/>
      </c>
      <c r="D157" s="14">
        <f>IF((A157&lt;=COB_CA!$B$58),ROUND(C157*COB_CA!$B$45,2),0)</f>
        <v/>
      </c>
      <c r="E157" s="14">
        <f>IF((A157&lt;=COB_CA!$B$58),IF(AND((A157&lt;=COB_CA!$B$58),ROUND(C157-ROUND(COB_CA!$B$59-D157,2),2)&lt;=0),C157,ROUND(COB_CA!$B$59-D157,2)),0)</f>
        <v/>
      </c>
      <c r="F157" s="14">
        <f>IF((A157&lt;=COB_CA!$B$58),IF(AND((A157&lt;=COB_CA!$B$58),ROUND(C157-ROUND(COB_CA!$B$59-D157,2),2)&lt;=0),ROUND(D157+E157,2),COB_CA!$B$59),0)</f>
        <v/>
      </c>
      <c r="G157" s="14">
        <f>IF((A157&lt;=COB_CA!$B$58),IF(AND((A157&lt;=COB_CA!$B$58),ROUND(C157-ROUND(COB_CA!$B$59-D157,2),2)&lt;=0),0,ROUND(C157-E157,2)),C157)</f>
        <v/>
      </c>
      <c r="H157" s="6">
        <f>AND(H156,C156&gt;0,(A157&lt;=COB_CA!$B$58))</f>
        <v/>
      </c>
    </row>
    <row r="158">
      <c r="A158" s="6" t="n">
        <v>154</v>
      </c>
      <c r="B158" s="17">
        <f>IF(COB_CA!$B$44=12,DATE(YEAR(COB_CA!$B$22)+INT((MONTH(COB_CA!$B$22)-1+153)/12),MOD(MONTH(COB_CA!$B$22)-1+153,12)+1,1)+(DAY(COB_CA!$B$22)-1),IF(COB_CA!$B$44=24,COB_CA!$B$22+ROUND((153*365.25)/24,0),IF(COB_CA!$B$44=26,COB_CA!$B$22+2142,COB_CA!$B$22+1071)))</f>
        <v/>
      </c>
      <c r="C158" s="14">
        <f>G157</f>
        <v/>
      </c>
      <c r="D158" s="14">
        <f>IF((A158&lt;=COB_CA!$B$58),ROUND(C158*COB_CA!$B$45,2),0)</f>
        <v/>
      </c>
      <c r="E158" s="14">
        <f>IF((A158&lt;=COB_CA!$B$58),IF(AND((A158&lt;=COB_CA!$B$58),ROUND(C158-ROUND(COB_CA!$B$59-D158,2),2)&lt;=0),C158,ROUND(COB_CA!$B$59-D158,2)),0)</f>
        <v/>
      </c>
      <c r="F158" s="14">
        <f>IF((A158&lt;=COB_CA!$B$58),IF(AND((A158&lt;=COB_CA!$B$58),ROUND(C158-ROUND(COB_CA!$B$59-D158,2),2)&lt;=0),ROUND(D158+E158,2),COB_CA!$B$59),0)</f>
        <v/>
      </c>
      <c r="G158" s="14">
        <f>IF((A158&lt;=COB_CA!$B$58),IF(AND((A158&lt;=COB_CA!$B$58),ROUND(C158-ROUND(COB_CA!$B$59-D158,2),2)&lt;=0),0,ROUND(C158-E158,2)),C158)</f>
        <v/>
      </c>
      <c r="H158" s="6">
        <f>AND(H157,C157&gt;0,(A158&lt;=COB_CA!$B$58))</f>
        <v/>
      </c>
    </row>
    <row r="159">
      <c r="A159" s="6" t="n">
        <v>155</v>
      </c>
      <c r="B159" s="17">
        <f>IF(COB_CA!$B$44=12,DATE(YEAR(COB_CA!$B$22)+INT((MONTH(COB_CA!$B$22)-1+154)/12),MOD(MONTH(COB_CA!$B$22)-1+154,12)+1,1)+(DAY(COB_CA!$B$22)-1),IF(COB_CA!$B$44=24,COB_CA!$B$22+ROUND((154*365.25)/24,0),IF(COB_CA!$B$44=26,COB_CA!$B$22+2156,COB_CA!$B$22+1078)))</f>
        <v/>
      </c>
      <c r="C159" s="14">
        <f>G158</f>
        <v/>
      </c>
      <c r="D159" s="14">
        <f>IF((A159&lt;=COB_CA!$B$58),ROUND(C159*COB_CA!$B$45,2),0)</f>
        <v/>
      </c>
      <c r="E159" s="14">
        <f>IF((A159&lt;=COB_CA!$B$58),IF(AND((A159&lt;=COB_CA!$B$58),ROUND(C159-ROUND(COB_CA!$B$59-D159,2),2)&lt;=0),C159,ROUND(COB_CA!$B$59-D159,2)),0)</f>
        <v/>
      </c>
      <c r="F159" s="14">
        <f>IF((A159&lt;=COB_CA!$B$58),IF(AND((A159&lt;=COB_CA!$B$58),ROUND(C159-ROUND(COB_CA!$B$59-D159,2),2)&lt;=0),ROUND(D159+E159,2),COB_CA!$B$59),0)</f>
        <v/>
      </c>
      <c r="G159" s="14">
        <f>IF((A159&lt;=COB_CA!$B$58),IF(AND((A159&lt;=COB_CA!$B$58),ROUND(C159-ROUND(COB_CA!$B$59-D159,2),2)&lt;=0),0,ROUND(C159-E159,2)),C159)</f>
        <v/>
      </c>
      <c r="H159" s="6">
        <f>AND(H158,C158&gt;0,(A159&lt;=COB_CA!$B$58))</f>
        <v/>
      </c>
    </row>
    <row r="160">
      <c r="A160" s="6" t="n">
        <v>156</v>
      </c>
      <c r="B160" s="17">
        <f>IF(COB_CA!$B$44=12,DATE(YEAR(COB_CA!$B$22)+INT((MONTH(COB_CA!$B$22)-1+155)/12),MOD(MONTH(COB_CA!$B$22)-1+155,12)+1,1)+(DAY(COB_CA!$B$22)-1),IF(COB_CA!$B$44=24,COB_CA!$B$22+ROUND((155*365.25)/24,0),IF(COB_CA!$B$44=26,COB_CA!$B$22+2170,COB_CA!$B$22+1085)))</f>
        <v/>
      </c>
      <c r="C160" s="14">
        <f>G159</f>
        <v/>
      </c>
      <c r="D160" s="14">
        <f>IF((A160&lt;=COB_CA!$B$58),ROUND(C160*COB_CA!$B$45,2),0)</f>
        <v/>
      </c>
      <c r="E160" s="14">
        <f>IF((A160&lt;=COB_CA!$B$58),IF(AND((A160&lt;=COB_CA!$B$58),ROUND(C160-ROUND(COB_CA!$B$59-D160,2),2)&lt;=0),C160,ROUND(COB_CA!$B$59-D160,2)),0)</f>
        <v/>
      </c>
      <c r="F160" s="14">
        <f>IF((A160&lt;=COB_CA!$B$58),IF(AND((A160&lt;=COB_CA!$B$58),ROUND(C160-ROUND(COB_CA!$B$59-D160,2),2)&lt;=0),ROUND(D160+E160,2),COB_CA!$B$59),0)</f>
        <v/>
      </c>
      <c r="G160" s="14">
        <f>IF((A160&lt;=COB_CA!$B$58),IF(AND((A160&lt;=COB_CA!$B$58),ROUND(C160-ROUND(COB_CA!$B$59-D160,2),2)&lt;=0),0,ROUND(C160-E160,2)),C160)</f>
        <v/>
      </c>
      <c r="H160" s="6">
        <f>AND(H159,C159&gt;0,(A160&lt;=COB_CA!$B$58))</f>
        <v/>
      </c>
    </row>
    <row r="161">
      <c r="A161" s="6" t="n">
        <v>157</v>
      </c>
      <c r="B161" s="17">
        <f>IF(COB_CA!$B$44=12,DATE(YEAR(COB_CA!$B$22)+INT((MONTH(COB_CA!$B$22)-1+156)/12),MOD(MONTH(COB_CA!$B$22)-1+156,12)+1,1)+(DAY(COB_CA!$B$22)-1),IF(COB_CA!$B$44=24,COB_CA!$B$22+ROUND((156*365.25)/24,0),IF(COB_CA!$B$44=26,COB_CA!$B$22+2184,COB_CA!$B$22+1092)))</f>
        <v/>
      </c>
      <c r="C161" s="14">
        <f>G160</f>
        <v/>
      </c>
      <c r="D161" s="14">
        <f>IF((A161&lt;=COB_CA!$B$58),ROUND(C161*COB_CA!$B$45,2),0)</f>
        <v/>
      </c>
      <c r="E161" s="14">
        <f>IF((A161&lt;=COB_CA!$B$58),IF(AND((A161&lt;=COB_CA!$B$58),ROUND(C161-ROUND(COB_CA!$B$59-D161,2),2)&lt;=0),C161,ROUND(COB_CA!$B$59-D161,2)),0)</f>
        <v/>
      </c>
      <c r="F161" s="14">
        <f>IF((A161&lt;=COB_CA!$B$58),IF(AND((A161&lt;=COB_CA!$B$58),ROUND(C161-ROUND(COB_CA!$B$59-D161,2),2)&lt;=0),ROUND(D161+E161,2),COB_CA!$B$59),0)</f>
        <v/>
      </c>
      <c r="G161" s="14">
        <f>IF((A161&lt;=COB_CA!$B$58),IF(AND((A161&lt;=COB_CA!$B$58),ROUND(C161-ROUND(COB_CA!$B$59-D161,2),2)&lt;=0),0,ROUND(C161-E161,2)),C161)</f>
        <v/>
      </c>
      <c r="H161" s="6">
        <f>AND(H160,C160&gt;0,(A161&lt;=COB_CA!$B$58))</f>
        <v/>
      </c>
    </row>
    <row r="162">
      <c r="A162" s="6" t="n">
        <v>158</v>
      </c>
      <c r="B162" s="17">
        <f>IF(COB_CA!$B$44=12,DATE(YEAR(COB_CA!$B$22)+INT((MONTH(COB_CA!$B$22)-1+157)/12),MOD(MONTH(COB_CA!$B$22)-1+157,12)+1,1)+(DAY(COB_CA!$B$22)-1),IF(COB_CA!$B$44=24,COB_CA!$B$22+ROUND((157*365.25)/24,0),IF(COB_CA!$B$44=26,COB_CA!$B$22+2198,COB_CA!$B$22+1099)))</f>
        <v/>
      </c>
      <c r="C162" s="14">
        <f>G161</f>
        <v/>
      </c>
      <c r="D162" s="14">
        <f>IF((A162&lt;=COB_CA!$B$58),ROUND(C162*COB_CA!$B$45,2),0)</f>
        <v/>
      </c>
      <c r="E162" s="14">
        <f>IF((A162&lt;=COB_CA!$B$58),IF(AND((A162&lt;=COB_CA!$B$58),ROUND(C162-ROUND(COB_CA!$B$59-D162,2),2)&lt;=0),C162,ROUND(COB_CA!$B$59-D162,2)),0)</f>
        <v/>
      </c>
      <c r="F162" s="14">
        <f>IF((A162&lt;=COB_CA!$B$58),IF(AND((A162&lt;=COB_CA!$B$58),ROUND(C162-ROUND(COB_CA!$B$59-D162,2),2)&lt;=0),ROUND(D162+E162,2),COB_CA!$B$59),0)</f>
        <v/>
      </c>
      <c r="G162" s="14">
        <f>IF((A162&lt;=COB_CA!$B$58),IF(AND((A162&lt;=COB_CA!$B$58),ROUND(C162-ROUND(COB_CA!$B$59-D162,2),2)&lt;=0),0,ROUND(C162-E162,2)),C162)</f>
        <v/>
      </c>
      <c r="H162" s="6">
        <f>AND(H161,C161&gt;0,(A162&lt;=COB_CA!$B$58))</f>
        <v/>
      </c>
    </row>
    <row r="163">
      <c r="A163" s="6" t="n">
        <v>159</v>
      </c>
      <c r="B163" s="17">
        <f>IF(COB_CA!$B$44=12,DATE(YEAR(COB_CA!$B$22)+INT((MONTH(COB_CA!$B$22)-1+158)/12),MOD(MONTH(COB_CA!$B$22)-1+158,12)+1,1)+(DAY(COB_CA!$B$22)-1),IF(COB_CA!$B$44=24,COB_CA!$B$22+ROUND((158*365.25)/24,0),IF(COB_CA!$B$44=26,COB_CA!$B$22+2212,COB_CA!$B$22+1106)))</f>
        <v/>
      </c>
      <c r="C163" s="14">
        <f>G162</f>
        <v/>
      </c>
      <c r="D163" s="14">
        <f>IF((A163&lt;=COB_CA!$B$58),ROUND(C163*COB_CA!$B$45,2),0)</f>
        <v/>
      </c>
      <c r="E163" s="14">
        <f>IF((A163&lt;=COB_CA!$B$58),IF(AND((A163&lt;=COB_CA!$B$58),ROUND(C163-ROUND(COB_CA!$B$59-D163,2),2)&lt;=0),C163,ROUND(COB_CA!$B$59-D163,2)),0)</f>
        <v/>
      </c>
      <c r="F163" s="14">
        <f>IF((A163&lt;=COB_CA!$B$58),IF(AND((A163&lt;=COB_CA!$B$58),ROUND(C163-ROUND(COB_CA!$B$59-D163,2),2)&lt;=0),ROUND(D163+E163,2),COB_CA!$B$59),0)</f>
        <v/>
      </c>
      <c r="G163" s="14">
        <f>IF((A163&lt;=COB_CA!$B$58),IF(AND((A163&lt;=COB_CA!$B$58),ROUND(C163-ROUND(COB_CA!$B$59-D163,2),2)&lt;=0),0,ROUND(C163-E163,2)),C163)</f>
        <v/>
      </c>
      <c r="H163" s="6">
        <f>AND(H162,C162&gt;0,(A163&lt;=COB_CA!$B$58))</f>
        <v/>
      </c>
    </row>
    <row r="164">
      <c r="A164" s="6" t="n">
        <v>160</v>
      </c>
      <c r="B164" s="17">
        <f>IF(COB_CA!$B$44=12,DATE(YEAR(COB_CA!$B$22)+INT((MONTH(COB_CA!$B$22)-1+159)/12),MOD(MONTH(COB_CA!$B$22)-1+159,12)+1,1)+(DAY(COB_CA!$B$22)-1),IF(COB_CA!$B$44=24,COB_CA!$B$22+ROUND((159*365.25)/24,0),IF(COB_CA!$B$44=26,COB_CA!$B$22+2226,COB_CA!$B$22+1113)))</f>
        <v/>
      </c>
      <c r="C164" s="14">
        <f>G163</f>
        <v/>
      </c>
      <c r="D164" s="14">
        <f>IF((A164&lt;=COB_CA!$B$58),ROUND(C164*COB_CA!$B$45,2),0)</f>
        <v/>
      </c>
      <c r="E164" s="14">
        <f>IF((A164&lt;=COB_CA!$B$58),IF(AND((A164&lt;=COB_CA!$B$58),ROUND(C164-ROUND(COB_CA!$B$59-D164,2),2)&lt;=0),C164,ROUND(COB_CA!$B$59-D164,2)),0)</f>
        <v/>
      </c>
      <c r="F164" s="14">
        <f>IF((A164&lt;=COB_CA!$B$58),IF(AND((A164&lt;=COB_CA!$B$58),ROUND(C164-ROUND(COB_CA!$B$59-D164,2),2)&lt;=0),ROUND(D164+E164,2),COB_CA!$B$59),0)</f>
        <v/>
      </c>
      <c r="G164" s="14">
        <f>IF((A164&lt;=COB_CA!$B$58),IF(AND((A164&lt;=COB_CA!$B$58),ROUND(C164-ROUND(COB_CA!$B$59-D164,2),2)&lt;=0),0,ROUND(C164-E164,2)),C164)</f>
        <v/>
      </c>
      <c r="H164" s="6">
        <f>AND(H163,C163&gt;0,(A164&lt;=COB_CA!$B$58))</f>
        <v/>
      </c>
    </row>
    <row r="165">
      <c r="A165" s="6" t="n">
        <v>161</v>
      </c>
      <c r="B165" s="17">
        <f>IF(COB_CA!$B$44=12,DATE(YEAR(COB_CA!$B$22)+INT((MONTH(COB_CA!$B$22)-1+160)/12),MOD(MONTH(COB_CA!$B$22)-1+160,12)+1,1)+(DAY(COB_CA!$B$22)-1),IF(COB_CA!$B$44=24,COB_CA!$B$22+ROUND((160*365.25)/24,0),IF(COB_CA!$B$44=26,COB_CA!$B$22+2240,COB_CA!$B$22+1120)))</f>
        <v/>
      </c>
      <c r="C165" s="14">
        <f>G164</f>
        <v/>
      </c>
      <c r="D165" s="14">
        <f>IF((A165&lt;=COB_CA!$B$58),ROUND(C165*COB_CA!$B$45,2),0)</f>
        <v/>
      </c>
      <c r="E165" s="14">
        <f>IF((A165&lt;=COB_CA!$B$58),IF(AND((A165&lt;=COB_CA!$B$58),ROUND(C165-ROUND(COB_CA!$B$59-D165,2),2)&lt;=0),C165,ROUND(COB_CA!$B$59-D165,2)),0)</f>
        <v/>
      </c>
      <c r="F165" s="14">
        <f>IF((A165&lt;=COB_CA!$B$58),IF(AND((A165&lt;=COB_CA!$B$58),ROUND(C165-ROUND(COB_CA!$B$59-D165,2),2)&lt;=0),ROUND(D165+E165,2),COB_CA!$B$59),0)</f>
        <v/>
      </c>
      <c r="G165" s="14">
        <f>IF((A165&lt;=COB_CA!$B$58),IF(AND((A165&lt;=COB_CA!$B$58),ROUND(C165-ROUND(COB_CA!$B$59-D165,2),2)&lt;=0),0,ROUND(C165-E165,2)),C165)</f>
        <v/>
      </c>
      <c r="H165" s="6">
        <f>AND(H164,C164&gt;0,(A165&lt;=COB_CA!$B$58))</f>
        <v/>
      </c>
    </row>
    <row r="166">
      <c r="A166" s="6" t="n">
        <v>162</v>
      </c>
      <c r="B166" s="17">
        <f>IF(COB_CA!$B$44=12,DATE(YEAR(COB_CA!$B$22)+INT((MONTH(COB_CA!$B$22)-1+161)/12),MOD(MONTH(COB_CA!$B$22)-1+161,12)+1,1)+(DAY(COB_CA!$B$22)-1),IF(COB_CA!$B$44=24,COB_CA!$B$22+ROUND((161*365.25)/24,0),IF(COB_CA!$B$44=26,COB_CA!$B$22+2254,COB_CA!$B$22+1127)))</f>
        <v/>
      </c>
      <c r="C166" s="14">
        <f>G165</f>
        <v/>
      </c>
      <c r="D166" s="14">
        <f>IF((A166&lt;=COB_CA!$B$58),ROUND(C166*COB_CA!$B$45,2),0)</f>
        <v/>
      </c>
      <c r="E166" s="14">
        <f>IF((A166&lt;=COB_CA!$B$58),IF(AND((A166&lt;=COB_CA!$B$58),ROUND(C166-ROUND(COB_CA!$B$59-D166,2),2)&lt;=0),C166,ROUND(COB_CA!$B$59-D166,2)),0)</f>
        <v/>
      </c>
      <c r="F166" s="14">
        <f>IF((A166&lt;=COB_CA!$B$58),IF(AND((A166&lt;=COB_CA!$B$58),ROUND(C166-ROUND(COB_CA!$B$59-D166,2),2)&lt;=0),ROUND(D166+E166,2),COB_CA!$B$59),0)</f>
        <v/>
      </c>
      <c r="G166" s="14">
        <f>IF((A166&lt;=COB_CA!$B$58),IF(AND((A166&lt;=COB_CA!$B$58),ROUND(C166-ROUND(COB_CA!$B$59-D166,2),2)&lt;=0),0,ROUND(C166-E166,2)),C166)</f>
        <v/>
      </c>
      <c r="H166" s="6">
        <f>AND(H165,C165&gt;0,(A166&lt;=COB_CA!$B$58))</f>
        <v/>
      </c>
    </row>
    <row r="167">
      <c r="A167" s="6" t="n">
        <v>163</v>
      </c>
      <c r="B167" s="17">
        <f>IF(COB_CA!$B$44=12,DATE(YEAR(COB_CA!$B$22)+INT((MONTH(COB_CA!$B$22)-1+162)/12),MOD(MONTH(COB_CA!$B$22)-1+162,12)+1,1)+(DAY(COB_CA!$B$22)-1),IF(COB_CA!$B$44=24,COB_CA!$B$22+ROUND((162*365.25)/24,0),IF(COB_CA!$B$44=26,COB_CA!$B$22+2268,COB_CA!$B$22+1134)))</f>
        <v/>
      </c>
      <c r="C167" s="14">
        <f>G166</f>
        <v/>
      </c>
      <c r="D167" s="14">
        <f>IF((A167&lt;=COB_CA!$B$58),ROUND(C167*COB_CA!$B$45,2),0)</f>
        <v/>
      </c>
      <c r="E167" s="14">
        <f>IF((A167&lt;=COB_CA!$B$58),IF(AND((A167&lt;=COB_CA!$B$58),ROUND(C167-ROUND(COB_CA!$B$59-D167,2),2)&lt;=0),C167,ROUND(COB_CA!$B$59-D167,2)),0)</f>
        <v/>
      </c>
      <c r="F167" s="14">
        <f>IF((A167&lt;=COB_CA!$B$58),IF(AND((A167&lt;=COB_CA!$B$58),ROUND(C167-ROUND(COB_CA!$B$59-D167,2),2)&lt;=0),ROUND(D167+E167,2),COB_CA!$B$59),0)</f>
        <v/>
      </c>
      <c r="G167" s="14">
        <f>IF((A167&lt;=COB_CA!$B$58),IF(AND((A167&lt;=COB_CA!$B$58),ROUND(C167-ROUND(COB_CA!$B$59-D167,2),2)&lt;=0),0,ROUND(C167-E167,2)),C167)</f>
        <v/>
      </c>
      <c r="H167" s="6">
        <f>AND(H166,C166&gt;0,(A167&lt;=COB_CA!$B$58))</f>
        <v/>
      </c>
    </row>
    <row r="168">
      <c r="A168" s="6" t="n">
        <v>164</v>
      </c>
      <c r="B168" s="17">
        <f>IF(COB_CA!$B$44=12,DATE(YEAR(COB_CA!$B$22)+INT((MONTH(COB_CA!$B$22)-1+163)/12),MOD(MONTH(COB_CA!$B$22)-1+163,12)+1,1)+(DAY(COB_CA!$B$22)-1),IF(COB_CA!$B$44=24,COB_CA!$B$22+ROUND((163*365.25)/24,0),IF(COB_CA!$B$44=26,COB_CA!$B$22+2282,COB_CA!$B$22+1141)))</f>
        <v/>
      </c>
      <c r="C168" s="14">
        <f>G167</f>
        <v/>
      </c>
      <c r="D168" s="14">
        <f>IF((A168&lt;=COB_CA!$B$58),ROUND(C168*COB_CA!$B$45,2),0)</f>
        <v/>
      </c>
      <c r="E168" s="14">
        <f>IF((A168&lt;=COB_CA!$B$58),IF(AND((A168&lt;=COB_CA!$B$58),ROUND(C168-ROUND(COB_CA!$B$59-D168,2),2)&lt;=0),C168,ROUND(COB_CA!$B$59-D168,2)),0)</f>
        <v/>
      </c>
      <c r="F168" s="14">
        <f>IF((A168&lt;=COB_CA!$B$58),IF(AND((A168&lt;=COB_CA!$B$58),ROUND(C168-ROUND(COB_CA!$B$59-D168,2),2)&lt;=0),ROUND(D168+E168,2),COB_CA!$B$59),0)</f>
        <v/>
      </c>
      <c r="G168" s="14">
        <f>IF((A168&lt;=COB_CA!$B$58),IF(AND((A168&lt;=COB_CA!$B$58),ROUND(C168-ROUND(COB_CA!$B$59-D168,2),2)&lt;=0),0,ROUND(C168-E168,2)),C168)</f>
        <v/>
      </c>
      <c r="H168" s="6">
        <f>AND(H167,C167&gt;0,(A168&lt;=COB_CA!$B$58))</f>
        <v/>
      </c>
    </row>
    <row r="169">
      <c r="A169" s="6" t="n">
        <v>165</v>
      </c>
      <c r="B169" s="17">
        <f>IF(COB_CA!$B$44=12,DATE(YEAR(COB_CA!$B$22)+INT((MONTH(COB_CA!$B$22)-1+164)/12),MOD(MONTH(COB_CA!$B$22)-1+164,12)+1,1)+(DAY(COB_CA!$B$22)-1),IF(COB_CA!$B$44=24,COB_CA!$B$22+ROUND((164*365.25)/24,0),IF(COB_CA!$B$44=26,COB_CA!$B$22+2296,COB_CA!$B$22+1148)))</f>
        <v/>
      </c>
      <c r="C169" s="14">
        <f>G168</f>
        <v/>
      </c>
      <c r="D169" s="14">
        <f>IF((A169&lt;=COB_CA!$B$58),ROUND(C169*COB_CA!$B$45,2),0)</f>
        <v/>
      </c>
      <c r="E169" s="14">
        <f>IF((A169&lt;=COB_CA!$B$58),IF(AND((A169&lt;=COB_CA!$B$58),ROUND(C169-ROUND(COB_CA!$B$59-D169,2),2)&lt;=0),C169,ROUND(COB_CA!$B$59-D169,2)),0)</f>
        <v/>
      </c>
      <c r="F169" s="14">
        <f>IF((A169&lt;=COB_CA!$B$58),IF(AND((A169&lt;=COB_CA!$B$58),ROUND(C169-ROUND(COB_CA!$B$59-D169,2),2)&lt;=0),ROUND(D169+E169,2),COB_CA!$B$59),0)</f>
        <v/>
      </c>
      <c r="G169" s="14">
        <f>IF((A169&lt;=COB_CA!$B$58),IF(AND((A169&lt;=COB_CA!$B$58),ROUND(C169-ROUND(COB_CA!$B$59-D169,2),2)&lt;=0),0,ROUND(C169-E169,2)),C169)</f>
        <v/>
      </c>
      <c r="H169" s="6">
        <f>AND(H168,C168&gt;0,(A169&lt;=COB_CA!$B$58))</f>
        <v/>
      </c>
    </row>
    <row r="170">
      <c r="A170" s="6" t="n">
        <v>166</v>
      </c>
      <c r="B170" s="17">
        <f>IF(COB_CA!$B$44=12,DATE(YEAR(COB_CA!$B$22)+INT((MONTH(COB_CA!$B$22)-1+165)/12),MOD(MONTH(COB_CA!$B$22)-1+165,12)+1,1)+(DAY(COB_CA!$B$22)-1),IF(COB_CA!$B$44=24,COB_CA!$B$22+ROUND((165*365.25)/24,0),IF(COB_CA!$B$44=26,COB_CA!$B$22+2310,COB_CA!$B$22+1155)))</f>
        <v/>
      </c>
      <c r="C170" s="14">
        <f>G169</f>
        <v/>
      </c>
      <c r="D170" s="14">
        <f>IF((A170&lt;=COB_CA!$B$58),ROUND(C170*COB_CA!$B$45,2),0)</f>
        <v/>
      </c>
      <c r="E170" s="14">
        <f>IF((A170&lt;=COB_CA!$B$58),IF(AND((A170&lt;=COB_CA!$B$58),ROUND(C170-ROUND(COB_CA!$B$59-D170,2),2)&lt;=0),C170,ROUND(COB_CA!$B$59-D170,2)),0)</f>
        <v/>
      </c>
      <c r="F170" s="14">
        <f>IF((A170&lt;=COB_CA!$B$58),IF(AND((A170&lt;=COB_CA!$B$58),ROUND(C170-ROUND(COB_CA!$B$59-D170,2),2)&lt;=0),ROUND(D170+E170,2),COB_CA!$B$59),0)</f>
        <v/>
      </c>
      <c r="G170" s="14">
        <f>IF((A170&lt;=COB_CA!$B$58),IF(AND((A170&lt;=COB_CA!$B$58),ROUND(C170-ROUND(COB_CA!$B$59-D170,2),2)&lt;=0),0,ROUND(C170-E170,2)),C170)</f>
        <v/>
      </c>
      <c r="H170" s="6">
        <f>AND(H169,C169&gt;0,(A170&lt;=COB_CA!$B$58))</f>
        <v/>
      </c>
    </row>
    <row r="171">
      <c r="A171" s="6" t="n">
        <v>167</v>
      </c>
      <c r="B171" s="17">
        <f>IF(COB_CA!$B$44=12,DATE(YEAR(COB_CA!$B$22)+INT((MONTH(COB_CA!$B$22)-1+166)/12),MOD(MONTH(COB_CA!$B$22)-1+166,12)+1,1)+(DAY(COB_CA!$B$22)-1),IF(COB_CA!$B$44=24,COB_CA!$B$22+ROUND((166*365.25)/24,0),IF(COB_CA!$B$44=26,COB_CA!$B$22+2324,COB_CA!$B$22+1162)))</f>
        <v/>
      </c>
      <c r="C171" s="14">
        <f>G170</f>
        <v/>
      </c>
      <c r="D171" s="14">
        <f>IF((A171&lt;=COB_CA!$B$58),ROUND(C171*COB_CA!$B$45,2),0)</f>
        <v/>
      </c>
      <c r="E171" s="14">
        <f>IF((A171&lt;=COB_CA!$B$58),IF(AND((A171&lt;=COB_CA!$B$58),ROUND(C171-ROUND(COB_CA!$B$59-D171,2),2)&lt;=0),C171,ROUND(COB_CA!$B$59-D171,2)),0)</f>
        <v/>
      </c>
      <c r="F171" s="14">
        <f>IF((A171&lt;=COB_CA!$B$58),IF(AND((A171&lt;=COB_CA!$B$58),ROUND(C171-ROUND(COB_CA!$B$59-D171,2),2)&lt;=0),ROUND(D171+E171,2),COB_CA!$B$59),0)</f>
        <v/>
      </c>
      <c r="G171" s="14">
        <f>IF((A171&lt;=COB_CA!$B$58),IF(AND((A171&lt;=COB_CA!$B$58),ROUND(C171-ROUND(COB_CA!$B$59-D171,2),2)&lt;=0),0,ROUND(C171-E171,2)),C171)</f>
        <v/>
      </c>
      <c r="H171" s="6">
        <f>AND(H170,C170&gt;0,(A171&lt;=COB_CA!$B$58))</f>
        <v/>
      </c>
    </row>
    <row r="172">
      <c r="A172" s="6" t="n">
        <v>168</v>
      </c>
      <c r="B172" s="17">
        <f>IF(COB_CA!$B$44=12,DATE(YEAR(COB_CA!$B$22)+INT((MONTH(COB_CA!$B$22)-1+167)/12),MOD(MONTH(COB_CA!$B$22)-1+167,12)+1,1)+(DAY(COB_CA!$B$22)-1),IF(COB_CA!$B$44=24,COB_CA!$B$22+ROUND((167*365.25)/24,0),IF(COB_CA!$B$44=26,COB_CA!$B$22+2338,COB_CA!$B$22+1169)))</f>
        <v/>
      </c>
      <c r="C172" s="14">
        <f>G171</f>
        <v/>
      </c>
      <c r="D172" s="14">
        <f>IF((A172&lt;=COB_CA!$B$58),ROUND(C172*COB_CA!$B$45,2),0)</f>
        <v/>
      </c>
      <c r="E172" s="14">
        <f>IF((A172&lt;=COB_CA!$B$58),IF(AND((A172&lt;=COB_CA!$B$58),ROUND(C172-ROUND(COB_CA!$B$59-D172,2),2)&lt;=0),C172,ROUND(COB_CA!$B$59-D172,2)),0)</f>
        <v/>
      </c>
      <c r="F172" s="14">
        <f>IF((A172&lt;=COB_CA!$B$58),IF(AND((A172&lt;=COB_CA!$B$58),ROUND(C172-ROUND(COB_CA!$B$59-D172,2),2)&lt;=0),ROUND(D172+E172,2),COB_CA!$B$59),0)</f>
        <v/>
      </c>
      <c r="G172" s="14">
        <f>IF((A172&lt;=COB_CA!$B$58),IF(AND((A172&lt;=COB_CA!$B$58),ROUND(C172-ROUND(COB_CA!$B$59-D172,2),2)&lt;=0),0,ROUND(C172-E172,2)),C172)</f>
        <v/>
      </c>
      <c r="H172" s="6">
        <f>AND(H171,C171&gt;0,(A172&lt;=COB_CA!$B$58))</f>
        <v/>
      </c>
    </row>
    <row r="173">
      <c r="A173" s="6" t="n">
        <v>169</v>
      </c>
      <c r="B173" s="17">
        <f>IF(COB_CA!$B$44=12,DATE(YEAR(COB_CA!$B$22)+INT((MONTH(COB_CA!$B$22)-1+168)/12),MOD(MONTH(COB_CA!$B$22)-1+168,12)+1,1)+(DAY(COB_CA!$B$22)-1),IF(COB_CA!$B$44=24,COB_CA!$B$22+ROUND((168*365.25)/24,0),IF(COB_CA!$B$44=26,COB_CA!$B$22+2352,COB_CA!$B$22+1176)))</f>
        <v/>
      </c>
      <c r="C173" s="14">
        <f>G172</f>
        <v/>
      </c>
      <c r="D173" s="14">
        <f>IF((A173&lt;=COB_CA!$B$58),ROUND(C173*COB_CA!$B$45,2),0)</f>
        <v/>
      </c>
      <c r="E173" s="14">
        <f>IF((A173&lt;=COB_CA!$B$58),IF(AND((A173&lt;=COB_CA!$B$58),ROUND(C173-ROUND(COB_CA!$B$59-D173,2),2)&lt;=0),C173,ROUND(COB_CA!$B$59-D173,2)),0)</f>
        <v/>
      </c>
      <c r="F173" s="14">
        <f>IF((A173&lt;=COB_CA!$B$58),IF(AND((A173&lt;=COB_CA!$B$58),ROUND(C173-ROUND(COB_CA!$B$59-D173,2),2)&lt;=0),ROUND(D173+E173,2),COB_CA!$B$59),0)</f>
        <v/>
      </c>
      <c r="G173" s="14">
        <f>IF((A173&lt;=COB_CA!$B$58),IF(AND((A173&lt;=COB_CA!$B$58),ROUND(C173-ROUND(COB_CA!$B$59-D173,2),2)&lt;=0),0,ROUND(C173-E173,2)),C173)</f>
        <v/>
      </c>
      <c r="H173" s="6">
        <f>AND(H172,C172&gt;0,(A173&lt;=COB_CA!$B$58))</f>
        <v/>
      </c>
    </row>
    <row r="174">
      <c r="A174" s="6" t="n">
        <v>170</v>
      </c>
      <c r="B174" s="17">
        <f>IF(COB_CA!$B$44=12,DATE(YEAR(COB_CA!$B$22)+INT((MONTH(COB_CA!$B$22)-1+169)/12),MOD(MONTH(COB_CA!$B$22)-1+169,12)+1,1)+(DAY(COB_CA!$B$22)-1),IF(COB_CA!$B$44=24,COB_CA!$B$22+ROUND((169*365.25)/24,0),IF(COB_CA!$B$44=26,COB_CA!$B$22+2366,COB_CA!$B$22+1183)))</f>
        <v/>
      </c>
      <c r="C174" s="14">
        <f>G173</f>
        <v/>
      </c>
      <c r="D174" s="14">
        <f>IF((A174&lt;=COB_CA!$B$58),ROUND(C174*COB_CA!$B$45,2),0)</f>
        <v/>
      </c>
      <c r="E174" s="14">
        <f>IF((A174&lt;=COB_CA!$B$58),IF(AND((A174&lt;=COB_CA!$B$58),ROUND(C174-ROUND(COB_CA!$B$59-D174,2),2)&lt;=0),C174,ROUND(COB_CA!$B$59-D174,2)),0)</f>
        <v/>
      </c>
      <c r="F174" s="14">
        <f>IF((A174&lt;=COB_CA!$B$58),IF(AND((A174&lt;=COB_CA!$B$58),ROUND(C174-ROUND(COB_CA!$B$59-D174,2),2)&lt;=0),ROUND(D174+E174,2),COB_CA!$B$59),0)</f>
        <v/>
      </c>
      <c r="G174" s="14">
        <f>IF((A174&lt;=COB_CA!$B$58),IF(AND((A174&lt;=COB_CA!$B$58),ROUND(C174-ROUND(COB_CA!$B$59-D174,2),2)&lt;=0),0,ROUND(C174-E174,2)),C174)</f>
        <v/>
      </c>
      <c r="H174" s="6">
        <f>AND(H173,C173&gt;0,(A174&lt;=COB_CA!$B$58))</f>
        <v/>
      </c>
    </row>
    <row r="175">
      <c r="A175" s="6" t="n">
        <v>171</v>
      </c>
      <c r="B175" s="17">
        <f>IF(COB_CA!$B$44=12,DATE(YEAR(COB_CA!$B$22)+INT((MONTH(COB_CA!$B$22)-1+170)/12),MOD(MONTH(COB_CA!$B$22)-1+170,12)+1,1)+(DAY(COB_CA!$B$22)-1),IF(COB_CA!$B$44=24,COB_CA!$B$22+ROUND((170*365.25)/24,0),IF(COB_CA!$B$44=26,COB_CA!$B$22+2380,COB_CA!$B$22+1190)))</f>
        <v/>
      </c>
      <c r="C175" s="14">
        <f>G174</f>
        <v/>
      </c>
      <c r="D175" s="14">
        <f>IF((A175&lt;=COB_CA!$B$58),ROUND(C175*COB_CA!$B$45,2),0)</f>
        <v/>
      </c>
      <c r="E175" s="14">
        <f>IF((A175&lt;=COB_CA!$B$58),IF(AND((A175&lt;=COB_CA!$B$58),ROUND(C175-ROUND(COB_CA!$B$59-D175,2),2)&lt;=0),C175,ROUND(COB_CA!$B$59-D175,2)),0)</f>
        <v/>
      </c>
      <c r="F175" s="14">
        <f>IF((A175&lt;=COB_CA!$B$58),IF(AND((A175&lt;=COB_CA!$B$58),ROUND(C175-ROUND(COB_CA!$B$59-D175,2),2)&lt;=0),ROUND(D175+E175,2),COB_CA!$B$59),0)</f>
        <v/>
      </c>
      <c r="G175" s="14">
        <f>IF((A175&lt;=COB_CA!$B$58),IF(AND((A175&lt;=COB_CA!$B$58),ROUND(C175-ROUND(COB_CA!$B$59-D175,2),2)&lt;=0),0,ROUND(C175-E175,2)),C175)</f>
        <v/>
      </c>
      <c r="H175" s="6">
        <f>AND(H174,C174&gt;0,(A175&lt;=COB_CA!$B$58))</f>
        <v/>
      </c>
    </row>
    <row r="176">
      <c r="A176" s="6" t="n">
        <v>172</v>
      </c>
      <c r="B176" s="17">
        <f>IF(COB_CA!$B$44=12,DATE(YEAR(COB_CA!$B$22)+INT((MONTH(COB_CA!$B$22)-1+171)/12),MOD(MONTH(COB_CA!$B$22)-1+171,12)+1,1)+(DAY(COB_CA!$B$22)-1),IF(COB_CA!$B$44=24,COB_CA!$B$22+ROUND((171*365.25)/24,0),IF(COB_CA!$B$44=26,COB_CA!$B$22+2394,COB_CA!$B$22+1197)))</f>
        <v/>
      </c>
      <c r="C176" s="14">
        <f>G175</f>
        <v/>
      </c>
      <c r="D176" s="14">
        <f>IF((A176&lt;=COB_CA!$B$58),ROUND(C176*COB_CA!$B$45,2),0)</f>
        <v/>
      </c>
      <c r="E176" s="14">
        <f>IF((A176&lt;=COB_CA!$B$58),IF(AND((A176&lt;=COB_CA!$B$58),ROUND(C176-ROUND(COB_CA!$B$59-D176,2),2)&lt;=0),C176,ROUND(COB_CA!$B$59-D176,2)),0)</f>
        <v/>
      </c>
      <c r="F176" s="14">
        <f>IF((A176&lt;=COB_CA!$B$58),IF(AND((A176&lt;=COB_CA!$B$58),ROUND(C176-ROUND(COB_CA!$B$59-D176,2),2)&lt;=0),ROUND(D176+E176,2),COB_CA!$B$59),0)</f>
        <v/>
      </c>
      <c r="G176" s="14">
        <f>IF((A176&lt;=COB_CA!$B$58),IF(AND((A176&lt;=COB_CA!$B$58),ROUND(C176-ROUND(COB_CA!$B$59-D176,2),2)&lt;=0),0,ROUND(C176-E176,2)),C176)</f>
        <v/>
      </c>
      <c r="H176" s="6">
        <f>AND(H175,C175&gt;0,(A176&lt;=COB_CA!$B$58))</f>
        <v/>
      </c>
    </row>
    <row r="177">
      <c r="A177" s="6" t="n">
        <v>173</v>
      </c>
      <c r="B177" s="17">
        <f>IF(COB_CA!$B$44=12,DATE(YEAR(COB_CA!$B$22)+INT((MONTH(COB_CA!$B$22)-1+172)/12),MOD(MONTH(COB_CA!$B$22)-1+172,12)+1,1)+(DAY(COB_CA!$B$22)-1),IF(COB_CA!$B$44=24,COB_CA!$B$22+ROUND((172*365.25)/24,0),IF(COB_CA!$B$44=26,COB_CA!$B$22+2408,COB_CA!$B$22+1204)))</f>
        <v/>
      </c>
      <c r="C177" s="14">
        <f>G176</f>
        <v/>
      </c>
      <c r="D177" s="14">
        <f>IF((A177&lt;=COB_CA!$B$58),ROUND(C177*COB_CA!$B$45,2),0)</f>
        <v/>
      </c>
      <c r="E177" s="14">
        <f>IF((A177&lt;=COB_CA!$B$58),IF(AND((A177&lt;=COB_CA!$B$58),ROUND(C177-ROUND(COB_CA!$B$59-D177,2),2)&lt;=0),C177,ROUND(COB_CA!$B$59-D177,2)),0)</f>
        <v/>
      </c>
      <c r="F177" s="14">
        <f>IF((A177&lt;=COB_CA!$B$58),IF(AND((A177&lt;=COB_CA!$B$58),ROUND(C177-ROUND(COB_CA!$B$59-D177,2),2)&lt;=0),ROUND(D177+E177,2),COB_CA!$B$59),0)</f>
        <v/>
      </c>
      <c r="G177" s="14">
        <f>IF((A177&lt;=COB_CA!$B$58),IF(AND((A177&lt;=COB_CA!$B$58),ROUND(C177-ROUND(COB_CA!$B$59-D177,2),2)&lt;=0),0,ROUND(C177-E177,2)),C177)</f>
        <v/>
      </c>
      <c r="H177" s="6">
        <f>AND(H176,C176&gt;0,(A177&lt;=COB_CA!$B$58))</f>
        <v/>
      </c>
    </row>
    <row r="178">
      <c r="A178" s="6" t="n">
        <v>174</v>
      </c>
      <c r="B178" s="17">
        <f>IF(COB_CA!$B$44=12,DATE(YEAR(COB_CA!$B$22)+INT((MONTH(COB_CA!$B$22)-1+173)/12),MOD(MONTH(COB_CA!$B$22)-1+173,12)+1,1)+(DAY(COB_CA!$B$22)-1),IF(COB_CA!$B$44=24,COB_CA!$B$22+ROUND((173*365.25)/24,0),IF(COB_CA!$B$44=26,COB_CA!$B$22+2422,COB_CA!$B$22+1211)))</f>
        <v/>
      </c>
      <c r="C178" s="14">
        <f>G177</f>
        <v/>
      </c>
      <c r="D178" s="14">
        <f>IF((A178&lt;=COB_CA!$B$58),ROUND(C178*COB_CA!$B$45,2),0)</f>
        <v/>
      </c>
      <c r="E178" s="14">
        <f>IF((A178&lt;=COB_CA!$B$58),IF(AND((A178&lt;=COB_CA!$B$58),ROUND(C178-ROUND(COB_CA!$B$59-D178,2),2)&lt;=0),C178,ROUND(COB_CA!$B$59-D178,2)),0)</f>
        <v/>
      </c>
      <c r="F178" s="14">
        <f>IF((A178&lt;=COB_CA!$B$58),IF(AND((A178&lt;=COB_CA!$B$58),ROUND(C178-ROUND(COB_CA!$B$59-D178,2),2)&lt;=0),ROUND(D178+E178,2),COB_CA!$B$59),0)</f>
        <v/>
      </c>
      <c r="G178" s="14">
        <f>IF((A178&lt;=COB_CA!$B$58),IF(AND((A178&lt;=COB_CA!$B$58),ROUND(C178-ROUND(COB_CA!$B$59-D178,2),2)&lt;=0),0,ROUND(C178-E178,2)),C178)</f>
        <v/>
      </c>
      <c r="H178" s="6">
        <f>AND(H177,C177&gt;0,(A178&lt;=COB_CA!$B$58))</f>
        <v/>
      </c>
    </row>
    <row r="179">
      <c r="A179" s="6" t="n">
        <v>175</v>
      </c>
      <c r="B179" s="17">
        <f>IF(COB_CA!$B$44=12,DATE(YEAR(COB_CA!$B$22)+INT((MONTH(COB_CA!$B$22)-1+174)/12),MOD(MONTH(COB_CA!$B$22)-1+174,12)+1,1)+(DAY(COB_CA!$B$22)-1),IF(COB_CA!$B$44=24,COB_CA!$B$22+ROUND((174*365.25)/24,0),IF(COB_CA!$B$44=26,COB_CA!$B$22+2436,COB_CA!$B$22+1218)))</f>
        <v/>
      </c>
      <c r="C179" s="14">
        <f>G178</f>
        <v/>
      </c>
      <c r="D179" s="14">
        <f>IF((A179&lt;=COB_CA!$B$58),ROUND(C179*COB_CA!$B$45,2),0)</f>
        <v/>
      </c>
      <c r="E179" s="14">
        <f>IF((A179&lt;=COB_CA!$B$58),IF(AND((A179&lt;=COB_CA!$B$58),ROUND(C179-ROUND(COB_CA!$B$59-D179,2),2)&lt;=0),C179,ROUND(COB_CA!$B$59-D179,2)),0)</f>
        <v/>
      </c>
      <c r="F179" s="14">
        <f>IF((A179&lt;=COB_CA!$B$58),IF(AND((A179&lt;=COB_CA!$B$58),ROUND(C179-ROUND(COB_CA!$B$59-D179,2),2)&lt;=0),ROUND(D179+E179,2),COB_CA!$B$59),0)</f>
        <v/>
      </c>
      <c r="G179" s="14">
        <f>IF((A179&lt;=COB_CA!$B$58),IF(AND((A179&lt;=COB_CA!$B$58),ROUND(C179-ROUND(COB_CA!$B$59-D179,2),2)&lt;=0),0,ROUND(C179-E179,2)),C179)</f>
        <v/>
      </c>
      <c r="H179" s="6">
        <f>AND(H178,C178&gt;0,(A179&lt;=COB_CA!$B$58))</f>
        <v/>
      </c>
    </row>
    <row r="180">
      <c r="A180" s="6" t="n">
        <v>176</v>
      </c>
      <c r="B180" s="17">
        <f>IF(COB_CA!$B$44=12,DATE(YEAR(COB_CA!$B$22)+INT((MONTH(COB_CA!$B$22)-1+175)/12),MOD(MONTH(COB_CA!$B$22)-1+175,12)+1,1)+(DAY(COB_CA!$B$22)-1),IF(COB_CA!$B$44=24,COB_CA!$B$22+ROUND((175*365.25)/24,0),IF(COB_CA!$B$44=26,COB_CA!$B$22+2450,COB_CA!$B$22+1225)))</f>
        <v/>
      </c>
      <c r="C180" s="14">
        <f>G179</f>
        <v/>
      </c>
      <c r="D180" s="14">
        <f>IF((A180&lt;=COB_CA!$B$58),ROUND(C180*COB_CA!$B$45,2),0)</f>
        <v/>
      </c>
      <c r="E180" s="14">
        <f>IF((A180&lt;=COB_CA!$B$58),IF(AND((A180&lt;=COB_CA!$B$58),ROUND(C180-ROUND(COB_CA!$B$59-D180,2),2)&lt;=0),C180,ROUND(COB_CA!$B$59-D180,2)),0)</f>
        <v/>
      </c>
      <c r="F180" s="14">
        <f>IF((A180&lt;=COB_CA!$B$58),IF(AND((A180&lt;=COB_CA!$B$58),ROUND(C180-ROUND(COB_CA!$B$59-D180,2),2)&lt;=0),ROUND(D180+E180,2),COB_CA!$B$59),0)</f>
        <v/>
      </c>
      <c r="G180" s="14">
        <f>IF((A180&lt;=COB_CA!$B$58),IF(AND((A180&lt;=COB_CA!$B$58),ROUND(C180-ROUND(COB_CA!$B$59-D180,2),2)&lt;=0),0,ROUND(C180-E180,2)),C180)</f>
        <v/>
      </c>
      <c r="H180" s="6">
        <f>AND(H179,C179&gt;0,(A180&lt;=COB_CA!$B$58))</f>
        <v/>
      </c>
    </row>
    <row r="181">
      <c r="A181" s="6" t="n">
        <v>177</v>
      </c>
      <c r="B181" s="17">
        <f>IF(COB_CA!$B$44=12,DATE(YEAR(COB_CA!$B$22)+INT((MONTH(COB_CA!$B$22)-1+176)/12),MOD(MONTH(COB_CA!$B$22)-1+176,12)+1,1)+(DAY(COB_CA!$B$22)-1),IF(COB_CA!$B$44=24,COB_CA!$B$22+ROUND((176*365.25)/24,0),IF(COB_CA!$B$44=26,COB_CA!$B$22+2464,COB_CA!$B$22+1232)))</f>
        <v/>
      </c>
      <c r="C181" s="14">
        <f>G180</f>
        <v/>
      </c>
      <c r="D181" s="14">
        <f>IF((A181&lt;=COB_CA!$B$58),ROUND(C181*COB_CA!$B$45,2),0)</f>
        <v/>
      </c>
      <c r="E181" s="14">
        <f>IF((A181&lt;=COB_CA!$B$58),IF(AND((A181&lt;=COB_CA!$B$58),ROUND(C181-ROUND(COB_CA!$B$59-D181,2),2)&lt;=0),C181,ROUND(COB_CA!$B$59-D181,2)),0)</f>
        <v/>
      </c>
      <c r="F181" s="14">
        <f>IF((A181&lt;=COB_CA!$B$58),IF(AND((A181&lt;=COB_CA!$B$58),ROUND(C181-ROUND(COB_CA!$B$59-D181,2),2)&lt;=0),ROUND(D181+E181,2),COB_CA!$B$59),0)</f>
        <v/>
      </c>
      <c r="G181" s="14">
        <f>IF((A181&lt;=COB_CA!$B$58),IF(AND((A181&lt;=COB_CA!$B$58),ROUND(C181-ROUND(COB_CA!$B$59-D181,2),2)&lt;=0),0,ROUND(C181-E181,2)),C181)</f>
        <v/>
      </c>
      <c r="H181" s="6">
        <f>AND(H180,C180&gt;0,(A181&lt;=COB_CA!$B$58))</f>
        <v/>
      </c>
    </row>
    <row r="182">
      <c r="A182" s="6" t="n">
        <v>178</v>
      </c>
      <c r="B182" s="17">
        <f>IF(COB_CA!$B$44=12,DATE(YEAR(COB_CA!$B$22)+INT((MONTH(COB_CA!$B$22)-1+177)/12),MOD(MONTH(COB_CA!$B$22)-1+177,12)+1,1)+(DAY(COB_CA!$B$22)-1),IF(COB_CA!$B$44=24,COB_CA!$B$22+ROUND((177*365.25)/24,0),IF(COB_CA!$B$44=26,COB_CA!$B$22+2478,COB_CA!$B$22+1239)))</f>
        <v/>
      </c>
      <c r="C182" s="14">
        <f>G181</f>
        <v/>
      </c>
      <c r="D182" s="14">
        <f>IF((A182&lt;=COB_CA!$B$58),ROUND(C182*COB_CA!$B$45,2),0)</f>
        <v/>
      </c>
      <c r="E182" s="14">
        <f>IF((A182&lt;=COB_CA!$B$58),IF(AND((A182&lt;=COB_CA!$B$58),ROUND(C182-ROUND(COB_CA!$B$59-D182,2),2)&lt;=0),C182,ROUND(COB_CA!$B$59-D182,2)),0)</f>
        <v/>
      </c>
      <c r="F182" s="14">
        <f>IF((A182&lt;=COB_CA!$B$58),IF(AND((A182&lt;=COB_CA!$B$58),ROUND(C182-ROUND(COB_CA!$B$59-D182,2),2)&lt;=0),ROUND(D182+E182,2),COB_CA!$B$59),0)</f>
        <v/>
      </c>
      <c r="G182" s="14">
        <f>IF((A182&lt;=COB_CA!$B$58),IF(AND((A182&lt;=COB_CA!$B$58),ROUND(C182-ROUND(COB_CA!$B$59-D182,2),2)&lt;=0),0,ROUND(C182-E182,2)),C182)</f>
        <v/>
      </c>
      <c r="H182" s="6">
        <f>AND(H181,C181&gt;0,(A182&lt;=COB_CA!$B$58))</f>
        <v/>
      </c>
    </row>
    <row r="183">
      <c r="A183" s="6" t="n">
        <v>179</v>
      </c>
      <c r="B183" s="17">
        <f>IF(COB_CA!$B$44=12,DATE(YEAR(COB_CA!$B$22)+INT((MONTH(COB_CA!$B$22)-1+178)/12),MOD(MONTH(COB_CA!$B$22)-1+178,12)+1,1)+(DAY(COB_CA!$B$22)-1),IF(COB_CA!$B$44=24,COB_CA!$B$22+ROUND((178*365.25)/24,0),IF(COB_CA!$B$44=26,COB_CA!$B$22+2492,COB_CA!$B$22+1246)))</f>
        <v/>
      </c>
      <c r="C183" s="14">
        <f>G182</f>
        <v/>
      </c>
      <c r="D183" s="14">
        <f>IF((A183&lt;=COB_CA!$B$58),ROUND(C183*COB_CA!$B$45,2),0)</f>
        <v/>
      </c>
      <c r="E183" s="14">
        <f>IF((A183&lt;=COB_CA!$B$58),IF(AND((A183&lt;=COB_CA!$B$58),ROUND(C183-ROUND(COB_CA!$B$59-D183,2),2)&lt;=0),C183,ROUND(COB_CA!$B$59-D183,2)),0)</f>
        <v/>
      </c>
      <c r="F183" s="14">
        <f>IF((A183&lt;=COB_CA!$B$58),IF(AND((A183&lt;=COB_CA!$B$58),ROUND(C183-ROUND(COB_CA!$B$59-D183,2),2)&lt;=0),ROUND(D183+E183,2),COB_CA!$B$59),0)</f>
        <v/>
      </c>
      <c r="G183" s="14">
        <f>IF((A183&lt;=COB_CA!$B$58),IF(AND((A183&lt;=COB_CA!$B$58),ROUND(C183-ROUND(COB_CA!$B$59-D183,2),2)&lt;=0),0,ROUND(C183-E183,2)),C183)</f>
        <v/>
      </c>
      <c r="H183" s="6">
        <f>AND(H182,C182&gt;0,(A183&lt;=COB_CA!$B$58))</f>
        <v/>
      </c>
    </row>
    <row r="184">
      <c r="A184" s="6" t="n">
        <v>180</v>
      </c>
      <c r="B184" s="17">
        <f>IF(COB_CA!$B$44=12,DATE(YEAR(COB_CA!$B$22)+INT((MONTH(COB_CA!$B$22)-1+179)/12),MOD(MONTH(COB_CA!$B$22)-1+179,12)+1,1)+(DAY(COB_CA!$B$22)-1),IF(COB_CA!$B$44=24,COB_CA!$B$22+ROUND((179*365.25)/24,0),IF(COB_CA!$B$44=26,COB_CA!$B$22+2506,COB_CA!$B$22+1253)))</f>
        <v/>
      </c>
      <c r="C184" s="14">
        <f>G183</f>
        <v/>
      </c>
      <c r="D184" s="14">
        <f>IF((A184&lt;=COB_CA!$B$58),ROUND(C184*COB_CA!$B$45,2),0)</f>
        <v/>
      </c>
      <c r="E184" s="14">
        <f>IF((A184&lt;=COB_CA!$B$58),IF(AND((A184&lt;=COB_CA!$B$58),ROUND(C184-ROUND(COB_CA!$B$59-D184,2),2)&lt;=0),C184,ROUND(COB_CA!$B$59-D184,2)),0)</f>
        <v/>
      </c>
      <c r="F184" s="14">
        <f>IF((A184&lt;=COB_CA!$B$58),IF(AND((A184&lt;=COB_CA!$B$58),ROUND(C184-ROUND(COB_CA!$B$59-D184,2),2)&lt;=0),ROUND(D184+E184,2),COB_CA!$B$59),0)</f>
        <v/>
      </c>
      <c r="G184" s="14">
        <f>IF((A184&lt;=COB_CA!$B$58),IF(AND((A184&lt;=COB_CA!$B$58),ROUND(C184-ROUND(COB_CA!$B$59-D184,2),2)&lt;=0),0,ROUND(C184-E184,2)),C184)</f>
        <v/>
      </c>
      <c r="H184" s="6">
        <f>AND(H183,C183&gt;0,(A184&lt;=COB_CA!$B$58))</f>
        <v/>
      </c>
    </row>
    <row r="185">
      <c r="A185" s="6" t="n">
        <v>181</v>
      </c>
      <c r="B185" s="17">
        <f>IF(COB_CA!$B$44=12,DATE(YEAR(COB_CA!$B$22)+INT((MONTH(COB_CA!$B$22)-1+180)/12),MOD(MONTH(COB_CA!$B$22)-1+180,12)+1,1)+(DAY(COB_CA!$B$22)-1),IF(COB_CA!$B$44=24,COB_CA!$B$22+ROUND((180*365.25)/24,0),IF(COB_CA!$B$44=26,COB_CA!$B$22+2520,COB_CA!$B$22+1260)))</f>
        <v/>
      </c>
      <c r="C185" s="14">
        <f>G184</f>
        <v/>
      </c>
      <c r="D185" s="14">
        <f>IF((A185&lt;=COB_CA!$B$58),ROUND(C185*COB_CA!$B$45,2),0)</f>
        <v/>
      </c>
      <c r="E185" s="14">
        <f>IF((A185&lt;=COB_CA!$B$58),IF(AND((A185&lt;=COB_CA!$B$58),ROUND(C185-ROUND(COB_CA!$B$59-D185,2),2)&lt;=0),C185,ROUND(COB_CA!$B$59-D185,2)),0)</f>
        <v/>
      </c>
      <c r="F185" s="14">
        <f>IF((A185&lt;=COB_CA!$B$58),IF(AND((A185&lt;=COB_CA!$B$58),ROUND(C185-ROUND(COB_CA!$B$59-D185,2),2)&lt;=0),ROUND(D185+E185,2),COB_CA!$B$59),0)</f>
        <v/>
      </c>
      <c r="G185" s="14">
        <f>IF((A185&lt;=COB_CA!$B$58),IF(AND((A185&lt;=COB_CA!$B$58),ROUND(C185-ROUND(COB_CA!$B$59-D185,2),2)&lt;=0),0,ROUND(C185-E185,2)),C185)</f>
        <v/>
      </c>
      <c r="H185" s="6">
        <f>AND(H184,C184&gt;0,(A185&lt;=COB_CA!$B$58))</f>
        <v/>
      </c>
    </row>
    <row r="186">
      <c r="A186" s="6" t="n">
        <v>182</v>
      </c>
      <c r="B186" s="17">
        <f>IF(COB_CA!$B$44=12,DATE(YEAR(COB_CA!$B$22)+INT((MONTH(COB_CA!$B$22)-1+181)/12),MOD(MONTH(COB_CA!$B$22)-1+181,12)+1,1)+(DAY(COB_CA!$B$22)-1),IF(COB_CA!$B$44=24,COB_CA!$B$22+ROUND((181*365.25)/24,0),IF(COB_CA!$B$44=26,COB_CA!$B$22+2534,COB_CA!$B$22+1267)))</f>
        <v/>
      </c>
      <c r="C186" s="14">
        <f>G185</f>
        <v/>
      </c>
      <c r="D186" s="14">
        <f>IF((A186&lt;=COB_CA!$B$58),ROUND(C186*COB_CA!$B$45,2),0)</f>
        <v/>
      </c>
      <c r="E186" s="14">
        <f>IF((A186&lt;=COB_CA!$B$58),IF(AND((A186&lt;=COB_CA!$B$58),ROUND(C186-ROUND(COB_CA!$B$59-D186,2),2)&lt;=0),C186,ROUND(COB_CA!$B$59-D186,2)),0)</f>
        <v/>
      </c>
      <c r="F186" s="14">
        <f>IF((A186&lt;=COB_CA!$B$58),IF(AND((A186&lt;=COB_CA!$B$58),ROUND(C186-ROUND(COB_CA!$B$59-D186,2),2)&lt;=0),ROUND(D186+E186,2),COB_CA!$B$59),0)</f>
        <v/>
      </c>
      <c r="G186" s="14">
        <f>IF((A186&lt;=COB_CA!$B$58),IF(AND((A186&lt;=COB_CA!$B$58),ROUND(C186-ROUND(COB_CA!$B$59-D186,2),2)&lt;=0),0,ROUND(C186-E186,2)),C186)</f>
        <v/>
      </c>
      <c r="H186" s="6">
        <f>AND(H185,C185&gt;0,(A186&lt;=COB_CA!$B$58))</f>
        <v/>
      </c>
    </row>
    <row r="187">
      <c r="A187" s="6" t="n">
        <v>183</v>
      </c>
      <c r="B187" s="17">
        <f>IF(COB_CA!$B$44=12,DATE(YEAR(COB_CA!$B$22)+INT((MONTH(COB_CA!$B$22)-1+182)/12),MOD(MONTH(COB_CA!$B$22)-1+182,12)+1,1)+(DAY(COB_CA!$B$22)-1),IF(COB_CA!$B$44=24,COB_CA!$B$22+ROUND((182*365.25)/24,0),IF(COB_CA!$B$44=26,COB_CA!$B$22+2548,COB_CA!$B$22+1274)))</f>
        <v/>
      </c>
      <c r="C187" s="14">
        <f>G186</f>
        <v/>
      </c>
      <c r="D187" s="14">
        <f>IF((A187&lt;=COB_CA!$B$58),ROUND(C187*COB_CA!$B$45,2),0)</f>
        <v/>
      </c>
      <c r="E187" s="14">
        <f>IF((A187&lt;=COB_CA!$B$58),IF(AND((A187&lt;=COB_CA!$B$58),ROUND(C187-ROUND(COB_CA!$B$59-D187,2),2)&lt;=0),C187,ROUND(COB_CA!$B$59-D187,2)),0)</f>
        <v/>
      </c>
      <c r="F187" s="14">
        <f>IF((A187&lt;=COB_CA!$B$58),IF(AND((A187&lt;=COB_CA!$B$58),ROUND(C187-ROUND(COB_CA!$B$59-D187,2),2)&lt;=0),ROUND(D187+E187,2),COB_CA!$B$59),0)</f>
        <v/>
      </c>
      <c r="G187" s="14">
        <f>IF((A187&lt;=COB_CA!$B$58),IF(AND((A187&lt;=COB_CA!$B$58),ROUND(C187-ROUND(COB_CA!$B$59-D187,2),2)&lt;=0),0,ROUND(C187-E187,2)),C187)</f>
        <v/>
      </c>
      <c r="H187" s="6">
        <f>AND(H186,C186&gt;0,(A187&lt;=COB_CA!$B$58))</f>
        <v/>
      </c>
    </row>
    <row r="188">
      <c r="A188" s="6" t="n">
        <v>184</v>
      </c>
      <c r="B188" s="17">
        <f>IF(COB_CA!$B$44=12,DATE(YEAR(COB_CA!$B$22)+INT((MONTH(COB_CA!$B$22)-1+183)/12),MOD(MONTH(COB_CA!$B$22)-1+183,12)+1,1)+(DAY(COB_CA!$B$22)-1),IF(COB_CA!$B$44=24,COB_CA!$B$22+ROUND((183*365.25)/24,0),IF(COB_CA!$B$44=26,COB_CA!$B$22+2562,COB_CA!$B$22+1281)))</f>
        <v/>
      </c>
      <c r="C188" s="14">
        <f>G187</f>
        <v/>
      </c>
      <c r="D188" s="14">
        <f>IF((A188&lt;=COB_CA!$B$58),ROUND(C188*COB_CA!$B$45,2),0)</f>
        <v/>
      </c>
      <c r="E188" s="14">
        <f>IF((A188&lt;=COB_CA!$B$58),IF(AND((A188&lt;=COB_CA!$B$58),ROUND(C188-ROUND(COB_CA!$B$59-D188,2),2)&lt;=0),C188,ROUND(COB_CA!$B$59-D188,2)),0)</f>
        <v/>
      </c>
      <c r="F188" s="14">
        <f>IF((A188&lt;=COB_CA!$B$58),IF(AND((A188&lt;=COB_CA!$B$58),ROUND(C188-ROUND(COB_CA!$B$59-D188,2),2)&lt;=0),ROUND(D188+E188,2),COB_CA!$B$59),0)</f>
        <v/>
      </c>
      <c r="G188" s="14">
        <f>IF((A188&lt;=COB_CA!$B$58),IF(AND((A188&lt;=COB_CA!$B$58),ROUND(C188-ROUND(COB_CA!$B$59-D188,2),2)&lt;=0),0,ROUND(C188-E188,2)),C188)</f>
        <v/>
      </c>
      <c r="H188" s="6">
        <f>AND(H187,C187&gt;0,(A188&lt;=COB_CA!$B$58))</f>
        <v/>
      </c>
    </row>
    <row r="189">
      <c r="A189" s="6" t="n">
        <v>185</v>
      </c>
      <c r="B189" s="17">
        <f>IF(COB_CA!$B$44=12,DATE(YEAR(COB_CA!$B$22)+INT((MONTH(COB_CA!$B$22)-1+184)/12),MOD(MONTH(COB_CA!$B$22)-1+184,12)+1,1)+(DAY(COB_CA!$B$22)-1),IF(COB_CA!$B$44=24,COB_CA!$B$22+ROUND((184*365.25)/24,0),IF(COB_CA!$B$44=26,COB_CA!$B$22+2576,COB_CA!$B$22+1288)))</f>
        <v/>
      </c>
      <c r="C189" s="14">
        <f>G188</f>
        <v/>
      </c>
      <c r="D189" s="14">
        <f>IF((A189&lt;=COB_CA!$B$58),ROUND(C189*COB_CA!$B$45,2),0)</f>
        <v/>
      </c>
      <c r="E189" s="14">
        <f>IF((A189&lt;=COB_CA!$B$58),IF(AND((A189&lt;=COB_CA!$B$58),ROUND(C189-ROUND(COB_CA!$B$59-D189,2),2)&lt;=0),C189,ROUND(COB_CA!$B$59-D189,2)),0)</f>
        <v/>
      </c>
      <c r="F189" s="14">
        <f>IF((A189&lt;=COB_CA!$B$58),IF(AND((A189&lt;=COB_CA!$B$58),ROUND(C189-ROUND(COB_CA!$B$59-D189,2),2)&lt;=0),ROUND(D189+E189,2),COB_CA!$B$59),0)</f>
        <v/>
      </c>
      <c r="G189" s="14">
        <f>IF((A189&lt;=COB_CA!$B$58),IF(AND((A189&lt;=COB_CA!$B$58),ROUND(C189-ROUND(COB_CA!$B$59-D189,2),2)&lt;=0),0,ROUND(C189-E189,2)),C189)</f>
        <v/>
      </c>
      <c r="H189" s="6">
        <f>AND(H188,C188&gt;0,(A189&lt;=COB_CA!$B$58))</f>
        <v/>
      </c>
    </row>
    <row r="190">
      <c r="A190" s="6" t="n">
        <v>186</v>
      </c>
      <c r="B190" s="17">
        <f>IF(COB_CA!$B$44=12,DATE(YEAR(COB_CA!$B$22)+INT((MONTH(COB_CA!$B$22)-1+185)/12),MOD(MONTH(COB_CA!$B$22)-1+185,12)+1,1)+(DAY(COB_CA!$B$22)-1),IF(COB_CA!$B$44=24,COB_CA!$B$22+ROUND((185*365.25)/24,0),IF(COB_CA!$B$44=26,COB_CA!$B$22+2590,COB_CA!$B$22+1295)))</f>
        <v/>
      </c>
      <c r="C190" s="14">
        <f>G189</f>
        <v/>
      </c>
      <c r="D190" s="14">
        <f>IF((A190&lt;=COB_CA!$B$58),ROUND(C190*COB_CA!$B$45,2),0)</f>
        <v/>
      </c>
      <c r="E190" s="14">
        <f>IF((A190&lt;=COB_CA!$B$58),IF(AND((A190&lt;=COB_CA!$B$58),ROUND(C190-ROUND(COB_CA!$B$59-D190,2),2)&lt;=0),C190,ROUND(COB_CA!$B$59-D190,2)),0)</f>
        <v/>
      </c>
      <c r="F190" s="14">
        <f>IF((A190&lt;=COB_CA!$B$58),IF(AND((A190&lt;=COB_CA!$B$58),ROUND(C190-ROUND(COB_CA!$B$59-D190,2),2)&lt;=0),ROUND(D190+E190,2),COB_CA!$B$59),0)</f>
        <v/>
      </c>
      <c r="G190" s="14">
        <f>IF((A190&lt;=COB_CA!$B$58),IF(AND((A190&lt;=COB_CA!$B$58),ROUND(C190-ROUND(COB_CA!$B$59-D190,2),2)&lt;=0),0,ROUND(C190-E190,2)),C190)</f>
        <v/>
      </c>
      <c r="H190" s="6">
        <f>AND(H189,C189&gt;0,(A190&lt;=COB_CA!$B$58))</f>
        <v/>
      </c>
    </row>
    <row r="191">
      <c r="A191" s="6" t="n">
        <v>187</v>
      </c>
      <c r="B191" s="17">
        <f>IF(COB_CA!$B$44=12,DATE(YEAR(COB_CA!$B$22)+INT((MONTH(COB_CA!$B$22)-1+186)/12),MOD(MONTH(COB_CA!$B$22)-1+186,12)+1,1)+(DAY(COB_CA!$B$22)-1),IF(COB_CA!$B$44=24,COB_CA!$B$22+ROUND((186*365.25)/24,0),IF(COB_CA!$B$44=26,COB_CA!$B$22+2604,COB_CA!$B$22+1302)))</f>
        <v/>
      </c>
      <c r="C191" s="14">
        <f>G190</f>
        <v/>
      </c>
      <c r="D191" s="14">
        <f>IF((A191&lt;=COB_CA!$B$58),ROUND(C191*COB_CA!$B$45,2),0)</f>
        <v/>
      </c>
      <c r="E191" s="14">
        <f>IF((A191&lt;=COB_CA!$B$58),IF(AND((A191&lt;=COB_CA!$B$58),ROUND(C191-ROUND(COB_CA!$B$59-D191,2),2)&lt;=0),C191,ROUND(COB_CA!$B$59-D191,2)),0)</f>
        <v/>
      </c>
      <c r="F191" s="14">
        <f>IF((A191&lt;=COB_CA!$B$58),IF(AND((A191&lt;=COB_CA!$B$58),ROUND(C191-ROUND(COB_CA!$B$59-D191,2),2)&lt;=0),ROUND(D191+E191,2),COB_CA!$B$59),0)</f>
        <v/>
      </c>
      <c r="G191" s="14">
        <f>IF((A191&lt;=COB_CA!$B$58),IF(AND((A191&lt;=COB_CA!$B$58),ROUND(C191-ROUND(COB_CA!$B$59-D191,2),2)&lt;=0),0,ROUND(C191-E191,2)),C191)</f>
        <v/>
      </c>
      <c r="H191" s="6">
        <f>AND(H190,C190&gt;0,(A191&lt;=COB_CA!$B$58))</f>
        <v/>
      </c>
    </row>
    <row r="192">
      <c r="A192" s="6" t="n">
        <v>188</v>
      </c>
      <c r="B192" s="17">
        <f>IF(COB_CA!$B$44=12,DATE(YEAR(COB_CA!$B$22)+INT((MONTH(COB_CA!$B$22)-1+187)/12),MOD(MONTH(COB_CA!$B$22)-1+187,12)+1,1)+(DAY(COB_CA!$B$22)-1),IF(COB_CA!$B$44=24,COB_CA!$B$22+ROUND((187*365.25)/24,0),IF(COB_CA!$B$44=26,COB_CA!$B$22+2618,COB_CA!$B$22+1309)))</f>
        <v/>
      </c>
      <c r="C192" s="14">
        <f>G191</f>
        <v/>
      </c>
      <c r="D192" s="14">
        <f>IF((A192&lt;=COB_CA!$B$58),ROUND(C192*COB_CA!$B$45,2),0)</f>
        <v/>
      </c>
      <c r="E192" s="14">
        <f>IF((A192&lt;=COB_CA!$B$58),IF(AND((A192&lt;=COB_CA!$B$58),ROUND(C192-ROUND(COB_CA!$B$59-D192,2),2)&lt;=0),C192,ROUND(COB_CA!$B$59-D192,2)),0)</f>
        <v/>
      </c>
      <c r="F192" s="14">
        <f>IF((A192&lt;=COB_CA!$B$58),IF(AND((A192&lt;=COB_CA!$B$58),ROUND(C192-ROUND(COB_CA!$B$59-D192,2),2)&lt;=0),ROUND(D192+E192,2),COB_CA!$B$59),0)</f>
        <v/>
      </c>
      <c r="G192" s="14">
        <f>IF((A192&lt;=COB_CA!$B$58),IF(AND((A192&lt;=COB_CA!$B$58),ROUND(C192-ROUND(COB_CA!$B$59-D192,2),2)&lt;=0),0,ROUND(C192-E192,2)),C192)</f>
        <v/>
      </c>
      <c r="H192" s="6">
        <f>AND(H191,C191&gt;0,(A192&lt;=COB_CA!$B$58))</f>
        <v/>
      </c>
    </row>
    <row r="193">
      <c r="A193" s="6" t="n">
        <v>189</v>
      </c>
      <c r="B193" s="17">
        <f>IF(COB_CA!$B$44=12,DATE(YEAR(COB_CA!$B$22)+INT((MONTH(COB_CA!$B$22)-1+188)/12),MOD(MONTH(COB_CA!$B$22)-1+188,12)+1,1)+(DAY(COB_CA!$B$22)-1),IF(COB_CA!$B$44=24,COB_CA!$B$22+ROUND((188*365.25)/24,0),IF(COB_CA!$B$44=26,COB_CA!$B$22+2632,COB_CA!$B$22+1316)))</f>
        <v/>
      </c>
      <c r="C193" s="14">
        <f>G192</f>
        <v/>
      </c>
      <c r="D193" s="14">
        <f>IF((A193&lt;=COB_CA!$B$58),ROUND(C193*COB_CA!$B$45,2),0)</f>
        <v/>
      </c>
      <c r="E193" s="14">
        <f>IF((A193&lt;=COB_CA!$B$58),IF(AND((A193&lt;=COB_CA!$B$58),ROUND(C193-ROUND(COB_CA!$B$59-D193,2),2)&lt;=0),C193,ROUND(COB_CA!$B$59-D193,2)),0)</f>
        <v/>
      </c>
      <c r="F193" s="14">
        <f>IF((A193&lt;=COB_CA!$B$58),IF(AND((A193&lt;=COB_CA!$B$58),ROUND(C193-ROUND(COB_CA!$B$59-D193,2),2)&lt;=0),ROUND(D193+E193,2),COB_CA!$B$59),0)</f>
        <v/>
      </c>
      <c r="G193" s="14">
        <f>IF((A193&lt;=COB_CA!$B$58),IF(AND((A193&lt;=COB_CA!$B$58),ROUND(C193-ROUND(COB_CA!$B$59-D193,2),2)&lt;=0),0,ROUND(C193-E193,2)),C193)</f>
        <v/>
      </c>
      <c r="H193" s="6">
        <f>AND(H192,C192&gt;0,(A193&lt;=COB_CA!$B$58))</f>
        <v/>
      </c>
    </row>
    <row r="194">
      <c r="A194" s="6" t="n">
        <v>190</v>
      </c>
      <c r="B194" s="17">
        <f>IF(COB_CA!$B$44=12,DATE(YEAR(COB_CA!$B$22)+INT((MONTH(COB_CA!$B$22)-1+189)/12),MOD(MONTH(COB_CA!$B$22)-1+189,12)+1,1)+(DAY(COB_CA!$B$22)-1),IF(COB_CA!$B$44=24,COB_CA!$B$22+ROUND((189*365.25)/24,0),IF(COB_CA!$B$44=26,COB_CA!$B$22+2646,COB_CA!$B$22+1323)))</f>
        <v/>
      </c>
      <c r="C194" s="14">
        <f>G193</f>
        <v/>
      </c>
      <c r="D194" s="14">
        <f>IF((A194&lt;=COB_CA!$B$58),ROUND(C194*COB_CA!$B$45,2),0)</f>
        <v/>
      </c>
      <c r="E194" s="14">
        <f>IF((A194&lt;=COB_CA!$B$58),IF(AND((A194&lt;=COB_CA!$B$58),ROUND(C194-ROUND(COB_CA!$B$59-D194,2),2)&lt;=0),C194,ROUND(COB_CA!$B$59-D194,2)),0)</f>
        <v/>
      </c>
      <c r="F194" s="14">
        <f>IF((A194&lt;=COB_CA!$B$58),IF(AND((A194&lt;=COB_CA!$B$58),ROUND(C194-ROUND(COB_CA!$B$59-D194,2),2)&lt;=0),ROUND(D194+E194,2),COB_CA!$B$59),0)</f>
        <v/>
      </c>
      <c r="G194" s="14">
        <f>IF((A194&lt;=COB_CA!$B$58),IF(AND((A194&lt;=COB_CA!$B$58),ROUND(C194-ROUND(COB_CA!$B$59-D194,2),2)&lt;=0),0,ROUND(C194-E194,2)),C194)</f>
        <v/>
      </c>
      <c r="H194" s="6">
        <f>AND(H193,C193&gt;0,(A194&lt;=COB_CA!$B$58))</f>
        <v/>
      </c>
    </row>
    <row r="195">
      <c r="A195" s="6" t="n">
        <v>191</v>
      </c>
      <c r="B195" s="17">
        <f>IF(COB_CA!$B$44=12,DATE(YEAR(COB_CA!$B$22)+INT((MONTH(COB_CA!$B$22)-1+190)/12),MOD(MONTH(COB_CA!$B$22)-1+190,12)+1,1)+(DAY(COB_CA!$B$22)-1),IF(COB_CA!$B$44=24,COB_CA!$B$22+ROUND((190*365.25)/24,0),IF(COB_CA!$B$44=26,COB_CA!$B$22+2660,COB_CA!$B$22+1330)))</f>
        <v/>
      </c>
      <c r="C195" s="14">
        <f>G194</f>
        <v/>
      </c>
      <c r="D195" s="14">
        <f>IF((A195&lt;=COB_CA!$B$58),ROUND(C195*COB_CA!$B$45,2),0)</f>
        <v/>
      </c>
      <c r="E195" s="14">
        <f>IF((A195&lt;=COB_CA!$B$58),IF(AND((A195&lt;=COB_CA!$B$58),ROUND(C195-ROUND(COB_CA!$B$59-D195,2),2)&lt;=0),C195,ROUND(COB_CA!$B$59-D195,2)),0)</f>
        <v/>
      </c>
      <c r="F195" s="14">
        <f>IF((A195&lt;=COB_CA!$B$58),IF(AND((A195&lt;=COB_CA!$B$58),ROUND(C195-ROUND(COB_CA!$B$59-D195,2),2)&lt;=0),ROUND(D195+E195,2),COB_CA!$B$59),0)</f>
        <v/>
      </c>
      <c r="G195" s="14">
        <f>IF((A195&lt;=COB_CA!$B$58),IF(AND((A195&lt;=COB_CA!$B$58),ROUND(C195-ROUND(COB_CA!$B$59-D195,2),2)&lt;=0),0,ROUND(C195-E195,2)),C195)</f>
        <v/>
      </c>
      <c r="H195" s="6">
        <f>AND(H194,C194&gt;0,(A195&lt;=COB_CA!$B$58))</f>
        <v/>
      </c>
    </row>
    <row r="196">
      <c r="A196" s="6" t="n">
        <v>192</v>
      </c>
      <c r="B196" s="17">
        <f>IF(COB_CA!$B$44=12,DATE(YEAR(COB_CA!$B$22)+INT((MONTH(COB_CA!$B$22)-1+191)/12),MOD(MONTH(COB_CA!$B$22)-1+191,12)+1,1)+(DAY(COB_CA!$B$22)-1),IF(COB_CA!$B$44=24,COB_CA!$B$22+ROUND((191*365.25)/24,0),IF(COB_CA!$B$44=26,COB_CA!$B$22+2674,COB_CA!$B$22+1337)))</f>
        <v/>
      </c>
      <c r="C196" s="14">
        <f>G195</f>
        <v/>
      </c>
      <c r="D196" s="14">
        <f>IF((A196&lt;=COB_CA!$B$58),ROUND(C196*COB_CA!$B$45,2),0)</f>
        <v/>
      </c>
      <c r="E196" s="14">
        <f>IF((A196&lt;=COB_CA!$B$58),IF(AND((A196&lt;=COB_CA!$B$58),ROUND(C196-ROUND(COB_CA!$B$59-D196,2),2)&lt;=0),C196,ROUND(COB_CA!$B$59-D196,2)),0)</f>
        <v/>
      </c>
      <c r="F196" s="14">
        <f>IF((A196&lt;=COB_CA!$B$58),IF(AND((A196&lt;=COB_CA!$B$58),ROUND(C196-ROUND(COB_CA!$B$59-D196,2),2)&lt;=0),ROUND(D196+E196,2),COB_CA!$B$59),0)</f>
        <v/>
      </c>
      <c r="G196" s="14">
        <f>IF((A196&lt;=COB_CA!$B$58),IF(AND((A196&lt;=COB_CA!$B$58),ROUND(C196-ROUND(COB_CA!$B$59-D196,2),2)&lt;=0),0,ROUND(C196-E196,2)),C196)</f>
        <v/>
      </c>
      <c r="H196" s="6">
        <f>AND(H195,C195&gt;0,(A196&lt;=COB_CA!$B$58))</f>
        <v/>
      </c>
    </row>
    <row r="197">
      <c r="A197" s="6" t="n">
        <v>193</v>
      </c>
      <c r="B197" s="17">
        <f>IF(COB_CA!$B$44=12,DATE(YEAR(COB_CA!$B$22)+INT((MONTH(COB_CA!$B$22)-1+192)/12),MOD(MONTH(COB_CA!$B$22)-1+192,12)+1,1)+(DAY(COB_CA!$B$22)-1),IF(COB_CA!$B$44=24,COB_CA!$B$22+ROUND((192*365.25)/24,0),IF(COB_CA!$B$44=26,COB_CA!$B$22+2688,COB_CA!$B$22+1344)))</f>
        <v/>
      </c>
      <c r="C197" s="14">
        <f>G196</f>
        <v/>
      </c>
      <c r="D197" s="14">
        <f>IF((A197&lt;=COB_CA!$B$58),ROUND(C197*COB_CA!$B$45,2),0)</f>
        <v/>
      </c>
      <c r="E197" s="14">
        <f>IF((A197&lt;=COB_CA!$B$58),IF(AND((A197&lt;=COB_CA!$B$58),ROUND(C197-ROUND(COB_CA!$B$59-D197,2),2)&lt;=0),C197,ROUND(COB_CA!$B$59-D197,2)),0)</f>
        <v/>
      </c>
      <c r="F197" s="14">
        <f>IF((A197&lt;=COB_CA!$B$58),IF(AND((A197&lt;=COB_CA!$B$58),ROUND(C197-ROUND(COB_CA!$B$59-D197,2),2)&lt;=0),ROUND(D197+E197,2),COB_CA!$B$59),0)</f>
        <v/>
      </c>
      <c r="G197" s="14">
        <f>IF((A197&lt;=COB_CA!$B$58),IF(AND((A197&lt;=COB_CA!$B$58),ROUND(C197-ROUND(COB_CA!$B$59-D197,2),2)&lt;=0),0,ROUND(C197-E197,2)),C197)</f>
        <v/>
      </c>
      <c r="H197" s="6">
        <f>AND(H196,C196&gt;0,(A197&lt;=COB_CA!$B$58))</f>
        <v/>
      </c>
    </row>
    <row r="198">
      <c r="A198" s="6" t="n">
        <v>194</v>
      </c>
      <c r="B198" s="17">
        <f>IF(COB_CA!$B$44=12,DATE(YEAR(COB_CA!$B$22)+INT((MONTH(COB_CA!$B$22)-1+193)/12),MOD(MONTH(COB_CA!$B$22)-1+193,12)+1,1)+(DAY(COB_CA!$B$22)-1),IF(COB_CA!$B$44=24,COB_CA!$B$22+ROUND((193*365.25)/24,0),IF(COB_CA!$B$44=26,COB_CA!$B$22+2702,COB_CA!$B$22+1351)))</f>
        <v/>
      </c>
      <c r="C198" s="14">
        <f>G197</f>
        <v/>
      </c>
      <c r="D198" s="14">
        <f>IF((A198&lt;=COB_CA!$B$58),ROUND(C198*COB_CA!$B$45,2),0)</f>
        <v/>
      </c>
      <c r="E198" s="14">
        <f>IF((A198&lt;=COB_CA!$B$58),IF(AND((A198&lt;=COB_CA!$B$58),ROUND(C198-ROUND(COB_CA!$B$59-D198,2),2)&lt;=0),C198,ROUND(COB_CA!$B$59-D198,2)),0)</f>
        <v/>
      </c>
      <c r="F198" s="14">
        <f>IF((A198&lt;=COB_CA!$B$58),IF(AND((A198&lt;=COB_CA!$B$58),ROUND(C198-ROUND(COB_CA!$B$59-D198,2),2)&lt;=0),ROUND(D198+E198,2),COB_CA!$B$59),0)</f>
        <v/>
      </c>
      <c r="G198" s="14">
        <f>IF((A198&lt;=COB_CA!$B$58),IF(AND((A198&lt;=COB_CA!$B$58),ROUND(C198-ROUND(COB_CA!$B$59-D198,2),2)&lt;=0),0,ROUND(C198-E198,2)),C198)</f>
        <v/>
      </c>
      <c r="H198" s="6">
        <f>AND(H197,C197&gt;0,(A198&lt;=COB_CA!$B$58))</f>
        <v/>
      </c>
    </row>
    <row r="199">
      <c r="A199" s="6" t="n">
        <v>195</v>
      </c>
      <c r="B199" s="17">
        <f>IF(COB_CA!$B$44=12,DATE(YEAR(COB_CA!$B$22)+INT((MONTH(COB_CA!$B$22)-1+194)/12),MOD(MONTH(COB_CA!$B$22)-1+194,12)+1,1)+(DAY(COB_CA!$B$22)-1),IF(COB_CA!$B$44=24,COB_CA!$B$22+ROUND((194*365.25)/24,0),IF(COB_CA!$B$44=26,COB_CA!$B$22+2716,COB_CA!$B$22+1358)))</f>
        <v/>
      </c>
      <c r="C199" s="14">
        <f>G198</f>
        <v/>
      </c>
      <c r="D199" s="14">
        <f>IF((A199&lt;=COB_CA!$B$58),ROUND(C199*COB_CA!$B$45,2),0)</f>
        <v/>
      </c>
      <c r="E199" s="14">
        <f>IF((A199&lt;=COB_CA!$B$58),IF(AND((A199&lt;=COB_CA!$B$58),ROUND(C199-ROUND(COB_CA!$B$59-D199,2),2)&lt;=0),C199,ROUND(COB_CA!$B$59-D199,2)),0)</f>
        <v/>
      </c>
      <c r="F199" s="14">
        <f>IF((A199&lt;=COB_CA!$B$58),IF(AND((A199&lt;=COB_CA!$B$58),ROUND(C199-ROUND(COB_CA!$B$59-D199,2),2)&lt;=0),ROUND(D199+E199,2),COB_CA!$B$59),0)</f>
        <v/>
      </c>
      <c r="G199" s="14">
        <f>IF((A199&lt;=COB_CA!$B$58),IF(AND((A199&lt;=COB_CA!$B$58),ROUND(C199-ROUND(COB_CA!$B$59-D199,2),2)&lt;=0),0,ROUND(C199-E199,2)),C199)</f>
        <v/>
      </c>
      <c r="H199" s="6">
        <f>AND(H198,C198&gt;0,(A199&lt;=COB_CA!$B$58))</f>
        <v/>
      </c>
    </row>
    <row r="200">
      <c r="A200" s="6" t="n">
        <v>196</v>
      </c>
      <c r="B200" s="17">
        <f>IF(COB_CA!$B$44=12,DATE(YEAR(COB_CA!$B$22)+INT((MONTH(COB_CA!$B$22)-1+195)/12),MOD(MONTH(COB_CA!$B$22)-1+195,12)+1,1)+(DAY(COB_CA!$B$22)-1),IF(COB_CA!$B$44=24,COB_CA!$B$22+ROUND((195*365.25)/24,0),IF(COB_CA!$B$44=26,COB_CA!$B$22+2730,COB_CA!$B$22+1365)))</f>
        <v/>
      </c>
      <c r="C200" s="14">
        <f>G199</f>
        <v/>
      </c>
      <c r="D200" s="14">
        <f>IF((A200&lt;=COB_CA!$B$58),ROUND(C200*COB_CA!$B$45,2),0)</f>
        <v/>
      </c>
      <c r="E200" s="14">
        <f>IF((A200&lt;=COB_CA!$B$58),IF(AND((A200&lt;=COB_CA!$B$58),ROUND(C200-ROUND(COB_CA!$B$59-D200,2),2)&lt;=0),C200,ROUND(COB_CA!$B$59-D200,2)),0)</f>
        <v/>
      </c>
      <c r="F200" s="14">
        <f>IF((A200&lt;=COB_CA!$B$58),IF(AND((A200&lt;=COB_CA!$B$58),ROUND(C200-ROUND(COB_CA!$B$59-D200,2),2)&lt;=0),ROUND(D200+E200,2),COB_CA!$B$59),0)</f>
        <v/>
      </c>
      <c r="G200" s="14">
        <f>IF((A200&lt;=COB_CA!$B$58),IF(AND((A200&lt;=COB_CA!$B$58),ROUND(C200-ROUND(COB_CA!$B$59-D200,2),2)&lt;=0),0,ROUND(C200-E200,2)),C200)</f>
        <v/>
      </c>
      <c r="H200" s="6">
        <f>AND(H199,C199&gt;0,(A200&lt;=COB_CA!$B$58))</f>
        <v/>
      </c>
    </row>
    <row r="201">
      <c r="A201" s="6" t="n">
        <v>197</v>
      </c>
      <c r="B201" s="17">
        <f>IF(COB_CA!$B$44=12,DATE(YEAR(COB_CA!$B$22)+INT((MONTH(COB_CA!$B$22)-1+196)/12),MOD(MONTH(COB_CA!$B$22)-1+196,12)+1,1)+(DAY(COB_CA!$B$22)-1),IF(COB_CA!$B$44=24,COB_CA!$B$22+ROUND((196*365.25)/24,0),IF(COB_CA!$B$44=26,COB_CA!$B$22+2744,COB_CA!$B$22+1372)))</f>
        <v/>
      </c>
      <c r="C201" s="14">
        <f>G200</f>
        <v/>
      </c>
      <c r="D201" s="14">
        <f>IF((A201&lt;=COB_CA!$B$58),ROUND(C201*COB_CA!$B$45,2),0)</f>
        <v/>
      </c>
      <c r="E201" s="14">
        <f>IF((A201&lt;=COB_CA!$B$58),IF(AND((A201&lt;=COB_CA!$B$58),ROUND(C201-ROUND(COB_CA!$B$59-D201,2),2)&lt;=0),C201,ROUND(COB_CA!$B$59-D201,2)),0)</f>
        <v/>
      </c>
      <c r="F201" s="14">
        <f>IF((A201&lt;=COB_CA!$B$58),IF(AND((A201&lt;=COB_CA!$B$58),ROUND(C201-ROUND(COB_CA!$B$59-D201,2),2)&lt;=0),ROUND(D201+E201,2),COB_CA!$B$59),0)</f>
        <v/>
      </c>
      <c r="G201" s="14">
        <f>IF((A201&lt;=COB_CA!$B$58),IF(AND((A201&lt;=COB_CA!$B$58),ROUND(C201-ROUND(COB_CA!$B$59-D201,2),2)&lt;=0),0,ROUND(C201-E201,2)),C201)</f>
        <v/>
      </c>
      <c r="H201" s="6">
        <f>AND(H200,C200&gt;0,(A201&lt;=COB_CA!$B$58))</f>
        <v/>
      </c>
    </row>
    <row r="202">
      <c r="A202" s="6" t="n">
        <v>198</v>
      </c>
      <c r="B202" s="17">
        <f>IF(COB_CA!$B$44=12,DATE(YEAR(COB_CA!$B$22)+INT((MONTH(COB_CA!$B$22)-1+197)/12),MOD(MONTH(COB_CA!$B$22)-1+197,12)+1,1)+(DAY(COB_CA!$B$22)-1),IF(COB_CA!$B$44=24,COB_CA!$B$22+ROUND((197*365.25)/24,0),IF(COB_CA!$B$44=26,COB_CA!$B$22+2758,COB_CA!$B$22+1379)))</f>
        <v/>
      </c>
      <c r="C202" s="14">
        <f>G201</f>
        <v/>
      </c>
      <c r="D202" s="14">
        <f>IF((A202&lt;=COB_CA!$B$58),ROUND(C202*COB_CA!$B$45,2),0)</f>
        <v/>
      </c>
      <c r="E202" s="14">
        <f>IF((A202&lt;=COB_CA!$B$58),IF(AND((A202&lt;=COB_CA!$B$58),ROUND(C202-ROUND(COB_CA!$B$59-D202,2),2)&lt;=0),C202,ROUND(COB_CA!$B$59-D202,2)),0)</f>
        <v/>
      </c>
      <c r="F202" s="14">
        <f>IF((A202&lt;=COB_CA!$B$58),IF(AND((A202&lt;=COB_CA!$B$58),ROUND(C202-ROUND(COB_CA!$B$59-D202,2),2)&lt;=0),ROUND(D202+E202,2),COB_CA!$B$59),0)</f>
        <v/>
      </c>
      <c r="G202" s="14">
        <f>IF((A202&lt;=COB_CA!$B$58),IF(AND((A202&lt;=COB_CA!$B$58),ROUND(C202-ROUND(COB_CA!$B$59-D202,2),2)&lt;=0),0,ROUND(C202-E202,2)),C202)</f>
        <v/>
      </c>
      <c r="H202" s="6">
        <f>AND(H201,C201&gt;0,(A202&lt;=COB_CA!$B$58))</f>
        <v/>
      </c>
    </row>
    <row r="203">
      <c r="A203" s="6" t="n">
        <v>199</v>
      </c>
      <c r="B203" s="17">
        <f>IF(COB_CA!$B$44=12,DATE(YEAR(COB_CA!$B$22)+INT((MONTH(COB_CA!$B$22)-1+198)/12),MOD(MONTH(COB_CA!$B$22)-1+198,12)+1,1)+(DAY(COB_CA!$B$22)-1),IF(COB_CA!$B$44=24,COB_CA!$B$22+ROUND((198*365.25)/24,0),IF(COB_CA!$B$44=26,COB_CA!$B$22+2772,COB_CA!$B$22+1386)))</f>
        <v/>
      </c>
      <c r="C203" s="14">
        <f>G202</f>
        <v/>
      </c>
      <c r="D203" s="14">
        <f>IF((A203&lt;=COB_CA!$B$58),ROUND(C203*COB_CA!$B$45,2),0)</f>
        <v/>
      </c>
      <c r="E203" s="14">
        <f>IF((A203&lt;=COB_CA!$B$58),IF(AND((A203&lt;=COB_CA!$B$58),ROUND(C203-ROUND(COB_CA!$B$59-D203,2),2)&lt;=0),C203,ROUND(COB_CA!$B$59-D203,2)),0)</f>
        <v/>
      </c>
      <c r="F203" s="14">
        <f>IF((A203&lt;=COB_CA!$B$58),IF(AND((A203&lt;=COB_CA!$B$58),ROUND(C203-ROUND(COB_CA!$B$59-D203,2),2)&lt;=0),ROUND(D203+E203,2),COB_CA!$B$59),0)</f>
        <v/>
      </c>
      <c r="G203" s="14">
        <f>IF((A203&lt;=COB_CA!$B$58),IF(AND((A203&lt;=COB_CA!$B$58),ROUND(C203-ROUND(COB_CA!$B$59-D203,2),2)&lt;=0),0,ROUND(C203-E203,2)),C203)</f>
        <v/>
      </c>
      <c r="H203" s="6">
        <f>AND(H202,C202&gt;0,(A203&lt;=COB_CA!$B$58))</f>
        <v/>
      </c>
    </row>
    <row r="204">
      <c r="A204" s="6" t="n">
        <v>200</v>
      </c>
      <c r="B204" s="17">
        <f>IF(COB_CA!$B$44=12,DATE(YEAR(COB_CA!$B$22)+INT((MONTH(COB_CA!$B$22)-1+199)/12),MOD(MONTH(COB_CA!$B$22)-1+199,12)+1,1)+(DAY(COB_CA!$B$22)-1),IF(COB_CA!$B$44=24,COB_CA!$B$22+ROUND((199*365.25)/24,0),IF(COB_CA!$B$44=26,COB_CA!$B$22+2786,COB_CA!$B$22+1393)))</f>
        <v/>
      </c>
      <c r="C204" s="14">
        <f>G203</f>
        <v/>
      </c>
      <c r="D204" s="14">
        <f>IF((A204&lt;=COB_CA!$B$58),ROUND(C204*COB_CA!$B$45,2),0)</f>
        <v/>
      </c>
      <c r="E204" s="14">
        <f>IF((A204&lt;=COB_CA!$B$58),IF(AND((A204&lt;=COB_CA!$B$58),ROUND(C204-ROUND(COB_CA!$B$59-D204,2),2)&lt;=0),C204,ROUND(COB_CA!$B$59-D204,2)),0)</f>
        <v/>
      </c>
      <c r="F204" s="14">
        <f>IF((A204&lt;=COB_CA!$B$58),IF(AND((A204&lt;=COB_CA!$B$58),ROUND(C204-ROUND(COB_CA!$B$59-D204,2),2)&lt;=0),ROUND(D204+E204,2),COB_CA!$B$59),0)</f>
        <v/>
      </c>
      <c r="G204" s="14">
        <f>IF((A204&lt;=COB_CA!$B$58),IF(AND((A204&lt;=COB_CA!$B$58),ROUND(C204-ROUND(COB_CA!$B$59-D204,2),2)&lt;=0),0,ROUND(C204-E204,2)),C204)</f>
        <v/>
      </c>
      <c r="H204" s="6">
        <f>AND(H203,C203&gt;0,(A204&lt;=COB_CA!$B$58))</f>
        <v/>
      </c>
    </row>
    <row r="205">
      <c r="A205" s="6" t="n">
        <v>201</v>
      </c>
      <c r="B205" s="17">
        <f>IF(COB_CA!$B$44=12,DATE(YEAR(COB_CA!$B$22)+INT((MONTH(COB_CA!$B$22)-1+200)/12),MOD(MONTH(COB_CA!$B$22)-1+200,12)+1,1)+(DAY(COB_CA!$B$22)-1),IF(COB_CA!$B$44=24,COB_CA!$B$22+ROUND((200*365.25)/24,0),IF(COB_CA!$B$44=26,COB_CA!$B$22+2800,COB_CA!$B$22+1400)))</f>
        <v/>
      </c>
      <c r="C205" s="14">
        <f>G204</f>
        <v/>
      </c>
      <c r="D205" s="14">
        <f>IF((A205&lt;=COB_CA!$B$58),ROUND(C205*COB_CA!$B$45,2),0)</f>
        <v/>
      </c>
      <c r="E205" s="14">
        <f>IF((A205&lt;=COB_CA!$B$58),IF(AND((A205&lt;=COB_CA!$B$58),ROUND(C205-ROUND(COB_CA!$B$59-D205,2),2)&lt;=0),C205,ROUND(COB_CA!$B$59-D205,2)),0)</f>
        <v/>
      </c>
      <c r="F205" s="14">
        <f>IF((A205&lt;=COB_CA!$B$58),IF(AND((A205&lt;=COB_CA!$B$58),ROUND(C205-ROUND(COB_CA!$B$59-D205,2),2)&lt;=0),ROUND(D205+E205,2),COB_CA!$B$59),0)</f>
        <v/>
      </c>
      <c r="G205" s="14">
        <f>IF((A205&lt;=COB_CA!$B$58),IF(AND((A205&lt;=COB_CA!$B$58),ROUND(C205-ROUND(COB_CA!$B$59-D205,2),2)&lt;=0),0,ROUND(C205-E205,2)),C205)</f>
        <v/>
      </c>
      <c r="H205" s="6">
        <f>AND(H204,C204&gt;0,(A205&lt;=COB_CA!$B$58))</f>
        <v/>
      </c>
    </row>
    <row r="206">
      <c r="A206" s="6" t="n">
        <v>202</v>
      </c>
      <c r="B206" s="17">
        <f>IF(COB_CA!$B$44=12,DATE(YEAR(COB_CA!$B$22)+INT((MONTH(COB_CA!$B$22)-1+201)/12),MOD(MONTH(COB_CA!$B$22)-1+201,12)+1,1)+(DAY(COB_CA!$B$22)-1),IF(COB_CA!$B$44=24,COB_CA!$B$22+ROUND((201*365.25)/24,0),IF(COB_CA!$B$44=26,COB_CA!$B$22+2814,COB_CA!$B$22+1407)))</f>
        <v/>
      </c>
      <c r="C206" s="14">
        <f>G205</f>
        <v/>
      </c>
      <c r="D206" s="14">
        <f>IF((A206&lt;=COB_CA!$B$58),ROUND(C206*COB_CA!$B$45,2),0)</f>
        <v/>
      </c>
      <c r="E206" s="14">
        <f>IF((A206&lt;=COB_CA!$B$58),IF(AND((A206&lt;=COB_CA!$B$58),ROUND(C206-ROUND(COB_CA!$B$59-D206,2),2)&lt;=0),C206,ROUND(COB_CA!$B$59-D206,2)),0)</f>
        <v/>
      </c>
      <c r="F206" s="14">
        <f>IF((A206&lt;=COB_CA!$B$58),IF(AND((A206&lt;=COB_CA!$B$58),ROUND(C206-ROUND(COB_CA!$B$59-D206,2),2)&lt;=0),ROUND(D206+E206,2),COB_CA!$B$59),0)</f>
        <v/>
      </c>
      <c r="G206" s="14">
        <f>IF((A206&lt;=COB_CA!$B$58),IF(AND((A206&lt;=COB_CA!$B$58),ROUND(C206-ROUND(COB_CA!$B$59-D206,2),2)&lt;=0),0,ROUND(C206-E206,2)),C206)</f>
        <v/>
      </c>
      <c r="H206" s="6">
        <f>AND(H205,C205&gt;0,(A206&lt;=COB_CA!$B$58))</f>
        <v/>
      </c>
    </row>
    <row r="207">
      <c r="A207" s="6" t="n">
        <v>203</v>
      </c>
      <c r="B207" s="17">
        <f>IF(COB_CA!$B$44=12,DATE(YEAR(COB_CA!$B$22)+INT((MONTH(COB_CA!$B$22)-1+202)/12),MOD(MONTH(COB_CA!$B$22)-1+202,12)+1,1)+(DAY(COB_CA!$B$22)-1),IF(COB_CA!$B$44=24,COB_CA!$B$22+ROUND((202*365.25)/24,0),IF(COB_CA!$B$44=26,COB_CA!$B$22+2828,COB_CA!$B$22+1414)))</f>
        <v/>
      </c>
      <c r="C207" s="14">
        <f>G206</f>
        <v/>
      </c>
      <c r="D207" s="14">
        <f>IF((A207&lt;=COB_CA!$B$58),ROUND(C207*COB_CA!$B$45,2),0)</f>
        <v/>
      </c>
      <c r="E207" s="14">
        <f>IF((A207&lt;=COB_CA!$B$58),IF(AND((A207&lt;=COB_CA!$B$58),ROUND(C207-ROUND(COB_CA!$B$59-D207,2),2)&lt;=0),C207,ROUND(COB_CA!$B$59-D207,2)),0)</f>
        <v/>
      </c>
      <c r="F207" s="14">
        <f>IF((A207&lt;=COB_CA!$B$58),IF(AND((A207&lt;=COB_CA!$B$58),ROUND(C207-ROUND(COB_CA!$B$59-D207,2),2)&lt;=0),ROUND(D207+E207,2),COB_CA!$B$59),0)</f>
        <v/>
      </c>
      <c r="G207" s="14">
        <f>IF((A207&lt;=COB_CA!$B$58),IF(AND((A207&lt;=COB_CA!$B$58),ROUND(C207-ROUND(COB_CA!$B$59-D207,2),2)&lt;=0),0,ROUND(C207-E207,2)),C207)</f>
        <v/>
      </c>
      <c r="H207" s="6">
        <f>AND(H206,C206&gt;0,(A207&lt;=COB_CA!$B$58))</f>
        <v/>
      </c>
    </row>
    <row r="208">
      <c r="A208" s="6" t="n">
        <v>204</v>
      </c>
      <c r="B208" s="17">
        <f>IF(COB_CA!$B$44=12,DATE(YEAR(COB_CA!$B$22)+INT((MONTH(COB_CA!$B$22)-1+203)/12),MOD(MONTH(COB_CA!$B$22)-1+203,12)+1,1)+(DAY(COB_CA!$B$22)-1),IF(COB_CA!$B$44=24,COB_CA!$B$22+ROUND((203*365.25)/24,0),IF(COB_CA!$B$44=26,COB_CA!$B$22+2842,COB_CA!$B$22+1421)))</f>
        <v/>
      </c>
      <c r="C208" s="14">
        <f>G207</f>
        <v/>
      </c>
      <c r="D208" s="14">
        <f>IF((A208&lt;=COB_CA!$B$58),ROUND(C208*COB_CA!$B$45,2),0)</f>
        <v/>
      </c>
      <c r="E208" s="14">
        <f>IF((A208&lt;=COB_CA!$B$58),IF(AND((A208&lt;=COB_CA!$B$58),ROUND(C208-ROUND(COB_CA!$B$59-D208,2),2)&lt;=0),C208,ROUND(COB_CA!$B$59-D208,2)),0)</f>
        <v/>
      </c>
      <c r="F208" s="14">
        <f>IF((A208&lt;=COB_CA!$B$58),IF(AND((A208&lt;=COB_CA!$B$58),ROUND(C208-ROUND(COB_CA!$B$59-D208,2),2)&lt;=0),ROUND(D208+E208,2),COB_CA!$B$59),0)</f>
        <v/>
      </c>
      <c r="G208" s="14">
        <f>IF((A208&lt;=COB_CA!$B$58),IF(AND((A208&lt;=COB_CA!$B$58),ROUND(C208-ROUND(COB_CA!$B$59-D208,2),2)&lt;=0),0,ROUND(C208-E208,2)),C208)</f>
        <v/>
      </c>
      <c r="H208" s="6">
        <f>AND(H207,C207&gt;0,(A208&lt;=COB_CA!$B$58))</f>
        <v/>
      </c>
    </row>
    <row r="209">
      <c r="A209" s="6" t="n">
        <v>205</v>
      </c>
      <c r="B209" s="17">
        <f>IF(COB_CA!$B$44=12,DATE(YEAR(COB_CA!$B$22)+INT((MONTH(COB_CA!$B$22)-1+204)/12),MOD(MONTH(COB_CA!$B$22)-1+204,12)+1,1)+(DAY(COB_CA!$B$22)-1),IF(COB_CA!$B$44=24,COB_CA!$B$22+ROUND((204*365.25)/24,0),IF(COB_CA!$B$44=26,COB_CA!$B$22+2856,COB_CA!$B$22+1428)))</f>
        <v/>
      </c>
      <c r="C209" s="14">
        <f>G208</f>
        <v/>
      </c>
      <c r="D209" s="14">
        <f>IF((A209&lt;=COB_CA!$B$58),ROUND(C209*COB_CA!$B$45,2),0)</f>
        <v/>
      </c>
      <c r="E209" s="14">
        <f>IF((A209&lt;=COB_CA!$B$58),IF(AND((A209&lt;=COB_CA!$B$58),ROUND(C209-ROUND(COB_CA!$B$59-D209,2),2)&lt;=0),C209,ROUND(COB_CA!$B$59-D209,2)),0)</f>
        <v/>
      </c>
      <c r="F209" s="14">
        <f>IF((A209&lt;=COB_CA!$B$58),IF(AND((A209&lt;=COB_CA!$B$58),ROUND(C209-ROUND(COB_CA!$B$59-D209,2),2)&lt;=0),ROUND(D209+E209,2),COB_CA!$B$59),0)</f>
        <v/>
      </c>
      <c r="G209" s="14">
        <f>IF((A209&lt;=COB_CA!$B$58),IF(AND((A209&lt;=COB_CA!$B$58),ROUND(C209-ROUND(COB_CA!$B$59-D209,2),2)&lt;=0),0,ROUND(C209-E209,2)),C209)</f>
        <v/>
      </c>
      <c r="H209" s="6">
        <f>AND(H208,C208&gt;0,(A209&lt;=COB_CA!$B$58))</f>
        <v/>
      </c>
    </row>
    <row r="210">
      <c r="A210" s="6" t="n">
        <v>206</v>
      </c>
      <c r="B210" s="17">
        <f>IF(COB_CA!$B$44=12,DATE(YEAR(COB_CA!$B$22)+INT((MONTH(COB_CA!$B$22)-1+205)/12),MOD(MONTH(COB_CA!$B$22)-1+205,12)+1,1)+(DAY(COB_CA!$B$22)-1),IF(COB_CA!$B$44=24,COB_CA!$B$22+ROUND((205*365.25)/24,0),IF(COB_CA!$B$44=26,COB_CA!$B$22+2870,COB_CA!$B$22+1435)))</f>
        <v/>
      </c>
      <c r="C210" s="14">
        <f>G209</f>
        <v/>
      </c>
      <c r="D210" s="14">
        <f>IF((A210&lt;=COB_CA!$B$58),ROUND(C210*COB_CA!$B$45,2),0)</f>
        <v/>
      </c>
      <c r="E210" s="14">
        <f>IF((A210&lt;=COB_CA!$B$58),IF(AND((A210&lt;=COB_CA!$B$58),ROUND(C210-ROUND(COB_CA!$B$59-D210,2),2)&lt;=0),C210,ROUND(COB_CA!$B$59-D210,2)),0)</f>
        <v/>
      </c>
      <c r="F210" s="14">
        <f>IF((A210&lt;=COB_CA!$B$58),IF(AND((A210&lt;=COB_CA!$B$58),ROUND(C210-ROUND(COB_CA!$B$59-D210,2),2)&lt;=0),ROUND(D210+E210,2),COB_CA!$B$59),0)</f>
        <v/>
      </c>
      <c r="G210" s="14">
        <f>IF((A210&lt;=COB_CA!$B$58),IF(AND((A210&lt;=COB_CA!$B$58),ROUND(C210-ROUND(COB_CA!$B$59-D210,2),2)&lt;=0),0,ROUND(C210-E210,2)),C210)</f>
        <v/>
      </c>
      <c r="H210" s="6">
        <f>AND(H209,C209&gt;0,(A210&lt;=COB_CA!$B$58))</f>
        <v/>
      </c>
    </row>
    <row r="211">
      <c r="A211" s="6" t="n">
        <v>207</v>
      </c>
      <c r="B211" s="17">
        <f>IF(COB_CA!$B$44=12,DATE(YEAR(COB_CA!$B$22)+INT((MONTH(COB_CA!$B$22)-1+206)/12),MOD(MONTH(COB_CA!$B$22)-1+206,12)+1,1)+(DAY(COB_CA!$B$22)-1),IF(COB_CA!$B$44=24,COB_CA!$B$22+ROUND((206*365.25)/24,0),IF(COB_CA!$B$44=26,COB_CA!$B$22+2884,COB_CA!$B$22+1442)))</f>
        <v/>
      </c>
      <c r="C211" s="14">
        <f>G210</f>
        <v/>
      </c>
      <c r="D211" s="14">
        <f>IF((A211&lt;=COB_CA!$B$58),ROUND(C211*COB_CA!$B$45,2),0)</f>
        <v/>
      </c>
      <c r="E211" s="14">
        <f>IF((A211&lt;=COB_CA!$B$58),IF(AND((A211&lt;=COB_CA!$B$58),ROUND(C211-ROUND(COB_CA!$B$59-D211,2),2)&lt;=0),C211,ROUND(COB_CA!$B$59-D211,2)),0)</f>
        <v/>
      </c>
      <c r="F211" s="14">
        <f>IF((A211&lt;=COB_CA!$B$58),IF(AND((A211&lt;=COB_CA!$B$58),ROUND(C211-ROUND(COB_CA!$B$59-D211,2),2)&lt;=0),ROUND(D211+E211,2),COB_CA!$B$59),0)</f>
        <v/>
      </c>
      <c r="G211" s="14">
        <f>IF((A211&lt;=COB_CA!$B$58),IF(AND((A211&lt;=COB_CA!$B$58),ROUND(C211-ROUND(COB_CA!$B$59-D211,2),2)&lt;=0),0,ROUND(C211-E211,2)),C211)</f>
        <v/>
      </c>
      <c r="H211" s="6">
        <f>AND(H210,C210&gt;0,(A211&lt;=COB_CA!$B$58))</f>
        <v/>
      </c>
    </row>
    <row r="212">
      <c r="A212" s="6" t="n">
        <v>208</v>
      </c>
      <c r="B212" s="17">
        <f>IF(COB_CA!$B$44=12,DATE(YEAR(COB_CA!$B$22)+INT((MONTH(COB_CA!$B$22)-1+207)/12),MOD(MONTH(COB_CA!$B$22)-1+207,12)+1,1)+(DAY(COB_CA!$B$22)-1),IF(COB_CA!$B$44=24,COB_CA!$B$22+ROUND((207*365.25)/24,0),IF(COB_CA!$B$44=26,COB_CA!$B$22+2898,COB_CA!$B$22+1449)))</f>
        <v/>
      </c>
      <c r="C212" s="14">
        <f>G211</f>
        <v/>
      </c>
      <c r="D212" s="14">
        <f>IF((A212&lt;=COB_CA!$B$58),ROUND(C212*COB_CA!$B$45,2),0)</f>
        <v/>
      </c>
      <c r="E212" s="14">
        <f>IF((A212&lt;=COB_CA!$B$58),IF(AND((A212&lt;=COB_CA!$B$58),ROUND(C212-ROUND(COB_CA!$B$59-D212,2),2)&lt;=0),C212,ROUND(COB_CA!$B$59-D212,2)),0)</f>
        <v/>
      </c>
      <c r="F212" s="14">
        <f>IF((A212&lt;=COB_CA!$B$58),IF(AND((A212&lt;=COB_CA!$B$58),ROUND(C212-ROUND(COB_CA!$B$59-D212,2),2)&lt;=0),ROUND(D212+E212,2),COB_CA!$B$59),0)</f>
        <v/>
      </c>
      <c r="G212" s="14">
        <f>IF((A212&lt;=COB_CA!$B$58),IF(AND((A212&lt;=COB_CA!$B$58),ROUND(C212-ROUND(COB_CA!$B$59-D212,2),2)&lt;=0),0,ROUND(C212-E212,2)),C212)</f>
        <v/>
      </c>
      <c r="H212" s="6">
        <f>AND(H211,C211&gt;0,(A212&lt;=COB_CA!$B$58))</f>
        <v/>
      </c>
    </row>
    <row r="213">
      <c r="A213" s="6" t="n">
        <v>209</v>
      </c>
      <c r="B213" s="17">
        <f>IF(COB_CA!$B$44=12,DATE(YEAR(COB_CA!$B$22)+INT((MONTH(COB_CA!$B$22)-1+208)/12),MOD(MONTH(COB_CA!$B$22)-1+208,12)+1,1)+(DAY(COB_CA!$B$22)-1),IF(COB_CA!$B$44=24,COB_CA!$B$22+ROUND((208*365.25)/24,0),IF(COB_CA!$B$44=26,COB_CA!$B$22+2912,COB_CA!$B$22+1456)))</f>
        <v/>
      </c>
      <c r="C213" s="14">
        <f>G212</f>
        <v/>
      </c>
      <c r="D213" s="14">
        <f>IF((A213&lt;=COB_CA!$B$58),ROUND(C213*COB_CA!$B$45,2),0)</f>
        <v/>
      </c>
      <c r="E213" s="14">
        <f>IF((A213&lt;=COB_CA!$B$58),IF(AND((A213&lt;=COB_CA!$B$58),ROUND(C213-ROUND(COB_CA!$B$59-D213,2),2)&lt;=0),C213,ROUND(COB_CA!$B$59-D213,2)),0)</f>
        <v/>
      </c>
      <c r="F213" s="14">
        <f>IF((A213&lt;=COB_CA!$B$58),IF(AND((A213&lt;=COB_CA!$B$58),ROUND(C213-ROUND(COB_CA!$B$59-D213,2),2)&lt;=0),ROUND(D213+E213,2),COB_CA!$B$59),0)</f>
        <v/>
      </c>
      <c r="G213" s="14">
        <f>IF((A213&lt;=COB_CA!$B$58),IF(AND((A213&lt;=COB_CA!$B$58),ROUND(C213-ROUND(COB_CA!$B$59-D213,2),2)&lt;=0),0,ROUND(C213-E213,2)),C213)</f>
        <v/>
      </c>
      <c r="H213" s="6">
        <f>AND(H212,C212&gt;0,(A213&lt;=COB_CA!$B$58))</f>
        <v/>
      </c>
    </row>
    <row r="214">
      <c r="A214" s="6" t="n">
        <v>210</v>
      </c>
      <c r="B214" s="17">
        <f>IF(COB_CA!$B$44=12,DATE(YEAR(COB_CA!$B$22)+INT((MONTH(COB_CA!$B$22)-1+209)/12),MOD(MONTH(COB_CA!$B$22)-1+209,12)+1,1)+(DAY(COB_CA!$B$22)-1),IF(COB_CA!$B$44=24,COB_CA!$B$22+ROUND((209*365.25)/24,0),IF(COB_CA!$B$44=26,COB_CA!$B$22+2926,COB_CA!$B$22+1463)))</f>
        <v/>
      </c>
      <c r="C214" s="14">
        <f>G213</f>
        <v/>
      </c>
      <c r="D214" s="14">
        <f>IF((A214&lt;=COB_CA!$B$58),ROUND(C214*COB_CA!$B$45,2),0)</f>
        <v/>
      </c>
      <c r="E214" s="14">
        <f>IF((A214&lt;=COB_CA!$B$58),IF(AND((A214&lt;=COB_CA!$B$58),ROUND(C214-ROUND(COB_CA!$B$59-D214,2),2)&lt;=0),C214,ROUND(COB_CA!$B$59-D214,2)),0)</f>
        <v/>
      </c>
      <c r="F214" s="14">
        <f>IF((A214&lt;=COB_CA!$B$58),IF(AND((A214&lt;=COB_CA!$B$58),ROUND(C214-ROUND(COB_CA!$B$59-D214,2),2)&lt;=0),ROUND(D214+E214,2),COB_CA!$B$59),0)</f>
        <v/>
      </c>
      <c r="G214" s="14">
        <f>IF((A214&lt;=COB_CA!$B$58),IF(AND((A214&lt;=COB_CA!$B$58),ROUND(C214-ROUND(COB_CA!$B$59-D214,2),2)&lt;=0),0,ROUND(C214-E214,2)),C214)</f>
        <v/>
      </c>
      <c r="H214" s="6">
        <f>AND(H213,C213&gt;0,(A214&lt;=COB_CA!$B$58))</f>
        <v/>
      </c>
    </row>
    <row r="215">
      <c r="A215" s="6" t="n">
        <v>211</v>
      </c>
      <c r="B215" s="17">
        <f>IF(COB_CA!$B$44=12,DATE(YEAR(COB_CA!$B$22)+INT((MONTH(COB_CA!$B$22)-1+210)/12),MOD(MONTH(COB_CA!$B$22)-1+210,12)+1,1)+(DAY(COB_CA!$B$22)-1),IF(COB_CA!$B$44=24,COB_CA!$B$22+ROUND((210*365.25)/24,0),IF(COB_CA!$B$44=26,COB_CA!$B$22+2940,COB_CA!$B$22+1470)))</f>
        <v/>
      </c>
      <c r="C215" s="14">
        <f>G214</f>
        <v/>
      </c>
      <c r="D215" s="14">
        <f>IF((A215&lt;=COB_CA!$B$58),ROUND(C215*COB_CA!$B$45,2),0)</f>
        <v/>
      </c>
      <c r="E215" s="14">
        <f>IF((A215&lt;=COB_CA!$B$58),IF(AND((A215&lt;=COB_CA!$B$58),ROUND(C215-ROUND(COB_CA!$B$59-D215,2),2)&lt;=0),C215,ROUND(COB_CA!$B$59-D215,2)),0)</f>
        <v/>
      </c>
      <c r="F215" s="14">
        <f>IF((A215&lt;=COB_CA!$B$58),IF(AND((A215&lt;=COB_CA!$B$58),ROUND(C215-ROUND(COB_CA!$B$59-D215,2),2)&lt;=0),ROUND(D215+E215,2),COB_CA!$B$59),0)</f>
        <v/>
      </c>
      <c r="G215" s="14">
        <f>IF((A215&lt;=COB_CA!$B$58),IF(AND((A215&lt;=COB_CA!$B$58),ROUND(C215-ROUND(COB_CA!$B$59-D215,2),2)&lt;=0),0,ROUND(C215-E215,2)),C215)</f>
        <v/>
      </c>
      <c r="H215" s="6">
        <f>AND(H214,C214&gt;0,(A215&lt;=COB_CA!$B$58))</f>
        <v/>
      </c>
    </row>
    <row r="216">
      <c r="A216" s="6" t="n">
        <v>212</v>
      </c>
      <c r="B216" s="17">
        <f>IF(COB_CA!$B$44=12,DATE(YEAR(COB_CA!$B$22)+INT((MONTH(COB_CA!$B$22)-1+211)/12),MOD(MONTH(COB_CA!$B$22)-1+211,12)+1,1)+(DAY(COB_CA!$B$22)-1),IF(COB_CA!$B$44=24,COB_CA!$B$22+ROUND((211*365.25)/24,0),IF(COB_CA!$B$44=26,COB_CA!$B$22+2954,COB_CA!$B$22+1477)))</f>
        <v/>
      </c>
      <c r="C216" s="14">
        <f>G215</f>
        <v/>
      </c>
      <c r="D216" s="14">
        <f>IF((A216&lt;=COB_CA!$B$58),ROUND(C216*COB_CA!$B$45,2),0)</f>
        <v/>
      </c>
      <c r="E216" s="14">
        <f>IF((A216&lt;=COB_CA!$B$58),IF(AND((A216&lt;=COB_CA!$B$58),ROUND(C216-ROUND(COB_CA!$B$59-D216,2),2)&lt;=0),C216,ROUND(COB_CA!$B$59-D216,2)),0)</f>
        <v/>
      </c>
      <c r="F216" s="14">
        <f>IF((A216&lt;=COB_CA!$B$58),IF(AND((A216&lt;=COB_CA!$B$58),ROUND(C216-ROUND(COB_CA!$B$59-D216,2),2)&lt;=0),ROUND(D216+E216,2),COB_CA!$B$59),0)</f>
        <v/>
      </c>
      <c r="G216" s="14">
        <f>IF((A216&lt;=COB_CA!$B$58),IF(AND((A216&lt;=COB_CA!$B$58),ROUND(C216-ROUND(COB_CA!$B$59-D216,2),2)&lt;=0),0,ROUND(C216-E216,2)),C216)</f>
        <v/>
      </c>
      <c r="H216" s="6">
        <f>AND(H215,C215&gt;0,(A216&lt;=COB_CA!$B$58))</f>
        <v/>
      </c>
    </row>
    <row r="217">
      <c r="A217" s="6" t="n">
        <v>213</v>
      </c>
      <c r="B217" s="17">
        <f>IF(COB_CA!$B$44=12,DATE(YEAR(COB_CA!$B$22)+INT((MONTH(COB_CA!$B$22)-1+212)/12),MOD(MONTH(COB_CA!$B$22)-1+212,12)+1,1)+(DAY(COB_CA!$B$22)-1),IF(COB_CA!$B$44=24,COB_CA!$B$22+ROUND((212*365.25)/24,0),IF(COB_CA!$B$44=26,COB_CA!$B$22+2968,COB_CA!$B$22+1484)))</f>
        <v/>
      </c>
      <c r="C217" s="14">
        <f>G216</f>
        <v/>
      </c>
      <c r="D217" s="14">
        <f>IF((A217&lt;=COB_CA!$B$58),ROUND(C217*COB_CA!$B$45,2),0)</f>
        <v/>
      </c>
      <c r="E217" s="14">
        <f>IF((A217&lt;=COB_CA!$B$58),IF(AND((A217&lt;=COB_CA!$B$58),ROUND(C217-ROUND(COB_CA!$B$59-D217,2),2)&lt;=0),C217,ROUND(COB_CA!$B$59-D217,2)),0)</f>
        <v/>
      </c>
      <c r="F217" s="14">
        <f>IF((A217&lt;=COB_CA!$B$58),IF(AND((A217&lt;=COB_CA!$B$58),ROUND(C217-ROUND(COB_CA!$B$59-D217,2),2)&lt;=0),ROUND(D217+E217,2),COB_CA!$B$59),0)</f>
        <v/>
      </c>
      <c r="G217" s="14">
        <f>IF((A217&lt;=COB_CA!$B$58),IF(AND((A217&lt;=COB_CA!$B$58),ROUND(C217-ROUND(COB_CA!$B$59-D217,2),2)&lt;=0),0,ROUND(C217-E217,2)),C217)</f>
        <v/>
      </c>
      <c r="H217" s="6">
        <f>AND(H216,C216&gt;0,(A217&lt;=COB_CA!$B$58))</f>
        <v/>
      </c>
    </row>
    <row r="218">
      <c r="A218" s="6" t="n">
        <v>214</v>
      </c>
      <c r="B218" s="17">
        <f>IF(COB_CA!$B$44=12,DATE(YEAR(COB_CA!$B$22)+INT((MONTH(COB_CA!$B$22)-1+213)/12),MOD(MONTH(COB_CA!$B$22)-1+213,12)+1,1)+(DAY(COB_CA!$B$22)-1),IF(COB_CA!$B$44=24,COB_CA!$B$22+ROUND((213*365.25)/24,0),IF(COB_CA!$B$44=26,COB_CA!$B$22+2982,COB_CA!$B$22+1491)))</f>
        <v/>
      </c>
      <c r="C218" s="14">
        <f>G217</f>
        <v/>
      </c>
      <c r="D218" s="14">
        <f>IF((A218&lt;=COB_CA!$B$58),ROUND(C218*COB_CA!$B$45,2),0)</f>
        <v/>
      </c>
      <c r="E218" s="14">
        <f>IF((A218&lt;=COB_CA!$B$58),IF(AND((A218&lt;=COB_CA!$B$58),ROUND(C218-ROUND(COB_CA!$B$59-D218,2),2)&lt;=0),C218,ROUND(COB_CA!$B$59-D218,2)),0)</f>
        <v/>
      </c>
      <c r="F218" s="14">
        <f>IF((A218&lt;=COB_CA!$B$58),IF(AND((A218&lt;=COB_CA!$B$58),ROUND(C218-ROUND(COB_CA!$B$59-D218,2),2)&lt;=0),ROUND(D218+E218,2),COB_CA!$B$59),0)</f>
        <v/>
      </c>
      <c r="G218" s="14">
        <f>IF((A218&lt;=COB_CA!$B$58),IF(AND((A218&lt;=COB_CA!$B$58),ROUND(C218-ROUND(COB_CA!$B$59-D218,2),2)&lt;=0),0,ROUND(C218-E218,2)),C218)</f>
        <v/>
      </c>
      <c r="H218" s="6">
        <f>AND(H217,C217&gt;0,(A218&lt;=COB_CA!$B$58))</f>
        <v/>
      </c>
    </row>
    <row r="219">
      <c r="A219" s="6" t="n">
        <v>215</v>
      </c>
      <c r="B219" s="17">
        <f>IF(COB_CA!$B$44=12,DATE(YEAR(COB_CA!$B$22)+INT((MONTH(COB_CA!$B$22)-1+214)/12),MOD(MONTH(COB_CA!$B$22)-1+214,12)+1,1)+(DAY(COB_CA!$B$22)-1),IF(COB_CA!$B$44=24,COB_CA!$B$22+ROUND((214*365.25)/24,0),IF(COB_CA!$B$44=26,COB_CA!$B$22+2996,COB_CA!$B$22+1498)))</f>
        <v/>
      </c>
      <c r="C219" s="14">
        <f>G218</f>
        <v/>
      </c>
      <c r="D219" s="14">
        <f>IF((A219&lt;=COB_CA!$B$58),ROUND(C219*COB_CA!$B$45,2),0)</f>
        <v/>
      </c>
      <c r="E219" s="14">
        <f>IF((A219&lt;=COB_CA!$B$58),IF(AND((A219&lt;=COB_CA!$B$58),ROUND(C219-ROUND(COB_CA!$B$59-D219,2),2)&lt;=0),C219,ROUND(COB_CA!$B$59-D219,2)),0)</f>
        <v/>
      </c>
      <c r="F219" s="14">
        <f>IF((A219&lt;=COB_CA!$B$58),IF(AND((A219&lt;=COB_CA!$B$58),ROUND(C219-ROUND(COB_CA!$B$59-D219,2),2)&lt;=0),ROUND(D219+E219,2),COB_CA!$B$59),0)</f>
        <v/>
      </c>
      <c r="G219" s="14">
        <f>IF((A219&lt;=COB_CA!$B$58),IF(AND((A219&lt;=COB_CA!$B$58),ROUND(C219-ROUND(COB_CA!$B$59-D219,2),2)&lt;=0),0,ROUND(C219-E219,2)),C219)</f>
        <v/>
      </c>
      <c r="H219" s="6">
        <f>AND(H218,C218&gt;0,(A219&lt;=COB_CA!$B$58))</f>
        <v/>
      </c>
    </row>
    <row r="220">
      <c r="A220" s="6" t="n">
        <v>216</v>
      </c>
      <c r="B220" s="17">
        <f>IF(COB_CA!$B$44=12,DATE(YEAR(COB_CA!$B$22)+INT((MONTH(COB_CA!$B$22)-1+215)/12),MOD(MONTH(COB_CA!$B$22)-1+215,12)+1,1)+(DAY(COB_CA!$B$22)-1),IF(COB_CA!$B$44=24,COB_CA!$B$22+ROUND((215*365.25)/24,0),IF(COB_CA!$B$44=26,COB_CA!$B$22+3010,COB_CA!$B$22+1505)))</f>
        <v/>
      </c>
      <c r="C220" s="14">
        <f>G219</f>
        <v/>
      </c>
      <c r="D220" s="14">
        <f>IF((A220&lt;=COB_CA!$B$58),ROUND(C220*COB_CA!$B$45,2),0)</f>
        <v/>
      </c>
      <c r="E220" s="14">
        <f>IF((A220&lt;=COB_CA!$B$58),IF(AND((A220&lt;=COB_CA!$B$58),ROUND(C220-ROUND(COB_CA!$B$59-D220,2),2)&lt;=0),C220,ROUND(COB_CA!$B$59-D220,2)),0)</f>
        <v/>
      </c>
      <c r="F220" s="14">
        <f>IF((A220&lt;=COB_CA!$B$58),IF(AND((A220&lt;=COB_CA!$B$58),ROUND(C220-ROUND(COB_CA!$B$59-D220,2),2)&lt;=0),ROUND(D220+E220,2),COB_CA!$B$59),0)</f>
        <v/>
      </c>
      <c r="G220" s="14">
        <f>IF((A220&lt;=COB_CA!$B$58),IF(AND((A220&lt;=COB_CA!$B$58),ROUND(C220-ROUND(COB_CA!$B$59-D220,2),2)&lt;=0),0,ROUND(C220-E220,2)),C220)</f>
        <v/>
      </c>
      <c r="H220" s="6">
        <f>AND(H219,C219&gt;0,(A220&lt;=COB_CA!$B$58))</f>
        <v/>
      </c>
    </row>
    <row r="221">
      <c r="A221" s="6" t="n">
        <v>217</v>
      </c>
      <c r="B221" s="17">
        <f>IF(COB_CA!$B$44=12,DATE(YEAR(COB_CA!$B$22)+INT((MONTH(COB_CA!$B$22)-1+216)/12),MOD(MONTH(COB_CA!$B$22)-1+216,12)+1,1)+(DAY(COB_CA!$B$22)-1),IF(COB_CA!$B$44=24,COB_CA!$B$22+ROUND((216*365.25)/24,0),IF(COB_CA!$B$44=26,COB_CA!$B$22+3024,COB_CA!$B$22+1512)))</f>
        <v/>
      </c>
      <c r="C221" s="14">
        <f>G220</f>
        <v/>
      </c>
      <c r="D221" s="14">
        <f>IF((A221&lt;=COB_CA!$B$58),ROUND(C221*COB_CA!$B$45,2),0)</f>
        <v/>
      </c>
      <c r="E221" s="14">
        <f>IF((A221&lt;=COB_CA!$B$58),IF(AND((A221&lt;=COB_CA!$B$58),ROUND(C221-ROUND(COB_CA!$B$59-D221,2),2)&lt;=0),C221,ROUND(COB_CA!$B$59-D221,2)),0)</f>
        <v/>
      </c>
      <c r="F221" s="14">
        <f>IF((A221&lt;=COB_CA!$B$58),IF(AND((A221&lt;=COB_CA!$B$58),ROUND(C221-ROUND(COB_CA!$B$59-D221,2),2)&lt;=0),ROUND(D221+E221,2),COB_CA!$B$59),0)</f>
        <v/>
      </c>
      <c r="G221" s="14">
        <f>IF((A221&lt;=COB_CA!$B$58),IF(AND((A221&lt;=COB_CA!$B$58),ROUND(C221-ROUND(COB_CA!$B$59-D221,2),2)&lt;=0),0,ROUND(C221-E221,2)),C221)</f>
        <v/>
      </c>
      <c r="H221" s="6">
        <f>AND(H220,C220&gt;0,(A221&lt;=COB_CA!$B$58))</f>
        <v/>
      </c>
    </row>
    <row r="222">
      <c r="A222" s="6" t="n">
        <v>218</v>
      </c>
      <c r="B222" s="17">
        <f>IF(COB_CA!$B$44=12,DATE(YEAR(COB_CA!$B$22)+INT((MONTH(COB_CA!$B$22)-1+217)/12),MOD(MONTH(COB_CA!$B$22)-1+217,12)+1,1)+(DAY(COB_CA!$B$22)-1),IF(COB_CA!$B$44=24,COB_CA!$B$22+ROUND((217*365.25)/24,0),IF(COB_CA!$B$44=26,COB_CA!$B$22+3038,COB_CA!$B$22+1519)))</f>
        <v/>
      </c>
      <c r="C222" s="14">
        <f>G221</f>
        <v/>
      </c>
      <c r="D222" s="14">
        <f>IF((A222&lt;=COB_CA!$B$58),ROUND(C222*COB_CA!$B$45,2),0)</f>
        <v/>
      </c>
      <c r="E222" s="14">
        <f>IF((A222&lt;=COB_CA!$B$58),IF(AND((A222&lt;=COB_CA!$B$58),ROUND(C222-ROUND(COB_CA!$B$59-D222,2),2)&lt;=0),C222,ROUND(COB_CA!$B$59-D222,2)),0)</f>
        <v/>
      </c>
      <c r="F222" s="14">
        <f>IF((A222&lt;=COB_CA!$B$58),IF(AND((A222&lt;=COB_CA!$B$58),ROUND(C222-ROUND(COB_CA!$B$59-D222,2),2)&lt;=0),ROUND(D222+E222,2),COB_CA!$B$59),0)</f>
        <v/>
      </c>
      <c r="G222" s="14">
        <f>IF((A222&lt;=COB_CA!$B$58),IF(AND((A222&lt;=COB_CA!$B$58),ROUND(C222-ROUND(COB_CA!$B$59-D222,2),2)&lt;=0),0,ROUND(C222-E222,2)),C222)</f>
        <v/>
      </c>
      <c r="H222" s="6">
        <f>AND(H221,C221&gt;0,(A222&lt;=COB_CA!$B$58))</f>
        <v/>
      </c>
    </row>
    <row r="223">
      <c r="A223" s="6" t="n">
        <v>219</v>
      </c>
      <c r="B223" s="17">
        <f>IF(COB_CA!$B$44=12,DATE(YEAR(COB_CA!$B$22)+INT((MONTH(COB_CA!$B$22)-1+218)/12),MOD(MONTH(COB_CA!$B$22)-1+218,12)+1,1)+(DAY(COB_CA!$B$22)-1),IF(COB_CA!$B$44=24,COB_CA!$B$22+ROUND((218*365.25)/24,0),IF(COB_CA!$B$44=26,COB_CA!$B$22+3052,COB_CA!$B$22+1526)))</f>
        <v/>
      </c>
      <c r="C223" s="14">
        <f>G222</f>
        <v/>
      </c>
      <c r="D223" s="14">
        <f>IF((A223&lt;=COB_CA!$B$58),ROUND(C223*COB_CA!$B$45,2),0)</f>
        <v/>
      </c>
      <c r="E223" s="14">
        <f>IF((A223&lt;=COB_CA!$B$58),IF(AND((A223&lt;=COB_CA!$B$58),ROUND(C223-ROUND(COB_CA!$B$59-D223,2),2)&lt;=0),C223,ROUND(COB_CA!$B$59-D223,2)),0)</f>
        <v/>
      </c>
      <c r="F223" s="14">
        <f>IF((A223&lt;=COB_CA!$B$58),IF(AND((A223&lt;=COB_CA!$B$58),ROUND(C223-ROUND(COB_CA!$B$59-D223,2),2)&lt;=0),ROUND(D223+E223,2),COB_CA!$B$59),0)</f>
        <v/>
      </c>
      <c r="G223" s="14">
        <f>IF((A223&lt;=COB_CA!$B$58),IF(AND((A223&lt;=COB_CA!$B$58),ROUND(C223-ROUND(COB_CA!$B$59-D223,2),2)&lt;=0),0,ROUND(C223-E223,2)),C223)</f>
        <v/>
      </c>
      <c r="H223" s="6">
        <f>AND(H222,C222&gt;0,(A223&lt;=COB_CA!$B$58))</f>
        <v/>
      </c>
    </row>
    <row r="224">
      <c r="A224" s="6" t="n">
        <v>220</v>
      </c>
      <c r="B224" s="17">
        <f>IF(COB_CA!$B$44=12,DATE(YEAR(COB_CA!$B$22)+INT((MONTH(COB_CA!$B$22)-1+219)/12),MOD(MONTH(COB_CA!$B$22)-1+219,12)+1,1)+(DAY(COB_CA!$B$22)-1),IF(COB_CA!$B$44=24,COB_CA!$B$22+ROUND((219*365.25)/24,0),IF(COB_CA!$B$44=26,COB_CA!$B$22+3066,COB_CA!$B$22+1533)))</f>
        <v/>
      </c>
      <c r="C224" s="14">
        <f>G223</f>
        <v/>
      </c>
      <c r="D224" s="14">
        <f>IF((A224&lt;=COB_CA!$B$58),ROUND(C224*COB_CA!$B$45,2),0)</f>
        <v/>
      </c>
      <c r="E224" s="14">
        <f>IF((A224&lt;=COB_CA!$B$58),IF(AND((A224&lt;=COB_CA!$B$58),ROUND(C224-ROUND(COB_CA!$B$59-D224,2),2)&lt;=0),C224,ROUND(COB_CA!$B$59-D224,2)),0)</f>
        <v/>
      </c>
      <c r="F224" s="14">
        <f>IF((A224&lt;=COB_CA!$B$58),IF(AND((A224&lt;=COB_CA!$B$58),ROUND(C224-ROUND(COB_CA!$B$59-D224,2),2)&lt;=0),ROUND(D224+E224,2),COB_CA!$B$59),0)</f>
        <v/>
      </c>
      <c r="G224" s="14">
        <f>IF((A224&lt;=COB_CA!$B$58),IF(AND((A224&lt;=COB_CA!$B$58),ROUND(C224-ROUND(COB_CA!$B$59-D224,2),2)&lt;=0),0,ROUND(C224-E224,2)),C224)</f>
        <v/>
      </c>
      <c r="H224" s="6">
        <f>AND(H223,C223&gt;0,(A224&lt;=COB_CA!$B$58))</f>
        <v/>
      </c>
    </row>
    <row r="225">
      <c r="A225" s="6" t="n">
        <v>221</v>
      </c>
      <c r="B225" s="17">
        <f>IF(COB_CA!$B$44=12,DATE(YEAR(COB_CA!$B$22)+INT((MONTH(COB_CA!$B$22)-1+220)/12),MOD(MONTH(COB_CA!$B$22)-1+220,12)+1,1)+(DAY(COB_CA!$B$22)-1),IF(COB_CA!$B$44=24,COB_CA!$B$22+ROUND((220*365.25)/24,0),IF(COB_CA!$B$44=26,COB_CA!$B$22+3080,COB_CA!$B$22+1540)))</f>
        <v/>
      </c>
      <c r="C225" s="14">
        <f>G224</f>
        <v/>
      </c>
      <c r="D225" s="14">
        <f>IF((A225&lt;=COB_CA!$B$58),ROUND(C225*COB_CA!$B$45,2),0)</f>
        <v/>
      </c>
      <c r="E225" s="14">
        <f>IF((A225&lt;=COB_CA!$B$58),IF(AND((A225&lt;=COB_CA!$B$58),ROUND(C225-ROUND(COB_CA!$B$59-D225,2),2)&lt;=0),C225,ROUND(COB_CA!$B$59-D225,2)),0)</f>
        <v/>
      </c>
      <c r="F225" s="14">
        <f>IF((A225&lt;=COB_CA!$B$58),IF(AND((A225&lt;=COB_CA!$B$58),ROUND(C225-ROUND(COB_CA!$B$59-D225,2),2)&lt;=0),ROUND(D225+E225,2),COB_CA!$B$59),0)</f>
        <v/>
      </c>
      <c r="G225" s="14">
        <f>IF((A225&lt;=COB_CA!$B$58),IF(AND((A225&lt;=COB_CA!$B$58),ROUND(C225-ROUND(COB_CA!$B$59-D225,2),2)&lt;=0),0,ROUND(C225-E225,2)),C225)</f>
        <v/>
      </c>
      <c r="H225" s="6">
        <f>AND(H224,C224&gt;0,(A225&lt;=COB_CA!$B$58))</f>
        <v/>
      </c>
    </row>
    <row r="226">
      <c r="A226" s="6" t="n">
        <v>222</v>
      </c>
      <c r="B226" s="17">
        <f>IF(COB_CA!$B$44=12,DATE(YEAR(COB_CA!$B$22)+INT((MONTH(COB_CA!$B$22)-1+221)/12),MOD(MONTH(COB_CA!$B$22)-1+221,12)+1,1)+(DAY(COB_CA!$B$22)-1),IF(COB_CA!$B$44=24,COB_CA!$B$22+ROUND((221*365.25)/24,0),IF(COB_CA!$B$44=26,COB_CA!$B$22+3094,COB_CA!$B$22+1547)))</f>
        <v/>
      </c>
      <c r="C226" s="14">
        <f>G225</f>
        <v/>
      </c>
      <c r="D226" s="14">
        <f>IF((A226&lt;=COB_CA!$B$58),ROUND(C226*COB_CA!$B$45,2),0)</f>
        <v/>
      </c>
      <c r="E226" s="14">
        <f>IF((A226&lt;=COB_CA!$B$58),IF(AND((A226&lt;=COB_CA!$B$58),ROUND(C226-ROUND(COB_CA!$B$59-D226,2),2)&lt;=0),C226,ROUND(COB_CA!$B$59-D226,2)),0)</f>
        <v/>
      </c>
      <c r="F226" s="14">
        <f>IF((A226&lt;=COB_CA!$B$58),IF(AND((A226&lt;=COB_CA!$B$58),ROUND(C226-ROUND(COB_CA!$B$59-D226,2),2)&lt;=0),ROUND(D226+E226,2),COB_CA!$B$59),0)</f>
        <v/>
      </c>
      <c r="G226" s="14">
        <f>IF((A226&lt;=COB_CA!$B$58),IF(AND((A226&lt;=COB_CA!$B$58),ROUND(C226-ROUND(COB_CA!$B$59-D226,2),2)&lt;=0),0,ROUND(C226-E226,2)),C226)</f>
        <v/>
      </c>
      <c r="H226" s="6">
        <f>AND(H225,C225&gt;0,(A226&lt;=COB_CA!$B$58))</f>
        <v/>
      </c>
    </row>
    <row r="227">
      <c r="A227" s="6" t="n">
        <v>223</v>
      </c>
      <c r="B227" s="17">
        <f>IF(COB_CA!$B$44=12,DATE(YEAR(COB_CA!$B$22)+INT((MONTH(COB_CA!$B$22)-1+222)/12),MOD(MONTH(COB_CA!$B$22)-1+222,12)+1,1)+(DAY(COB_CA!$B$22)-1),IF(COB_CA!$B$44=24,COB_CA!$B$22+ROUND((222*365.25)/24,0),IF(COB_CA!$B$44=26,COB_CA!$B$22+3108,COB_CA!$B$22+1554)))</f>
        <v/>
      </c>
      <c r="C227" s="14">
        <f>G226</f>
        <v/>
      </c>
      <c r="D227" s="14">
        <f>IF((A227&lt;=COB_CA!$B$58),ROUND(C227*COB_CA!$B$45,2),0)</f>
        <v/>
      </c>
      <c r="E227" s="14">
        <f>IF((A227&lt;=COB_CA!$B$58),IF(AND((A227&lt;=COB_CA!$B$58),ROUND(C227-ROUND(COB_CA!$B$59-D227,2),2)&lt;=0),C227,ROUND(COB_CA!$B$59-D227,2)),0)</f>
        <v/>
      </c>
      <c r="F227" s="14">
        <f>IF((A227&lt;=COB_CA!$B$58),IF(AND((A227&lt;=COB_CA!$B$58),ROUND(C227-ROUND(COB_CA!$B$59-D227,2),2)&lt;=0),ROUND(D227+E227,2),COB_CA!$B$59),0)</f>
        <v/>
      </c>
      <c r="G227" s="14">
        <f>IF((A227&lt;=COB_CA!$B$58),IF(AND((A227&lt;=COB_CA!$B$58),ROUND(C227-ROUND(COB_CA!$B$59-D227,2),2)&lt;=0),0,ROUND(C227-E227,2)),C227)</f>
        <v/>
      </c>
      <c r="H227" s="6">
        <f>AND(H226,C226&gt;0,(A227&lt;=COB_CA!$B$58))</f>
        <v/>
      </c>
    </row>
    <row r="228">
      <c r="A228" s="6" t="n">
        <v>224</v>
      </c>
      <c r="B228" s="17">
        <f>IF(COB_CA!$B$44=12,DATE(YEAR(COB_CA!$B$22)+INT((MONTH(COB_CA!$B$22)-1+223)/12),MOD(MONTH(COB_CA!$B$22)-1+223,12)+1,1)+(DAY(COB_CA!$B$22)-1),IF(COB_CA!$B$44=24,COB_CA!$B$22+ROUND((223*365.25)/24,0),IF(COB_CA!$B$44=26,COB_CA!$B$22+3122,COB_CA!$B$22+1561)))</f>
        <v/>
      </c>
      <c r="C228" s="14">
        <f>G227</f>
        <v/>
      </c>
      <c r="D228" s="14">
        <f>IF((A228&lt;=COB_CA!$B$58),ROUND(C228*COB_CA!$B$45,2),0)</f>
        <v/>
      </c>
      <c r="E228" s="14">
        <f>IF((A228&lt;=COB_CA!$B$58),IF(AND((A228&lt;=COB_CA!$B$58),ROUND(C228-ROUND(COB_CA!$B$59-D228,2),2)&lt;=0),C228,ROUND(COB_CA!$B$59-D228,2)),0)</f>
        <v/>
      </c>
      <c r="F228" s="14">
        <f>IF((A228&lt;=COB_CA!$B$58),IF(AND((A228&lt;=COB_CA!$B$58),ROUND(C228-ROUND(COB_CA!$B$59-D228,2),2)&lt;=0),ROUND(D228+E228,2),COB_CA!$B$59),0)</f>
        <v/>
      </c>
      <c r="G228" s="14">
        <f>IF((A228&lt;=COB_CA!$B$58),IF(AND((A228&lt;=COB_CA!$B$58),ROUND(C228-ROUND(COB_CA!$B$59-D228,2),2)&lt;=0),0,ROUND(C228-E228,2)),C228)</f>
        <v/>
      </c>
      <c r="H228" s="6">
        <f>AND(H227,C227&gt;0,(A228&lt;=COB_CA!$B$58))</f>
        <v/>
      </c>
    </row>
    <row r="229">
      <c r="A229" s="6" t="n">
        <v>225</v>
      </c>
      <c r="B229" s="17">
        <f>IF(COB_CA!$B$44=12,DATE(YEAR(COB_CA!$B$22)+INT((MONTH(COB_CA!$B$22)-1+224)/12),MOD(MONTH(COB_CA!$B$22)-1+224,12)+1,1)+(DAY(COB_CA!$B$22)-1),IF(COB_CA!$B$44=24,COB_CA!$B$22+ROUND((224*365.25)/24,0),IF(COB_CA!$B$44=26,COB_CA!$B$22+3136,COB_CA!$B$22+1568)))</f>
        <v/>
      </c>
      <c r="C229" s="14">
        <f>G228</f>
        <v/>
      </c>
      <c r="D229" s="14">
        <f>IF((A229&lt;=COB_CA!$B$58),ROUND(C229*COB_CA!$B$45,2),0)</f>
        <v/>
      </c>
      <c r="E229" s="14">
        <f>IF((A229&lt;=COB_CA!$B$58),IF(AND((A229&lt;=COB_CA!$B$58),ROUND(C229-ROUND(COB_CA!$B$59-D229,2),2)&lt;=0),C229,ROUND(COB_CA!$B$59-D229,2)),0)</f>
        <v/>
      </c>
      <c r="F229" s="14">
        <f>IF((A229&lt;=COB_CA!$B$58),IF(AND((A229&lt;=COB_CA!$B$58),ROUND(C229-ROUND(COB_CA!$B$59-D229,2),2)&lt;=0),ROUND(D229+E229,2),COB_CA!$B$59),0)</f>
        <v/>
      </c>
      <c r="G229" s="14">
        <f>IF((A229&lt;=COB_CA!$B$58),IF(AND((A229&lt;=COB_CA!$B$58),ROUND(C229-ROUND(COB_CA!$B$59-D229,2),2)&lt;=0),0,ROUND(C229-E229,2)),C229)</f>
        <v/>
      </c>
      <c r="H229" s="6">
        <f>AND(H228,C228&gt;0,(A229&lt;=COB_CA!$B$58))</f>
        <v/>
      </c>
    </row>
    <row r="230">
      <c r="A230" s="6" t="n">
        <v>226</v>
      </c>
      <c r="B230" s="17">
        <f>IF(COB_CA!$B$44=12,DATE(YEAR(COB_CA!$B$22)+INT((MONTH(COB_CA!$B$22)-1+225)/12),MOD(MONTH(COB_CA!$B$22)-1+225,12)+1,1)+(DAY(COB_CA!$B$22)-1),IF(COB_CA!$B$44=24,COB_CA!$B$22+ROUND((225*365.25)/24,0),IF(COB_CA!$B$44=26,COB_CA!$B$22+3150,COB_CA!$B$22+1575)))</f>
        <v/>
      </c>
      <c r="C230" s="14">
        <f>G229</f>
        <v/>
      </c>
      <c r="D230" s="14">
        <f>IF((A230&lt;=COB_CA!$B$58),ROUND(C230*COB_CA!$B$45,2),0)</f>
        <v/>
      </c>
      <c r="E230" s="14">
        <f>IF((A230&lt;=COB_CA!$B$58),IF(AND((A230&lt;=COB_CA!$B$58),ROUND(C230-ROUND(COB_CA!$B$59-D230,2),2)&lt;=0),C230,ROUND(COB_CA!$B$59-D230,2)),0)</f>
        <v/>
      </c>
      <c r="F230" s="14">
        <f>IF((A230&lt;=COB_CA!$B$58),IF(AND((A230&lt;=COB_CA!$B$58),ROUND(C230-ROUND(COB_CA!$B$59-D230,2),2)&lt;=0),ROUND(D230+E230,2),COB_CA!$B$59),0)</f>
        <v/>
      </c>
      <c r="G230" s="14">
        <f>IF((A230&lt;=COB_CA!$B$58),IF(AND((A230&lt;=COB_CA!$B$58),ROUND(C230-ROUND(COB_CA!$B$59-D230,2),2)&lt;=0),0,ROUND(C230-E230,2)),C230)</f>
        <v/>
      </c>
      <c r="H230" s="6">
        <f>AND(H229,C229&gt;0,(A230&lt;=COB_CA!$B$58))</f>
        <v/>
      </c>
    </row>
    <row r="231">
      <c r="A231" s="6" t="n">
        <v>227</v>
      </c>
      <c r="B231" s="17">
        <f>IF(COB_CA!$B$44=12,DATE(YEAR(COB_CA!$B$22)+INT((MONTH(COB_CA!$B$22)-1+226)/12),MOD(MONTH(COB_CA!$B$22)-1+226,12)+1,1)+(DAY(COB_CA!$B$22)-1),IF(COB_CA!$B$44=24,COB_CA!$B$22+ROUND((226*365.25)/24,0),IF(COB_CA!$B$44=26,COB_CA!$B$22+3164,COB_CA!$B$22+1582)))</f>
        <v/>
      </c>
      <c r="C231" s="14">
        <f>G230</f>
        <v/>
      </c>
      <c r="D231" s="14">
        <f>IF((A231&lt;=COB_CA!$B$58),ROUND(C231*COB_CA!$B$45,2),0)</f>
        <v/>
      </c>
      <c r="E231" s="14">
        <f>IF((A231&lt;=COB_CA!$B$58),IF(AND((A231&lt;=COB_CA!$B$58),ROUND(C231-ROUND(COB_CA!$B$59-D231,2),2)&lt;=0),C231,ROUND(COB_CA!$B$59-D231,2)),0)</f>
        <v/>
      </c>
      <c r="F231" s="14">
        <f>IF((A231&lt;=COB_CA!$B$58),IF(AND((A231&lt;=COB_CA!$B$58),ROUND(C231-ROUND(COB_CA!$B$59-D231,2),2)&lt;=0),ROUND(D231+E231,2),COB_CA!$B$59),0)</f>
        <v/>
      </c>
      <c r="G231" s="14">
        <f>IF((A231&lt;=COB_CA!$B$58),IF(AND((A231&lt;=COB_CA!$B$58),ROUND(C231-ROUND(COB_CA!$B$59-D231,2),2)&lt;=0),0,ROUND(C231-E231,2)),C231)</f>
        <v/>
      </c>
      <c r="H231" s="6">
        <f>AND(H230,C230&gt;0,(A231&lt;=COB_CA!$B$58))</f>
        <v/>
      </c>
    </row>
    <row r="232">
      <c r="A232" s="6" t="n">
        <v>228</v>
      </c>
      <c r="B232" s="17">
        <f>IF(COB_CA!$B$44=12,DATE(YEAR(COB_CA!$B$22)+INT((MONTH(COB_CA!$B$22)-1+227)/12),MOD(MONTH(COB_CA!$B$22)-1+227,12)+1,1)+(DAY(COB_CA!$B$22)-1),IF(COB_CA!$B$44=24,COB_CA!$B$22+ROUND((227*365.25)/24,0),IF(COB_CA!$B$44=26,COB_CA!$B$22+3178,COB_CA!$B$22+1589)))</f>
        <v/>
      </c>
      <c r="C232" s="14">
        <f>G231</f>
        <v/>
      </c>
      <c r="D232" s="14">
        <f>IF((A232&lt;=COB_CA!$B$58),ROUND(C232*COB_CA!$B$45,2),0)</f>
        <v/>
      </c>
      <c r="E232" s="14">
        <f>IF((A232&lt;=COB_CA!$B$58),IF(AND((A232&lt;=COB_CA!$B$58),ROUND(C232-ROUND(COB_CA!$B$59-D232,2),2)&lt;=0),C232,ROUND(COB_CA!$B$59-D232,2)),0)</f>
        <v/>
      </c>
      <c r="F232" s="14">
        <f>IF((A232&lt;=COB_CA!$B$58),IF(AND((A232&lt;=COB_CA!$B$58),ROUND(C232-ROUND(COB_CA!$B$59-D232,2),2)&lt;=0),ROUND(D232+E232,2),COB_CA!$B$59),0)</f>
        <v/>
      </c>
      <c r="G232" s="14">
        <f>IF((A232&lt;=COB_CA!$B$58),IF(AND((A232&lt;=COB_CA!$B$58),ROUND(C232-ROUND(COB_CA!$B$59-D232,2),2)&lt;=0),0,ROUND(C232-E232,2)),C232)</f>
        <v/>
      </c>
      <c r="H232" s="6">
        <f>AND(H231,C231&gt;0,(A232&lt;=COB_CA!$B$58))</f>
        <v/>
      </c>
    </row>
    <row r="233">
      <c r="A233" s="6" t="n">
        <v>229</v>
      </c>
      <c r="B233" s="17">
        <f>IF(COB_CA!$B$44=12,DATE(YEAR(COB_CA!$B$22)+INT((MONTH(COB_CA!$B$22)-1+228)/12),MOD(MONTH(COB_CA!$B$22)-1+228,12)+1,1)+(DAY(COB_CA!$B$22)-1),IF(COB_CA!$B$44=24,COB_CA!$B$22+ROUND((228*365.25)/24,0),IF(COB_CA!$B$44=26,COB_CA!$B$22+3192,COB_CA!$B$22+1596)))</f>
        <v/>
      </c>
      <c r="C233" s="14">
        <f>G232</f>
        <v/>
      </c>
      <c r="D233" s="14">
        <f>IF((A233&lt;=COB_CA!$B$58),ROUND(C233*COB_CA!$B$45,2),0)</f>
        <v/>
      </c>
      <c r="E233" s="14">
        <f>IF((A233&lt;=COB_CA!$B$58),IF(AND((A233&lt;=COB_CA!$B$58),ROUND(C233-ROUND(COB_CA!$B$59-D233,2),2)&lt;=0),C233,ROUND(COB_CA!$B$59-D233,2)),0)</f>
        <v/>
      </c>
      <c r="F233" s="14">
        <f>IF((A233&lt;=COB_CA!$B$58),IF(AND((A233&lt;=COB_CA!$B$58),ROUND(C233-ROUND(COB_CA!$B$59-D233,2),2)&lt;=0),ROUND(D233+E233,2),COB_CA!$B$59),0)</f>
        <v/>
      </c>
      <c r="G233" s="14">
        <f>IF((A233&lt;=COB_CA!$B$58),IF(AND((A233&lt;=COB_CA!$B$58),ROUND(C233-ROUND(COB_CA!$B$59-D233,2),2)&lt;=0),0,ROUND(C233-E233,2)),C233)</f>
        <v/>
      </c>
      <c r="H233" s="6">
        <f>AND(H232,C232&gt;0,(A233&lt;=COB_CA!$B$58))</f>
        <v/>
      </c>
    </row>
    <row r="234">
      <c r="A234" s="6" t="n">
        <v>230</v>
      </c>
      <c r="B234" s="17">
        <f>IF(COB_CA!$B$44=12,DATE(YEAR(COB_CA!$B$22)+INT((MONTH(COB_CA!$B$22)-1+229)/12),MOD(MONTH(COB_CA!$B$22)-1+229,12)+1,1)+(DAY(COB_CA!$B$22)-1),IF(COB_CA!$B$44=24,COB_CA!$B$22+ROUND((229*365.25)/24,0),IF(COB_CA!$B$44=26,COB_CA!$B$22+3206,COB_CA!$B$22+1603)))</f>
        <v/>
      </c>
      <c r="C234" s="14">
        <f>G233</f>
        <v/>
      </c>
      <c r="D234" s="14">
        <f>IF((A234&lt;=COB_CA!$B$58),ROUND(C234*COB_CA!$B$45,2),0)</f>
        <v/>
      </c>
      <c r="E234" s="14">
        <f>IF((A234&lt;=COB_CA!$B$58),IF(AND((A234&lt;=COB_CA!$B$58),ROUND(C234-ROUND(COB_CA!$B$59-D234,2),2)&lt;=0),C234,ROUND(COB_CA!$B$59-D234,2)),0)</f>
        <v/>
      </c>
      <c r="F234" s="14">
        <f>IF((A234&lt;=COB_CA!$B$58),IF(AND((A234&lt;=COB_CA!$B$58),ROUND(C234-ROUND(COB_CA!$B$59-D234,2),2)&lt;=0),ROUND(D234+E234,2),COB_CA!$B$59),0)</f>
        <v/>
      </c>
      <c r="G234" s="14">
        <f>IF((A234&lt;=COB_CA!$B$58),IF(AND((A234&lt;=COB_CA!$B$58),ROUND(C234-ROUND(COB_CA!$B$59-D234,2),2)&lt;=0),0,ROUND(C234-E234,2)),C234)</f>
        <v/>
      </c>
      <c r="H234" s="6">
        <f>AND(H233,C233&gt;0,(A234&lt;=COB_CA!$B$58))</f>
        <v/>
      </c>
    </row>
    <row r="235">
      <c r="A235" s="6" t="n">
        <v>231</v>
      </c>
      <c r="B235" s="17">
        <f>IF(COB_CA!$B$44=12,DATE(YEAR(COB_CA!$B$22)+INT((MONTH(COB_CA!$B$22)-1+230)/12),MOD(MONTH(COB_CA!$B$22)-1+230,12)+1,1)+(DAY(COB_CA!$B$22)-1),IF(COB_CA!$B$44=24,COB_CA!$B$22+ROUND((230*365.25)/24,0),IF(COB_CA!$B$44=26,COB_CA!$B$22+3220,COB_CA!$B$22+1610)))</f>
        <v/>
      </c>
      <c r="C235" s="14">
        <f>G234</f>
        <v/>
      </c>
      <c r="D235" s="14">
        <f>IF((A235&lt;=COB_CA!$B$58),ROUND(C235*COB_CA!$B$45,2),0)</f>
        <v/>
      </c>
      <c r="E235" s="14">
        <f>IF((A235&lt;=COB_CA!$B$58),IF(AND((A235&lt;=COB_CA!$B$58),ROUND(C235-ROUND(COB_CA!$B$59-D235,2),2)&lt;=0),C235,ROUND(COB_CA!$B$59-D235,2)),0)</f>
        <v/>
      </c>
      <c r="F235" s="14">
        <f>IF((A235&lt;=COB_CA!$B$58),IF(AND((A235&lt;=COB_CA!$B$58),ROUND(C235-ROUND(COB_CA!$B$59-D235,2),2)&lt;=0),ROUND(D235+E235,2),COB_CA!$B$59),0)</f>
        <v/>
      </c>
      <c r="G235" s="14">
        <f>IF((A235&lt;=COB_CA!$B$58),IF(AND((A235&lt;=COB_CA!$B$58),ROUND(C235-ROUND(COB_CA!$B$59-D235,2),2)&lt;=0),0,ROUND(C235-E235,2)),C235)</f>
        <v/>
      </c>
      <c r="H235" s="6">
        <f>AND(H234,C234&gt;0,(A235&lt;=COB_CA!$B$58))</f>
        <v/>
      </c>
    </row>
    <row r="236">
      <c r="A236" s="6" t="n">
        <v>232</v>
      </c>
      <c r="B236" s="17">
        <f>IF(COB_CA!$B$44=12,DATE(YEAR(COB_CA!$B$22)+INT((MONTH(COB_CA!$B$22)-1+231)/12),MOD(MONTH(COB_CA!$B$22)-1+231,12)+1,1)+(DAY(COB_CA!$B$22)-1),IF(COB_CA!$B$44=24,COB_CA!$B$22+ROUND((231*365.25)/24,0),IF(COB_CA!$B$44=26,COB_CA!$B$22+3234,COB_CA!$B$22+1617)))</f>
        <v/>
      </c>
      <c r="C236" s="14">
        <f>G235</f>
        <v/>
      </c>
      <c r="D236" s="14">
        <f>IF((A236&lt;=COB_CA!$B$58),ROUND(C236*COB_CA!$B$45,2),0)</f>
        <v/>
      </c>
      <c r="E236" s="14">
        <f>IF((A236&lt;=COB_CA!$B$58),IF(AND((A236&lt;=COB_CA!$B$58),ROUND(C236-ROUND(COB_CA!$B$59-D236,2),2)&lt;=0),C236,ROUND(COB_CA!$B$59-D236,2)),0)</f>
        <v/>
      </c>
      <c r="F236" s="14">
        <f>IF((A236&lt;=COB_CA!$B$58),IF(AND((A236&lt;=COB_CA!$B$58),ROUND(C236-ROUND(COB_CA!$B$59-D236,2),2)&lt;=0),ROUND(D236+E236,2),COB_CA!$B$59),0)</f>
        <v/>
      </c>
      <c r="G236" s="14">
        <f>IF((A236&lt;=COB_CA!$B$58),IF(AND((A236&lt;=COB_CA!$B$58),ROUND(C236-ROUND(COB_CA!$B$59-D236,2),2)&lt;=0),0,ROUND(C236-E236,2)),C236)</f>
        <v/>
      </c>
      <c r="H236" s="6">
        <f>AND(H235,C235&gt;0,(A236&lt;=COB_CA!$B$58))</f>
        <v/>
      </c>
    </row>
    <row r="237">
      <c r="A237" s="6" t="n">
        <v>233</v>
      </c>
      <c r="B237" s="17">
        <f>IF(COB_CA!$B$44=12,DATE(YEAR(COB_CA!$B$22)+INT((MONTH(COB_CA!$B$22)-1+232)/12),MOD(MONTH(COB_CA!$B$22)-1+232,12)+1,1)+(DAY(COB_CA!$B$22)-1),IF(COB_CA!$B$44=24,COB_CA!$B$22+ROUND((232*365.25)/24,0),IF(COB_CA!$B$44=26,COB_CA!$B$22+3248,COB_CA!$B$22+1624)))</f>
        <v/>
      </c>
      <c r="C237" s="14">
        <f>G236</f>
        <v/>
      </c>
      <c r="D237" s="14">
        <f>IF((A237&lt;=COB_CA!$B$58),ROUND(C237*COB_CA!$B$45,2),0)</f>
        <v/>
      </c>
      <c r="E237" s="14">
        <f>IF((A237&lt;=COB_CA!$B$58),IF(AND((A237&lt;=COB_CA!$B$58),ROUND(C237-ROUND(COB_CA!$B$59-D237,2),2)&lt;=0),C237,ROUND(COB_CA!$B$59-D237,2)),0)</f>
        <v/>
      </c>
      <c r="F237" s="14">
        <f>IF((A237&lt;=COB_CA!$B$58),IF(AND((A237&lt;=COB_CA!$B$58),ROUND(C237-ROUND(COB_CA!$B$59-D237,2),2)&lt;=0),ROUND(D237+E237,2),COB_CA!$B$59),0)</f>
        <v/>
      </c>
      <c r="G237" s="14">
        <f>IF((A237&lt;=COB_CA!$B$58),IF(AND((A237&lt;=COB_CA!$B$58),ROUND(C237-ROUND(COB_CA!$B$59-D237,2),2)&lt;=0),0,ROUND(C237-E237,2)),C237)</f>
        <v/>
      </c>
      <c r="H237" s="6">
        <f>AND(H236,C236&gt;0,(A237&lt;=COB_CA!$B$58))</f>
        <v/>
      </c>
    </row>
    <row r="238">
      <c r="A238" s="6" t="n">
        <v>234</v>
      </c>
      <c r="B238" s="17">
        <f>IF(COB_CA!$B$44=12,DATE(YEAR(COB_CA!$B$22)+INT((MONTH(COB_CA!$B$22)-1+233)/12),MOD(MONTH(COB_CA!$B$22)-1+233,12)+1,1)+(DAY(COB_CA!$B$22)-1),IF(COB_CA!$B$44=24,COB_CA!$B$22+ROUND((233*365.25)/24,0),IF(COB_CA!$B$44=26,COB_CA!$B$22+3262,COB_CA!$B$22+1631)))</f>
        <v/>
      </c>
      <c r="C238" s="14">
        <f>G237</f>
        <v/>
      </c>
      <c r="D238" s="14">
        <f>IF((A238&lt;=COB_CA!$B$58),ROUND(C238*COB_CA!$B$45,2),0)</f>
        <v/>
      </c>
      <c r="E238" s="14">
        <f>IF((A238&lt;=COB_CA!$B$58),IF(AND((A238&lt;=COB_CA!$B$58),ROUND(C238-ROUND(COB_CA!$B$59-D238,2),2)&lt;=0),C238,ROUND(COB_CA!$B$59-D238,2)),0)</f>
        <v/>
      </c>
      <c r="F238" s="14">
        <f>IF((A238&lt;=COB_CA!$B$58),IF(AND((A238&lt;=COB_CA!$B$58),ROUND(C238-ROUND(COB_CA!$B$59-D238,2),2)&lt;=0),ROUND(D238+E238,2),COB_CA!$B$59),0)</f>
        <v/>
      </c>
      <c r="G238" s="14">
        <f>IF((A238&lt;=COB_CA!$B$58),IF(AND((A238&lt;=COB_CA!$B$58),ROUND(C238-ROUND(COB_CA!$B$59-D238,2),2)&lt;=0),0,ROUND(C238-E238,2)),C238)</f>
        <v/>
      </c>
      <c r="H238" s="6">
        <f>AND(H237,C237&gt;0,(A238&lt;=COB_CA!$B$58))</f>
        <v/>
      </c>
    </row>
    <row r="239">
      <c r="A239" s="6" t="n">
        <v>235</v>
      </c>
      <c r="B239" s="17">
        <f>IF(COB_CA!$B$44=12,DATE(YEAR(COB_CA!$B$22)+INT((MONTH(COB_CA!$B$22)-1+234)/12),MOD(MONTH(COB_CA!$B$22)-1+234,12)+1,1)+(DAY(COB_CA!$B$22)-1),IF(COB_CA!$B$44=24,COB_CA!$B$22+ROUND((234*365.25)/24,0),IF(COB_CA!$B$44=26,COB_CA!$B$22+3276,COB_CA!$B$22+1638)))</f>
        <v/>
      </c>
      <c r="C239" s="14">
        <f>G238</f>
        <v/>
      </c>
      <c r="D239" s="14">
        <f>IF((A239&lt;=COB_CA!$B$58),ROUND(C239*COB_CA!$B$45,2),0)</f>
        <v/>
      </c>
      <c r="E239" s="14">
        <f>IF((A239&lt;=COB_CA!$B$58),IF(AND((A239&lt;=COB_CA!$B$58),ROUND(C239-ROUND(COB_CA!$B$59-D239,2),2)&lt;=0),C239,ROUND(COB_CA!$B$59-D239,2)),0)</f>
        <v/>
      </c>
      <c r="F239" s="14">
        <f>IF((A239&lt;=COB_CA!$B$58),IF(AND((A239&lt;=COB_CA!$B$58),ROUND(C239-ROUND(COB_CA!$B$59-D239,2),2)&lt;=0),ROUND(D239+E239,2),COB_CA!$B$59),0)</f>
        <v/>
      </c>
      <c r="G239" s="14">
        <f>IF((A239&lt;=COB_CA!$B$58),IF(AND((A239&lt;=COB_CA!$B$58),ROUND(C239-ROUND(COB_CA!$B$59-D239,2),2)&lt;=0),0,ROUND(C239-E239,2)),C239)</f>
        <v/>
      </c>
      <c r="H239" s="6">
        <f>AND(H238,C238&gt;0,(A239&lt;=COB_CA!$B$58))</f>
        <v/>
      </c>
    </row>
    <row r="240">
      <c r="A240" s="6" t="n">
        <v>236</v>
      </c>
      <c r="B240" s="17">
        <f>IF(COB_CA!$B$44=12,DATE(YEAR(COB_CA!$B$22)+INT((MONTH(COB_CA!$B$22)-1+235)/12),MOD(MONTH(COB_CA!$B$22)-1+235,12)+1,1)+(DAY(COB_CA!$B$22)-1),IF(COB_CA!$B$44=24,COB_CA!$B$22+ROUND((235*365.25)/24,0),IF(COB_CA!$B$44=26,COB_CA!$B$22+3290,COB_CA!$B$22+1645)))</f>
        <v/>
      </c>
      <c r="C240" s="14">
        <f>G239</f>
        <v/>
      </c>
      <c r="D240" s="14">
        <f>IF((A240&lt;=COB_CA!$B$58),ROUND(C240*COB_CA!$B$45,2),0)</f>
        <v/>
      </c>
      <c r="E240" s="14">
        <f>IF((A240&lt;=COB_CA!$B$58),IF(AND((A240&lt;=COB_CA!$B$58),ROUND(C240-ROUND(COB_CA!$B$59-D240,2),2)&lt;=0),C240,ROUND(COB_CA!$B$59-D240,2)),0)</f>
        <v/>
      </c>
      <c r="F240" s="14">
        <f>IF((A240&lt;=COB_CA!$B$58),IF(AND((A240&lt;=COB_CA!$B$58),ROUND(C240-ROUND(COB_CA!$B$59-D240,2),2)&lt;=0),ROUND(D240+E240,2),COB_CA!$B$59),0)</f>
        <v/>
      </c>
      <c r="G240" s="14">
        <f>IF((A240&lt;=COB_CA!$B$58),IF(AND((A240&lt;=COB_CA!$B$58),ROUND(C240-ROUND(COB_CA!$B$59-D240,2),2)&lt;=0),0,ROUND(C240-E240,2)),C240)</f>
        <v/>
      </c>
      <c r="H240" s="6">
        <f>AND(H239,C239&gt;0,(A240&lt;=COB_CA!$B$58))</f>
        <v/>
      </c>
    </row>
    <row r="241">
      <c r="A241" s="6" t="n">
        <v>237</v>
      </c>
      <c r="B241" s="17">
        <f>IF(COB_CA!$B$44=12,DATE(YEAR(COB_CA!$B$22)+INT((MONTH(COB_CA!$B$22)-1+236)/12),MOD(MONTH(COB_CA!$B$22)-1+236,12)+1,1)+(DAY(COB_CA!$B$22)-1),IF(COB_CA!$B$44=24,COB_CA!$B$22+ROUND((236*365.25)/24,0),IF(COB_CA!$B$44=26,COB_CA!$B$22+3304,COB_CA!$B$22+1652)))</f>
        <v/>
      </c>
      <c r="C241" s="14">
        <f>G240</f>
        <v/>
      </c>
      <c r="D241" s="14">
        <f>IF((A241&lt;=COB_CA!$B$58),ROUND(C241*COB_CA!$B$45,2),0)</f>
        <v/>
      </c>
      <c r="E241" s="14">
        <f>IF((A241&lt;=COB_CA!$B$58),IF(AND((A241&lt;=COB_CA!$B$58),ROUND(C241-ROUND(COB_CA!$B$59-D241,2),2)&lt;=0),C241,ROUND(COB_CA!$B$59-D241,2)),0)</f>
        <v/>
      </c>
      <c r="F241" s="14">
        <f>IF((A241&lt;=COB_CA!$B$58),IF(AND((A241&lt;=COB_CA!$B$58),ROUND(C241-ROUND(COB_CA!$B$59-D241,2),2)&lt;=0),ROUND(D241+E241,2),COB_CA!$B$59),0)</f>
        <v/>
      </c>
      <c r="G241" s="14">
        <f>IF((A241&lt;=COB_CA!$B$58),IF(AND((A241&lt;=COB_CA!$B$58),ROUND(C241-ROUND(COB_CA!$B$59-D241,2),2)&lt;=0),0,ROUND(C241-E241,2)),C241)</f>
        <v/>
      </c>
      <c r="H241" s="6">
        <f>AND(H240,C240&gt;0,(A241&lt;=COB_CA!$B$58))</f>
        <v/>
      </c>
    </row>
    <row r="242">
      <c r="A242" s="6" t="n">
        <v>238</v>
      </c>
      <c r="B242" s="17">
        <f>IF(COB_CA!$B$44=12,DATE(YEAR(COB_CA!$B$22)+INT((MONTH(COB_CA!$B$22)-1+237)/12),MOD(MONTH(COB_CA!$B$22)-1+237,12)+1,1)+(DAY(COB_CA!$B$22)-1),IF(COB_CA!$B$44=24,COB_CA!$B$22+ROUND((237*365.25)/24,0),IF(COB_CA!$B$44=26,COB_CA!$B$22+3318,COB_CA!$B$22+1659)))</f>
        <v/>
      </c>
      <c r="C242" s="14">
        <f>G241</f>
        <v/>
      </c>
      <c r="D242" s="14">
        <f>IF((A242&lt;=COB_CA!$B$58),ROUND(C242*COB_CA!$B$45,2),0)</f>
        <v/>
      </c>
      <c r="E242" s="14">
        <f>IF((A242&lt;=COB_CA!$B$58),IF(AND((A242&lt;=COB_CA!$B$58),ROUND(C242-ROUND(COB_CA!$B$59-D242,2),2)&lt;=0),C242,ROUND(COB_CA!$B$59-D242,2)),0)</f>
        <v/>
      </c>
      <c r="F242" s="14">
        <f>IF((A242&lt;=COB_CA!$B$58),IF(AND((A242&lt;=COB_CA!$B$58),ROUND(C242-ROUND(COB_CA!$B$59-D242,2),2)&lt;=0),ROUND(D242+E242,2),COB_CA!$B$59),0)</f>
        <v/>
      </c>
      <c r="G242" s="14">
        <f>IF((A242&lt;=COB_CA!$B$58),IF(AND((A242&lt;=COB_CA!$B$58),ROUND(C242-ROUND(COB_CA!$B$59-D242,2),2)&lt;=0),0,ROUND(C242-E242,2)),C242)</f>
        <v/>
      </c>
      <c r="H242" s="6">
        <f>AND(H241,C241&gt;0,(A242&lt;=COB_CA!$B$58))</f>
        <v/>
      </c>
    </row>
    <row r="243">
      <c r="A243" s="6" t="n">
        <v>239</v>
      </c>
      <c r="B243" s="17">
        <f>IF(COB_CA!$B$44=12,DATE(YEAR(COB_CA!$B$22)+INT((MONTH(COB_CA!$B$22)-1+238)/12),MOD(MONTH(COB_CA!$B$22)-1+238,12)+1,1)+(DAY(COB_CA!$B$22)-1),IF(COB_CA!$B$44=24,COB_CA!$B$22+ROUND((238*365.25)/24,0),IF(COB_CA!$B$44=26,COB_CA!$B$22+3332,COB_CA!$B$22+1666)))</f>
        <v/>
      </c>
      <c r="C243" s="14">
        <f>G242</f>
        <v/>
      </c>
      <c r="D243" s="14">
        <f>IF((A243&lt;=COB_CA!$B$58),ROUND(C243*COB_CA!$B$45,2),0)</f>
        <v/>
      </c>
      <c r="E243" s="14">
        <f>IF((A243&lt;=COB_CA!$B$58),IF(AND((A243&lt;=COB_CA!$B$58),ROUND(C243-ROUND(COB_CA!$B$59-D243,2),2)&lt;=0),C243,ROUND(COB_CA!$B$59-D243,2)),0)</f>
        <v/>
      </c>
      <c r="F243" s="14">
        <f>IF((A243&lt;=COB_CA!$B$58),IF(AND((A243&lt;=COB_CA!$B$58),ROUND(C243-ROUND(COB_CA!$B$59-D243,2),2)&lt;=0),ROUND(D243+E243,2),COB_CA!$B$59),0)</f>
        <v/>
      </c>
      <c r="G243" s="14">
        <f>IF((A243&lt;=COB_CA!$B$58),IF(AND((A243&lt;=COB_CA!$B$58),ROUND(C243-ROUND(COB_CA!$B$59-D243,2),2)&lt;=0),0,ROUND(C243-E243,2)),C243)</f>
        <v/>
      </c>
      <c r="H243" s="6">
        <f>AND(H242,C242&gt;0,(A243&lt;=COB_CA!$B$58))</f>
        <v/>
      </c>
    </row>
    <row r="244">
      <c r="A244" s="6" t="n">
        <v>240</v>
      </c>
      <c r="B244" s="17">
        <f>IF(COB_CA!$B$44=12,DATE(YEAR(COB_CA!$B$22)+INT((MONTH(COB_CA!$B$22)-1+239)/12),MOD(MONTH(COB_CA!$B$22)-1+239,12)+1,1)+(DAY(COB_CA!$B$22)-1),IF(COB_CA!$B$44=24,COB_CA!$B$22+ROUND((239*365.25)/24,0),IF(COB_CA!$B$44=26,COB_CA!$B$22+3346,COB_CA!$B$22+1673)))</f>
        <v/>
      </c>
      <c r="C244" s="14">
        <f>G243</f>
        <v/>
      </c>
      <c r="D244" s="14">
        <f>IF((A244&lt;=COB_CA!$B$58),ROUND(C244*COB_CA!$B$45,2),0)</f>
        <v/>
      </c>
      <c r="E244" s="14">
        <f>IF((A244&lt;=COB_CA!$B$58),IF(AND((A244&lt;=COB_CA!$B$58),ROUND(C244-ROUND(COB_CA!$B$59-D244,2),2)&lt;=0),C244,ROUND(COB_CA!$B$59-D244,2)),0)</f>
        <v/>
      </c>
      <c r="F244" s="14">
        <f>IF((A244&lt;=COB_CA!$B$58),IF(AND((A244&lt;=COB_CA!$B$58),ROUND(C244-ROUND(COB_CA!$B$59-D244,2),2)&lt;=0),ROUND(D244+E244,2),COB_CA!$B$59),0)</f>
        <v/>
      </c>
      <c r="G244" s="14">
        <f>IF((A244&lt;=COB_CA!$B$58),IF(AND((A244&lt;=COB_CA!$B$58),ROUND(C244-ROUND(COB_CA!$B$59-D244,2),2)&lt;=0),0,ROUND(C244-E244,2)),C244)</f>
        <v/>
      </c>
      <c r="H244" s="6">
        <f>AND(H243,C243&gt;0,(A244&lt;=COB_CA!$B$58))</f>
        <v/>
      </c>
    </row>
    <row r="245">
      <c r="A245" s="6" t="n">
        <v>241</v>
      </c>
      <c r="B245" s="17">
        <f>IF(COB_CA!$B$44=12,DATE(YEAR(COB_CA!$B$22)+INT((MONTH(COB_CA!$B$22)-1+240)/12),MOD(MONTH(COB_CA!$B$22)-1+240,12)+1,1)+(DAY(COB_CA!$B$22)-1),IF(COB_CA!$B$44=24,COB_CA!$B$22+ROUND((240*365.25)/24,0),IF(COB_CA!$B$44=26,COB_CA!$B$22+3360,COB_CA!$B$22+1680)))</f>
        <v/>
      </c>
      <c r="C245" s="14">
        <f>G244</f>
        <v/>
      </c>
      <c r="D245" s="14">
        <f>IF((A245&lt;=COB_CA!$B$58),ROUND(C245*COB_CA!$B$45,2),0)</f>
        <v/>
      </c>
      <c r="E245" s="14">
        <f>IF((A245&lt;=COB_CA!$B$58),IF(AND((A245&lt;=COB_CA!$B$58),ROUND(C245-ROUND(COB_CA!$B$59-D245,2),2)&lt;=0),C245,ROUND(COB_CA!$B$59-D245,2)),0)</f>
        <v/>
      </c>
      <c r="F245" s="14">
        <f>IF((A245&lt;=COB_CA!$B$58),IF(AND((A245&lt;=COB_CA!$B$58),ROUND(C245-ROUND(COB_CA!$B$59-D245,2),2)&lt;=0),ROUND(D245+E245,2),COB_CA!$B$59),0)</f>
        <v/>
      </c>
      <c r="G245" s="14">
        <f>IF((A245&lt;=COB_CA!$B$58),IF(AND((A245&lt;=COB_CA!$B$58),ROUND(C245-ROUND(COB_CA!$B$59-D245,2),2)&lt;=0),0,ROUND(C245-E245,2)),C245)</f>
        <v/>
      </c>
      <c r="H245" s="6">
        <f>AND(H244,C244&gt;0,(A245&lt;=COB_CA!$B$58))</f>
        <v/>
      </c>
    </row>
    <row r="246">
      <c r="A246" s="6" t="n">
        <v>242</v>
      </c>
      <c r="B246" s="17">
        <f>IF(COB_CA!$B$44=12,DATE(YEAR(COB_CA!$B$22)+INT((MONTH(COB_CA!$B$22)-1+241)/12),MOD(MONTH(COB_CA!$B$22)-1+241,12)+1,1)+(DAY(COB_CA!$B$22)-1),IF(COB_CA!$B$44=24,COB_CA!$B$22+ROUND((241*365.25)/24,0),IF(COB_CA!$B$44=26,COB_CA!$B$22+3374,COB_CA!$B$22+1687)))</f>
        <v/>
      </c>
      <c r="C246" s="14">
        <f>G245</f>
        <v/>
      </c>
      <c r="D246" s="14">
        <f>IF((A246&lt;=COB_CA!$B$58),ROUND(C246*COB_CA!$B$45,2),0)</f>
        <v/>
      </c>
      <c r="E246" s="14">
        <f>IF((A246&lt;=COB_CA!$B$58),IF(AND((A246&lt;=COB_CA!$B$58),ROUND(C246-ROUND(COB_CA!$B$59-D246,2),2)&lt;=0),C246,ROUND(COB_CA!$B$59-D246,2)),0)</f>
        <v/>
      </c>
      <c r="F246" s="14">
        <f>IF((A246&lt;=COB_CA!$B$58),IF(AND((A246&lt;=COB_CA!$B$58),ROUND(C246-ROUND(COB_CA!$B$59-D246,2),2)&lt;=0),ROUND(D246+E246,2),COB_CA!$B$59),0)</f>
        <v/>
      </c>
      <c r="G246" s="14">
        <f>IF((A246&lt;=COB_CA!$B$58),IF(AND((A246&lt;=COB_CA!$B$58),ROUND(C246-ROUND(COB_CA!$B$59-D246,2),2)&lt;=0),0,ROUND(C246-E246,2)),C246)</f>
        <v/>
      </c>
      <c r="H246" s="6">
        <f>AND(H245,C245&gt;0,(A246&lt;=COB_CA!$B$58))</f>
        <v/>
      </c>
    </row>
    <row r="247">
      <c r="A247" s="6" t="n">
        <v>243</v>
      </c>
      <c r="B247" s="17">
        <f>IF(COB_CA!$B$44=12,DATE(YEAR(COB_CA!$B$22)+INT((MONTH(COB_CA!$B$22)-1+242)/12),MOD(MONTH(COB_CA!$B$22)-1+242,12)+1,1)+(DAY(COB_CA!$B$22)-1),IF(COB_CA!$B$44=24,COB_CA!$B$22+ROUND((242*365.25)/24,0),IF(COB_CA!$B$44=26,COB_CA!$B$22+3388,COB_CA!$B$22+1694)))</f>
        <v/>
      </c>
      <c r="C247" s="14">
        <f>G246</f>
        <v/>
      </c>
      <c r="D247" s="14">
        <f>IF((A247&lt;=COB_CA!$B$58),ROUND(C247*COB_CA!$B$45,2),0)</f>
        <v/>
      </c>
      <c r="E247" s="14">
        <f>IF((A247&lt;=COB_CA!$B$58),IF(AND((A247&lt;=COB_CA!$B$58),ROUND(C247-ROUND(COB_CA!$B$59-D247,2),2)&lt;=0),C247,ROUND(COB_CA!$B$59-D247,2)),0)</f>
        <v/>
      </c>
      <c r="F247" s="14">
        <f>IF((A247&lt;=COB_CA!$B$58),IF(AND((A247&lt;=COB_CA!$B$58),ROUND(C247-ROUND(COB_CA!$B$59-D247,2),2)&lt;=0),ROUND(D247+E247,2),COB_CA!$B$59),0)</f>
        <v/>
      </c>
      <c r="G247" s="14">
        <f>IF((A247&lt;=COB_CA!$B$58),IF(AND((A247&lt;=COB_CA!$B$58),ROUND(C247-ROUND(COB_CA!$B$59-D247,2),2)&lt;=0),0,ROUND(C247-E247,2)),C247)</f>
        <v/>
      </c>
      <c r="H247" s="6">
        <f>AND(H246,C246&gt;0,(A247&lt;=COB_CA!$B$58))</f>
        <v/>
      </c>
    </row>
    <row r="248">
      <c r="A248" s="6" t="n">
        <v>244</v>
      </c>
      <c r="B248" s="17">
        <f>IF(COB_CA!$B$44=12,DATE(YEAR(COB_CA!$B$22)+INT((MONTH(COB_CA!$B$22)-1+243)/12),MOD(MONTH(COB_CA!$B$22)-1+243,12)+1,1)+(DAY(COB_CA!$B$22)-1),IF(COB_CA!$B$44=24,COB_CA!$B$22+ROUND((243*365.25)/24,0),IF(COB_CA!$B$44=26,COB_CA!$B$22+3402,COB_CA!$B$22+1701)))</f>
        <v/>
      </c>
      <c r="C248" s="14">
        <f>G247</f>
        <v/>
      </c>
      <c r="D248" s="14">
        <f>IF((A248&lt;=COB_CA!$B$58),ROUND(C248*COB_CA!$B$45,2),0)</f>
        <v/>
      </c>
      <c r="E248" s="14">
        <f>IF((A248&lt;=COB_CA!$B$58),IF(AND((A248&lt;=COB_CA!$B$58),ROUND(C248-ROUND(COB_CA!$B$59-D248,2),2)&lt;=0),C248,ROUND(COB_CA!$B$59-D248,2)),0)</f>
        <v/>
      </c>
      <c r="F248" s="14">
        <f>IF((A248&lt;=COB_CA!$B$58),IF(AND((A248&lt;=COB_CA!$B$58),ROUND(C248-ROUND(COB_CA!$B$59-D248,2),2)&lt;=0),ROUND(D248+E248,2),COB_CA!$B$59),0)</f>
        <v/>
      </c>
      <c r="G248" s="14">
        <f>IF((A248&lt;=COB_CA!$B$58),IF(AND((A248&lt;=COB_CA!$B$58),ROUND(C248-ROUND(COB_CA!$B$59-D248,2),2)&lt;=0),0,ROUND(C248-E248,2)),C248)</f>
        <v/>
      </c>
      <c r="H248" s="6">
        <f>AND(H247,C247&gt;0,(A248&lt;=COB_CA!$B$58))</f>
        <v/>
      </c>
    </row>
    <row r="249">
      <c r="A249" s="6" t="n">
        <v>245</v>
      </c>
      <c r="B249" s="17">
        <f>IF(COB_CA!$B$44=12,DATE(YEAR(COB_CA!$B$22)+INT((MONTH(COB_CA!$B$22)-1+244)/12),MOD(MONTH(COB_CA!$B$22)-1+244,12)+1,1)+(DAY(COB_CA!$B$22)-1),IF(COB_CA!$B$44=24,COB_CA!$B$22+ROUND((244*365.25)/24,0),IF(COB_CA!$B$44=26,COB_CA!$B$22+3416,COB_CA!$B$22+1708)))</f>
        <v/>
      </c>
      <c r="C249" s="14">
        <f>G248</f>
        <v/>
      </c>
      <c r="D249" s="14">
        <f>IF((A249&lt;=COB_CA!$B$58),ROUND(C249*COB_CA!$B$45,2),0)</f>
        <v/>
      </c>
      <c r="E249" s="14">
        <f>IF((A249&lt;=COB_CA!$B$58),IF(AND((A249&lt;=COB_CA!$B$58),ROUND(C249-ROUND(COB_CA!$B$59-D249,2),2)&lt;=0),C249,ROUND(COB_CA!$B$59-D249,2)),0)</f>
        <v/>
      </c>
      <c r="F249" s="14">
        <f>IF((A249&lt;=COB_CA!$B$58),IF(AND((A249&lt;=COB_CA!$B$58),ROUND(C249-ROUND(COB_CA!$B$59-D249,2),2)&lt;=0),ROUND(D249+E249,2),COB_CA!$B$59),0)</f>
        <v/>
      </c>
      <c r="G249" s="14">
        <f>IF((A249&lt;=COB_CA!$B$58),IF(AND((A249&lt;=COB_CA!$B$58),ROUND(C249-ROUND(COB_CA!$B$59-D249,2),2)&lt;=0),0,ROUND(C249-E249,2)),C249)</f>
        <v/>
      </c>
      <c r="H249" s="6">
        <f>AND(H248,C248&gt;0,(A249&lt;=COB_CA!$B$58))</f>
        <v/>
      </c>
    </row>
    <row r="250">
      <c r="A250" s="6" t="n">
        <v>246</v>
      </c>
      <c r="B250" s="17">
        <f>IF(COB_CA!$B$44=12,DATE(YEAR(COB_CA!$B$22)+INT((MONTH(COB_CA!$B$22)-1+245)/12),MOD(MONTH(COB_CA!$B$22)-1+245,12)+1,1)+(DAY(COB_CA!$B$22)-1),IF(COB_CA!$B$44=24,COB_CA!$B$22+ROUND((245*365.25)/24,0),IF(COB_CA!$B$44=26,COB_CA!$B$22+3430,COB_CA!$B$22+1715)))</f>
        <v/>
      </c>
      <c r="C250" s="14">
        <f>G249</f>
        <v/>
      </c>
      <c r="D250" s="14">
        <f>IF((A250&lt;=COB_CA!$B$58),ROUND(C250*COB_CA!$B$45,2),0)</f>
        <v/>
      </c>
      <c r="E250" s="14">
        <f>IF((A250&lt;=COB_CA!$B$58),IF(AND((A250&lt;=COB_CA!$B$58),ROUND(C250-ROUND(COB_CA!$B$59-D250,2),2)&lt;=0),C250,ROUND(COB_CA!$B$59-D250,2)),0)</f>
        <v/>
      </c>
      <c r="F250" s="14">
        <f>IF((A250&lt;=COB_CA!$B$58),IF(AND((A250&lt;=COB_CA!$B$58),ROUND(C250-ROUND(COB_CA!$B$59-D250,2),2)&lt;=0),ROUND(D250+E250,2),COB_CA!$B$59),0)</f>
        <v/>
      </c>
      <c r="G250" s="14">
        <f>IF((A250&lt;=COB_CA!$B$58),IF(AND((A250&lt;=COB_CA!$B$58),ROUND(C250-ROUND(COB_CA!$B$59-D250,2),2)&lt;=0),0,ROUND(C250-E250,2)),C250)</f>
        <v/>
      </c>
      <c r="H250" s="6">
        <f>AND(H249,C249&gt;0,(A250&lt;=COB_CA!$B$58))</f>
        <v/>
      </c>
    </row>
    <row r="251">
      <c r="A251" s="6" t="n">
        <v>247</v>
      </c>
      <c r="B251" s="17">
        <f>IF(COB_CA!$B$44=12,DATE(YEAR(COB_CA!$B$22)+INT((MONTH(COB_CA!$B$22)-1+246)/12),MOD(MONTH(COB_CA!$B$22)-1+246,12)+1,1)+(DAY(COB_CA!$B$22)-1),IF(COB_CA!$B$44=24,COB_CA!$B$22+ROUND((246*365.25)/24,0),IF(COB_CA!$B$44=26,COB_CA!$B$22+3444,COB_CA!$B$22+1722)))</f>
        <v/>
      </c>
      <c r="C251" s="14">
        <f>G250</f>
        <v/>
      </c>
      <c r="D251" s="14">
        <f>IF((A251&lt;=COB_CA!$B$58),ROUND(C251*COB_CA!$B$45,2),0)</f>
        <v/>
      </c>
      <c r="E251" s="14">
        <f>IF((A251&lt;=COB_CA!$B$58),IF(AND((A251&lt;=COB_CA!$B$58),ROUND(C251-ROUND(COB_CA!$B$59-D251,2),2)&lt;=0),C251,ROUND(COB_CA!$B$59-D251,2)),0)</f>
        <v/>
      </c>
      <c r="F251" s="14">
        <f>IF((A251&lt;=COB_CA!$B$58),IF(AND((A251&lt;=COB_CA!$B$58),ROUND(C251-ROUND(COB_CA!$B$59-D251,2),2)&lt;=0),ROUND(D251+E251,2),COB_CA!$B$59),0)</f>
        <v/>
      </c>
      <c r="G251" s="14">
        <f>IF((A251&lt;=COB_CA!$B$58),IF(AND((A251&lt;=COB_CA!$B$58),ROUND(C251-ROUND(COB_CA!$B$59-D251,2),2)&lt;=0),0,ROUND(C251-E251,2)),C251)</f>
        <v/>
      </c>
      <c r="H251" s="6">
        <f>AND(H250,C250&gt;0,(A251&lt;=COB_CA!$B$58))</f>
        <v/>
      </c>
    </row>
    <row r="252">
      <c r="A252" s="6" t="n">
        <v>248</v>
      </c>
      <c r="B252" s="17">
        <f>IF(COB_CA!$B$44=12,DATE(YEAR(COB_CA!$B$22)+INT((MONTH(COB_CA!$B$22)-1+247)/12),MOD(MONTH(COB_CA!$B$22)-1+247,12)+1,1)+(DAY(COB_CA!$B$22)-1),IF(COB_CA!$B$44=24,COB_CA!$B$22+ROUND((247*365.25)/24,0),IF(COB_CA!$B$44=26,COB_CA!$B$22+3458,COB_CA!$B$22+1729)))</f>
        <v/>
      </c>
      <c r="C252" s="14">
        <f>G251</f>
        <v/>
      </c>
      <c r="D252" s="14">
        <f>IF((A252&lt;=COB_CA!$B$58),ROUND(C252*COB_CA!$B$45,2),0)</f>
        <v/>
      </c>
      <c r="E252" s="14">
        <f>IF((A252&lt;=COB_CA!$B$58),IF(AND((A252&lt;=COB_CA!$B$58),ROUND(C252-ROUND(COB_CA!$B$59-D252,2),2)&lt;=0),C252,ROUND(COB_CA!$B$59-D252,2)),0)</f>
        <v/>
      </c>
      <c r="F252" s="14">
        <f>IF((A252&lt;=COB_CA!$B$58),IF(AND((A252&lt;=COB_CA!$B$58),ROUND(C252-ROUND(COB_CA!$B$59-D252,2),2)&lt;=0),ROUND(D252+E252,2),COB_CA!$B$59),0)</f>
        <v/>
      </c>
      <c r="G252" s="14">
        <f>IF((A252&lt;=COB_CA!$B$58),IF(AND((A252&lt;=COB_CA!$B$58),ROUND(C252-ROUND(COB_CA!$B$59-D252,2),2)&lt;=0),0,ROUND(C252-E252,2)),C252)</f>
        <v/>
      </c>
      <c r="H252" s="6">
        <f>AND(H251,C251&gt;0,(A252&lt;=COB_CA!$B$58))</f>
        <v/>
      </c>
    </row>
    <row r="253">
      <c r="A253" s="6" t="n">
        <v>249</v>
      </c>
      <c r="B253" s="17">
        <f>IF(COB_CA!$B$44=12,DATE(YEAR(COB_CA!$B$22)+INT((MONTH(COB_CA!$B$22)-1+248)/12),MOD(MONTH(COB_CA!$B$22)-1+248,12)+1,1)+(DAY(COB_CA!$B$22)-1),IF(COB_CA!$B$44=24,COB_CA!$B$22+ROUND((248*365.25)/24,0),IF(COB_CA!$B$44=26,COB_CA!$B$22+3472,COB_CA!$B$22+1736)))</f>
        <v/>
      </c>
      <c r="C253" s="14">
        <f>G252</f>
        <v/>
      </c>
      <c r="D253" s="14">
        <f>IF((A253&lt;=COB_CA!$B$58),ROUND(C253*COB_CA!$B$45,2),0)</f>
        <v/>
      </c>
      <c r="E253" s="14">
        <f>IF((A253&lt;=COB_CA!$B$58),IF(AND((A253&lt;=COB_CA!$B$58),ROUND(C253-ROUND(COB_CA!$B$59-D253,2),2)&lt;=0),C253,ROUND(COB_CA!$B$59-D253,2)),0)</f>
        <v/>
      </c>
      <c r="F253" s="14">
        <f>IF((A253&lt;=COB_CA!$B$58),IF(AND((A253&lt;=COB_CA!$B$58),ROUND(C253-ROUND(COB_CA!$B$59-D253,2),2)&lt;=0),ROUND(D253+E253,2),COB_CA!$B$59),0)</f>
        <v/>
      </c>
      <c r="G253" s="14">
        <f>IF((A253&lt;=COB_CA!$B$58),IF(AND((A253&lt;=COB_CA!$B$58),ROUND(C253-ROUND(COB_CA!$B$59-D253,2),2)&lt;=0),0,ROUND(C253-E253,2)),C253)</f>
        <v/>
      </c>
      <c r="H253" s="6">
        <f>AND(H252,C252&gt;0,(A253&lt;=COB_CA!$B$58))</f>
        <v/>
      </c>
    </row>
    <row r="254">
      <c r="A254" s="6" t="n">
        <v>250</v>
      </c>
      <c r="B254" s="17">
        <f>IF(COB_CA!$B$44=12,DATE(YEAR(COB_CA!$B$22)+INT((MONTH(COB_CA!$B$22)-1+249)/12),MOD(MONTH(COB_CA!$B$22)-1+249,12)+1,1)+(DAY(COB_CA!$B$22)-1),IF(COB_CA!$B$44=24,COB_CA!$B$22+ROUND((249*365.25)/24,0),IF(COB_CA!$B$44=26,COB_CA!$B$22+3486,COB_CA!$B$22+1743)))</f>
        <v/>
      </c>
      <c r="C254" s="14">
        <f>G253</f>
        <v/>
      </c>
      <c r="D254" s="14">
        <f>IF((A254&lt;=COB_CA!$B$58),ROUND(C254*COB_CA!$B$45,2),0)</f>
        <v/>
      </c>
      <c r="E254" s="14">
        <f>IF((A254&lt;=COB_CA!$B$58),IF(AND((A254&lt;=COB_CA!$B$58),ROUND(C254-ROUND(COB_CA!$B$59-D254,2),2)&lt;=0),C254,ROUND(COB_CA!$B$59-D254,2)),0)</f>
        <v/>
      </c>
      <c r="F254" s="14">
        <f>IF((A254&lt;=COB_CA!$B$58),IF(AND((A254&lt;=COB_CA!$B$58),ROUND(C254-ROUND(COB_CA!$B$59-D254,2),2)&lt;=0),ROUND(D254+E254,2),COB_CA!$B$59),0)</f>
        <v/>
      </c>
      <c r="G254" s="14">
        <f>IF((A254&lt;=COB_CA!$B$58),IF(AND((A254&lt;=COB_CA!$B$58),ROUND(C254-ROUND(COB_CA!$B$59-D254,2),2)&lt;=0),0,ROUND(C254-E254,2)),C254)</f>
        <v/>
      </c>
      <c r="H254" s="6">
        <f>AND(H253,C253&gt;0,(A254&lt;=COB_CA!$B$58))</f>
        <v/>
      </c>
    </row>
    <row r="255">
      <c r="A255" s="6" t="n">
        <v>251</v>
      </c>
      <c r="B255" s="17">
        <f>IF(COB_CA!$B$44=12,DATE(YEAR(COB_CA!$B$22)+INT((MONTH(COB_CA!$B$22)-1+250)/12),MOD(MONTH(COB_CA!$B$22)-1+250,12)+1,1)+(DAY(COB_CA!$B$22)-1),IF(COB_CA!$B$44=24,COB_CA!$B$22+ROUND((250*365.25)/24,0),IF(COB_CA!$B$44=26,COB_CA!$B$22+3500,COB_CA!$B$22+1750)))</f>
        <v/>
      </c>
      <c r="C255" s="14">
        <f>G254</f>
        <v/>
      </c>
      <c r="D255" s="14">
        <f>IF((A255&lt;=COB_CA!$B$58),ROUND(C255*COB_CA!$B$45,2),0)</f>
        <v/>
      </c>
      <c r="E255" s="14">
        <f>IF((A255&lt;=COB_CA!$B$58),IF(AND((A255&lt;=COB_CA!$B$58),ROUND(C255-ROUND(COB_CA!$B$59-D255,2),2)&lt;=0),C255,ROUND(COB_CA!$B$59-D255,2)),0)</f>
        <v/>
      </c>
      <c r="F255" s="14">
        <f>IF((A255&lt;=COB_CA!$B$58),IF(AND((A255&lt;=COB_CA!$B$58),ROUND(C255-ROUND(COB_CA!$B$59-D255,2),2)&lt;=0),ROUND(D255+E255,2),COB_CA!$B$59),0)</f>
        <v/>
      </c>
      <c r="G255" s="14">
        <f>IF((A255&lt;=COB_CA!$B$58),IF(AND((A255&lt;=COB_CA!$B$58),ROUND(C255-ROUND(COB_CA!$B$59-D255,2),2)&lt;=0),0,ROUND(C255-E255,2)),C255)</f>
        <v/>
      </c>
      <c r="H255" s="6">
        <f>AND(H254,C254&gt;0,(A255&lt;=COB_CA!$B$58))</f>
        <v/>
      </c>
    </row>
    <row r="256">
      <c r="A256" s="6" t="n">
        <v>252</v>
      </c>
      <c r="B256" s="17">
        <f>IF(COB_CA!$B$44=12,DATE(YEAR(COB_CA!$B$22)+INT((MONTH(COB_CA!$B$22)-1+251)/12),MOD(MONTH(COB_CA!$B$22)-1+251,12)+1,1)+(DAY(COB_CA!$B$22)-1),IF(COB_CA!$B$44=24,COB_CA!$B$22+ROUND((251*365.25)/24,0),IF(COB_CA!$B$44=26,COB_CA!$B$22+3514,COB_CA!$B$22+1757)))</f>
        <v/>
      </c>
      <c r="C256" s="14">
        <f>G255</f>
        <v/>
      </c>
      <c r="D256" s="14">
        <f>IF((A256&lt;=COB_CA!$B$58),ROUND(C256*COB_CA!$B$45,2),0)</f>
        <v/>
      </c>
      <c r="E256" s="14">
        <f>IF((A256&lt;=COB_CA!$B$58),IF(AND((A256&lt;=COB_CA!$B$58),ROUND(C256-ROUND(COB_CA!$B$59-D256,2),2)&lt;=0),C256,ROUND(COB_CA!$B$59-D256,2)),0)</f>
        <v/>
      </c>
      <c r="F256" s="14">
        <f>IF((A256&lt;=COB_CA!$B$58),IF(AND((A256&lt;=COB_CA!$B$58),ROUND(C256-ROUND(COB_CA!$B$59-D256,2),2)&lt;=0),ROUND(D256+E256,2),COB_CA!$B$59),0)</f>
        <v/>
      </c>
      <c r="G256" s="14">
        <f>IF((A256&lt;=COB_CA!$B$58),IF(AND((A256&lt;=COB_CA!$B$58),ROUND(C256-ROUND(COB_CA!$B$59-D256,2),2)&lt;=0),0,ROUND(C256-E256,2)),C256)</f>
        <v/>
      </c>
      <c r="H256" s="6">
        <f>AND(H255,C255&gt;0,(A256&lt;=COB_CA!$B$58))</f>
        <v/>
      </c>
    </row>
    <row r="257">
      <c r="A257" s="6" t="n">
        <v>253</v>
      </c>
      <c r="B257" s="17">
        <f>IF(COB_CA!$B$44=12,DATE(YEAR(COB_CA!$B$22)+INT((MONTH(COB_CA!$B$22)-1+252)/12),MOD(MONTH(COB_CA!$B$22)-1+252,12)+1,1)+(DAY(COB_CA!$B$22)-1),IF(COB_CA!$B$44=24,COB_CA!$B$22+ROUND((252*365.25)/24,0),IF(COB_CA!$B$44=26,COB_CA!$B$22+3528,COB_CA!$B$22+1764)))</f>
        <v/>
      </c>
      <c r="C257" s="14">
        <f>G256</f>
        <v/>
      </c>
      <c r="D257" s="14">
        <f>IF((A257&lt;=COB_CA!$B$58),ROUND(C257*COB_CA!$B$45,2),0)</f>
        <v/>
      </c>
      <c r="E257" s="14">
        <f>IF((A257&lt;=COB_CA!$B$58),IF(AND((A257&lt;=COB_CA!$B$58),ROUND(C257-ROUND(COB_CA!$B$59-D257,2),2)&lt;=0),C257,ROUND(COB_CA!$B$59-D257,2)),0)</f>
        <v/>
      </c>
      <c r="F257" s="14">
        <f>IF((A257&lt;=COB_CA!$B$58),IF(AND((A257&lt;=COB_CA!$B$58),ROUND(C257-ROUND(COB_CA!$B$59-D257,2),2)&lt;=0),ROUND(D257+E257,2),COB_CA!$B$59),0)</f>
        <v/>
      </c>
      <c r="G257" s="14">
        <f>IF((A257&lt;=COB_CA!$B$58),IF(AND((A257&lt;=COB_CA!$B$58),ROUND(C257-ROUND(COB_CA!$B$59-D257,2),2)&lt;=0),0,ROUND(C257-E257,2)),C257)</f>
        <v/>
      </c>
      <c r="H257" s="6">
        <f>AND(H256,C256&gt;0,(A257&lt;=COB_CA!$B$58))</f>
        <v/>
      </c>
    </row>
    <row r="258">
      <c r="A258" s="6" t="n">
        <v>254</v>
      </c>
      <c r="B258" s="17">
        <f>IF(COB_CA!$B$44=12,DATE(YEAR(COB_CA!$B$22)+INT((MONTH(COB_CA!$B$22)-1+253)/12),MOD(MONTH(COB_CA!$B$22)-1+253,12)+1,1)+(DAY(COB_CA!$B$22)-1),IF(COB_CA!$B$44=24,COB_CA!$B$22+ROUND((253*365.25)/24,0),IF(COB_CA!$B$44=26,COB_CA!$B$22+3542,COB_CA!$B$22+1771)))</f>
        <v/>
      </c>
      <c r="C258" s="14">
        <f>G257</f>
        <v/>
      </c>
      <c r="D258" s="14">
        <f>IF((A258&lt;=COB_CA!$B$58),ROUND(C258*COB_CA!$B$45,2),0)</f>
        <v/>
      </c>
      <c r="E258" s="14">
        <f>IF((A258&lt;=COB_CA!$B$58),IF(AND((A258&lt;=COB_CA!$B$58),ROUND(C258-ROUND(COB_CA!$B$59-D258,2),2)&lt;=0),C258,ROUND(COB_CA!$B$59-D258,2)),0)</f>
        <v/>
      </c>
      <c r="F258" s="14">
        <f>IF((A258&lt;=COB_CA!$B$58),IF(AND((A258&lt;=COB_CA!$B$58),ROUND(C258-ROUND(COB_CA!$B$59-D258,2),2)&lt;=0),ROUND(D258+E258,2),COB_CA!$B$59),0)</f>
        <v/>
      </c>
      <c r="G258" s="14">
        <f>IF((A258&lt;=COB_CA!$B$58),IF(AND((A258&lt;=COB_CA!$B$58),ROUND(C258-ROUND(COB_CA!$B$59-D258,2),2)&lt;=0),0,ROUND(C258-E258,2)),C258)</f>
        <v/>
      </c>
      <c r="H258" s="6">
        <f>AND(H257,C257&gt;0,(A258&lt;=COB_CA!$B$58))</f>
        <v/>
      </c>
    </row>
    <row r="259">
      <c r="A259" s="6" t="n">
        <v>255</v>
      </c>
      <c r="B259" s="17">
        <f>IF(COB_CA!$B$44=12,DATE(YEAR(COB_CA!$B$22)+INT((MONTH(COB_CA!$B$22)-1+254)/12),MOD(MONTH(COB_CA!$B$22)-1+254,12)+1,1)+(DAY(COB_CA!$B$22)-1),IF(COB_CA!$B$44=24,COB_CA!$B$22+ROUND((254*365.25)/24,0),IF(COB_CA!$B$44=26,COB_CA!$B$22+3556,COB_CA!$B$22+1778)))</f>
        <v/>
      </c>
      <c r="C259" s="14">
        <f>G258</f>
        <v/>
      </c>
      <c r="D259" s="14">
        <f>IF((A259&lt;=COB_CA!$B$58),ROUND(C259*COB_CA!$B$45,2),0)</f>
        <v/>
      </c>
      <c r="E259" s="14">
        <f>IF((A259&lt;=COB_CA!$B$58),IF(AND((A259&lt;=COB_CA!$B$58),ROUND(C259-ROUND(COB_CA!$B$59-D259,2),2)&lt;=0),C259,ROUND(COB_CA!$B$59-D259,2)),0)</f>
        <v/>
      </c>
      <c r="F259" s="14">
        <f>IF((A259&lt;=COB_CA!$B$58),IF(AND((A259&lt;=COB_CA!$B$58),ROUND(C259-ROUND(COB_CA!$B$59-D259,2),2)&lt;=0),ROUND(D259+E259,2),COB_CA!$B$59),0)</f>
        <v/>
      </c>
      <c r="G259" s="14">
        <f>IF((A259&lt;=COB_CA!$B$58),IF(AND((A259&lt;=COB_CA!$B$58),ROUND(C259-ROUND(COB_CA!$B$59-D259,2),2)&lt;=0),0,ROUND(C259-E259,2)),C259)</f>
        <v/>
      </c>
      <c r="H259" s="6">
        <f>AND(H258,C258&gt;0,(A259&lt;=COB_CA!$B$58))</f>
        <v/>
      </c>
    </row>
    <row r="260">
      <c r="A260" s="6" t="n">
        <v>256</v>
      </c>
      <c r="B260" s="17">
        <f>IF(COB_CA!$B$44=12,DATE(YEAR(COB_CA!$B$22)+INT((MONTH(COB_CA!$B$22)-1+255)/12),MOD(MONTH(COB_CA!$B$22)-1+255,12)+1,1)+(DAY(COB_CA!$B$22)-1),IF(COB_CA!$B$44=24,COB_CA!$B$22+ROUND((255*365.25)/24,0),IF(COB_CA!$B$44=26,COB_CA!$B$22+3570,COB_CA!$B$22+1785)))</f>
        <v/>
      </c>
      <c r="C260" s="14">
        <f>G259</f>
        <v/>
      </c>
      <c r="D260" s="14">
        <f>IF((A260&lt;=COB_CA!$B$58),ROUND(C260*COB_CA!$B$45,2),0)</f>
        <v/>
      </c>
      <c r="E260" s="14">
        <f>IF((A260&lt;=COB_CA!$B$58),IF(AND((A260&lt;=COB_CA!$B$58),ROUND(C260-ROUND(COB_CA!$B$59-D260,2),2)&lt;=0),C260,ROUND(COB_CA!$B$59-D260,2)),0)</f>
        <v/>
      </c>
      <c r="F260" s="14">
        <f>IF((A260&lt;=COB_CA!$B$58),IF(AND((A260&lt;=COB_CA!$B$58),ROUND(C260-ROUND(COB_CA!$B$59-D260,2),2)&lt;=0),ROUND(D260+E260,2),COB_CA!$B$59),0)</f>
        <v/>
      </c>
      <c r="G260" s="14">
        <f>IF((A260&lt;=COB_CA!$B$58),IF(AND((A260&lt;=COB_CA!$B$58),ROUND(C260-ROUND(COB_CA!$B$59-D260,2),2)&lt;=0),0,ROUND(C260-E260,2)),C260)</f>
        <v/>
      </c>
      <c r="H260" s="6">
        <f>AND(H259,C259&gt;0,(A260&lt;=COB_CA!$B$58))</f>
        <v/>
      </c>
    </row>
    <row r="261">
      <c r="A261" s="6" t="n">
        <v>257</v>
      </c>
      <c r="B261" s="17">
        <f>IF(COB_CA!$B$44=12,DATE(YEAR(COB_CA!$B$22)+INT((MONTH(COB_CA!$B$22)-1+256)/12),MOD(MONTH(COB_CA!$B$22)-1+256,12)+1,1)+(DAY(COB_CA!$B$22)-1),IF(COB_CA!$B$44=24,COB_CA!$B$22+ROUND((256*365.25)/24,0),IF(COB_CA!$B$44=26,COB_CA!$B$22+3584,COB_CA!$B$22+1792)))</f>
        <v/>
      </c>
      <c r="C261" s="14">
        <f>G260</f>
        <v/>
      </c>
      <c r="D261" s="14">
        <f>IF((A261&lt;=COB_CA!$B$58),ROUND(C261*COB_CA!$B$45,2),0)</f>
        <v/>
      </c>
      <c r="E261" s="14">
        <f>IF((A261&lt;=COB_CA!$B$58),IF(AND((A261&lt;=COB_CA!$B$58),ROUND(C261-ROUND(COB_CA!$B$59-D261,2),2)&lt;=0),C261,ROUND(COB_CA!$B$59-D261,2)),0)</f>
        <v/>
      </c>
      <c r="F261" s="14">
        <f>IF((A261&lt;=COB_CA!$B$58),IF(AND((A261&lt;=COB_CA!$B$58),ROUND(C261-ROUND(COB_CA!$B$59-D261,2),2)&lt;=0),ROUND(D261+E261,2),COB_CA!$B$59),0)</f>
        <v/>
      </c>
      <c r="G261" s="14">
        <f>IF((A261&lt;=COB_CA!$B$58),IF(AND((A261&lt;=COB_CA!$B$58),ROUND(C261-ROUND(COB_CA!$B$59-D261,2),2)&lt;=0),0,ROUND(C261-E261,2)),C261)</f>
        <v/>
      </c>
      <c r="H261" s="6">
        <f>AND(H260,C260&gt;0,(A261&lt;=COB_CA!$B$58))</f>
        <v/>
      </c>
    </row>
    <row r="262">
      <c r="A262" s="6" t="n">
        <v>258</v>
      </c>
      <c r="B262" s="17">
        <f>IF(COB_CA!$B$44=12,DATE(YEAR(COB_CA!$B$22)+INT((MONTH(COB_CA!$B$22)-1+257)/12),MOD(MONTH(COB_CA!$B$22)-1+257,12)+1,1)+(DAY(COB_CA!$B$22)-1),IF(COB_CA!$B$44=24,COB_CA!$B$22+ROUND((257*365.25)/24,0),IF(COB_CA!$B$44=26,COB_CA!$B$22+3598,COB_CA!$B$22+1799)))</f>
        <v/>
      </c>
      <c r="C262" s="14">
        <f>G261</f>
        <v/>
      </c>
      <c r="D262" s="14">
        <f>IF((A262&lt;=COB_CA!$B$58),ROUND(C262*COB_CA!$B$45,2),0)</f>
        <v/>
      </c>
      <c r="E262" s="14">
        <f>IF((A262&lt;=COB_CA!$B$58),IF(AND((A262&lt;=COB_CA!$B$58),ROUND(C262-ROUND(COB_CA!$B$59-D262,2),2)&lt;=0),C262,ROUND(COB_CA!$B$59-D262,2)),0)</f>
        <v/>
      </c>
      <c r="F262" s="14">
        <f>IF((A262&lt;=COB_CA!$B$58),IF(AND((A262&lt;=COB_CA!$B$58),ROUND(C262-ROUND(COB_CA!$B$59-D262,2),2)&lt;=0),ROUND(D262+E262,2),COB_CA!$B$59),0)</f>
        <v/>
      </c>
      <c r="G262" s="14">
        <f>IF((A262&lt;=COB_CA!$B$58),IF(AND((A262&lt;=COB_CA!$B$58),ROUND(C262-ROUND(COB_CA!$B$59-D262,2),2)&lt;=0),0,ROUND(C262-E262,2)),C262)</f>
        <v/>
      </c>
      <c r="H262" s="6">
        <f>AND(H261,C261&gt;0,(A262&lt;=COB_CA!$B$58))</f>
        <v/>
      </c>
    </row>
    <row r="263">
      <c r="A263" s="6" t="n">
        <v>259</v>
      </c>
      <c r="B263" s="17">
        <f>IF(COB_CA!$B$44=12,DATE(YEAR(COB_CA!$B$22)+INT((MONTH(COB_CA!$B$22)-1+258)/12),MOD(MONTH(COB_CA!$B$22)-1+258,12)+1,1)+(DAY(COB_CA!$B$22)-1),IF(COB_CA!$B$44=24,COB_CA!$B$22+ROUND((258*365.25)/24,0),IF(COB_CA!$B$44=26,COB_CA!$B$22+3612,COB_CA!$B$22+1806)))</f>
        <v/>
      </c>
      <c r="C263" s="14">
        <f>G262</f>
        <v/>
      </c>
      <c r="D263" s="14">
        <f>IF((A263&lt;=COB_CA!$B$58),ROUND(C263*COB_CA!$B$45,2),0)</f>
        <v/>
      </c>
      <c r="E263" s="14">
        <f>IF((A263&lt;=COB_CA!$B$58),IF(AND((A263&lt;=COB_CA!$B$58),ROUND(C263-ROUND(COB_CA!$B$59-D263,2),2)&lt;=0),C263,ROUND(COB_CA!$B$59-D263,2)),0)</f>
        <v/>
      </c>
      <c r="F263" s="14">
        <f>IF((A263&lt;=COB_CA!$B$58),IF(AND((A263&lt;=COB_CA!$B$58),ROUND(C263-ROUND(COB_CA!$B$59-D263,2),2)&lt;=0),ROUND(D263+E263,2),COB_CA!$B$59),0)</f>
        <v/>
      </c>
      <c r="G263" s="14">
        <f>IF((A263&lt;=COB_CA!$B$58),IF(AND((A263&lt;=COB_CA!$B$58),ROUND(C263-ROUND(COB_CA!$B$59-D263,2),2)&lt;=0),0,ROUND(C263-E263,2)),C263)</f>
        <v/>
      </c>
      <c r="H263" s="6">
        <f>AND(H262,C262&gt;0,(A263&lt;=COB_CA!$B$58))</f>
        <v/>
      </c>
    </row>
    <row r="264">
      <c r="A264" s="6" t="n">
        <v>260</v>
      </c>
      <c r="B264" s="17">
        <f>IF(COB_CA!$B$44=12,DATE(YEAR(COB_CA!$B$22)+INT((MONTH(COB_CA!$B$22)-1+259)/12),MOD(MONTH(COB_CA!$B$22)-1+259,12)+1,1)+(DAY(COB_CA!$B$22)-1),IF(COB_CA!$B$44=24,COB_CA!$B$22+ROUND((259*365.25)/24,0),IF(COB_CA!$B$44=26,COB_CA!$B$22+3626,COB_CA!$B$22+1813)))</f>
        <v/>
      </c>
      <c r="C264" s="14">
        <f>G263</f>
        <v/>
      </c>
      <c r="D264" s="14">
        <f>IF((A264&lt;=COB_CA!$B$58),ROUND(C264*COB_CA!$B$45,2),0)</f>
        <v/>
      </c>
      <c r="E264" s="14">
        <f>IF((A264&lt;=COB_CA!$B$58),IF(AND((A264&lt;=COB_CA!$B$58),ROUND(C264-ROUND(COB_CA!$B$59-D264,2),2)&lt;=0),C264,ROUND(COB_CA!$B$59-D264,2)),0)</f>
        <v/>
      </c>
      <c r="F264" s="14">
        <f>IF((A264&lt;=COB_CA!$B$58),IF(AND((A264&lt;=COB_CA!$B$58),ROUND(C264-ROUND(COB_CA!$B$59-D264,2),2)&lt;=0),ROUND(D264+E264,2),COB_CA!$B$59),0)</f>
        <v/>
      </c>
      <c r="G264" s="14">
        <f>IF((A264&lt;=COB_CA!$B$58),IF(AND((A264&lt;=COB_CA!$B$58),ROUND(C264-ROUND(COB_CA!$B$59-D264,2),2)&lt;=0),0,ROUND(C264-E264,2)),C264)</f>
        <v/>
      </c>
      <c r="H264" s="6">
        <f>AND(H263,C263&gt;0,(A264&lt;=COB_CA!$B$58))</f>
        <v/>
      </c>
    </row>
    <row r="265">
      <c r="A265" s="6" t="n">
        <v>261</v>
      </c>
      <c r="B265" s="17">
        <f>IF(COB_CA!$B$44=12,DATE(YEAR(COB_CA!$B$22)+INT((MONTH(COB_CA!$B$22)-1+260)/12),MOD(MONTH(COB_CA!$B$22)-1+260,12)+1,1)+(DAY(COB_CA!$B$22)-1),IF(COB_CA!$B$44=24,COB_CA!$B$22+ROUND((260*365.25)/24,0),IF(COB_CA!$B$44=26,COB_CA!$B$22+3640,COB_CA!$B$22+1820)))</f>
        <v/>
      </c>
      <c r="C265" s="14">
        <f>G264</f>
        <v/>
      </c>
      <c r="D265" s="14">
        <f>IF((A265&lt;=COB_CA!$B$58),ROUND(C265*COB_CA!$B$45,2),0)</f>
        <v/>
      </c>
      <c r="E265" s="14">
        <f>IF((A265&lt;=COB_CA!$B$58),IF(AND((A265&lt;=COB_CA!$B$58),ROUND(C265-ROUND(COB_CA!$B$59-D265,2),2)&lt;=0),C265,ROUND(COB_CA!$B$59-D265,2)),0)</f>
        <v/>
      </c>
      <c r="F265" s="14">
        <f>IF((A265&lt;=COB_CA!$B$58),IF(AND((A265&lt;=COB_CA!$B$58),ROUND(C265-ROUND(COB_CA!$B$59-D265,2),2)&lt;=0),ROUND(D265+E265,2),COB_CA!$B$59),0)</f>
        <v/>
      </c>
      <c r="G265" s="14">
        <f>IF((A265&lt;=COB_CA!$B$58),IF(AND((A265&lt;=COB_CA!$B$58),ROUND(C265-ROUND(COB_CA!$B$59-D265,2),2)&lt;=0),0,ROUND(C265-E265,2)),C265)</f>
        <v/>
      </c>
      <c r="H265" s="6">
        <f>AND(H264,C264&gt;0,(A265&lt;=COB_CA!$B$58))</f>
        <v/>
      </c>
    </row>
    <row r="266">
      <c r="A266" s="6" t="n">
        <v>262</v>
      </c>
      <c r="B266" s="17">
        <f>IF(COB_CA!$B$44=12,DATE(YEAR(COB_CA!$B$22)+INT((MONTH(COB_CA!$B$22)-1+261)/12),MOD(MONTH(COB_CA!$B$22)-1+261,12)+1,1)+(DAY(COB_CA!$B$22)-1),IF(COB_CA!$B$44=24,COB_CA!$B$22+ROUND((261*365.25)/24,0),IF(COB_CA!$B$44=26,COB_CA!$B$22+3654,COB_CA!$B$22+1827)))</f>
        <v/>
      </c>
      <c r="C266" s="14">
        <f>G265</f>
        <v/>
      </c>
      <c r="D266" s="14">
        <f>IF((A266&lt;=COB_CA!$B$58),ROUND(C266*COB_CA!$B$45,2),0)</f>
        <v/>
      </c>
      <c r="E266" s="14">
        <f>IF((A266&lt;=COB_CA!$B$58),IF(AND((A266&lt;=COB_CA!$B$58),ROUND(C266-ROUND(COB_CA!$B$59-D266,2),2)&lt;=0),C266,ROUND(COB_CA!$B$59-D266,2)),0)</f>
        <v/>
      </c>
      <c r="F266" s="14">
        <f>IF((A266&lt;=COB_CA!$B$58),IF(AND((A266&lt;=COB_CA!$B$58),ROUND(C266-ROUND(COB_CA!$B$59-D266,2),2)&lt;=0),ROUND(D266+E266,2),COB_CA!$B$59),0)</f>
        <v/>
      </c>
      <c r="G266" s="14">
        <f>IF((A266&lt;=COB_CA!$B$58),IF(AND((A266&lt;=COB_CA!$B$58),ROUND(C266-ROUND(COB_CA!$B$59-D266,2),2)&lt;=0),0,ROUND(C266-E266,2)),C266)</f>
        <v/>
      </c>
      <c r="H266" s="6">
        <f>AND(H265,C265&gt;0,(A266&lt;=COB_CA!$B$58))</f>
        <v/>
      </c>
    </row>
    <row r="267">
      <c r="A267" s="6" t="n">
        <v>263</v>
      </c>
      <c r="B267" s="17">
        <f>IF(COB_CA!$B$44=12,DATE(YEAR(COB_CA!$B$22)+INT((MONTH(COB_CA!$B$22)-1+262)/12),MOD(MONTH(COB_CA!$B$22)-1+262,12)+1,1)+(DAY(COB_CA!$B$22)-1),IF(COB_CA!$B$44=24,COB_CA!$B$22+ROUND((262*365.25)/24,0),IF(COB_CA!$B$44=26,COB_CA!$B$22+3668,COB_CA!$B$22+1834)))</f>
        <v/>
      </c>
      <c r="C267" s="14">
        <f>G266</f>
        <v/>
      </c>
      <c r="D267" s="14">
        <f>IF((A267&lt;=COB_CA!$B$58),ROUND(C267*COB_CA!$B$45,2),0)</f>
        <v/>
      </c>
      <c r="E267" s="14">
        <f>IF((A267&lt;=COB_CA!$B$58),IF(AND((A267&lt;=COB_CA!$B$58),ROUND(C267-ROUND(COB_CA!$B$59-D267,2),2)&lt;=0),C267,ROUND(COB_CA!$B$59-D267,2)),0)</f>
        <v/>
      </c>
      <c r="F267" s="14">
        <f>IF((A267&lt;=COB_CA!$B$58),IF(AND((A267&lt;=COB_CA!$B$58),ROUND(C267-ROUND(COB_CA!$B$59-D267,2),2)&lt;=0),ROUND(D267+E267,2),COB_CA!$B$59),0)</f>
        <v/>
      </c>
      <c r="G267" s="14">
        <f>IF((A267&lt;=COB_CA!$B$58),IF(AND((A267&lt;=COB_CA!$B$58),ROUND(C267-ROUND(COB_CA!$B$59-D267,2),2)&lt;=0),0,ROUND(C267-E267,2)),C267)</f>
        <v/>
      </c>
      <c r="H267" s="6">
        <f>AND(H266,C266&gt;0,(A267&lt;=COB_CA!$B$58))</f>
        <v/>
      </c>
    </row>
    <row r="268">
      <c r="A268" s="6" t="n">
        <v>264</v>
      </c>
      <c r="B268" s="17">
        <f>IF(COB_CA!$B$44=12,DATE(YEAR(COB_CA!$B$22)+INT((MONTH(COB_CA!$B$22)-1+263)/12),MOD(MONTH(COB_CA!$B$22)-1+263,12)+1,1)+(DAY(COB_CA!$B$22)-1),IF(COB_CA!$B$44=24,COB_CA!$B$22+ROUND((263*365.25)/24,0),IF(COB_CA!$B$44=26,COB_CA!$B$22+3682,COB_CA!$B$22+1841)))</f>
        <v/>
      </c>
      <c r="C268" s="14">
        <f>G267</f>
        <v/>
      </c>
      <c r="D268" s="14">
        <f>IF((A268&lt;=COB_CA!$B$58),ROUND(C268*COB_CA!$B$45,2),0)</f>
        <v/>
      </c>
      <c r="E268" s="14">
        <f>IF((A268&lt;=COB_CA!$B$58),IF(AND((A268&lt;=COB_CA!$B$58),ROUND(C268-ROUND(COB_CA!$B$59-D268,2),2)&lt;=0),C268,ROUND(COB_CA!$B$59-D268,2)),0)</f>
        <v/>
      </c>
      <c r="F268" s="14">
        <f>IF((A268&lt;=COB_CA!$B$58),IF(AND((A268&lt;=COB_CA!$B$58),ROUND(C268-ROUND(COB_CA!$B$59-D268,2),2)&lt;=0),ROUND(D268+E268,2),COB_CA!$B$59),0)</f>
        <v/>
      </c>
      <c r="G268" s="14">
        <f>IF((A268&lt;=COB_CA!$B$58),IF(AND((A268&lt;=COB_CA!$B$58),ROUND(C268-ROUND(COB_CA!$B$59-D268,2),2)&lt;=0),0,ROUND(C268-E268,2)),C268)</f>
        <v/>
      </c>
      <c r="H268" s="6">
        <f>AND(H267,C267&gt;0,(A268&lt;=COB_CA!$B$58))</f>
        <v/>
      </c>
    </row>
    <row r="269">
      <c r="A269" s="6" t="n">
        <v>265</v>
      </c>
      <c r="B269" s="17">
        <f>IF(COB_CA!$B$44=12,DATE(YEAR(COB_CA!$B$22)+INT((MONTH(COB_CA!$B$22)-1+264)/12),MOD(MONTH(COB_CA!$B$22)-1+264,12)+1,1)+(DAY(COB_CA!$B$22)-1),IF(COB_CA!$B$44=24,COB_CA!$B$22+ROUND((264*365.25)/24,0),IF(COB_CA!$B$44=26,COB_CA!$B$22+3696,COB_CA!$B$22+1848)))</f>
        <v/>
      </c>
      <c r="C269" s="14">
        <f>G268</f>
        <v/>
      </c>
      <c r="D269" s="14">
        <f>IF((A269&lt;=COB_CA!$B$58),ROUND(C269*COB_CA!$B$45,2),0)</f>
        <v/>
      </c>
      <c r="E269" s="14">
        <f>IF((A269&lt;=COB_CA!$B$58),IF(AND((A269&lt;=COB_CA!$B$58),ROUND(C269-ROUND(COB_CA!$B$59-D269,2),2)&lt;=0),C269,ROUND(COB_CA!$B$59-D269,2)),0)</f>
        <v/>
      </c>
      <c r="F269" s="14">
        <f>IF((A269&lt;=COB_CA!$B$58),IF(AND((A269&lt;=COB_CA!$B$58),ROUND(C269-ROUND(COB_CA!$B$59-D269,2),2)&lt;=0),ROUND(D269+E269,2),COB_CA!$B$59),0)</f>
        <v/>
      </c>
      <c r="G269" s="14">
        <f>IF((A269&lt;=COB_CA!$B$58),IF(AND((A269&lt;=COB_CA!$B$58),ROUND(C269-ROUND(COB_CA!$B$59-D269,2),2)&lt;=0),0,ROUND(C269-E269,2)),C269)</f>
        <v/>
      </c>
      <c r="H269" s="6">
        <f>AND(H268,C268&gt;0,(A269&lt;=COB_CA!$B$58))</f>
        <v/>
      </c>
    </row>
    <row r="270">
      <c r="A270" s="6" t="n">
        <v>266</v>
      </c>
      <c r="B270" s="17">
        <f>IF(COB_CA!$B$44=12,DATE(YEAR(COB_CA!$B$22)+INT((MONTH(COB_CA!$B$22)-1+265)/12),MOD(MONTH(COB_CA!$B$22)-1+265,12)+1,1)+(DAY(COB_CA!$B$22)-1),IF(COB_CA!$B$44=24,COB_CA!$B$22+ROUND((265*365.25)/24,0),IF(COB_CA!$B$44=26,COB_CA!$B$22+3710,COB_CA!$B$22+1855)))</f>
        <v/>
      </c>
      <c r="C270" s="14">
        <f>G269</f>
        <v/>
      </c>
      <c r="D270" s="14">
        <f>IF((A270&lt;=COB_CA!$B$58),ROUND(C270*COB_CA!$B$45,2),0)</f>
        <v/>
      </c>
      <c r="E270" s="14">
        <f>IF((A270&lt;=COB_CA!$B$58),IF(AND((A270&lt;=COB_CA!$B$58),ROUND(C270-ROUND(COB_CA!$B$59-D270,2),2)&lt;=0),C270,ROUND(COB_CA!$B$59-D270,2)),0)</f>
        <v/>
      </c>
      <c r="F270" s="14">
        <f>IF((A270&lt;=COB_CA!$B$58),IF(AND((A270&lt;=COB_CA!$B$58),ROUND(C270-ROUND(COB_CA!$B$59-D270,2),2)&lt;=0),ROUND(D270+E270,2),COB_CA!$B$59),0)</f>
        <v/>
      </c>
      <c r="G270" s="14">
        <f>IF((A270&lt;=COB_CA!$B$58),IF(AND((A270&lt;=COB_CA!$B$58),ROUND(C270-ROUND(COB_CA!$B$59-D270,2),2)&lt;=0),0,ROUND(C270-E270,2)),C270)</f>
        <v/>
      </c>
      <c r="H270" s="6">
        <f>AND(H269,C269&gt;0,(A270&lt;=COB_CA!$B$58))</f>
        <v/>
      </c>
    </row>
    <row r="271">
      <c r="A271" s="6" t="n">
        <v>267</v>
      </c>
      <c r="B271" s="17">
        <f>IF(COB_CA!$B$44=12,DATE(YEAR(COB_CA!$B$22)+INT((MONTH(COB_CA!$B$22)-1+266)/12),MOD(MONTH(COB_CA!$B$22)-1+266,12)+1,1)+(DAY(COB_CA!$B$22)-1),IF(COB_CA!$B$44=24,COB_CA!$B$22+ROUND((266*365.25)/24,0),IF(COB_CA!$B$44=26,COB_CA!$B$22+3724,COB_CA!$B$22+1862)))</f>
        <v/>
      </c>
      <c r="C271" s="14">
        <f>G270</f>
        <v/>
      </c>
      <c r="D271" s="14">
        <f>IF((A271&lt;=COB_CA!$B$58),ROUND(C271*COB_CA!$B$45,2),0)</f>
        <v/>
      </c>
      <c r="E271" s="14">
        <f>IF((A271&lt;=COB_CA!$B$58),IF(AND((A271&lt;=COB_CA!$B$58),ROUND(C271-ROUND(COB_CA!$B$59-D271,2),2)&lt;=0),C271,ROUND(COB_CA!$B$59-D271,2)),0)</f>
        <v/>
      </c>
      <c r="F271" s="14">
        <f>IF((A271&lt;=COB_CA!$B$58),IF(AND((A271&lt;=COB_CA!$B$58),ROUND(C271-ROUND(COB_CA!$B$59-D271,2),2)&lt;=0),ROUND(D271+E271,2),COB_CA!$B$59),0)</f>
        <v/>
      </c>
      <c r="G271" s="14">
        <f>IF((A271&lt;=COB_CA!$B$58),IF(AND((A271&lt;=COB_CA!$B$58),ROUND(C271-ROUND(COB_CA!$B$59-D271,2),2)&lt;=0),0,ROUND(C271-E271,2)),C271)</f>
        <v/>
      </c>
      <c r="H271" s="6">
        <f>AND(H270,C270&gt;0,(A271&lt;=COB_CA!$B$58))</f>
        <v/>
      </c>
    </row>
    <row r="272">
      <c r="A272" s="6" t="n">
        <v>268</v>
      </c>
      <c r="B272" s="17">
        <f>IF(COB_CA!$B$44=12,DATE(YEAR(COB_CA!$B$22)+INT((MONTH(COB_CA!$B$22)-1+267)/12),MOD(MONTH(COB_CA!$B$22)-1+267,12)+1,1)+(DAY(COB_CA!$B$22)-1),IF(COB_CA!$B$44=24,COB_CA!$B$22+ROUND((267*365.25)/24,0),IF(COB_CA!$B$44=26,COB_CA!$B$22+3738,COB_CA!$B$22+1869)))</f>
        <v/>
      </c>
      <c r="C272" s="14">
        <f>G271</f>
        <v/>
      </c>
      <c r="D272" s="14">
        <f>IF((A272&lt;=COB_CA!$B$58),ROUND(C272*COB_CA!$B$45,2),0)</f>
        <v/>
      </c>
      <c r="E272" s="14">
        <f>IF((A272&lt;=COB_CA!$B$58),IF(AND((A272&lt;=COB_CA!$B$58),ROUND(C272-ROUND(COB_CA!$B$59-D272,2),2)&lt;=0),C272,ROUND(COB_CA!$B$59-D272,2)),0)</f>
        <v/>
      </c>
      <c r="F272" s="14">
        <f>IF((A272&lt;=COB_CA!$B$58),IF(AND((A272&lt;=COB_CA!$B$58),ROUND(C272-ROUND(COB_CA!$B$59-D272,2),2)&lt;=0),ROUND(D272+E272,2),COB_CA!$B$59),0)</f>
        <v/>
      </c>
      <c r="G272" s="14">
        <f>IF((A272&lt;=COB_CA!$B$58),IF(AND((A272&lt;=COB_CA!$B$58),ROUND(C272-ROUND(COB_CA!$B$59-D272,2),2)&lt;=0),0,ROUND(C272-E272,2)),C272)</f>
        <v/>
      </c>
      <c r="H272" s="6">
        <f>AND(H271,C271&gt;0,(A272&lt;=COB_CA!$B$58))</f>
        <v/>
      </c>
    </row>
    <row r="273">
      <c r="A273" s="6" t="n">
        <v>269</v>
      </c>
      <c r="B273" s="17">
        <f>IF(COB_CA!$B$44=12,DATE(YEAR(COB_CA!$B$22)+INT((MONTH(COB_CA!$B$22)-1+268)/12),MOD(MONTH(COB_CA!$B$22)-1+268,12)+1,1)+(DAY(COB_CA!$B$22)-1),IF(COB_CA!$B$44=24,COB_CA!$B$22+ROUND((268*365.25)/24,0),IF(COB_CA!$B$44=26,COB_CA!$B$22+3752,COB_CA!$B$22+1876)))</f>
        <v/>
      </c>
      <c r="C273" s="14">
        <f>G272</f>
        <v/>
      </c>
      <c r="D273" s="14">
        <f>IF((A273&lt;=COB_CA!$B$58),ROUND(C273*COB_CA!$B$45,2),0)</f>
        <v/>
      </c>
      <c r="E273" s="14">
        <f>IF((A273&lt;=COB_CA!$B$58),IF(AND((A273&lt;=COB_CA!$B$58),ROUND(C273-ROUND(COB_CA!$B$59-D273,2),2)&lt;=0),C273,ROUND(COB_CA!$B$59-D273,2)),0)</f>
        <v/>
      </c>
      <c r="F273" s="14">
        <f>IF((A273&lt;=COB_CA!$B$58),IF(AND((A273&lt;=COB_CA!$B$58),ROUND(C273-ROUND(COB_CA!$B$59-D273,2),2)&lt;=0),ROUND(D273+E273,2),COB_CA!$B$59),0)</f>
        <v/>
      </c>
      <c r="G273" s="14">
        <f>IF((A273&lt;=COB_CA!$B$58),IF(AND((A273&lt;=COB_CA!$B$58),ROUND(C273-ROUND(COB_CA!$B$59-D273,2),2)&lt;=0),0,ROUND(C273-E273,2)),C273)</f>
        <v/>
      </c>
      <c r="H273" s="6">
        <f>AND(H272,C272&gt;0,(A273&lt;=COB_CA!$B$58))</f>
        <v/>
      </c>
    </row>
    <row r="274">
      <c r="A274" s="6" t="n">
        <v>270</v>
      </c>
      <c r="B274" s="17">
        <f>IF(COB_CA!$B$44=12,DATE(YEAR(COB_CA!$B$22)+INT((MONTH(COB_CA!$B$22)-1+269)/12),MOD(MONTH(COB_CA!$B$22)-1+269,12)+1,1)+(DAY(COB_CA!$B$22)-1),IF(COB_CA!$B$44=24,COB_CA!$B$22+ROUND((269*365.25)/24,0),IF(COB_CA!$B$44=26,COB_CA!$B$22+3766,COB_CA!$B$22+1883)))</f>
        <v/>
      </c>
      <c r="C274" s="14">
        <f>G273</f>
        <v/>
      </c>
      <c r="D274" s="14">
        <f>IF((A274&lt;=COB_CA!$B$58),ROUND(C274*COB_CA!$B$45,2),0)</f>
        <v/>
      </c>
      <c r="E274" s="14">
        <f>IF((A274&lt;=COB_CA!$B$58),IF(AND((A274&lt;=COB_CA!$B$58),ROUND(C274-ROUND(COB_CA!$B$59-D274,2),2)&lt;=0),C274,ROUND(COB_CA!$B$59-D274,2)),0)</f>
        <v/>
      </c>
      <c r="F274" s="14">
        <f>IF((A274&lt;=COB_CA!$B$58),IF(AND((A274&lt;=COB_CA!$B$58),ROUND(C274-ROUND(COB_CA!$B$59-D274,2),2)&lt;=0),ROUND(D274+E274,2),COB_CA!$B$59),0)</f>
        <v/>
      </c>
      <c r="G274" s="14">
        <f>IF((A274&lt;=COB_CA!$B$58),IF(AND((A274&lt;=COB_CA!$B$58),ROUND(C274-ROUND(COB_CA!$B$59-D274,2),2)&lt;=0),0,ROUND(C274-E274,2)),C274)</f>
        <v/>
      </c>
      <c r="H274" s="6">
        <f>AND(H273,C273&gt;0,(A274&lt;=COB_CA!$B$58))</f>
        <v/>
      </c>
    </row>
    <row r="275">
      <c r="A275" s="6" t="n">
        <v>271</v>
      </c>
      <c r="B275" s="17">
        <f>IF(COB_CA!$B$44=12,DATE(YEAR(COB_CA!$B$22)+INT((MONTH(COB_CA!$B$22)-1+270)/12),MOD(MONTH(COB_CA!$B$22)-1+270,12)+1,1)+(DAY(COB_CA!$B$22)-1),IF(COB_CA!$B$44=24,COB_CA!$B$22+ROUND((270*365.25)/24,0),IF(COB_CA!$B$44=26,COB_CA!$B$22+3780,COB_CA!$B$22+1890)))</f>
        <v/>
      </c>
      <c r="C275" s="14">
        <f>G274</f>
        <v/>
      </c>
      <c r="D275" s="14">
        <f>IF((A275&lt;=COB_CA!$B$58),ROUND(C275*COB_CA!$B$45,2),0)</f>
        <v/>
      </c>
      <c r="E275" s="14">
        <f>IF((A275&lt;=COB_CA!$B$58),IF(AND((A275&lt;=COB_CA!$B$58),ROUND(C275-ROUND(COB_CA!$B$59-D275,2),2)&lt;=0),C275,ROUND(COB_CA!$B$59-D275,2)),0)</f>
        <v/>
      </c>
      <c r="F275" s="14">
        <f>IF((A275&lt;=COB_CA!$B$58),IF(AND((A275&lt;=COB_CA!$B$58),ROUND(C275-ROUND(COB_CA!$B$59-D275,2),2)&lt;=0),ROUND(D275+E275,2),COB_CA!$B$59),0)</f>
        <v/>
      </c>
      <c r="G275" s="14">
        <f>IF((A275&lt;=COB_CA!$B$58),IF(AND((A275&lt;=COB_CA!$B$58),ROUND(C275-ROUND(COB_CA!$B$59-D275,2),2)&lt;=0),0,ROUND(C275-E275,2)),C275)</f>
        <v/>
      </c>
      <c r="H275" s="6">
        <f>AND(H274,C274&gt;0,(A275&lt;=COB_CA!$B$58))</f>
        <v/>
      </c>
    </row>
    <row r="276">
      <c r="A276" s="6" t="n">
        <v>272</v>
      </c>
      <c r="B276" s="17">
        <f>IF(COB_CA!$B$44=12,DATE(YEAR(COB_CA!$B$22)+INT((MONTH(COB_CA!$B$22)-1+271)/12),MOD(MONTH(COB_CA!$B$22)-1+271,12)+1,1)+(DAY(COB_CA!$B$22)-1),IF(COB_CA!$B$44=24,COB_CA!$B$22+ROUND((271*365.25)/24,0),IF(COB_CA!$B$44=26,COB_CA!$B$22+3794,COB_CA!$B$22+1897)))</f>
        <v/>
      </c>
      <c r="C276" s="14">
        <f>G275</f>
        <v/>
      </c>
      <c r="D276" s="14">
        <f>IF((A276&lt;=COB_CA!$B$58),ROUND(C276*COB_CA!$B$45,2),0)</f>
        <v/>
      </c>
      <c r="E276" s="14">
        <f>IF((A276&lt;=COB_CA!$B$58),IF(AND((A276&lt;=COB_CA!$B$58),ROUND(C276-ROUND(COB_CA!$B$59-D276,2),2)&lt;=0),C276,ROUND(COB_CA!$B$59-D276,2)),0)</f>
        <v/>
      </c>
      <c r="F276" s="14">
        <f>IF((A276&lt;=COB_CA!$B$58),IF(AND((A276&lt;=COB_CA!$B$58),ROUND(C276-ROUND(COB_CA!$B$59-D276,2),2)&lt;=0),ROUND(D276+E276,2),COB_CA!$B$59),0)</f>
        <v/>
      </c>
      <c r="G276" s="14">
        <f>IF((A276&lt;=COB_CA!$B$58),IF(AND((A276&lt;=COB_CA!$B$58),ROUND(C276-ROUND(COB_CA!$B$59-D276,2),2)&lt;=0),0,ROUND(C276-E276,2)),C276)</f>
        <v/>
      </c>
      <c r="H276" s="6">
        <f>AND(H275,C275&gt;0,(A276&lt;=COB_CA!$B$58))</f>
        <v/>
      </c>
    </row>
    <row r="277">
      <c r="A277" s="6" t="n">
        <v>273</v>
      </c>
      <c r="B277" s="17">
        <f>IF(COB_CA!$B$44=12,DATE(YEAR(COB_CA!$B$22)+INT((MONTH(COB_CA!$B$22)-1+272)/12),MOD(MONTH(COB_CA!$B$22)-1+272,12)+1,1)+(DAY(COB_CA!$B$22)-1),IF(COB_CA!$B$44=24,COB_CA!$B$22+ROUND((272*365.25)/24,0),IF(COB_CA!$B$44=26,COB_CA!$B$22+3808,COB_CA!$B$22+1904)))</f>
        <v/>
      </c>
      <c r="C277" s="14">
        <f>G276</f>
        <v/>
      </c>
      <c r="D277" s="14">
        <f>IF((A277&lt;=COB_CA!$B$58),ROUND(C277*COB_CA!$B$45,2),0)</f>
        <v/>
      </c>
      <c r="E277" s="14">
        <f>IF((A277&lt;=COB_CA!$B$58),IF(AND((A277&lt;=COB_CA!$B$58),ROUND(C277-ROUND(COB_CA!$B$59-D277,2),2)&lt;=0),C277,ROUND(COB_CA!$B$59-D277,2)),0)</f>
        <v/>
      </c>
      <c r="F277" s="14">
        <f>IF((A277&lt;=COB_CA!$B$58),IF(AND((A277&lt;=COB_CA!$B$58),ROUND(C277-ROUND(COB_CA!$B$59-D277,2),2)&lt;=0),ROUND(D277+E277,2),COB_CA!$B$59),0)</f>
        <v/>
      </c>
      <c r="G277" s="14">
        <f>IF((A277&lt;=COB_CA!$B$58),IF(AND((A277&lt;=COB_CA!$B$58),ROUND(C277-ROUND(COB_CA!$B$59-D277,2),2)&lt;=0),0,ROUND(C277-E277,2)),C277)</f>
        <v/>
      </c>
      <c r="H277" s="6">
        <f>AND(H276,C276&gt;0,(A277&lt;=COB_CA!$B$58))</f>
        <v/>
      </c>
    </row>
    <row r="278">
      <c r="A278" s="6" t="n">
        <v>274</v>
      </c>
      <c r="B278" s="17">
        <f>IF(COB_CA!$B$44=12,DATE(YEAR(COB_CA!$B$22)+INT((MONTH(COB_CA!$B$22)-1+273)/12),MOD(MONTH(COB_CA!$B$22)-1+273,12)+1,1)+(DAY(COB_CA!$B$22)-1),IF(COB_CA!$B$44=24,COB_CA!$B$22+ROUND((273*365.25)/24,0),IF(COB_CA!$B$44=26,COB_CA!$B$22+3822,COB_CA!$B$22+1911)))</f>
        <v/>
      </c>
      <c r="C278" s="14">
        <f>G277</f>
        <v/>
      </c>
      <c r="D278" s="14">
        <f>IF((A278&lt;=COB_CA!$B$58),ROUND(C278*COB_CA!$B$45,2),0)</f>
        <v/>
      </c>
      <c r="E278" s="14">
        <f>IF((A278&lt;=COB_CA!$B$58),IF(AND((A278&lt;=COB_CA!$B$58),ROUND(C278-ROUND(COB_CA!$B$59-D278,2),2)&lt;=0),C278,ROUND(COB_CA!$B$59-D278,2)),0)</f>
        <v/>
      </c>
      <c r="F278" s="14">
        <f>IF((A278&lt;=COB_CA!$B$58),IF(AND((A278&lt;=COB_CA!$B$58),ROUND(C278-ROUND(COB_CA!$B$59-D278,2),2)&lt;=0),ROUND(D278+E278,2),COB_CA!$B$59),0)</f>
        <v/>
      </c>
      <c r="G278" s="14">
        <f>IF((A278&lt;=COB_CA!$B$58),IF(AND((A278&lt;=COB_CA!$B$58),ROUND(C278-ROUND(COB_CA!$B$59-D278,2),2)&lt;=0),0,ROUND(C278-E278,2)),C278)</f>
        <v/>
      </c>
      <c r="H278" s="6">
        <f>AND(H277,C277&gt;0,(A278&lt;=COB_CA!$B$58))</f>
        <v/>
      </c>
    </row>
    <row r="279">
      <c r="A279" s="6" t="n">
        <v>275</v>
      </c>
      <c r="B279" s="17">
        <f>IF(COB_CA!$B$44=12,DATE(YEAR(COB_CA!$B$22)+INT((MONTH(COB_CA!$B$22)-1+274)/12),MOD(MONTH(COB_CA!$B$22)-1+274,12)+1,1)+(DAY(COB_CA!$B$22)-1),IF(COB_CA!$B$44=24,COB_CA!$B$22+ROUND((274*365.25)/24,0),IF(COB_CA!$B$44=26,COB_CA!$B$22+3836,COB_CA!$B$22+1918)))</f>
        <v/>
      </c>
      <c r="C279" s="14">
        <f>G278</f>
        <v/>
      </c>
      <c r="D279" s="14">
        <f>IF((A279&lt;=COB_CA!$B$58),ROUND(C279*COB_CA!$B$45,2),0)</f>
        <v/>
      </c>
      <c r="E279" s="14">
        <f>IF((A279&lt;=COB_CA!$B$58),IF(AND((A279&lt;=COB_CA!$B$58),ROUND(C279-ROUND(COB_CA!$B$59-D279,2),2)&lt;=0),C279,ROUND(COB_CA!$B$59-D279,2)),0)</f>
        <v/>
      </c>
      <c r="F279" s="14">
        <f>IF((A279&lt;=COB_CA!$B$58),IF(AND((A279&lt;=COB_CA!$B$58),ROUND(C279-ROUND(COB_CA!$B$59-D279,2),2)&lt;=0),ROUND(D279+E279,2),COB_CA!$B$59),0)</f>
        <v/>
      </c>
      <c r="G279" s="14">
        <f>IF((A279&lt;=COB_CA!$B$58),IF(AND((A279&lt;=COB_CA!$B$58),ROUND(C279-ROUND(COB_CA!$B$59-D279,2),2)&lt;=0),0,ROUND(C279-E279,2)),C279)</f>
        <v/>
      </c>
      <c r="H279" s="6">
        <f>AND(H278,C278&gt;0,(A279&lt;=COB_CA!$B$58))</f>
        <v/>
      </c>
    </row>
    <row r="280">
      <c r="A280" s="6" t="n">
        <v>276</v>
      </c>
      <c r="B280" s="17">
        <f>IF(COB_CA!$B$44=12,DATE(YEAR(COB_CA!$B$22)+INT((MONTH(COB_CA!$B$22)-1+275)/12),MOD(MONTH(COB_CA!$B$22)-1+275,12)+1,1)+(DAY(COB_CA!$B$22)-1),IF(COB_CA!$B$44=24,COB_CA!$B$22+ROUND((275*365.25)/24,0),IF(COB_CA!$B$44=26,COB_CA!$B$22+3850,COB_CA!$B$22+1925)))</f>
        <v/>
      </c>
      <c r="C280" s="14">
        <f>G279</f>
        <v/>
      </c>
      <c r="D280" s="14">
        <f>IF((A280&lt;=COB_CA!$B$58),ROUND(C280*COB_CA!$B$45,2),0)</f>
        <v/>
      </c>
      <c r="E280" s="14">
        <f>IF((A280&lt;=COB_CA!$B$58),IF(AND((A280&lt;=COB_CA!$B$58),ROUND(C280-ROUND(COB_CA!$B$59-D280,2),2)&lt;=0),C280,ROUND(COB_CA!$B$59-D280,2)),0)</f>
        <v/>
      </c>
      <c r="F280" s="14">
        <f>IF((A280&lt;=COB_CA!$B$58),IF(AND((A280&lt;=COB_CA!$B$58),ROUND(C280-ROUND(COB_CA!$B$59-D280,2),2)&lt;=0),ROUND(D280+E280,2),COB_CA!$B$59),0)</f>
        <v/>
      </c>
      <c r="G280" s="14">
        <f>IF((A280&lt;=COB_CA!$B$58),IF(AND((A280&lt;=COB_CA!$B$58),ROUND(C280-ROUND(COB_CA!$B$59-D280,2),2)&lt;=0),0,ROUND(C280-E280,2)),C280)</f>
        <v/>
      </c>
      <c r="H280" s="6">
        <f>AND(H279,C279&gt;0,(A280&lt;=COB_CA!$B$58))</f>
        <v/>
      </c>
    </row>
    <row r="281">
      <c r="A281" s="6" t="n">
        <v>277</v>
      </c>
      <c r="B281" s="17">
        <f>IF(COB_CA!$B$44=12,DATE(YEAR(COB_CA!$B$22)+INT((MONTH(COB_CA!$B$22)-1+276)/12),MOD(MONTH(COB_CA!$B$22)-1+276,12)+1,1)+(DAY(COB_CA!$B$22)-1),IF(COB_CA!$B$44=24,COB_CA!$B$22+ROUND((276*365.25)/24,0),IF(COB_CA!$B$44=26,COB_CA!$B$22+3864,COB_CA!$B$22+1932)))</f>
        <v/>
      </c>
      <c r="C281" s="14">
        <f>G280</f>
        <v/>
      </c>
      <c r="D281" s="14">
        <f>IF((A281&lt;=COB_CA!$B$58),ROUND(C281*COB_CA!$B$45,2),0)</f>
        <v/>
      </c>
      <c r="E281" s="14">
        <f>IF((A281&lt;=COB_CA!$B$58),IF(AND((A281&lt;=COB_CA!$B$58),ROUND(C281-ROUND(COB_CA!$B$59-D281,2),2)&lt;=0),C281,ROUND(COB_CA!$B$59-D281,2)),0)</f>
        <v/>
      </c>
      <c r="F281" s="14">
        <f>IF((A281&lt;=COB_CA!$B$58),IF(AND((A281&lt;=COB_CA!$B$58),ROUND(C281-ROUND(COB_CA!$B$59-D281,2),2)&lt;=0),ROUND(D281+E281,2),COB_CA!$B$59),0)</f>
        <v/>
      </c>
      <c r="G281" s="14">
        <f>IF((A281&lt;=COB_CA!$B$58),IF(AND((A281&lt;=COB_CA!$B$58),ROUND(C281-ROUND(COB_CA!$B$59-D281,2),2)&lt;=0),0,ROUND(C281-E281,2)),C281)</f>
        <v/>
      </c>
      <c r="H281" s="6">
        <f>AND(H280,C280&gt;0,(A281&lt;=COB_CA!$B$58))</f>
        <v/>
      </c>
    </row>
    <row r="282">
      <c r="A282" s="6" t="n">
        <v>278</v>
      </c>
      <c r="B282" s="17">
        <f>IF(COB_CA!$B$44=12,DATE(YEAR(COB_CA!$B$22)+INT((MONTH(COB_CA!$B$22)-1+277)/12),MOD(MONTH(COB_CA!$B$22)-1+277,12)+1,1)+(DAY(COB_CA!$B$22)-1),IF(COB_CA!$B$44=24,COB_CA!$B$22+ROUND((277*365.25)/24,0),IF(COB_CA!$B$44=26,COB_CA!$B$22+3878,COB_CA!$B$22+1939)))</f>
        <v/>
      </c>
      <c r="C282" s="14">
        <f>G281</f>
        <v/>
      </c>
      <c r="D282" s="14">
        <f>IF((A282&lt;=COB_CA!$B$58),ROUND(C282*COB_CA!$B$45,2),0)</f>
        <v/>
      </c>
      <c r="E282" s="14">
        <f>IF((A282&lt;=COB_CA!$B$58),IF(AND((A282&lt;=COB_CA!$B$58),ROUND(C282-ROUND(COB_CA!$B$59-D282,2),2)&lt;=0),C282,ROUND(COB_CA!$B$59-D282,2)),0)</f>
        <v/>
      </c>
      <c r="F282" s="14">
        <f>IF((A282&lt;=COB_CA!$B$58),IF(AND((A282&lt;=COB_CA!$B$58),ROUND(C282-ROUND(COB_CA!$B$59-D282,2),2)&lt;=0),ROUND(D282+E282,2),COB_CA!$B$59),0)</f>
        <v/>
      </c>
      <c r="G282" s="14">
        <f>IF((A282&lt;=COB_CA!$B$58),IF(AND((A282&lt;=COB_CA!$B$58),ROUND(C282-ROUND(COB_CA!$B$59-D282,2),2)&lt;=0),0,ROUND(C282-E282,2)),C282)</f>
        <v/>
      </c>
      <c r="H282" s="6">
        <f>AND(H281,C281&gt;0,(A282&lt;=COB_CA!$B$58))</f>
        <v/>
      </c>
    </row>
    <row r="283">
      <c r="A283" s="6" t="n">
        <v>279</v>
      </c>
      <c r="B283" s="17">
        <f>IF(COB_CA!$B$44=12,DATE(YEAR(COB_CA!$B$22)+INT((MONTH(COB_CA!$B$22)-1+278)/12),MOD(MONTH(COB_CA!$B$22)-1+278,12)+1,1)+(DAY(COB_CA!$B$22)-1),IF(COB_CA!$B$44=24,COB_CA!$B$22+ROUND((278*365.25)/24,0),IF(COB_CA!$B$44=26,COB_CA!$B$22+3892,COB_CA!$B$22+1946)))</f>
        <v/>
      </c>
      <c r="C283" s="14">
        <f>G282</f>
        <v/>
      </c>
      <c r="D283" s="14">
        <f>IF((A283&lt;=COB_CA!$B$58),ROUND(C283*COB_CA!$B$45,2),0)</f>
        <v/>
      </c>
      <c r="E283" s="14">
        <f>IF((A283&lt;=COB_CA!$B$58),IF(AND((A283&lt;=COB_CA!$B$58),ROUND(C283-ROUND(COB_CA!$B$59-D283,2),2)&lt;=0),C283,ROUND(COB_CA!$B$59-D283,2)),0)</f>
        <v/>
      </c>
      <c r="F283" s="14">
        <f>IF((A283&lt;=COB_CA!$B$58),IF(AND((A283&lt;=COB_CA!$B$58),ROUND(C283-ROUND(COB_CA!$B$59-D283,2),2)&lt;=0),ROUND(D283+E283,2),COB_CA!$B$59),0)</f>
        <v/>
      </c>
      <c r="G283" s="14">
        <f>IF((A283&lt;=COB_CA!$B$58),IF(AND((A283&lt;=COB_CA!$B$58),ROUND(C283-ROUND(COB_CA!$B$59-D283,2),2)&lt;=0),0,ROUND(C283-E283,2)),C283)</f>
        <v/>
      </c>
      <c r="H283" s="6">
        <f>AND(H282,C282&gt;0,(A283&lt;=COB_CA!$B$58))</f>
        <v/>
      </c>
    </row>
    <row r="284">
      <c r="A284" s="6" t="n">
        <v>280</v>
      </c>
      <c r="B284" s="17">
        <f>IF(COB_CA!$B$44=12,DATE(YEAR(COB_CA!$B$22)+INT((MONTH(COB_CA!$B$22)-1+279)/12),MOD(MONTH(COB_CA!$B$22)-1+279,12)+1,1)+(DAY(COB_CA!$B$22)-1),IF(COB_CA!$B$44=24,COB_CA!$B$22+ROUND((279*365.25)/24,0),IF(COB_CA!$B$44=26,COB_CA!$B$22+3906,COB_CA!$B$22+1953)))</f>
        <v/>
      </c>
      <c r="C284" s="14">
        <f>G283</f>
        <v/>
      </c>
      <c r="D284" s="14">
        <f>IF((A284&lt;=COB_CA!$B$58),ROUND(C284*COB_CA!$B$45,2),0)</f>
        <v/>
      </c>
      <c r="E284" s="14">
        <f>IF((A284&lt;=COB_CA!$B$58),IF(AND((A284&lt;=COB_CA!$B$58),ROUND(C284-ROUND(COB_CA!$B$59-D284,2),2)&lt;=0),C284,ROUND(COB_CA!$B$59-D284,2)),0)</f>
        <v/>
      </c>
      <c r="F284" s="14">
        <f>IF((A284&lt;=COB_CA!$B$58),IF(AND((A284&lt;=COB_CA!$B$58),ROUND(C284-ROUND(COB_CA!$B$59-D284,2),2)&lt;=0),ROUND(D284+E284,2),COB_CA!$B$59),0)</f>
        <v/>
      </c>
      <c r="G284" s="14">
        <f>IF((A284&lt;=COB_CA!$B$58),IF(AND((A284&lt;=COB_CA!$B$58),ROUND(C284-ROUND(COB_CA!$B$59-D284,2),2)&lt;=0),0,ROUND(C284-E284,2)),C284)</f>
        <v/>
      </c>
      <c r="H284" s="6">
        <f>AND(H283,C283&gt;0,(A284&lt;=COB_CA!$B$58))</f>
        <v/>
      </c>
    </row>
    <row r="285">
      <c r="A285" s="6" t="n">
        <v>281</v>
      </c>
      <c r="B285" s="17">
        <f>IF(COB_CA!$B$44=12,DATE(YEAR(COB_CA!$B$22)+INT((MONTH(COB_CA!$B$22)-1+280)/12),MOD(MONTH(COB_CA!$B$22)-1+280,12)+1,1)+(DAY(COB_CA!$B$22)-1),IF(COB_CA!$B$44=24,COB_CA!$B$22+ROUND((280*365.25)/24,0),IF(COB_CA!$B$44=26,COB_CA!$B$22+3920,COB_CA!$B$22+1960)))</f>
        <v/>
      </c>
      <c r="C285" s="14">
        <f>G284</f>
        <v/>
      </c>
      <c r="D285" s="14">
        <f>IF((A285&lt;=COB_CA!$B$58),ROUND(C285*COB_CA!$B$45,2),0)</f>
        <v/>
      </c>
      <c r="E285" s="14">
        <f>IF((A285&lt;=COB_CA!$B$58),IF(AND((A285&lt;=COB_CA!$B$58),ROUND(C285-ROUND(COB_CA!$B$59-D285,2),2)&lt;=0),C285,ROUND(COB_CA!$B$59-D285,2)),0)</f>
        <v/>
      </c>
      <c r="F285" s="14">
        <f>IF((A285&lt;=COB_CA!$B$58),IF(AND((A285&lt;=COB_CA!$B$58),ROUND(C285-ROUND(COB_CA!$B$59-D285,2),2)&lt;=0),ROUND(D285+E285,2),COB_CA!$B$59),0)</f>
        <v/>
      </c>
      <c r="G285" s="14">
        <f>IF((A285&lt;=COB_CA!$B$58),IF(AND((A285&lt;=COB_CA!$B$58),ROUND(C285-ROUND(COB_CA!$B$59-D285,2),2)&lt;=0),0,ROUND(C285-E285,2)),C285)</f>
        <v/>
      </c>
      <c r="H285" s="6">
        <f>AND(H284,C284&gt;0,(A285&lt;=COB_CA!$B$58))</f>
        <v/>
      </c>
    </row>
    <row r="286">
      <c r="A286" s="6" t="n">
        <v>282</v>
      </c>
      <c r="B286" s="17">
        <f>IF(COB_CA!$B$44=12,DATE(YEAR(COB_CA!$B$22)+INT((MONTH(COB_CA!$B$22)-1+281)/12),MOD(MONTH(COB_CA!$B$22)-1+281,12)+1,1)+(DAY(COB_CA!$B$22)-1),IF(COB_CA!$B$44=24,COB_CA!$B$22+ROUND((281*365.25)/24,0),IF(COB_CA!$B$44=26,COB_CA!$B$22+3934,COB_CA!$B$22+1967)))</f>
        <v/>
      </c>
      <c r="C286" s="14">
        <f>G285</f>
        <v/>
      </c>
      <c r="D286" s="14">
        <f>IF((A286&lt;=COB_CA!$B$58),ROUND(C286*COB_CA!$B$45,2),0)</f>
        <v/>
      </c>
      <c r="E286" s="14">
        <f>IF((A286&lt;=COB_CA!$B$58),IF(AND((A286&lt;=COB_CA!$B$58),ROUND(C286-ROUND(COB_CA!$B$59-D286,2),2)&lt;=0),C286,ROUND(COB_CA!$B$59-D286,2)),0)</f>
        <v/>
      </c>
      <c r="F286" s="14">
        <f>IF((A286&lt;=COB_CA!$B$58),IF(AND((A286&lt;=COB_CA!$B$58),ROUND(C286-ROUND(COB_CA!$B$59-D286,2),2)&lt;=0),ROUND(D286+E286,2),COB_CA!$B$59),0)</f>
        <v/>
      </c>
      <c r="G286" s="14">
        <f>IF((A286&lt;=COB_CA!$B$58),IF(AND((A286&lt;=COB_CA!$B$58),ROUND(C286-ROUND(COB_CA!$B$59-D286,2),2)&lt;=0),0,ROUND(C286-E286,2)),C286)</f>
        <v/>
      </c>
      <c r="H286" s="6">
        <f>AND(H285,C285&gt;0,(A286&lt;=COB_CA!$B$58))</f>
        <v/>
      </c>
    </row>
    <row r="287">
      <c r="A287" s="6" t="n">
        <v>283</v>
      </c>
      <c r="B287" s="17">
        <f>IF(COB_CA!$B$44=12,DATE(YEAR(COB_CA!$B$22)+INT((MONTH(COB_CA!$B$22)-1+282)/12),MOD(MONTH(COB_CA!$B$22)-1+282,12)+1,1)+(DAY(COB_CA!$B$22)-1),IF(COB_CA!$B$44=24,COB_CA!$B$22+ROUND((282*365.25)/24,0),IF(COB_CA!$B$44=26,COB_CA!$B$22+3948,COB_CA!$B$22+1974)))</f>
        <v/>
      </c>
      <c r="C287" s="14">
        <f>G286</f>
        <v/>
      </c>
      <c r="D287" s="14">
        <f>IF((A287&lt;=COB_CA!$B$58),ROUND(C287*COB_CA!$B$45,2),0)</f>
        <v/>
      </c>
      <c r="E287" s="14">
        <f>IF((A287&lt;=COB_CA!$B$58),IF(AND((A287&lt;=COB_CA!$B$58),ROUND(C287-ROUND(COB_CA!$B$59-D287,2),2)&lt;=0),C287,ROUND(COB_CA!$B$59-D287,2)),0)</f>
        <v/>
      </c>
      <c r="F287" s="14">
        <f>IF((A287&lt;=COB_CA!$B$58),IF(AND((A287&lt;=COB_CA!$B$58),ROUND(C287-ROUND(COB_CA!$B$59-D287,2),2)&lt;=0),ROUND(D287+E287,2),COB_CA!$B$59),0)</f>
        <v/>
      </c>
      <c r="G287" s="14">
        <f>IF((A287&lt;=COB_CA!$B$58),IF(AND((A287&lt;=COB_CA!$B$58),ROUND(C287-ROUND(COB_CA!$B$59-D287,2),2)&lt;=0),0,ROUND(C287-E287,2)),C287)</f>
        <v/>
      </c>
      <c r="H287" s="6">
        <f>AND(H286,C286&gt;0,(A287&lt;=COB_CA!$B$58))</f>
        <v/>
      </c>
    </row>
    <row r="288">
      <c r="A288" s="6" t="n">
        <v>284</v>
      </c>
      <c r="B288" s="17">
        <f>IF(COB_CA!$B$44=12,DATE(YEAR(COB_CA!$B$22)+INT((MONTH(COB_CA!$B$22)-1+283)/12),MOD(MONTH(COB_CA!$B$22)-1+283,12)+1,1)+(DAY(COB_CA!$B$22)-1),IF(COB_CA!$B$44=24,COB_CA!$B$22+ROUND((283*365.25)/24,0),IF(COB_CA!$B$44=26,COB_CA!$B$22+3962,COB_CA!$B$22+1981)))</f>
        <v/>
      </c>
      <c r="C288" s="14">
        <f>G287</f>
        <v/>
      </c>
      <c r="D288" s="14">
        <f>IF((A288&lt;=COB_CA!$B$58),ROUND(C288*COB_CA!$B$45,2),0)</f>
        <v/>
      </c>
      <c r="E288" s="14">
        <f>IF((A288&lt;=COB_CA!$B$58),IF(AND((A288&lt;=COB_CA!$B$58),ROUND(C288-ROUND(COB_CA!$B$59-D288,2),2)&lt;=0),C288,ROUND(COB_CA!$B$59-D288,2)),0)</f>
        <v/>
      </c>
      <c r="F288" s="14">
        <f>IF((A288&lt;=COB_CA!$B$58),IF(AND((A288&lt;=COB_CA!$B$58),ROUND(C288-ROUND(COB_CA!$B$59-D288,2),2)&lt;=0),ROUND(D288+E288,2),COB_CA!$B$59),0)</f>
        <v/>
      </c>
      <c r="G288" s="14">
        <f>IF((A288&lt;=COB_CA!$B$58),IF(AND((A288&lt;=COB_CA!$B$58),ROUND(C288-ROUND(COB_CA!$B$59-D288,2),2)&lt;=0),0,ROUND(C288-E288,2)),C288)</f>
        <v/>
      </c>
      <c r="H288" s="6">
        <f>AND(H287,C287&gt;0,(A288&lt;=COB_CA!$B$58))</f>
        <v/>
      </c>
    </row>
    <row r="289">
      <c r="A289" s="6" t="n">
        <v>285</v>
      </c>
      <c r="B289" s="17">
        <f>IF(COB_CA!$B$44=12,DATE(YEAR(COB_CA!$B$22)+INT((MONTH(COB_CA!$B$22)-1+284)/12),MOD(MONTH(COB_CA!$B$22)-1+284,12)+1,1)+(DAY(COB_CA!$B$22)-1),IF(COB_CA!$B$44=24,COB_CA!$B$22+ROUND((284*365.25)/24,0),IF(COB_CA!$B$44=26,COB_CA!$B$22+3976,COB_CA!$B$22+1988)))</f>
        <v/>
      </c>
      <c r="C289" s="14">
        <f>G288</f>
        <v/>
      </c>
      <c r="D289" s="14">
        <f>IF((A289&lt;=COB_CA!$B$58),ROUND(C289*COB_CA!$B$45,2),0)</f>
        <v/>
      </c>
      <c r="E289" s="14">
        <f>IF((A289&lt;=COB_CA!$B$58),IF(AND((A289&lt;=COB_CA!$B$58),ROUND(C289-ROUND(COB_CA!$B$59-D289,2),2)&lt;=0),C289,ROUND(COB_CA!$B$59-D289,2)),0)</f>
        <v/>
      </c>
      <c r="F289" s="14">
        <f>IF((A289&lt;=COB_CA!$B$58),IF(AND((A289&lt;=COB_CA!$B$58),ROUND(C289-ROUND(COB_CA!$B$59-D289,2),2)&lt;=0),ROUND(D289+E289,2),COB_CA!$B$59),0)</f>
        <v/>
      </c>
      <c r="G289" s="14">
        <f>IF((A289&lt;=COB_CA!$B$58),IF(AND((A289&lt;=COB_CA!$B$58),ROUND(C289-ROUND(COB_CA!$B$59-D289,2),2)&lt;=0),0,ROUND(C289-E289,2)),C289)</f>
        <v/>
      </c>
      <c r="H289" s="6">
        <f>AND(H288,C288&gt;0,(A289&lt;=COB_CA!$B$58))</f>
        <v/>
      </c>
    </row>
    <row r="290">
      <c r="A290" s="6" t="n">
        <v>286</v>
      </c>
      <c r="B290" s="17">
        <f>IF(COB_CA!$B$44=12,DATE(YEAR(COB_CA!$B$22)+INT((MONTH(COB_CA!$B$22)-1+285)/12),MOD(MONTH(COB_CA!$B$22)-1+285,12)+1,1)+(DAY(COB_CA!$B$22)-1),IF(COB_CA!$B$44=24,COB_CA!$B$22+ROUND((285*365.25)/24,0),IF(COB_CA!$B$44=26,COB_CA!$B$22+3990,COB_CA!$B$22+1995)))</f>
        <v/>
      </c>
      <c r="C290" s="14">
        <f>G289</f>
        <v/>
      </c>
      <c r="D290" s="14">
        <f>IF((A290&lt;=COB_CA!$B$58),ROUND(C290*COB_CA!$B$45,2),0)</f>
        <v/>
      </c>
      <c r="E290" s="14">
        <f>IF((A290&lt;=COB_CA!$B$58),IF(AND((A290&lt;=COB_CA!$B$58),ROUND(C290-ROUND(COB_CA!$B$59-D290,2),2)&lt;=0),C290,ROUND(COB_CA!$B$59-D290,2)),0)</f>
        <v/>
      </c>
      <c r="F290" s="14">
        <f>IF((A290&lt;=COB_CA!$B$58),IF(AND((A290&lt;=COB_CA!$B$58),ROUND(C290-ROUND(COB_CA!$B$59-D290,2),2)&lt;=0),ROUND(D290+E290,2),COB_CA!$B$59),0)</f>
        <v/>
      </c>
      <c r="G290" s="14">
        <f>IF((A290&lt;=COB_CA!$B$58),IF(AND((A290&lt;=COB_CA!$B$58),ROUND(C290-ROUND(COB_CA!$B$59-D290,2),2)&lt;=0),0,ROUND(C290-E290,2)),C290)</f>
        <v/>
      </c>
      <c r="H290" s="6">
        <f>AND(H289,C289&gt;0,(A290&lt;=COB_CA!$B$58))</f>
        <v/>
      </c>
    </row>
    <row r="291">
      <c r="A291" s="6" t="n">
        <v>287</v>
      </c>
      <c r="B291" s="17">
        <f>IF(COB_CA!$B$44=12,DATE(YEAR(COB_CA!$B$22)+INT((MONTH(COB_CA!$B$22)-1+286)/12),MOD(MONTH(COB_CA!$B$22)-1+286,12)+1,1)+(DAY(COB_CA!$B$22)-1),IF(COB_CA!$B$44=24,COB_CA!$B$22+ROUND((286*365.25)/24,0),IF(COB_CA!$B$44=26,COB_CA!$B$22+4004,COB_CA!$B$22+2002)))</f>
        <v/>
      </c>
      <c r="C291" s="14">
        <f>G290</f>
        <v/>
      </c>
      <c r="D291" s="14">
        <f>IF((A291&lt;=COB_CA!$B$58),ROUND(C291*COB_CA!$B$45,2),0)</f>
        <v/>
      </c>
      <c r="E291" s="14">
        <f>IF((A291&lt;=COB_CA!$B$58),IF(AND((A291&lt;=COB_CA!$B$58),ROUND(C291-ROUND(COB_CA!$B$59-D291,2),2)&lt;=0),C291,ROUND(COB_CA!$B$59-D291,2)),0)</f>
        <v/>
      </c>
      <c r="F291" s="14">
        <f>IF((A291&lt;=COB_CA!$B$58),IF(AND((A291&lt;=COB_CA!$B$58),ROUND(C291-ROUND(COB_CA!$B$59-D291,2),2)&lt;=0),ROUND(D291+E291,2),COB_CA!$B$59),0)</f>
        <v/>
      </c>
      <c r="G291" s="14">
        <f>IF((A291&lt;=COB_CA!$B$58),IF(AND((A291&lt;=COB_CA!$B$58),ROUND(C291-ROUND(COB_CA!$B$59-D291,2),2)&lt;=0),0,ROUND(C291-E291,2)),C291)</f>
        <v/>
      </c>
      <c r="H291" s="6">
        <f>AND(H290,C290&gt;0,(A291&lt;=COB_CA!$B$58))</f>
        <v/>
      </c>
    </row>
    <row r="292">
      <c r="A292" s="6" t="n">
        <v>288</v>
      </c>
      <c r="B292" s="17">
        <f>IF(COB_CA!$B$44=12,DATE(YEAR(COB_CA!$B$22)+INT((MONTH(COB_CA!$B$22)-1+287)/12),MOD(MONTH(COB_CA!$B$22)-1+287,12)+1,1)+(DAY(COB_CA!$B$22)-1),IF(COB_CA!$B$44=24,COB_CA!$B$22+ROUND((287*365.25)/24,0),IF(COB_CA!$B$44=26,COB_CA!$B$22+4018,COB_CA!$B$22+2009)))</f>
        <v/>
      </c>
      <c r="C292" s="14">
        <f>G291</f>
        <v/>
      </c>
      <c r="D292" s="14">
        <f>IF((A292&lt;=COB_CA!$B$58),ROUND(C292*COB_CA!$B$45,2),0)</f>
        <v/>
      </c>
      <c r="E292" s="14">
        <f>IF((A292&lt;=COB_CA!$B$58),IF(AND((A292&lt;=COB_CA!$B$58),ROUND(C292-ROUND(COB_CA!$B$59-D292,2),2)&lt;=0),C292,ROUND(COB_CA!$B$59-D292,2)),0)</f>
        <v/>
      </c>
      <c r="F292" s="14">
        <f>IF((A292&lt;=COB_CA!$B$58),IF(AND((A292&lt;=COB_CA!$B$58),ROUND(C292-ROUND(COB_CA!$B$59-D292,2),2)&lt;=0),ROUND(D292+E292,2),COB_CA!$B$59),0)</f>
        <v/>
      </c>
      <c r="G292" s="14">
        <f>IF((A292&lt;=COB_CA!$B$58),IF(AND((A292&lt;=COB_CA!$B$58),ROUND(C292-ROUND(COB_CA!$B$59-D292,2),2)&lt;=0),0,ROUND(C292-E292,2)),C292)</f>
        <v/>
      </c>
      <c r="H292" s="6">
        <f>AND(H291,C291&gt;0,(A292&lt;=COB_CA!$B$58))</f>
        <v/>
      </c>
    </row>
    <row r="293">
      <c r="A293" s="6" t="n">
        <v>289</v>
      </c>
      <c r="B293" s="17">
        <f>IF(COB_CA!$B$44=12,DATE(YEAR(COB_CA!$B$22)+INT((MONTH(COB_CA!$B$22)-1+288)/12),MOD(MONTH(COB_CA!$B$22)-1+288,12)+1,1)+(DAY(COB_CA!$B$22)-1),IF(COB_CA!$B$44=24,COB_CA!$B$22+ROUND((288*365.25)/24,0),IF(COB_CA!$B$44=26,COB_CA!$B$22+4032,COB_CA!$B$22+2016)))</f>
        <v/>
      </c>
      <c r="C293" s="14">
        <f>G292</f>
        <v/>
      </c>
      <c r="D293" s="14">
        <f>IF((A293&lt;=COB_CA!$B$58),ROUND(C293*COB_CA!$B$45,2),0)</f>
        <v/>
      </c>
      <c r="E293" s="14">
        <f>IF((A293&lt;=COB_CA!$B$58),IF(AND((A293&lt;=COB_CA!$B$58),ROUND(C293-ROUND(COB_CA!$B$59-D293,2),2)&lt;=0),C293,ROUND(COB_CA!$B$59-D293,2)),0)</f>
        <v/>
      </c>
      <c r="F293" s="14">
        <f>IF((A293&lt;=COB_CA!$B$58),IF(AND((A293&lt;=COB_CA!$B$58),ROUND(C293-ROUND(COB_CA!$B$59-D293,2),2)&lt;=0),ROUND(D293+E293,2),COB_CA!$B$59),0)</f>
        <v/>
      </c>
      <c r="G293" s="14">
        <f>IF((A293&lt;=COB_CA!$B$58),IF(AND((A293&lt;=COB_CA!$B$58),ROUND(C293-ROUND(COB_CA!$B$59-D293,2),2)&lt;=0),0,ROUND(C293-E293,2)),C293)</f>
        <v/>
      </c>
      <c r="H293" s="6">
        <f>AND(H292,C292&gt;0,(A293&lt;=COB_CA!$B$58))</f>
        <v/>
      </c>
    </row>
    <row r="294">
      <c r="A294" s="6" t="n">
        <v>290</v>
      </c>
      <c r="B294" s="17">
        <f>IF(COB_CA!$B$44=12,DATE(YEAR(COB_CA!$B$22)+INT((MONTH(COB_CA!$B$22)-1+289)/12),MOD(MONTH(COB_CA!$B$22)-1+289,12)+1,1)+(DAY(COB_CA!$B$22)-1),IF(COB_CA!$B$44=24,COB_CA!$B$22+ROUND((289*365.25)/24,0),IF(COB_CA!$B$44=26,COB_CA!$B$22+4046,COB_CA!$B$22+2023)))</f>
        <v/>
      </c>
      <c r="C294" s="14">
        <f>G293</f>
        <v/>
      </c>
      <c r="D294" s="14">
        <f>IF((A294&lt;=COB_CA!$B$58),ROUND(C294*COB_CA!$B$45,2),0)</f>
        <v/>
      </c>
      <c r="E294" s="14">
        <f>IF((A294&lt;=COB_CA!$B$58),IF(AND((A294&lt;=COB_CA!$B$58),ROUND(C294-ROUND(COB_CA!$B$59-D294,2),2)&lt;=0),C294,ROUND(COB_CA!$B$59-D294,2)),0)</f>
        <v/>
      </c>
      <c r="F294" s="14">
        <f>IF((A294&lt;=COB_CA!$B$58),IF(AND((A294&lt;=COB_CA!$B$58),ROUND(C294-ROUND(COB_CA!$B$59-D294,2),2)&lt;=0),ROUND(D294+E294,2),COB_CA!$B$59),0)</f>
        <v/>
      </c>
      <c r="G294" s="14">
        <f>IF((A294&lt;=COB_CA!$B$58),IF(AND((A294&lt;=COB_CA!$B$58),ROUND(C294-ROUND(COB_CA!$B$59-D294,2),2)&lt;=0),0,ROUND(C294-E294,2)),C294)</f>
        <v/>
      </c>
      <c r="H294" s="6">
        <f>AND(H293,C293&gt;0,(A294&lt;=COB_CA!$B$58))</f>
        <v/>
      </c>
    </row>
    <row r="295">
      <c r="A295" s="6" t="n">
        <v>291</v>
      </c>
      <c r="B295" s="17">
        <f>IF(COB_CA!$B$44=12,DATE(YEAR(COB_CA!$B$22)+INT((MONTH(COB_CA!$B$22)-1+290)/12),MOD(MONTH(COB_CA!$B$22)-1+290,12)+1,1)+(DAY(COB_CA!$B$22)-1),IF(COB_CA!$B$44=24,COB_CA!$B$22+ROUND((290*365.25)/24,0),IF(COB_CA!$B$44=26,COB_CA!$B$22+4060,COB_CA!$B$22+2030)))</f>
        <v/>
      </c>
      <c r="C295" s="14">
        <f>G294</f>
        <v/>
      </c>
      <c r="D295" s="14">
        <f>IF((A295&lt;=COB_CA!$B$58),ROUND(C295*COB_CA!$B$45,2),0)</f>
        <v/>
      </c>
      <c r="E295" s="14">
        <f>IF((A295&lt;=COB_CA!$B$58),IF(AND((A295&lt;=COB_CA!$B$58),ROUND(C295-ROUND(COB_CA!$B$59-D295,2),2)&lt;=0),C295,ROUND(COB_CA!$B$59-D295,2)),0)</f>
        <v/>
      </c>
      <c r="F295" s="14">
        <f>IF((A295&lt;=COB_CA!$B$58),IF(AND((A295&lt;=COB_CA!$B$58),ROUND(C295-ROUND(COB_CA!$B$59-D295,2),2)&lt;=0),ROUND(D295+E295,2),COB_CA!$B$59),0)</f>
        <v/>
      </c>
      <c r="G295" s="14">
        <f>IF((A295&lt;=COB_CA!$B$58),IF(AND((A295&lt;=COB_CA!$B$58),ROUND(C295-ROUND(COB_CA!$B$59-D295,2),2)&lt;=0),0,ROUND(C295-E295,2)),C295)</f>
        <v/>
      </c>
      <c r="H295" s="6">
        <f>AND(H294,C294&gt;0,(A295&lt;=COB_CA!$B$58))</f>
        <v/>
      </c>
    </row>
    <row r="296">
      <c r="A296" s="6" t="n">
        <v>292</v>
      </c>
      <c r="B296" s="17">
        <f>IF(COB_CA!$B$44=12,DATE(YEAR(COB_CA!$B$22)+INT((MONTH(COB_CA!$B$22)-1+291)/12),MOD(MONTH(COB_CA!$B$22)-1+291,12)+1,1)+(DAY(COB_CA!$B$22)-1),IF(COB_CA!$B$44=24,COB_CA!$B$22+ROUND((291*365.25)/24,0),IF(COB_CA!$B$44=26,COB_CA!$B$22+4074,COB_CA!$B$22+2037)))</f>
        <v/>
      </c>
      <c r="C296" s="14">
        <f>G295</f>
        <v/>
      </c>
      <c r="D296" s="14">
        <f>IF((A296&lt;=COB_CA!$B$58),ROUND(C296*COB_CA!$B$45,2),0)</f>
        <v/>
      </c>
      <c r="E296" s="14">
        <f>IF((A296&lt;=COB_CA!$B$58),IF(AND((A296&lt;=COB_CA!$B$58),ROUND(C296-ROUND(COB_CA!$B$59-D296,2),2)&lt;=0),C296,ROUND(COB_CA!$B$59-D296,2)),0)</f>
        <v/>
      </c>
      <c r="F296" s="14">
        <f>IF((A296&lt;=COB_CA!$B$58),IF(AND((A296&lt;=COB_CA!$B$58),ROUND(C296-ROUND(COB_CA!$B$59-D296,2),2)&lt;=0),ROUND(D296+E296,2),COB_CA!$B$59),0)</f>
        <v/>
      </c>
      <c r="G296" s="14">
        <f>IF((A296&lt;=COB_CA!$B$58),IF(AND((A296&lt;=COB_CA!$B$58),ROUND(C296-ROUND(COB_CA!$B$59-D296,2),2)&lt;=0),0,ROUND(C296-E296,2)),C296)</f>
        <v/>
      </c>
      <c r="H296" s="6">
        <f>AND(H295,C295&gt;0,(A296&lt;=COB_CA!$B$58))</f>
        <v/>
      </c>
    </row>
    <row r="297">
      <c r="A297" s="6" t="n">
        <v>293</v>
      </c>
      <c r="B297" s="17">
        <f>IF(COB_CA!$B$44=12,DATE(YEAR(COB_CA!$B$22)+INT((MONTH(COB_CA!$B$22)-1+292)/12),MOD(MONTH(COB_CA!$B$22)-1+292,12)+1,1)+(DAY(COB_CA!$B$22)-1),IF(COB_CA!$B$44=24,COB_CA!$B$22+ROUND((292*365.25)/24,0),IF(COB_CA!$B$44=26,COB_CA!$B$22+4088,COB_CA!$B$22+2044)))</f>
        <v/>
      </c>
      <c r="C297" s="14">
        <f>G296</f>
        <v/>
      </c>
      <c r="D297" s="14">
        <f>IF((A297&lt;=COB_CA!$B$58),ROUND(C297*COB_CA!$B$45,2),0)</f>
        <v/>
      </c>
      <c r="E297" s="14">
        <f>IF((A297&lt;=COB_CA!$B$58),IF(AND((A297&lt;=COB_CA!$B$58),ROUND(C297-ROUND(COB_CA!$B$59-D297,2),2)&lt;=0),C297,ROUND(COB_CA!$B$59-D297,2)),0)</f>
        <v/>
      </c>
      <c r="F297" s="14">
        <f>IF((A297&lt;=COB_CA!$B$58),IF(AND((A297&lt;=COB_CA!$B$58),ROUND(C297-ROUND(COB_CA!$B$59-D297,2),2)&lt;=0),ROUND(D297+E297,2),COB_CA!$B$59),0)</f>
        <v/>
      </c>
      <c r="G297" s="14">
        <f>IF((A297&lt;=COB_CA!$B$58),IF(AND((A297&lt;=COB_CA!$B$58),ROUND(C297-ROUND(COB_CA!$B$59-D297,2),2)&lt;=0),0,ROUND(C297-E297,2)),C297)</f>
        <v/>
      </c>
      <c r="H297" s="6">
        <f>AND(H296,C296&gt;0,(A297&lt;=COB_CA!$B$58))</f>
        <v/>
      </c>
    </row>
    <row r="298">
      <c r="A298" s="6" t="n">
        <v>294</v>
      </c>
      <c r="B298" s="17">
        <f>IF(COB_CA!$B$44=12,DATE(YEAR(COB_CA!$B$22)+INT((MONTH(COB_CA!$B$22)-1+293)/12),MOD(MONTH(COB_CA!$B$22)-1+293,12)+1,1)+(DAY(COB_CA!$B$22)-1),IF(COB_CA!$B$44=24,COB_CA!$B$22+ROUND((293*365.25)/24,0),IF(COB_CA!$B$44=26,COB_CA!$B$22+4102,COB_CA!$B$22+2051)))</f>
        <v/>
      </c>
      <c r="C298" s="14">
        <f>G297</f>
        <v/>
      </c>
      <c r="D298" s="14">
        <f>IF((A298&lt;=COB_CA!$B$58),ROUND(C298*COB_CA!$B$45,2),0)</f>
        <v/>
      </c>
      <c r="E298" s="14">
        <f>IF((A298&lt;=COB_CA!$B$58),IF(AND((A298&lt;=COB_CA!$B$58),ROUND(C298-ROUND(COB_CA!$B$59-D298,2),2)&lt;=0),C298,ROUND(COB_CA!$B$59-D298,2)),0)</f>
        <v/>
      </c>
      <c r="F298" s="14">
        <f>IF((A298&lt;=COB_CA!$B$58),IF(AND((A298&lt;=COB_CA!$B$58),ROUND(C298-ROUND(COB_CA!$B$59-D298,2),2)&lt;=0),ROUND(D298+E298,2),COB_CA!$B$59),0)</f>
        <v/>
      </c>
      <c r="G298" s="14">
        <f>IF((A298&lt;=COB_CA!$B$58),IF(AND((A298&lt;=COB_CA!$B$58),ROUND(C298-ROUND(COB_CA!$B$59-D298,2),2)&lt;=0),0,ROUND(C298-E298,2)),C298)</f>
        <v/>
      </c>
      <c r="H298" s="6">
        <f>AND(H297,C297&gt;0,(A298&lt;=COB_CA!$B$58))</f>
        <v/>
      </c>
    </row>
    <row r="299">
      <c r="A299" s="6" t="n">
        <v>295</v>
      </c>
      <c r="B299" s="17">
        <f>IF(COB_CA!$B$44=12,DATE(YEAR(COB_CA!$B$22)+INT((MONTH(COB_CA!$B$22)-1+294)/12),MOD(MONTH(COB_CA!$B$22)-1+294,12)+1,1)+(DAY(COB_CA!$B$22)-1),IF(COB_CA!$B$44=24,COB_CA!$B$22+ROUND((294*365.25)/24,0),IF(COB_CA!$B$44=26,COB_CA!$B$22+4116,COB_CA!$B$22+2058)))</f>
        <v/>
      </c>
      <c r="C299" s="14">
        <f>G298</f>
        <v/>
      </c>
      <c r="D299" s="14">
        <f>IF((A299&lt;=COB_CA!$B$58),ROUND(C299*COB_CA!$B$45,2),0)</f>
        <v/>
      </c>
      <c r="E299" s="14">
        <f>IF((A299&lt;=COB_CA!$B$58),IF(AND((A299&lt;=COB_CA!$B$58),ROUND(C299-ROUND(COB_CA!$B$59-D299,2),2)&lt;=0),C299,ROUND(COB_CA!$B$59-D299,2)),0)</f>
        <v/>
      </c>
      <c r="F299" s="14">
        <f>IF((A299&lt;=COB_CA!$B$58),IF(AND((A299&lt;=COB_CA!$B$58),ROUND(C299-ROUND(COB_CA!$B$59-D299,2),2)&lt;=0),ROUND(D299+E299,2),COB_CA!$B$59),0)</f>
        <v/>
      </c>
      <c r="G299" s="14">
        <f>IF((A299&lt;=COB_CA!$B$58),IF(AND((A299&lt;=COB_CA!$B$58),ROUND(C299-ROUND(COB_CA!$B$59-D299,2),2)&lt;=0),0,ROUND(C299-E299,2)),C299)</f>
        <v/>
      </c>
      <c r="H299" s="6">
        <f>AND(H298,C298&gt;0,(A299&lt;=COB_CA!$B$58))</f>
        <v/>
      </c>
    </row>
    <row r="300">
      <c r="A300" s="6" t="n">
        <v>296</v>
      </c>
      <c r="B300" s="17">
        <f>IF(COB_CA!$B$44=12,DATE(YEAR(COB_CA!$B$22)+INT((MONTH(COB_CA!$B$22)-1+295)/12),MOD(MONTH(COB_CA!$B$22)-1+295,12)+1,1)+(DAY(COB_CA!$B$22)-1),IF(COB_CA!$B$44=24,COB_CA!$B$22+ROUND((295*365.25)/24,0),IF(COB_CA!$B$44=26,COB_CA!$B$22+4130,COB_CA!$B$22+2065)))</f>
        <v/>
      </c>
      <c r="C300" s="14">
        <f>G299</f>
        <v/>
      </c>
      <c r="D300" s="14">
        <f>IF((A300&lt;=COB_CA!$B$58),ROUND(C300*COB_CA!$B$45,2),0)</f>
        <v/>
      </c>
      <c r="E300" s="14">
        <f>IF((A300&lt;=COB_CA!$B$58),IF(AND((A300&lt;=COB_CA!$B$58),ROUND(C300-ROUND(COB_CA!$B$59-D300,2),2)&lt;=0),C300,ROUND(COB_CA!$B$59-D300,2)),0)</f>
        <v/>
      </c>
      <c r="F300" s="14">
        <f>IF((A300&lt;=COB_CA!$B$58),IF(AND((A300&lt;=COB_CA!$B$58),ROUND(C300-ROUND(COB_CA!$B$59-D300,2),2)&lt;=0),ROUND(D300+E300,2),COB_CA!$B$59),0)</f>
        <v/>
      </c>
      <c r="G300" s="14">
        <f>IF((A300&lt;=COB_CA!$B$58),IF(AND((A300&lt;=COB_CA!$B$58),ROUND(C300-ROUND(COB_CA!$B$59-D300,2),2)&lt;=0),0,ROUND(C300-E300,2)),C300)</f>
        <v/>
      </c>
      <c r="H300" s="6">
        <f>AND(H299,C299&gt;0,(A300&lt;=COB_CA!$B$58))</f>
        <v/>
      </c>
    </row>
    <row r="301">
      <c r="A301" s="6" t="n">
        <v>297</v>
      </c>
      <c r="B301" s="17">
        <f>IF(COB_CA!$B$44=12,DATE(YEAR(COB_CA!$B$22)+INT((MONTH(COB_CA!$B$22)-1+296)/12),MOD(MONTH(COB_CA!$B$22)-1+296,12)+1,1)+(DAY(COB_CA!$B$22)-1),IF(COB_CA!$B$44=24,COB_CA!$B$22+ROUND((296*365.25)/24,0),IF(COB_CA!$B$44=26,COB_CA!$B$22+4144,COB_CA!$B$22+2072)))</f>
        <v/>
      </c>
      <c r="C301" s="14">
        <f>G300</f>
        <v/>
      </c>
      <c r="D301" s="14">
        <f>IF((A301&lt;=COB_CA!$B$58),ROUND(C301*COB_CA!$B$45,2),0)</f>
        <v/>
      </c>
      <c r="E301" s="14">
        <f>IF((A301&lt;=COB_CA!$B$58),IF(AND((A301&lt;=COB_CA!$B$58),ROUND(C301-ROUND(COB_CA!$B$59-D301,2),2)&lt;=0),C301,ROUND(COB_CA!$B$59-D301,2)),0)</f>
        <v/>
      </c>
      <c r="F301" s="14">
        <f>IF((A301&lt;=COB_CA!$B$58),IF(AND((A301&lt;=COB_CA!$B$58),ROUND(C301-ROUND(COB_CA!$B$59-D301,2),2)&lt;=0),ROUND(D301+E301,2),COB_CA!$B$59),0)</f>
        <v/>
      </c>
      <c r="G301" s="14">
        <f>IF((A301&lt;=COB_CA!$B$58),IF(AND((A301&lt;=COB_CA!$B$58),ROUND(C301-ROUND(COB_CA!$B$59-D301,2),2)&lt;=0),0,ROUND(C301-E301,2)),C301)</f>
        <v/>
      </c>
      <c r="H301" s="6">
        <f>AND(H300,C300&gt;0,(A301&lt;=COB_CA!$B$58))</f>
        <v/>
      </c>
    </row>
    <row r="302">
      <c r="A302" s="6" t="n">
        <v>298</v>
      </c>
      <c r="B302" s="17">
        <f>IF(COB_CA!$B$44=12,DATE(YEAR(COB_CA!$B$22)+INT((MONTH(COB_CA!$B$22)-1+297)/12),MOD(MONTH(COB_CA!$B$22)-1+297,12)+1,1)+(DAY(COB_CA!$B$22)-1),IF(COB_CA!$B$44=24,COB_CA!$B$22+ROUND((297*365.25)/24,0),IF(COB_CA!$B$44=26,COB_CA!$B$22+4158,COB_CA!$B$22+2079)))</f>
        <v/>
      </c>
      <c r="C302" s="14">
        <f>G301</f>
        <v/>
      </c>
      <c r="D302" s="14">
        <f>IF((A302&lt;=COB_CA!$B$58),ROUND(C302*COB_CA!$B$45,2),0)</f>
        <v/>
      </c>
      <c r="E302" s="14">
        <f>IF((A302&lt;=COB_CA!$B$58),IF(AND((A302&lt;=COB_CA!$B$58),ROUND(C302-ROUND(COB_CA!$B$59-D302,2),2)&lt;=0),C302,ROUND(COB_CA!$B$59-D302,2)),0)</f>
        <v/>
      </c>
      <c r="F302" s="14">
        <f>IF((A302&lt;=COB_CA!$B$58),IF(AND((A302&lt;=COB_CA!$B$58),ROUND(C302-ROUND(COB_CA!$B$59-D302,2),2)&lt;=0),ROUND(D302+E302,2),COB_CA!$B$59),0)</f>
        <v/>
      </c>
      <c r="G302" s="14">
        <f>IF((A302&lt;=COB_CA!$B$58),IF(AND((A302&lt;=COB_CA!$B$58),ROUND(C302-ROUND(COB_CA!$B$59-D302,2),2)&lt;=0),0,ROUND(C302-E302,2)),C302)</f>
        <v/>
      </c>
      <c r="H302" s="6">
        <f>AND(H301,C301&gt;0,(A302&lt;=COB_CA!$B$58))</f>
        <v/>
      </c>
    </row>
    <row r="303">
      <c r="A303" s="6" t="n">
        <v>299</v>
      </c>
      <c r="B303" s="17">
        <f>IF(COB_CA!$B$44=12,DATE(YEAR(COB_CA!$B$22)+INT((MONTH(COB_CA!$B$22)-1+298)/12),MOD(MONTH(COB_CA!$B$22)-1+298,12)+1,1)+(DAY(COB_CA!$B$22)-1),IF(COB_CA!$B$44=24,COB_CA!$B$22+ROUND((298*365.25)/24,0),IF(COB_CA!$B$44=26,COB_CA!$B$22+4172,COB_CA!$B$22+2086)))</f>
        <v/>
      </c>
      <c r="C303" s="14">
        <f>G302</f>
        <v/>
      </c>
      <c r="D303" s="14">
        <f>IF((A303&lt;=COB_CA!$B$58),ROUND(C303*COB_CA!$B$45,2),0)</f>
        <v/>
      </c>
      <c r="E303" s="14">
        <f>IF((A303&lt;=COB_CA!$B$58),IF(AND((A303&lt;=COB_CA!$B$58),ROUND(C303-ROUND(COB_CA!$B$59-D303,2),2)&lt;=0),C303,ROUND(COB_CA!$B$59-D303,2)),0)</f>
        <v/>
      </c>
      <c r="F303" s="14">
        <f>IF((A303&lt;=COB_CA!$B$58),IF(AND((A303&lt;=COB_CA!$B$58),ROUND(C303-ROUND(COB_CA!$B$59-D303,2),2)&lt;=0),ROUND(D303+E303,2),COB_CA!$B$59),0)</f>
        <v/>
      </c>
      <c r="G303" s="14">
        <f>IF((A303&lt;=COB_CA!$B$58),IF(AND((A303&lt;=COB_CA!$B$58),ROUND(C303-ROUND(COB_CA!$B$59-D303,2),2)&lt;=0),0,ROUND(C303-E303,2)),C303)</f>
        <v/>
      </c>
      <c r="H303" s="6">
        <f>AND(H302,C302&gt;0,(A303&lt;=COB_CA!$B$58))</f>
        <v/>
      </c>
    </row>
    <row r="304">
      <c r="A304" s="6" t="n">
        <v>300</v>
      </c>
      <c r="B304" s="17">
        <f>IF(COB_CA!$B$44=12,DATE(YEAR(COB_CA!$B$22)+INT((MONTH(COB_CA!$B$22)-1+299)/12),MOD(MONTH(COB_CA!$B$22)-1+299,12)+1,1)+(DAY(COB_CA!$B$22)-1),IF(COB_CA!$B$44=24,COB_CA!$B$22+ROUND((299*365.25)/24,0),IF(COB_CA!$B$44=26,COB_CA!$B$22+4186,COB_CA!$B$22+2093)))</f>
        <v/>
      </c>
      <c r="C304" s="14">
        <f>G303</f>
        <v/>
      </c>
      <c r="D304" s="14">
        <f>IF((A304&lt;=COB_CA!$B$58),ROUND(C304*COB_CA!$B$45,2),0)</f>
        <v/>
      </c>
      <c r="E304" s="14">
        <f>IF((A304&lt;=COB_CA!$B$58),IF(AND((A304&lt;=COB_CA!$B$58),ROUND(C304-ROUND(COB_CA!$B$59-D304,2),2)&lt;=0),C304,ROUND(COB_CA!$B$59-D304,2)),0)</f>
        <v/>
      </c>
      <c r="F304" s="14">
        <f>IF((A304&lt;=COB_CA!$B$58),IF(AND((A304&lt;=COB_CA!$B$58),ROUND(C304-ROUND(COB_CA!$B$59-D304,2),2)&lt;=0),ROUND(D304+E304,2),COB_CA!$B$59),0)</f>
        <v/>
      </c>
      <c r="G304" s="14">
        <f>IF((A304&lt;=COB_CA!$B$58),IF(AND((A304&lt;=COB_CA!$B$58),ROUND(C304-ROUND(COB_CA!$B$59-D304,2),2)&lt;=0),0,ROUND(C304-E304,2)),C304)</f>
        <v/>
      </c>
      <c r="H304" s="6">
        <f>AND(H303,C303&gt;0,(A304&lt;=COB_CA!$B$58))</f>
        <v/>
      </c>
    </row>
    <row r="305">
      <c r="A305" s="6" t="n">
        <v>301</v>
      </c>
      <c r="B305" s="17">
        <f>IF(COB_CA!$B$44=12,DATE(YEAR(COB_CA!$B$22)+INT((MONTH(COB_CA!$B$22)-1+300)/12),MOD(MONTH(COB_CA!$B$22)-1+300,12)+1,1)+(DAY(COB_CA!$B$22)-1),IF(COB_CA!$B$44=24,COB_CA!$B$22+ROUND((300*365.25)/24,0),IF(COB_CA!$B$44=26,COB_CA!$B$22+4200,COB_CA!$B$22+2100)))</f>
        <v/>
      </c>
      <c r="C305" s="14">
        <f>G304</f>
        <v/>
      </c>
      <c r="D305" s="14">
        <f>IF((A305&lt;=COB_CA!$B$58),ROUND(C305*COB_CA!$B$45,2),0)</f>
        <v/>
      </c>
      <c r="E305" s="14">
        <f>IF((A305&lt;=COB_CA!$B$58),IF(AND((A305&lt;=COB_CA!$B$58),ROUND(C305-ROUND(COB_CA!$B$59-D305,2),2)&lt;=0),C305,ROUND(COB_CA!$B$59-D305,2)),0)</f>
        <v/>
      </c>
      <c r="F305" s="14">
        <f>IF((A305&lt;=COB_CA!$B$58),IF(AND((A305&lt;=COB_CA!$B$58),ROUND(C305-ROUND(COB_CA!$B$59-D305,2),2)&lt;=0),ROUND(D305+E305,2),COB_CA!$B$59),0)</f>
        <v/>
      </c>
      <c r="G305" s="14">
        <f>IF((A305&lt;=COB_CA!$B$58),IF(AND((A305&lt;=COB_CA!$B$58),ROUND(C305-ROUND(COB_CA!$B$59-D305,2),2)&lt;=0),0,ROUND(C305-E305,2)),C305)</f>
        <v/>
      </c>
      <c r="H305" s="6">
        <f>AND(H304,C304&gt;0,(A305&lt;=COB_CA!$B$58))</f>
        <v/>
      </c>
    </row>
    <row r="306">
      <c r="A306" s="6" t="n">
        <v>302</v>
      </c>
      <c r="B306" s="17">
        <f>IF(COB_CA!$B$44=12,DATE(YEAR(COB_CA!$B$22)+INT((MONTH(COB_CA!$B$22)-1+301)/12),MOD(MONTH(COB_CA!$B$22)-1+301,12)+1,1)+(DAY(COB_CA!$B$22)-1),IF(COB_CA!$B$44=24,COB_CA!$B$22+ROUND((301*365.25)/24,0),IF(COB_CA!$B$44=26,COB_CA!$B$22+4214,COB_CA!$B$22+2107)))</f>
        <v/>
      </c>
      <c r="C306" s="14">
        <f>G305</f>
        <v/>
      </c>
      <c r="D306" s="14">
        <f>IF((A306&lt;=COB_CA!$B$58),ROUND(C306*COB_CA!$B$45,2),0)</f>
        <v/>
      </c>
      <c r="E306" s="14">
        <f>IF((A306&lt;=COB_CA!$B$58),IF(AND((A306&lt;=COB_CA!$B$58),ROUND(C306-ROUND(COB_CA!$B$59-D306,2),2)&lt;=0),C306,ROUND(COB_CA!$B$59-D306,2)),0)</f>
        <v/>
      </c>
      <c r="F306" s="14">
        <f>IF((A306&lt;=COB_CA!$B$58),IF(AND((A306&lt;=COB_CA!$B$58),ROUND(C306-ROUND(COB_CA!$B$59-D306,2),2)&lt;=0),ROUND(D306+E306,2),COB_CA!$B$59),0)</f>
        <v/>
      </c>
      <c r="G306" s="14">
        <f>IF((A306&lt;=COB_CA!$B$58),IF(AND((A306&lt;=COB_CA!$B$58),ROUND(C306-ROUND(COB_CA!$B$59-D306,2),2)&lt;=0),0,ROUND(C306-E306,2)),C306)</f>
        <v/>
      </c>
      <c r="H306" s="6">
        <f>AND(H305,C305&gt;0,(A306&lt;=COB_CA!$B$58))</f>
        <v/>
      </c>
    </row>
    <row r="307">
      <c r="A307" s="6" t="n">
        <v>303</v>
      </c>
      <c r="B307" s="17">
        <f>IF(COB_CA!$B$44=12,DATE(YEAR(COB_CA!$B$22)+INT((MONTH(COB_CA!$B$22)-1+302)/12),MOD(MONTH(COB_CA!$B$22)-1+302,12)+1,1)+(DAY(COB_CA!$B$22)-1),IF(COB_CA!$B$44=24,COB_CA!$B$22+ROUND((302*365.25)/24,0),IF(COB_CA!$B$44=26,COB_CA!$B$22+4228,COB_CA!$B$22+2114)))</f>
        <v/>
      </c>
      <c r="C307" s="14">
        <f>G306</f>
        <v/>
      </c>
      <c r="D307" s="14">
        <f>IF((A307&lt;=COB_CA!$B$58),ROUND(C307*COB_CA!$B$45,2),0)</f>
        <v/>
      </c>
      <c r="E307" s="14">
        <f>IF((A307&lt;=COB_CA!$B$58),IF(AND((A307&lt;=COB_CA!$B$58),ROUND(C307-ROUND(COB_CA!$B$59-D307,2),2)&lt;=0),C307,ROUND(COB_CA!$B$59-D307,2)),0)</f>
        <v/>
      </c>
      <c r="F307" s="14">
        <f>IF((A307&lt;=COB_CA!$B$58),IF(AND((A307&lt;=COB_CA!$B$58),ROUND(C307-ROUND(COB_CA!$B$59-D307,2),2)&lt;=0),ROUND(D307+E307,2),COB_CA!$B$59),0)</f>
        <v/>
      </c>
      <c r="G307" s="14">
        <f>IF((A307&lt;=COB_CA!$B$58),IF(AND((A307&lt;=COB_CA!$B$58),ROUND(C307-ROUND(COB_CA!$B$59-D307,2),2)&lt;=0),0,ROUND(C307-E307,2)),C307)</f>
        <v/>
      </c>
      <c r="H307" s="6">
        <f>AND(H306,C306&gt;0,(A307&lt;=COB_CA!$B$58))</f>
        <v/>
      </c>
    </row>
    <row r="308">
      <c r="A308" s="6" t="n">
        <v>304</v>
      </c>
      <c r="B308" s="17">
        <f>IF(COB_CA!$B$44=12,DATE(YEAR(COB_CA!$B$22)+INT((MONTH(COB_CA!$B$22)-1+303)/12),MOD(MONTH(COB_CA!$B$22)-1+303,12)+1,1)+(DAY(COB_CA!$B$22)-1),IF(COB_CA!$B$44=24,COB_CA!$B$22+ROUND((303*365.25)/24,0),IF(COB_CA!$B$44=26,COB_CA!$B$22+4242,COB_CA!$B$22+2121)))</f>
        <v/>
      </c>
      <c r="C308" s="14">
        <f>G307</f>
        <v/>
      </c>
      <c r="D308" s="14">
        <f>IF((A308&lt;=COB_CA!$B$58),ROUND(C308*COB_CA!$B$45,2),0)</f>
        <v/>
      </c>
      <c r="E308" s="14">
        <f>IF((A308&lt;=COB_CA!$B$58),IF(AND((A308&lt;=COB_CA!$B$58),ROUND(C308-ROUND(COB_CA!$B$59-D308,2),2)&lt;=0),C308,ROUND(COB_CA!$B$59-D308,2)),0)</f>
        <v/>
      </c>
      <c r="F308" s="14">
        <f>IF((A308&lt;=COB_CA!$B$58),IF(AND((A308&lt;=COB_CA!$B$58),ROUND(C308-ROUND(COB_CA!$B$59-D308,2),2)&lt;=0),ROUND(D308+E308,2),COB_CA!$B$59),0)</f>
        <v/>
      </c>
      <c r="G308" s="14">
        <f>IF((A308&lt;=COB_CA!$B$58),IF(AND((A308&lt;=COB_CA!$B$58),ROUND(C308-ROUND(COB_CA!$B$59-D308,2),2)&lt;=0),0,ROUND(C308-E308,2)),C308)</f>
        <v/>
      </c>
      <c r="H308" s="6">
        <f>AND(H307,C307&gt;0,(A308&lt;=COB_CA!$B$58))</f>
        <v/>
      </c>
    </row>
    <row r="309">
      <c r="A309" s="6" t="n">
        <v>305</v>
      </c>
      <c r="B309" s="17">
        <f>IF(COB_CA!$B$44=12,DATE(YEAR(COB_CA!$B$22)+INT((MONTH(COB_CA!$B$22)-1+304)/12),MOD(MONTH(COB_CA!$B$22)-1+304,12)+1,1)+(DAY(COB_CA!$B$22)-1),IF(COB_CA!$B$44=24,COB_CA!$B$22+ROUND((304*365.25)/24,0),IF(COB_CA!$B$44=26,COB_CA!$B$22+4256,COB_CA!$B$22+2128)))</f>
        <v/>
      </c>
      <c r="C309" s="14">
        <f>G308</f>
        <v/>
      </c>
      <c r="D309" s="14">
        <f>IF((A309&lt;=COB_CA!$B$58),ROUND(C309*COB_CA!$B$45,2),0)</f>
        <v/>
      </c>
      <c r="E309" s="14">
        <f>IF((A309&lt;=COB_CA!$B$58),IF(AND((A309&lt;=COB_CA!$B$58),ROUND(C309-ROUND(COB_CA!$B$59-D309,2),2)&lt;=0),C309,ROUND(COB_CA!$B$59-D309,2)),0)</f>
        <v/>
      </c>
      <c r="F309" s="14">
        <f>IF((A309&lt;=COB_CA!$B$58),IF(AND((A309&lt;=COB_CA!$B$58),ROUND(C309-ROUND(COB_CA!$B$59-D309,2),2)&lt;=0),ROUND(D309+E309,2),COB_CA!$B$59),0)</f>
        <v/>
      </c>
      <c r="G309" s="14">
        <f>IF((A309&lt;=COB_CA!$B$58),IF(AND((A309&lt;=COB_CA!$B$58),ROUND(C309-ROUND(COB_CA!$B$59-D309,2),2)&lt;=0),0,ROUND(C309-E309,2)),C309)</f>
        <v/>
      </c>
      <c r="H309" s="6">
        <f>AND(H308,C308&gt;0,(A309&lt;=COB_CA!$B$58))</f>
        <v/>
      </c>
    </row>
    <row r="310">
      <c r="A310" s="6" t="n">
        <v>306</v>
      </c>
      <c r="B310" s="17">
        <f>IF(COB_CA!$B$44=12,DATE(YEAR(COB_CA!$B$22)+INT((MONTH(COB_CA!$B$22)-1+305)/12),MOD(MONTH(COB_CA!$B$22)-1+305,12)+1,1)+(DAY(COB_CA!$B$22)-1),IF(COB_CA!$B$44=24,COB_CA!$B$22+ROUND((305*365.25)/24,0),IF(COB_CA!$B$44=26,COB_CA!$B$22+4270,COB_CA!$B$22+2135)))</f>
        <v/>
      </c>
      <c r="C310" s="14">
        <f>G309</f>
        <v/>
      </c>
      <c r="D310" s="14">
        <f>IF((A310&lt;=COB_CA!$B$58),ROUND(C310*COB_CA!$B$45,2),0)</f>
        <v/>
      </c>
      <c r="E310" s="14">
        <f>IF((A310&lt;=COB_CA!$B$58),IF(AND((A310&lt;=COB_CA!$B$58),ROUND(C310-ROUND(COB_CA!$B$59-D310,2),2)&lt;=0),C310,ROUND(COB_CA!$B$59-D310,2)),0)</f>
        <v/>
      </c>
      <c r="F310" s="14">
        <f>IF((A310&lt;=COB_CA!$B$58),IF(AND((A310&lt;=COB_CA!$B$58),ROUND(C310-ROUND(COB_CA!$B$59-D310,2),2)&lt;=0),ROUND(D310+E310,2),COB_CA!$B$59),0)</f>
        <v/>
      </c>
      <c r="G310" s="14">
        <f>IF((A310&lt;=COB_CA!$B$58),IF(AND((A310&lt;=COB_CA!$B$58),ROUND(C310-ROUND(COB_CA!$B$59-D310,2),2)&lt;=0),0,ROUND(C310-E310,2)),C310)</f>
        <v/>
      </c>
      <c r="H310" s="6">
        <f>AND(H309,C309&gt;0,(A310&lt;=COB_CA!$B$58))</f>
        <v/>
      </c>
    </row>
    <row r="311">
      <c r="A311" s="6" t="n">
        <v>307</v>
      </c>
      <c r="B311" s="17">
        <f>IF(COB_CA!$B$44=12,DATE(YEAR(COB_CA!$B$22)+INT((MONTH(COB_CA!$B$22)-1+306)/12),MOD(MONTH(COB_CA!$B$22)-1+306,12)+1,1)+(DAY(COB_CA!$B$22)-1),IF(COB_CA!$B$44=24,COB_CA!$B$22+ROUND((306*365.25)/24,0),IF(COB_CA!$B$44=26,COB_CA!$B$22+4284,COB_CA!$B$22+2142)))</f>
        <v/>
      </c>
      <c r="C311" s="14">
        <f>G310</f>
        <v/>
      </c>
      <c r="D311" s="14">
        <f>IF((A311&lt;=COB_CA!$B$58),ROUND(C311*COB_CA!$B$45,2),0)</f>
        <v/>
      </c>
      <c r="E311" s="14">
        <f>IF((A311&lt;=COB_CA!$B$58),IF(AND((A311&lt;=COB_CA!$B$58),ROUND(C311-ROUND(COB_CA!$B$59-D311,2),2)&lt;=0),C311,ROUND(COB_CA!$B$59-D311,2)),0)</f>
        <v/>
      </c>
      <c r="F311" s="14">
        <f>IF((A311&lt;=COB_CA!$B$58),IF(AND((A311&lt;=COB_CA!$B$58),ROUND(C311-ROUND(COB_CA!$B$59-D311,2),2)&lt;=0),ROUND(D311+E311,2),COB_CA!$B$59),0)</f>
        <v/>
      </c>
      <c r="G311" s="14">
        <f>IF((A311&lt;=COB_CA!$B$58),IF(AND((A311&lt;=COB_CA!$B$58),ROUND(C311-ROUND(COB_CA!$B$59-D311,2),2)&lt;=0),0,ROUND(C311-E311,2)),C311)</f>
        <v/>
      </c>
      <c r="H311" s="6">
        <f>AND(H310,C310&gt;0,(A311&lt;=COB_CA!$B$58))</f>
        <v/>
      </c>
    </row>
    <row r="312">
      <c r="A312" s="6" t="n">
        <v>308</v>
      </c>
      <c r="B312" s="17">
        <f>IF(COB_CA!$B$44=12,DATE(YEAR(COB_CA!$B$22)+INT((MONTH(COB_CA!$B$22)-1+307)/12),MOD(MONTH(COB_CA!$B$22)-1+307,12)+1,1)+(DAY(COB_CA!$B$22)-1),IF(COB_CA!$B$44=24,COB_CA!$B$22+ROUND((307*365.25)/24,0),IF(COB_CA!$B$44=26,COB_CA!$B$22+4298,COB_CA!$B$22+2149)))</f>
        <v/>
      </c>
      <c r="C312" s="14">
        <f>G311</f>
        <v/>
      </c>
      <c r="D312" s="14">
        <f>IF((A312&lt;=COB_CA!$B$58),ROUND(C312*COB_CA!$B$45,2),0)</f>
        <v/>
      </c>
      <c r="E312" s="14">
        <f>IF((A312&lt;=COB_CA!$B$58),IF(AND((A312&lt;=COB_CA!$B$58),ROUND(C312-ROUND(COB_CA!$B$59-D312,2),2)&lt;=0),C312,ROUND(COB_CA!$B$59-D312,2)),0)</f>
        <v/>
      </c>
      <c r="F312" s="14">
        <f>IF((A312&lt;=COB_CA!$B$58),IF(AND((A312&lt;=COB_CA!$B$58),ROUND(C312-ROUND(COB_CA!$B$59-D312,2),2)&lt;=0),ROUND(D312+E312,2),COB_CA!$B$59),0)</f>
        <v/>
      </c>
      <c r="G312" s="14">
        <f>IF((A312&lt;=COB_CA!$B$58),IF(AND((A312&lt;=COB_CA!$B$58),ROUND(C312-ROUND(COB_CA!$B$59-D312,2),2)&lt;=0),0,ROUND(C312-E312,2)),C312)</f>
        <v/>
      </c>
      <c r="H312" s="6">
        <f>AND(H311,C311&gt;0,(A312&lt;=COB_CA!$B$58))</f>
        <v/>
      </c>
    </row>
    <row r="313">
      <c r="A313" s="6" t="n">
        <v>309</v>
      </c>
      <c r="B313" s="17">
        <f>IF(COB_CA!$B$44=12,DATE(YEAR(COB_CA!$B$22)+INT((MONTH(COB_CA!$B$22)-1+308)/12),MOD(MONTH(COB_CA!$B$22)-1+308,12)+1,1)+(DAY(COB_CA!$B$22)-1),IF(COB_CA!$B$44=24,COB_CA!$B$22+ROUND((308*365.25)/24,0),IF(COB_CA!$B$44=26,COB_CA!$B$22+4312,COB_CA!$B$22+2156)))</f>
        <v/>
      </c>
      <c r="C313" s="14">
        <f>G312</f>
        <v/>
      </c>
      <c r="D313" s="14">
        <f>IF((A313&lt;=COB_CA!$B$58),ROUND(C313*COB_CA!$B$45,2),0)</f>
        <v/>
      </c>
      <c r="E313" s="14">
        <f>IF((A313&lt;=COB_CA!$B$58),IF(AND((A313&lt;=COB_CA!$B$58),ROUND(C313-ROUND(COB_CA!$B$59-D313,2),2)&lt;=0),C313,ROUND(COB_CA!$B$59-D313,2)),0)</f>
        <v/>
      </c>
      <c r="F313" s="14">
        <f>IF((A313&lt;=COB_CA!$B$58),IF(AND((A313&lt;=COB_CA!$B$58),ROUND(C313-ROUND(COB_CA!$B$59-D313,2),2)&lt;=0),ROUND(D313+E313,2),COB_CA!$B$59),0)</f>
        <v/>
      </c>
      <c r="G313" s="14">
        <f>IF((A313&lt;=COB_CA!$B$58),IF(AND((A313&lt;=COB_CA!$B$58),ROUND(C313-ROUND(COB_CA!$B$59-D313,2),2)&lt;=0),0,ROUND(C313-E313,2)),C313)</f>
        <v/>
      </c>
      <c r="H313" s="6">
        <f>AND(H312,C312&gt;0,(A313&lt;=COB_CA!$B$58))</f>
        <v/>
      </c>
    </row>
    <row r="314">
      <c r="A314" s="6" t="n">
        <v>310</v>
      </c>
      <c r="B314" s="17">
        <f>IF(COB_CA!$B$44=12,DATE(YEAR(COB_CA!$B$22)+INT((MONTH(COB_CA!$B$22)-1+309)/12),MOD(MONTH(COB_CA!$B$22)-1+309,12)+1,1)+(DAY(COB_CA!$B$22)-1),IF(COB_CA!$B$44=24,COB_CA!$B$22+ROUND((309*365.25)/24,0),IF(COB_CA!$B$44=26,COB_CA!$B$22+4326,COB_CA!$B$22+2163)))</f>
        <v/>
      </c>
      <c r="C314" s="14">
        <f>G313</f>
        <v/>
      </c>
      <c r="D314" s="14">
        <f>IF((A314&lt;=COB_CA!$B$58),ROUND(C314*COB_CA!$B$45,2),0)</f>
        <v/>
      </c>
      <c r="E314" s="14">
        <f>IF((A314&lt;=COB_CA!$B$58),IF(AND((A314&lt;=COB_CA!$B$58),ROUND(C314-ROUND(COB_CA!$B$59-D314,2),2)&lt;=0),C314,ROUND(COB_CA!$B$59-D314,2)),0)</f>
        <v/>
      </c>
      <c r="F314" s="14">
        <f>IF((A314&lt;=COB_CA!$B$58),IF(AND((A314&lt;=COB_CA!$B$58),ROUND(C314-ROUND(COB_CA!$B$59-D314,2),2)&lt;=0),ROUND(D314+E314,2),COB_CA!$B$59),0)</f>
        <v/>
      </c>
      <c r="G314" s="14">
        <f>IF((A314&lt;=COB_CA!$B$58),IF(AND((A314&lt;=COB_CA!$B$58),ROUND(C314-ROUND(COB_CA!$B$59-D314,2),2)&lt;=0),0,ROUND(C314-E314,2)),C314)</f>
        <v/>
      </c>
      <c r="H314" s="6">
        <f>AND(H313,C313&gt;0,(A314&lt;=COB_CA!$B$58))</f>
        <v/>
      </c>
    </row>
    <row r="315">
      <c r="A315" s="6" t="n">
        <v>311</v>
      </c>
      <c r="B315" s="17">
        <f>IF(COB_CA!$B$44=12,DATE(YEAR(COB_CA!$B$22)+INT((MONTH(COB_CA!$B$22)-1+310)/12),MOD(MONTH(COB_CA!$B$22)-1+310,12)+1,1)+(DAY(COB_CA!$B$22)-1),IF(COB_CA!$B$44=24,COB_CA!$B$22+ROUND((310*365.25)/24,0),IF(COB_CA!$B$44=26,COB_CA!$B$22+4340,COB_CA!$B$22+2170)))</f>
        <v/>
      </c>
      <c r="C315" s="14">
        <f>G314</f>
        <v/>
      </c>
      <c r="D315" s="14">
        <f>IF((A315&lt;=COB_CA!$B$58),ROUND(C315*COB_CA!$B$45,2),0)</f>
        <v/>
      </c>
      <c r="E315" s="14">
        <f>IF((A315&lt;=COB_CA!$B$58),IF(AND((A315&lt;=COB_CA!$B$58),ROUND(C315-ROUND(COB_CA!$B$59-D315,2),2)&lt;=0),C315,ROUND(COB_CA!$B$59-D315,2)),0)</f>
        <v/>
      </c>
      <c r="F315" s="14">
        <f>IF((A315&lt;=COB_CA!$B$58),IF(AND((A315&lt;=COB_CA!$B$58),ROUND(C315-ROUND(COB_CA!$B$59-D315,2),2)&lt;=0),ROUND(D315+E315,2),COB_CA!$B$59),0)</f>
        <v/>
      </c>
      <c r="G315" s="14">
        <f>IF((A315&lt;=COB_CA!$B$58),IF(AND((A315&lt;=COB_CA!$B$58),ROUND(C315-ROUND(COB_CA!$B$59-D315,2),2)&lt;=0),0,ROUND(C315-E315,2)),C315)</f>
        <v/>
      </c>
      <c r="H315" s="6">
        <f>AND(H314,C314&gt;0,(A315&lt;=COB_CA!$B$58))</f>
        <v/>
      </c>
    </row>
    <row r="316">
      <c r="A316" s="6" t="n">
        <v>312</v>
      </c>
      <c r="B316" s="17">
        <f>IF(COB_CA!$B$44=12,DATE(YEAR(COB_CA!$B$22)+INT((MONTH(COB_CA!$B$22)-1+311)/12),MOD(MONTH(COB_CA!$B$22)-1+311,12)+1,1)+(DAY(COB_CA!$B$22)-1),IF(COB_CA!$B$44=24,COB_CA!$B$22+ROUND((311*365.25)/24,0),IF(COB_CA!$B$44=26,COB_CA!$B$22+4354,COB_CA!$B$22+2177)))</f>
        <v/>
      </c>
      <c r="C316" s="14">
        <f>G315</f>
        <v/>
      </c>
      <c r="D316" s="14">
        <f>IF((A316&lt;=COB_CA!$B$58),ROUND(C316*COB_CA!$B$45,2),0)</f>
        <v/>
      </c>
      <c r="E316" s="14">
        <f>IF((A316&lt;=COB_CA!$B$58),IF(AND((A316&lt;=COB_CA!$B$58),ROUND(C316-ROUND(COB_CA!$B$59-D316,2),2)&lt;=0),C316,ROUND(COB_CA!$B$59-D316,2)),0)</f>
        <v/>
      </c>
      <c r="F316" s="14">
        <f>IF((A316&lt;=COB_CA!$B$58),IF(AND((A316&lt;=COB_CA!$B$58),ROUND(C316-ROUND(COB_CA!$B$59-D316,2),2)&lt;=0),ROUND(D316+E316,2),COB_CA!$B$59),0)</f>
        <v/>
      </c>
      <c r="G316" s="14">
        <f>IF((A316&lt;=COB_CA!$B$58),IF(AND((A316&lt;=COB_CA!$B$58),ROUND(C316-ROUND(COB_CA!$B$59-D316,2),2)&lt;=0),0,ROUND(C316-E316,2)),C316)</f>
        <v/>
      </c>
      <c r="H316" s="6">
        <f>AND(H315,C315&gt;0,(A316&lt;=COB_CA!$B$58))</f>
        <v/>
      </c>
    </row>
    <row r="317">
      <c r="A317" s="6" t="n">
        <v>313</v>
      </c>
      <c r="B317" s="17">
        <f>IF(COB_CA!$B$44=12,DATE(YEAR(COB_CA!$B$22)+INT((MONTH(COB_CA!$B$22)-1+312)/12),MOD(MONTH(COB_CA!$B$22)-1+312,12)+1,1)+(DAY(COB_CA!$B$22)-1),IF(COB_CA!$B$44=24,COB_CA!$B$22+ROUND((312*365.25)/24,0),IF(COB_CA!$B$44=26,COB_CA!$B$22+4368,COB_CA!$B$22+2184)))</f>
        <v/>
      </c>
      <c r="C317" s="14">
        <f>G316</f>
        <v/>
      </c>
      <c r="D317" s="14">
        <f>IF((A317&lt;=COB_CA!$B$58),ROUND(C317*COB_CA!$B$45,2),0)</f>
        <v/>
      </c>
      <c r="E317" s="14">
        <f>IF((A317&lt;=COB_CA!$B$58),IF(AND((A317&lt;=COB_CA!$B$58),ROUND(C317-ROUND(COB_CA!$B$59-D317,2),2)&lt;=0),C317,ROUND(COB_CA!$B$59-D317,2)),0)</f>
        <v/>
      </c>
      <c r="F317" s="14">
        <f>IF((A317&lt;=COB_CA!$B$58),IF(AND((A317&lt;=COB_CA!$B$58),ROUND(C317-ROUND(COB_CA!$B$59-D317,2),2)&lt;=0),ROUND(D317+E317,2),COB_CA!$B$59),0)</f>
        <v/>
      </c>
      <c r="G317" s="14">
        <f>IF((A317&lt;=COB_CA!$B$58),IF(AND((A317&lt;=COB_CA!$B$58),ROUND(C317-ROUND(COB_CA!$B$59-D317,2),2)&lt;=0),0,ROUND(C317-E317,2)),C317)</f>
        <v/>
      </c>
      <c r="H317" s="6">
        <f>AND(H316,C316&gt;0,(A317&lt;=COB_CA!$B$58))</f>
        <v/>
      </c>
    </row>
    <row r="318">
      <c r="A318" s="6" t="n">
        <v>314</v>
      </c>
      <c r="B318" s="17">
        <f>IF(COB_CA!$B$44=12,DATE(YEAR(COB_CA!$B$22)+INT((MONTH(COB_CA!$B$22)-1+313)/12),MOD(MONTH(COB_CA!$B$22)-1+313,12)+1,1)+(DAY(COB_CA!$B$22)-1),IF(COB_CA!$B$44=24,COB_CA!$B$22+ROUND((313*365.25)/24,0),IF(COB_CA!$B$44=26,COB_CA!$B$22+4382,COB_CA!$B$22+2191)))</f>
        <v/>
      </c>
      <c r="C318" s="14">
        <f>G317</f>
        <v/>
      </c>
      <c r="D318" s="14">
        <f>IF((A318&lt;=COB_CA!$B$58),ROUND(C318*COB_CA!$B$45,2),0)</f>
        <v/>
      </c>
      <c r="E318" s="14">
        <f>IF((A318&lt;=COB_CA!$B$58),IF(AND((A318&lt;=COB_CA!$B$58),ROUND(C318-ROUND(COB_CA!$B$59-D318,2),2)&lt;=0),C318,ROUND(COB_CA!$B$59-D318,2)),0)</f>
        <v/>
      </c>
      <c r="F318" s="14">
        <f>IF((A318&lt;=COB_CA!$B$58),IF(AND((A318&lt;=COB_CA!$B$58),ROUND(C318-ROUND(COB_CA!$B$59-D318,2),2)&lt;=0),ROUND(D318+E318,2),COB_CA!$B$59),0)</f>
        <v/>
      </c>
      <c r="G318" s="14">
        <f>IF((A318&lt;=COB_CA!$B$58),IF(AND((A318&lt;=COB_CA!$B$58),ROUND(C318-ROUND(COB_CA!$B$59-D318,2),2)&lt;=0),0,ROUND(C318-E318,2)),C318)</f>
        <v/>
      </c>
      <c r="H318" s="6">
        <f>AND(H317,C317&gt;0,(A318&lt;=COB_CA!$B$58))</f>
        <v/>
      </c>
    </row>
    <row r="319">
      <c r="A319" s="6" t="n">
        <v>315</v>
      </c>
      <c r="B319" s="17">
        <f>IF(COB_CA!$B$44=12,DATE(YEAR(COB_CA!$B$22)+INT((MONTH(COB_CA!$B$22)-1+314)/12),MOD(MONTH(COB_CA!$B$22)-1+314,12)+1,1)+(DAY(COB_CA!$B$22)-1),IF(COB_CA!$B$44=24,COB_CA!$B$22+ROUND((314*365.25)/24,0),IF(COB_CA!$B$44=26,COB_CA!$B$22+4396,COB_CA!$B$22+2198)))</f>
        <v/>
      </c>
      <c r="C319" s="14">
        <f>G318</f>
        <v/>
      </c>
      <c r="D319" s="14">
        <f>IF((A319&lt;=COB_CA!$B$58),ROUND(C319*COB_CA!$B$45,2),0)</f>
        <v/>
      </c>
      <c r="E319" s="14">
        <f>IF((A319&lt;=COB_CA!$B$58),IF(AND((A319&lt;=COB_CA!$B$58),ROUND(C319-ROUND(COB_CA!$B$59-D319,2),2)&lt;=0),C319,ROUND(COB_CA!$B$59-D319,2)),0)</f>
        <v/>
      </c>
      <c r="F319" s="14">
        <f>IF((A319&lt;=COB_CA!$B$58),IF(AND((A319&lt;=COB_CA!$B$58),ROUND(C319-ROUND(COB_CA!$B$59-D319,2),2)&lt;=0),ROUND(D319+E319,2),COB_CA!$B$59),0)</f>
        <v/>
      </c>
      <c r="G319" s="14">
        <f>IF((A319&lt;=COB_CA!$B$58),IF(AND((A319&lt;=COB_CA!$B$58),ROUND(C319-ROUND(COB_CA!$B$59-D319,2),2)&lt;=0),0,ROUND(C319-E319,2)),C319)</f>
        <v/>
      </c>
      <c r="H319" s="6">
        <f>AND(H318,C318&gt;0,(A319&lt;=COB_CA!$B$58))</f>
        <v/>
      </c>
    </row>
    <row r="320">
      <c r="A320" s="6" t="n">
        <v>316</v>
      </c>
      <c r="B320" s="17">
        <f>IF(COB_CA!$B$44=12,DATE(YEAR(COB_CA!$B$22)+INT((MONTH(COB_CA!$B$22)-1+315)/12),MOD(MONTH(COB_CA!$B$22)-1+315,12)+1,1)+(DAY(COB_CA!$B$22)-1),IF(COB_CA!$B$44=24,COB_CA!$B$22+ROUND((315*365.25)/24,0),IF(COB_CA!$B$44=26,COB_CA!$B$22+4410,COB_CA!$B$22+2205)))</f>
        <v/>
      </c>
      <c r="C320" s="14">
        <f>G319</f>
        <v/>
      </c>
      <c r="D320" s="14">
        <f>IF((A320&lt;=COB_CA!$B$58),ROUND(C320*COB_CA!$B$45,2),0)</f>
        <v/>
      </c>
      <c r="E320" s="14">
        <f>IF((A320&lt;=COB_CA!$B$58),IF(AND((A320&lt;=COB_CA!$B$58),ROUND(C320-ROUND(COB_CA!$B$59-D320,2),2)&lt;=0),C320,ROUND(COB_CA!$B$59-D320,2)),0)</f>
        <v/>
      </c>
      <c r="F320" s="14">
        <f>IF((A320&lt;=COB_CA!$B$58),IF(AND((A320&lt;=COB_CA!$B$58),ROUND(C320-ROUND(COB_CA!$B$59-D320,2),2)&lt;=0),ROUND(D320+E320,2),COB_CA!$B$59),0)</f>
        <v/>
      </c>
      <c r="G320" s="14">
        <f>IF((A320&lt;=COB_CA!$B$58),IF(AND((A320&lt;=COB_CA!$B$58),ROUND(C320-ROUND(COB_CA!$B$59-D320,2),2)&lt;=0),0,ROUND(C320-E320,2)),C320)</f>
        <v/>
      </c>
      <c r="H320" s="6">
        <f>AND(H319,C319&gt;0,(A320&lt;=COB_CA!$B$58))</f>
        <v/>
      </c>
    </row>
    <row r="321">
      <c r="A321" s="6" t="n">
        <v>317</v>
      </c>
      <c r="B321" s="17">
        <f>IF(COB_CA!$B$44=12,DATE(YEAR(COB_CA!$B$22)+INT((MONTH(COB_CA!$B$22)-1+316)/12),MOD(MONTH(COB_CA!$B$22)-1+316,12)+1,1)+(DAY(COB_CA!$B$22)-1),IF(COB_CA!$B$44=24,COB_CA!$B$22+ROUND((316*365.25)/24,0),IF(COB_CA!$B$44=26,COB_CA!$B$22+4424,COB_CA!$B$22+2212)))</f>
        <v/>
      </c>
      <c r="C321" s="14">
        <f>G320</f>
        <v/>
      </c>
      <c r="D321" s="14">
        <f>IF((A321&lt;=COB_CA!$B$58),ROUND(C321*COB_CA!$B$45,2),0)</f>
        <v/>
      </c>
      <c r="E321" s="14">
        <f>IF((A321&lt;=COB_CA!$B$58),IF(AND((A321&lt;=COB_CA!$B$58),ROUND(C321-ROUND(COB_CA!$B$59-D321,2),2)&lt;=0),C321,ROUND(COB_CA!$B$59-D321,2)),0)</f>
        <v/>
      </c>
      <c r="F321" s="14">
        <f>IF((A321&lt;=COB_CA!$B$58),IF(AND((A321&lt;=COB_CA!$B$58),ROUND(C321-ROUND(COB_CA!$B$59-D321,2),2)&lt;=0),ROUND(D321+E321,2),COB_CA!$B$59),0)</f>
        <v/>
      </c>
      <c r="G321" s="14">
        <f>IF((A321&lt;=COB_CA!$B$58),IF(AND((A321&lt;=COB_CA!$B$58),ROUND(C321-ROUND(COB_CA!$B$59-D321,2),2)&lt;=0),0,ROUND(C321-E321,2)),C321)</f>
        <v/>
      </c>
      <c r="H321" s="6">
        <f>AND(H320,C320&gt;0,(A321&lt;=COB_CA!$B$58))</f>
        <v/>
      </c>
    </row>
    <row r="322">
      <c r="A322" s="6" t="n">
        <v>318</v>
      </c>
      <c r="B322" s="17">
        <f>IF(COB_CA!$B$44=12,DATE(YEAR(COB_CA!$B$22)+INT((MONTH(COB_CA!$B$22)-1+317)/12),MOD(MONTH(COB_CA!$B$22)-1+317,12)+1,1)+(DAY(COB_CA!$B$22)-1),IF(COB_CA!$B$44=24,COB_CA!$B$22+ROUND((317*365.25)/24,0),IF(COB_CA!$B$44=26,COB_CA!$B$22+4438,COB_CA!$B$22+2219)))</f>
        <v/>
      </c>
      <c r="C322" s="14">
        <f>G321</f>
        <v/>
      </c>
      <c r="D322" s="14">
        <f>IF((A322&lt;=COB_CA!$B$58),ROUND(C322*COB_CA!$B$45,2),0)</f>
        <v/>
      </c>
      <c r="E322" s="14">
        <f>IF((A322&lt;=COB_CA!$B$58),IF(AND((A322&lt;=COB_CA!$B$58),ROUND(C322-ROUND(COB_CA!$B$59-D322,2),2)&lt;=0),C322,ROUND(COB_CA!$B$59-D322,2)),0)</f>
        <v/>
      </c>
      <c r="F322" s="14">
        <f>IF((A322&lt;=COB_CA!$B$58),IF(AND((A322&lt;=COB_CA!$B$58),ROUND(C322-ROUND(COB_CA!$B$59-D322,2),2)&lt;=0),ROUND(D322+E322,2),COB_CA!$B$59),0)</f>
        <v/>
      </c>
      <c r="G322" s="14">
        <f>IF((A322&lt;=COB_CA!$B$58),IF(AND((A322&lt;=COB_CA!$B$58),ROUND(C322-ROUND(COB_CA!$B$59-D322,2),2)&lt;=0),0,ROUND(C322-E322,2)),C322)</f>
        <v/>
      </c>
      <c r="H322" s="6">
        <f>AND(H321,C321&gt;0,(A322&lt;=COB_CA!$B$58))</f>
        <v/>
      </c>
    </row>
    <row r="323">
      <c r="A323" s="6" t="n">
        <v>319</v>
      </c>
      <c r="B323" s="17">
        <f>IF(COB_CA!$B$44=12,DATE(YEAR(COB_CA!$B$22)+INT((MONTH(COB_CA!$B$22)-1+318)/12),MOD(MONTH(COB_CA!$B$22)-1+318,12)+1,1)+(DAY(COB_CA!$B$22)-1),IF(COB_CA!$B$44=24,COB_CA!$B$22+ROUND((318*365.25)/24,0),IF(COB_CA!$B$44=26,COB_CA!$B$22+4452,COB_CA!$B$22+2226)))</f>
        <v/>
      </c>
      <c r="C323" s="14">
        <f>G322</f>
        <v/>
      </c>
      <c r="D323" s="14">
        <f>IF((A323&lt;=COB_CA!$B$58),ROUND(C323*COB_CA!$B$45,2),0)</f>
        <v/>
      </c>
      <c r="E323" s="14">
        <f>IF((A323&lt;=COB_CA!$B$58),IF(AND((A323&lt;=COB_CA!$B$58),ROUND(C323-ROUND(COB_CA!$B$59-D323,2),2)&lt;=0),C323,ROUND(COB_CA!$B$59-D323,2)),0)</f>
        <v/>
      </c>
      <c r="F323" s="14">
        <f>IF((A323&lt;=COB_CA!$B$58),IF(AND((A323&lt;=COB_CA!$B$58),ROUND(C323-ROUND(COB_CA!$B$59-D323,2),2)&lt;=0),ROUND(D323+E323,2),COB_CA!$B$59),0)</f>
        <v/>
      </c>
      <c r="G323" s="14">
        <f>IF((A323&lt;=COB_CA!$B$58),IF(AND((A323&lt;=COB_CA!$B$58),ROUND(C323-ROUND(COB_CA!$B$59-D323,2),2)&lt;=0),0,ROUND(C323-E323,2)),C323)</f>
        <v/>
      </c>
      <c r="H323" s="6">
        <f>AND(H322,C322&gt;0,(A323&lt;=COB_CA!$B$58))</f>
        <v/>
      </c>
    </row>
    <row r="324">
      <c r="A324" s="6" t="n">
        <v>320</v>
      </c>
      <c r="B324" s="17">
        <f>IF(COB_CA!$B$44=12,DATE(YEAR(COB_CA!$B$22)+INT((MONTH(COB_CA!$B$22)-1+319)/12),MOD(MONTH(COB_CA!$B$22)-1+319,12)+1,1)+(DAY(COB_CA!$B$22)-1),IF(COB_CA!$B$44=24,COB_CA!$B$22+ROUND((319*365.25)/24,0),IF(COB_CA!$B$44=26,COB_CA!$B$22+4466,COB_CA!$B$22+2233)))</f>
        <v/>
      </c>
      <c r="C324" s="14">
        <f>G323</f>
        <v/>
      </c>
      <c r="D324" s="14">
        <f>IF((A324&lt;=COB_CA!$B$58),ROUND(C324*COB_CA!$B$45,2),0)</f>
        <v/>
      </c>
      <c r="E324" s="14">
        <f>IF((A324&lt;=COB_CA!$B$58),IF(AND((A324&lt;=COB_CA!$B$58),ROUND(C324-ROUND(COB_CA!$B$59-D324,2),2)&lt;=0),C324,ROUND(COB_CA!$B$59-D324,2)),0)</f>
        <v/>
      </c>
      <c r="F324" s="14">
        <f>IF((A324&lt;=COB_CA!$B$58),IF(AND((A324&lt;=COB_CA!$B$58),ROUND(C324-ROUND(COB_CA!$B$59-D324,2),2)&lt;=0),ROUND(D324+E324,2),COB_CA!$B$59),0)</f>
        <v/>
      </c>
      <c r="G324" s="14">
        <f>IF((A324&lt;=COB_CA!$B$58),IF(AND((A324&lt;=COB_CA!$B$58),ROUND(C324-ROUND(COB_CA!$B$59-D324,2),2)&lt;=0),0,ROUND(C324-E324,2)),C324)</f>
        <v/>
      </c>
      <c r="H324" s="6">
        <f>AND(H323,C323&gt;0,(A324&lt;=COB_CA!$B$58))</f>
        <v/>
      </c>
    </row>
    <row r="325">
      <c r="A325" s="6" t="n">
        <v>321</v>
      </c>
      <c r="B325" s="17">
        <f>IF(COB_CA!$B$44=12,DATE(YEAR(COB_CA!$B$22)+INT((MONTH(COB_CA!$B$22)-1+320)/12),MOD(MONTH(COB_CA!$B$22)-1+320,12)+1,1)+(DAY(COB_CA!$B$22)-1),IF(COB_CA!$B$44=24,COB_CA!$B$22+ROUND((320*365.25)/24,0),IF(COB_CA!$B$44=26,COB_CA!$B$22+4480,COB_CA!$B$22+2240)))</f>
        <v/>
      </c>
      <c r="C325" s="14">
        <f>G324</f>
        <v/>
      </c>
      <c r="D325" s="14">
        <f>IF((A325&lt;=COB_CA!$B$58),ROUND(C325*COB_CA!$B$45,2),0)</f>
        <v/>
      </c>
      <c r="E325" s="14">
        <f>IF((A325&lt;=COB_CA!$B$58),IF(AND((A325&lt;=COB_CA!$B$58),ROUND(C325-ROUND(COB_CA!$B$59-D325,2),2)&lt;=0),C325,ROUND(COB_CA!$B$59-D325,2)),0)</f>
        <v/>
      </c>
      <c r="F325" s="14">
        <f>IF((A325&lt;=COB_CA!$B$58),IF(AND((A325&lt;=COB_CA!$B$58),ROUND(C325-ROUND(COB_CA!$B$59-D325,2),2)&lt;=0),ROUND(D325+E325,2),COB_CA!$B$59),0)</f>
        <v/>
      </c>
      <c r="G325" s="14">
        <f>IF((A325&lt;=COB_CA!$B$58),IF(AND((A325&lt;=COB_CA!$B$58),ROUND(C325-ROUND(COB_CA!$B$59-D325,2),2)&lt;=0),0,ROUND(C325-E325,2)),C325)</f>
        <v/>
      </c>
      <c r="H325" s="6">
        <f>AND(H324,C324&gt;0,(A325&lt;=COB_CA!$B$58))</f>
        <v/>
      </c>
    </row>
    <row r="326">
      <c r="A326" s="6" t="n">
        <v>322</v>
      </c>
      <c r="B326" s="17">
        <f>IF(COB_CA!$B$44=12,DATE(YEAR(COB_CA!$B$22)+INT((MONTH(COB_CA!$B$22)-1+321)/12),MOD(MONTH(COB_CA!$B$22)-1+321,12)+1,1)+(DAY(COB_CA!$B$22)-1),IF(COB_CA!$B$44=24,COB_CA!$B$22+ROUND((321*365.25)/24,0),IF(COB_CA!$B$44=26,COB_CA!$B$22+4494,COB_CA!$B$22+2247)))</f>
        <v/>
      </c>
      <c r="C326" s="14">
        <f>G325</f>
        <v/>
      </c>
      <c r="D326" s="14">
        <f>IF((A326&lt;=COB_CA!$B$58),ROUND(C326*COB_CA!$B$45,2),0)</f>
        <v/>
      </c>
      <c r="E326" s="14">
        <f>IF((A326&lt;=COB_CA!$B$58),IF(AND((A326&lt;=COB_CA!$B$58),ROUND(C326-ROUND(COB_CA!$B$59-D326,2),2)&lt;=0),C326,ROUND(COB_CA!$B$59-D326,2)),0)</f>
        <v/>
      </c>
      <c r="F326" s="14">
        <f>IF((A326&lt;=COB_CA!$B$58),IF(AND((A326&lt;=COB_CA!$B$58),ROUND(C326-ROUND(COB_CA!$B$59-D326,2),2)&lt;=0),ROUND(D326+E326,2),COB_CA!$B$59),0)</f>
        <v/>
      </c>
      <c r="G326" s="14">
        <f>IF((A326&lt;=COB_CA!$B$58),IF(AND((A326&lt;=COB_CA!$B$58),ROUND(C326-ROUND(COB_CA!$B$59-D326,2),2)&lt;=0),0,ROUND(C326-E326,2)),C326)</f>
        <v/>
      </c>
      <c r="H326" s="6">
        <f>AND(H325,C325&gt;0,(A326&lt;=COB_CA!$B$58))</f>
        <v/>
      </c>
    </row>
    <row r="327">
      <c r="A327" s="6" t="n">
        <v>323</v>
      </c>
      <c r="B327" s="17">
        <f>IF(COB_CA!$B$44=12,DATE(YEAR(COB_CA!$B$22)+INT((MONTH(COB_CA!$B$22)-1+322)/12),MOD(MONTH(COB_CA!$B$22)-1+322,12)+1,1)+(DAY(COB_CA!$B$22)-1),IF(COB_CA!$B$44=24,COB_CA!$B$22+ROUND((322*365.25)/24,0),IF(COB_CA!$B$44=26,COB_CA!$B$22+4508,COB_CA!$B$22+2254)))</f>
        <v/>
      </c>
      <c r="C327" s="14">
        <f>G326</f>
        <v/>
      </c>
      <c r="D327" s="14">
        <f>IF((A327&lt;=COB_CA!$B$58),ROUND(C327*COB_CA!$B$45,2),0)</f>
        <v/>
      </c>
      <c r="E327" s="14">
        <f>IF((A327&lt;=COB_CA!$B$58),IF(AND((A327&lt;=COB_CA!$B$58),ROUND(C327-ROUND(COB_CA!$B$59-D327,2),2)&lt;=0),C327,ROUND(COB_CA!$B$59-D327,2)),0)</f>
        <v/>
      </c>
      <c r="F327" s="14">
        <f>IF((A327&lt;=COB_CA!$B$58),IF(AND((A327&lt;=COB_CA!$B$58),ROUND(C327-ROUND(COB_CA!$B$59-D327,2),2)&lt;=0),ROUND(D327+E327,2),COB_CA!$B$59),0)</f>
        <v/>
      </c>
      <c r="G327" s="14">
        <f>IF((A327&lt;=COB_CA!$B$58),IF(AND((A327&lt;=COB_CA!$B$58),ROUND(C327-ROUND(COB_CA!$B$59-D327,2),2)&lt;=0),0,ROUND(C327-E327,2)),C327)</f>
        <v/>
      </c>
      <c r="H327" s="6">
        <f>AND(H326,C326&gt;0,(A327&lt;=COB_CA!$B$58))</f>
        <v/>
      </c>
    </row>
    <row r="328">
      <c r="A328" s="6" t="n">
        <v>324</v>
      </c>
      <c r="B328" s="17">
        <f>IF(COB_CA!$B$44=12,DATE(YEAR(COB_CA!$B$22)+INT((MONTH(COB_CA!$B$22)-1+323)/12),MOD(MONTH(COB_CA!$B$22)-1+323,12)+1,1)+(DAY(COB_CA!$B$22)-1),IF(COB_CA!$B$44=24,COB_CA!$B$22+ROUND((323*365.25)/24,0),IF(COB_CA!$B$44=26,COB_CA!$B$22+4522,COB_CA!$B$22+2261)))</f>
        <v/>
      </c>
      <c r="C328" s="14">
        <f>G327</f>
        <v/>
      </c>
      <c r="D328" s="14">
        <f>IF((A328&lt;=COB_CA!$B$58),ROUND(C328*COB_CA!$B$45,2),0)</f>
        <v/>
      </c>
      <c r="E328" s="14">
        <f>IF((A328&lt;=COB_CA!$B$58),IF(AND((A328&lt;=COB_CA!$B$58),ROUND(C328-ROUND(COB_CA!$B$59-D328,2),2)&lt;=0),C328,ROUND(COB_CA!$B$59-D328,2)),0)</f>
        <v/>
      </c>
      <c r="F328" s="14">
        <f>IF((A328&lt;=COB_CA!$B$58),IF(AND((A328&lt;=COB_CA!$B$58),ROUND(C328-ROUND(COB_CA!$B$59-D328,2),2)&lt;=0),ROUND(D328+E328,2),COB_CA!$B$59),0)</f>
        <v/>
      </c>
      <c r="G328" s="14">
        <f>IF((A328&lt;=COB_CA!$B$58),IF(AND((A328&lt;=COB_CA!$B$58),ROUND(C328-ROUND(COB_CA!$B$59-D328,2),2)&lt;=0),0,ROUND(C328-E328,2)),C328)</f>
        <v/>
      </c>
      <c r="H328" s="6">
        <f>AND(H327,C327&gt;0,(A328&lt;=COB_CA!$B$58))</f>
        <v/>
      </c>
    </row>
    <row r="329">
      <c r="A329" s="6" t="n">
        <v>325</v>
      </c>
      <c r="B329" s="17">
        <f>IF(COB_CA!$B$44=12,DATE(YEAR(COB_CA!$B$22)+INT((MONTH(COB_CA!$B$22)-1+324)/12),MOD(MONTH(COB_CA!$B$22)-1+324,12)+1,1)+(DAY(COB_CA!$B$22)-1),IF(COB_CA!$B$44=24,COB_CA!$B$22+ROUND((324*365.25)/24,0),IF(COB_CA!$B$44=26,COB_CA!$B$22+4536,COB_CA!$B$22+2268)))</f>
        <v/>
      </c>
      <c r="C329" s="14">
        <f>G328</f>
        <v/>
      </c>
      <c r="D329" s="14">
        <f>IF((A329&lt;=COB_CA!$B$58),ROUND(C329*COB_CA!$B$45,2),0)</f>
        <v/>
      </c>
      <c r="E329" s="14">
        <f>IF((A329&lt;=COB_CA!$B$58),IF(AND((A329&lt;=COB_CA!$B$58),ROUND(C329-ROUND(COB_CA!$B$59-D329,2),2)&lt;=0),C329,ROUND(COB_CA!$B$59-D329,2)),0)</f>
        <v/>
      </c>
      <c r="F329" s="14">
        <f>IF((A329&lt;=COB_CA!$B$58),IF(AND((A329&lt;=COB_CA!$B$58),ROUND(C329-ROUND(COB_CA!$B$59-D329,2),2)&lt;=0),ROUND(D329+E329,2),COB_CA!$B$59),0)</f>
        <v/>
      </c>
      <c r="G329" s="14">
        <f>IF((A329&lt;=COB_CA!$B$58),IF(AND((A329&lt;=COB_CA!$B$58),ROUND(C329-ROUND(COB_CA!$B$59-D329,2),2)&lt;=0),0,ROUND(C329-E329,2)),C329)</f>
        <v/>
      </c>
      <c r="H329" s="6">
        <f>AND(H328,C328&gt;0,(A329&lt;=COB_CA!$B$58))</f>
        <v/>
      </c>
    </row>
    <row r="330">
      <c r="A330" s="6" t="n">
        <v>326</v>
      </c>
      <c r="B330" s="17">
        <f>IF(COB_CA!$B$44=12,DATE(YEAR(COB_CA!$B$22)+INT((MONTH(COB_CA!$B$22)-1+325)/12),MOD(MONTH(COB_CA!$B$22)-1+325,12)+1,1)+(DAY(COB_CA!$B$22)-1),IF(COB_CA!$B$44=24,COB_CA!$B$22+ROUND((325*365.25)/24,0),IF(COB_CA!$B$44=26,COB_CA!$B$22+4550,COB_CA!$B$22+2275)))</f>
        <v/>
      </c>
      <c r="C330" s="14">
        <f>G329</f>
        <v/>
      </c>
      <c r="D330" s="14">
        <f>IF((A330&lt;=COB_CA!$B$58),ROUND(C330*COB_CA!$B$45,2),0)</f>
        <v/>
      </c>
      <c r="E330" s="14">
        <f>IF((A330&lt;=COB_CA!$B$58),IF(AND((A330&lt;=COB_CA!$B$58),ROUND(C330-ROUND(COB_CA!$B$59-D330,2),2)&lt;=0),C330,ROUND(COB_CA!$B$59-D330,2)),0)</f>
        <v/>
      </c>
      <c r="F330" s="14">
        <f>IF((A330&lt;=COB_CA!$B$58),IF(AND((A330&lt;=COB_CA!$B$58),ROUND(C330-ROUND(COB_CA!$B$59-D330,2),2)&lt;=0),ROUND(D330+E330,2),COB_CA!$B$59),0)</f>
        <v/>
      </c>
      <c r="G330" s="14">
        <f>IF((A330&lt;=COB_CA!$B$58),IF(AND((A330&lt;=COB_CA!$B$58),ROUND(C330-ROUND(COB_CA!$B$59-D330,2),2)&lt;=0),0,ROUND(C330-E330,2)),C330)</f>
        <v/>
      </c>
      <c r="H330" s="6">
        <f>AND(H329,C329&gt;0,(A330&lt;=COB_CA!$B$58))</f>
        <v/>
      </c>
    </row>
    <row r="331">
      <c r="A331" s="6" t="n">
        <v>327</v>
      </c>
      <c r="B331" s="17">
        <f>IF(COB_CA!$B$44=12,DATE(YEAR(COB_CA!$B$22)+INT((MONTH(COB_CA!$B$22)-1+326)/12),MOD(MONTH(COB_CA!$B$22)-1+326,12)+1,1)+(DAY(COB_CA!$B$22)-1),IF(COB_CA!$B$44=24,COB_CA!$B$22+ROUND((326*365.25)/24,0),IF(COB_CA!$B$44=26,COB_CA!$B$22+4564,COB_CA!$B$22+2282)))</f>
        <v/>
      </c>
      <c r="C331" s="14">
        <f>G330</f>
        <v/>
      </c>
      <c r="D331" s="14">
        <f>IF((A331&lt;=COB_CA!$B$58),ROUND(C331*COB_CA!$B$45,2),0)</f>
        <v/>
      </c>
      <c r="E331" s="14">
        <f>IF((A331&lt;=COB_CA!$B$58),IF(AND((A331&lt;=COB_CA!$B$58),ROUND(C331-ROUND(COB_CA!$B$59-D331,2),2)&lt;=0),C331,ROUND(COB_CA!$B$59-D331,2)),0)</f>
        <v/>
      </c>
      <c r="F331" s="14">
        <f>IF((A331&lt;=COB_CA!$B$58),IF(AND((A331&lt;=COB_CA!$B$58),ROUND(C331-ROUND(COB_CA!$B$59-D331,2),2)&lt;=0),ROUND(D331+E331,2),COB_CA!$B$59),0)</f>
        <v/>
      </c>
      <c r="G331" s="14">
        <f>IF((A331&lt;=COB_CA!$B$58),IF(AND((A331&lt;=COB_CA!$B$58),ROUND(C331-ROUND(COB_CA!$B$59-D331,2),2)&lt;=0),0,ROUND(C331-E331,2)),C331)</f>
        <v/>
      </c>
      <c r="H331" s="6">
        <f>AND(H330,C330&gt;0,(A331&lt;=COB_CA!$B$58))</f>
        <v/>
      </c>
    </row>
    <row r="332">
      <c r="A332" s="6" t="n">
        <v>328</v>
      </c>
      <c r="B332" s="17">
        <f>IF(COB_CA!$B$44=12,DATE(YEAR(COB_CA!$B$22)+INT((MONTH(COB_CA!$B$22)-1+327)/12),MOD(MONTH(COB_CA!$B$22)-1+327,12)+1,1)+(DAY(COB_CA!$B$22)-1),IF(COB_CA!$B$44=24,COB_CA!$B$22+ROUND((327*365.25)/24,0),IF(COB_CA!$B$44=26,COB_CA!$B$22+4578,COB_CA!$B$22+2289)))</f>
        <v/>
      </c>
      <c r="C332" s="14">
        <f>G331</f>
        <v/>
      </c>
      <c r="D332" s="14">
        <f>IF((A332&lt;=COB_CA!$B$58),ROUND(C332*COB_CA!$B$45,2),0)</f>
        <v/>
      </c>
      <c r="E332" s="14">
        <f>IF((A332&lt;=COB_CA!$B$58),IF(AND((A332&lt;=COB_CA!$B$58),ROUND(C332-ROUND(COB_CA!$B$59-D332,2),2)&lt;=0),C332,ROUND(COB_CA!$B$59-D332,2)),0)</f>
        <v/>
      </c>
      <c r="F332" s="14">
        <f>IF((A332&lt;=COB_CA!$B$58),IF(AND((A332&lt;=COB_CA!$B$58),ROUND(C332-ROUND(COB_CA!$B$59-D332,2),2)&lt;=0),ROUND(D332+E332,2),COB_CA!$B$59),0)</f>
        <v/>
      </c>
      <c r="G332" s="14">
        <f>IF((A332&lt;=COB_CA!$B$58),IF(AND((A332&lt;=COB_CA!$B$58),ROUND(C332-ROUND(COB_CA!$B$59-D332,2),2)&lt;=0),0,ROUND(C332-E332,2)),C332)</f>
        <v/>
      </c>
      <c r="H332" s="6">
        <f>AND(H331,C331&gt;0,(A332&lt;=COB_CA!$B$58))</f>
        <v/>
      </c>
    </row>
    <row r="333">
      <c r="A333" s="6" t="n">
        <v>329</v>
      </c>
      <c r="B333" s="17">
        <f>IF(COB_CA!$B$44=12,DATE(YEAR(COB_CA!$B$22)+INT((MONTH(COB_CA!$B$22)-1+328)/12),MOD(MONTH(COB_CA!$B$22)-1+328,12)+1,1)+(DAY(COB_CA!$B$22)-1),IF(COB_CA!$B$44=24,COB_CA!$B$22+ROUND((328*365.25)/24,0),IF(COB_CA!$B$44=26,COB_CA!$B$22+4592,COB_CA!$B$22+2296)))</f>
        <v/>
      </c>
      <c r="C333" s="14">
        <f>G332</f>
        <v/>
      </c>
      <c r="D333" s="14">
        <f>IF((A333&lt;=COB_CA!$B$58),ROUND(C333*COB_CA!$B$45,2),0)</f>
        <v/>
      </c>
      <c r="E333" s="14">
        <f>IF((A333&lt;=COB_CA!$B$58),IF(AND((A333&lt;=COB_CA!$B$58),ROUND(C333-ROUND(COB_CA!$B$59-D333,2),2)&lt;=0),C333,ROUND(COB_CA!$B$59-D333,2)),0)</f>
        <v/>
      </c>
      <c r="F333" s="14">
        <f>IF((A333&lt;=COB_CA!$B$58),IF(AND((A333&lt;=COB_CA!$B$58),ROUND(C333-ROUND(COB_CA!$B$59-D333,2),2)&lt;=0),ROUND(D333+E333,2),COB_CA!$B$59),0)</f>
        <v/>
      </c>
      <c r="G333" s="14">
        <f>IF((A333&lt;=COB_CA!$B$58),IF(AND((A333&lt;=COB_CA!$B$58),ROUND(C333-ROUND(COB_CA!$B$59-D333,2),2)&lt;=0),0,ROUND(C333-E333,2)),C333)</f>
        <v/>
      </c>
      <c r="H333" s="6">
        <f>AND(H332,C332&gt;0,(A333&lt;=COB_CA!$B$58))</f>
        <v/>
      </c>
    </row>
    <row r="334">
      <c r="A334" s="6" t="n">
        <v>330</v>
      </c>
      <c r="B334" s="17">
        <f>IF(COB_CA!$B$44=12,DATE(YEAR(COB_CA!$B$22)+INT((MONTH(COB_CA!$B$22)-1+329)/12),MOD(MONTH(COB_CA!$B$22)-1+329,12)+1,1)+(DAY(COB_CA!$B$22)-1),IF(COB_CA!$B$44=24,COB_CA!$B$22+ROUND((329*365.25)/24,0),IF(COB_CA!$B$44=26,COB_CA!$B$22+4606,COB_CA!$B$22+2303)))</f>
        <v/>
      </c>
      <c r="C334" s="14">
        <f>G333</f>
        <v/>
      </c>
      <c r="D334" s="14">
        <f>IF((A334&lt;=COB_CA!$B$58),ROUND(C334*COB_CA!$B$45,2),0)</f>
        <v/>
      </c>
      <c r="E334" s="14">
        <f>IF((A334&lt;=COB_CA!$B$58),IF(AND((A334&lt;=COB_CA!$B$58),ROUND(C334-ROUND(COB_CA!$B$59-D334,2),2)&lt;=0),C334,ROUND(COB_CA!$B$59-D334,2)),0)</f>
        <v/>
      </c>
      <c r="F334" s="14">
        <f>IF((A334&lt;=COB_CA!$B$58),IF(AND((A334&lt;=COB_CA!$B$58),ROUND(C334-ROUND(COB_CA!$B$59-D334,2),2)&lt;=0),ROUND(D334+E334,2),COB_CA!$B$59),0)</f>
        <v/>
      </c>
      <c r="G334" s="14">
        <f>IF((A334&lt;=COB_CA!$B$58),IF(AND((A334&lt;=COB_CA!$B$58),ROUND(C334-ROUND(COB_CA!$B$59-D334,2),2)&lt;=0),0,ROUND(C334-E334,2)),C334)</f>
        <v/>
      </c>
      <c r="H334" s="6">
        <f>AND(H333,C333&gt;0,(A334&lt;=COB_CA!$B$58))</f>
        <v/>
      </c>
    </row>
    <row r="335">
      <c r="A335" s="6" t="n">
        <v>331</v>
      </c>
      <c r="B335" s="17">
        <f>IF(COB_CA!$B$44=12,DATE(YEAR(COB_CA!$B$22)+INT((MONTH(COB_CA!$B$22)-1+330)/12),MOD(MONTH(COB_CA!$B$22)-1+330,12)+1,1)+(DAY(COB_CA!$B$22)-1),IF(COB_CA!$B$44=24,COB_CA!$B$22+ROUND((330*365.25)/24,0),IF(COB_CA!$B$44=26,COB_CA!$B$22+4620,COB_CA!$B$22+2310)))</f>
        <v/>
      </c>
      <c r="C335" s="14">
        <f>G334</f>
        <v/>
      </c>
      <c r="D335" s="14">
        <f>IF((A335&lt;=COB_CA!$B$58),ROUND(C335*COB_CA!$B$45,2),0)</f>
        <v/>
      </c>
      <c r="E335" s="14">
        <f>IF((A335&lt;=COB_CA!$B$58),IF(AND((A335&lt;=COB_CA!$B$58),ROUND(C335-ROUND(COB_CA!$B$59-D335,2),2)&lt;=0),C335,ROUND(COB_CA!$B$59-D335,2)),0)</f>
        <v/>
      </c>
      <c r="F335" s="14">
        <f>IF((A335&lt;=COB_CA!$B$58),IF(AND((A335&lt;=COB_CA!$B$58),ROUND(C335-ROUND(COB_CA!$B$59-D335,2),2)&lt;=0),ROUND(D335+E335,2),COB_CA!$B$59),0)</f>
        <v/>
      </c>
      <c r="G335" s="14">
        <f>IF((A335&lt;=COB_CA!$B$58),IF(AND((A335&lt;=COB_CA!$B$58),ROUND(C335-ROUND(COB_CA!$B$59-D335,2),2)&lt;=0),0,ROUND(C335-E335,2)),C335)</f>
        <v/>
      </c>
      <c r="H335" s="6">
        <f>AND(H334,C334&gt;0,(A335&lt;=COB_CA!$B$58))</f>
        <v/>
      </c>
    </row>
    <row r="336">
      <c r="A336" s="6" t="n">
        <v>332</v>
      </c>
      <c r="B336" s="17">
        <f>IF(COB_CA!$B$44=12,DATE(YEAR(COB_CA!$B$22)+INT((MONTH(COB_CA!$B$22)-1+331)/12),MOD(MONTH(COB_CA!$B$22)-1+331,12)+1,1)+(DAY(COB_CA!$B$22)-1),IF(COB_CA!$B$44=24,COB_CA!$B$22+ROUND((331*365.25)/24,0),IF(COB_CA!$B$44=26,COB_CA!$B$22+4634,COB_CA!$B$22+2317)))</f>
        <v/>
      </c>
      <c r="C336" s="14">
        <f>G335</f>
        <v/>
      </c>
      <c r="D336" s="14">
        <f>IF((A336&lt;=COB_CA!$B$58),ROUND(C336*COB_CA!$B$45,2),0)</f>
        <v/>
      </c>
      <c r="E336" s="14">
        <f>IF((A336&lt;=COB_CA!$B$58),IF(AND((A336&lt;=COB_CA!$B$58),ROUND(C336-ROUND(COB_CA!$B$59-D336,2),2)&lt;=0),C336,ROUND(COB_CA!$B$59-D336,2)),0)</f>
        <v/>
      </c>
      <c r="F336" s="14">
        <f>IF((A336&lt;=COB_CA!$B$58),IF(AND((A336&lt;=COB_CA!$B$58),ROUND(C336-ROUND(COB_CA!$B$59-D336,2),2)&lt;=0),ROUND(D336+E336,2),COB_CA!$B$59),0)</f>
        <v/>
      </c>
      <c r="G336" s="14">
        <f>IF((A336&lt;=COB_CA!$B$58),IF(AND((A336&lt;=COB_CA!$B$58),ROUND(C336-ROUND(COB_CA!$B$59-D336,2),2)&lt;=0),0,ROUND(C336-E336,2)),C336)</f>
        <v/>
      </c>
      <c r="H336" s="6">
        <f>AND(H335,C335&gt;0,(A336&lt;=COB_CA!$B$58))</f>
        <v/>
      </c>
    </row>
    <row r="337">
      <c r="A337" s="6" t="n">
        <v>333</v>
      </c>
      <c r="B337" s="17">
        <f>IF(COB_CA!$B$44=12,DATE(YEAR(COB_CA!$B$22)+INT((MONTH(COB_CA!$B$22)-1+332)/12),MOD(MONTH(COB_CA!$B$22)-1+332,12)+1,1)+(DAY(COB_CA!$B$22)-1),IF(COB_CA!$B$44=24,COB_CA!$B$22+ROUND((332*365.25)/24,0),IF(COB_CA!$B$44=26,COB_CA!$B$22+4648,COB_CA!$B$22+2324)))</f>
        <v/>
      </c>
      <c r="C337" s="14">
        <f>G336</f>
        <v/>
      </c>
      <c r="D337" s="14">
        <f>IF((A337&lt;=COB_CA!$B$58),ROUND(C337*COB_CA!$B$45,2),0)</f>
        <v/>
      </c>
      <c r="E337" s="14">
        <f>IF((A337&lt;=COB_CA!$B$58),IF(AND((A337&lt;=COB_CA!$B$58),ROUND(C337-ROUND(COB_CA!$B$59-D337,2),2)&lt;=0),C337,ROUND(COB_CA!$B$59-D337,2)),0)</f>
        <v/>
      </c>
      <c r="F337" s="14">
        <f>IF((A337&lt;=COB_CA!$B$58),IF(AND((A337&lt;=COB_CA!$B$58),ROUND(C337-ROUND(COB_CA!$B$59-D337,2),2)&lt;=0),ROUND(D337+E337,2),COB_CA!$B$59),0)</f>
        <v/>
      </c>
      <c r="G337" s="14">
        <f>IF((A337&lt;=COB_CA!$B$58),IF(AND((A337&lt;=COB_CA!$B$58),ROUND(C337-ROUND(COB_CA!$B$59-D337,2),2)&lt;=0),0,ROUND(C337-E337,2)),C337)</f>
        <v/>
      </c>
      <c r="H337" s="6">
        <f>AND(H336,C336&gt;0,(A337&lt;=COB_CA!$B$58))</f>
        <v/>
      </c>
    </row>
    <row r="338">
      <c r="A338" s="6" t="n">
        <v>334</v>
      </c>
      <c r="B338" s="17">
        <f>IF(COB_CA!$B$44=12,DATE(YEAR(COB_CA!$B$22)+INT((MONTH(COB_CA!$B$22)-1+333)/12),MOD(MONTH(COB_CA!$B$22)-1+333,12)+1,1)+(DAY(COB_CA!$B$22)-1),IF(COB_CA!$B$44=24,COB_CA!$B$22+ROUND((333*365.25)/24,0),IF(COB_CA!$B$44=26,COB_CA!$B$22+4662,COB_CA!$B$22+2331)))</f>
        <v/>
      </c>
      <c r="C338" s="14">
        <f>G337</f>
        <v/>
      </c>
      <c r="D338" s="14">
        <f>IF((A338&lt;=COB_CA!$B$58),ROUND(C338*COB_CA!$B$45,2),0)</f>
        <v/>
      </c>
      <c r="E338" s="14">
        <f>IF((A338&lt;=COB_CA!$B$58),IF(AND((A338&lt;=COB_CA!$B$58),ROUND(C338-ROUND(COB_CA!$B$59-D338,2),2)&lt;=0),C338,ROUND(COB_CA!$B$59-D338,2)),0)</f>
        <v/>
      </c>
      <c r="F338" s="14">
        <f>IF((A338&lt;=COB_CA!$B$58),IF(AND((A338&lt;=COB_CA!$B$58),ROUND(C338-ROUND(COB_CA!$B$59-D338,2),2)&lt;=0),ROUND(D338+E338,2),COB_CA!$B$59),0)</f>
        <v/>
      </c>
      <c r="G338" s="14">
        <f>IF((A338&lt;=COB_CA!$B$58),IF(AND((A338&lt;=COB_CA!$B$58),ROUND(C338-ROUND(COB_CA!$B$59-D338,2),2)&lt;=0),0,ROUND(C338-E338,2)),C338)</f>
        <v/>
      </c>
      <c r="H338" s="6">
        <f>AND(H337,C337&gt;0,(A338&lt;=COB_CA!$B$58))</f>
        <v/>
      </c>
    </row>
    <row r="339">
      <c r="A339" s="6" t="n">
        <v>335</v>
      </c>
      <c r="B339" s="17">
        <f>IF(COB_CA!$B$44=12,DATE(YEAR(COB_CA!$B$22)+INT((MONTH(COB_CA!$B$22)-1+334)/12),MOD(MONTH(COB_CA!$B$22)-1+334,12)+1,1)+(DAY(COB_CA!$B$22)-1),IF(COB_CA!$B$44=24,COB_CA!$B$22+ROUND((334*365.25)/24,0),IF(COB_CA!$B$44=26,COB_CA!$B$22+4676,COB_CA!$B$22+2338)))</f>
        <v/>
      </c>
      <c r="C339" s="14">
        <f>G338</f>
        <v/>
      </c>
      <c r="D339" s="14">
        <f>IF((A339&lt;=COB_CA!$B$58),ROUND(C339*COB_CA!$B$45,2),0)</f>
        <v/>
      </c>
      <c r="E339" s="14">
        <f>IF((A339&lt;=COB_CA!$B$58),IF(AND((A339&lt;=COB_CA!$B$58),ROUND(C339-ROUND(COB_CA!$B$59-D339,2),2)&lt;=0),C339,ROUND(COB_CA!$B$59-D339,2)),0)</f>
        <v/>
      </c>
      <c r="F339" s="14">
        <f>IF((A339&lt;=COB_CA!$B$58),IF(AND((A339&lt;=COB_CA!$B$58),ROUND(C339-ROUND(COB_CA!$B$59-D339,2),2)&lt;=0),ROUND(D339+E339,2),COB_CA!$B$59),0)</f>
        <v/>
      </c>
      <c r="G339" s="14">
        <f>IF((A339&lt;=COB_CA!$B$58),IF(AND((A339&lt;=COB_CA!$B$58),ROUND(C339-ROUND(COB_CA!$B$59-D339,2),2)&lt;=0),0,ROUND(C339-E339,2)),C339)</f>
        <v/>
      </c>
      <c r="H339" s="6">
        <f>AND(H338,C338&gt;0,(A339&lt;=COB_CA!$B$58))</f>
        <v/>
      </c>
    </row>
    <row r="340">
      <c r="A340" s="6" t="n">
        <v>336</v>
      </c>
      <c r="B340" s="17">
        <f>IF(COB_CA!$B$44=12,DATE(YEAR(COB_CA!$B$22)+INT((MONTH(COB_CA!$B$22)-1+335)/12),MOD(MONTH(COB_CA!$B$22)-1+335,12)+1,1)+(DAY(COB_CA!$B$22)-1),IF(COB_CA!$B$44=24,COB_CA!$B$22+ROUND((335*365.25)/24,0),IF(COB_CA!$B$44=26,COB_CA!$B$22+4690,COB_CA!$B$22+2345)))</f>
        <v/>
      </c>
      <c r="C340" s="14">
        <f>G339</f>
        <v/>
      </c>
      <c r="D340" s="14">
        <f>IF((A340&lt;=COB_CA!$B$58),ROUND(C340*COB_CA!$B$45,2),0)</f>
        <v/>
      </c>
      <c r="E340" s="14">
        <f>IF((A340&lt;=COB_CA!$B$58),IF(AND((A340&lt;=COB_CA!$B$58),ROUND(C340-ROUND(COB_CA!$B$59-D340,2),2)&lt;=0),C340,ROUND(COB_CA!$B$59-D340,2)),0)</f>
        <v/>
      </c>
      <c r="F340" s="14">
        <f>IF((A340&lt;=COB_CA!$B$58),IF(AND((A340&lt;=COB_CA!$B$58),ROUND(C340-ROUND(COB_CA!$B$59-D340,2),2)&lt;=0),ROUND(D340+E340,2),COB_CA!$B$59),0)</f>
        <v/>
      </c>
      <c r="G340" s="14">
        <f>IF((A340&lt;=COB_CA!$B$58),IF(AND((A340&lt;=COB_CA!$B$58),ROUND(C340-ROUND(COB_CA!$B$59-D340,2),2)&lt;=0),0,ROUND(C340-E340,2)),C340)</f>
        <v/>
      </c>
      <c r="H340" s="6">
        <f>AND(H339,C339&gt;0,(A340&lt;=COB_CA!$B$58))</f>
        <v/>
      </c>
    </row>
    <row r="341">
      <c r="A341" s="6" t="n">
        <v>337</v>
      </c>
      <c r="B341" s="17">
        <f>IF(COB_CA!$B$44=12,DATE(YEAR(COB_CA!$B$22)+INT((MONTH(COB_CA!$B$22)-1+336)/12),MOD(MONTH(COB_CA!$B$22)-1+336,12)+1,1)+(DAY(COB_CA!$B$22)-1),IF(COB_CA!$B$44=24,COB_CA!$B$22+ROUND((336*365.25)/24,0),IF(COB_CA!$B$44=26,COB_CA!$B$22+4704,COB_CA!$B$22+2352)))</f>
        <v/>
      </c>
      <c r="C341" s="14">
        <f>G340</f>
        <v/>
      </c>
      <c r="D341" s="14">
        <f>IF((A341&lt;=COB_CA!$B$58),ROUND(C341*COB_CA!$B$45,2),0)</f>
        <v/>
      </c>
      <c r="E341" s="14">
        <f>IF((A341&lt;=COB_CA!$B$58),IF(AND((A341&lt;=COB_CA!$B$58),ROUND(C341-ROUND(COB_CA!$B$59-D341,2),2)&lt;=0),C341,ROUND(COB_CA!$B$59-D341,2)),0)</f>
        <v/>
      </c>
      <c r="F341" s="14">
        <f>IF((A341&lt;=COB_CA!$B$58),IF(AND((A341&lt;=COB_CA!$B$58),ROUND(C341-ROUND(COB_CA!$B$59-D341,2),2)&lt;=0),ROUND(D341+E341,2),COB_CA!$B$59),0)</f>
        <v/>
      </c>
      <c r="G341" s="14">
        <f>IF((A341&lt;=COB_CA!$B$58),IF(AND((A341&lt;=COB_CA!$B$58),ROUND(C341-ROUND(COB_CA!$B$59-D341,2),2)&lt;=0),0,ROUND(C341-E341,2)),C341)</f>
        <v/>
      </c>
      <c r="H341" s="6">
        <f>AND(H340,C340&gt;0,(A341&lt;=COB_CA!$B$58))</f>
        <v/>
      </c>
    </row>
    <row r="342">
      <c r="A342" s="6" t="n">
        <v>338</v>
      </c>
      <c r="B342" s="17">
        <f>IF(COB_CA!$B$44=12,DATE(YEAR(COB_CA!$B$22)+INT((MONTH(COB_CA!$B$22)-1+337)/12),MOD(MONTH(COB_CA!$B$22)-1+337,12)+1,1)+(DAY(COB_CA!$B$22)-1),IF(COB_CA!$B$44=24,COB_CA!$B$22+ROUND((337*365.25)/24,0),IF(COB_CA!$B$44=26,COB_CA!$B$22+4718,COB_CA!$B$22+2359)))</f>
        <v/>
      </c>
      <c r="C342" s="14">
        <f>G341</f>
        <v/>
      </c>
      <c r="D342" s="14">
        <f>IF((A342&lt;=COB_CA!$B$58),ROUND(C342*COB_CA!$B$45,2),0)</f>
        <v/>
      </c>
      <c r="E342" s="14">
        <f>IF((A342&lt;=COB_CA!$B$58),IF(AND((A342&lt;=COB_CA!$B$58),ROUND(C342-ROUND(COB_CA!$B$59-D342,2),2)&lt;=0),C342,ROUND(COB_CA!$B$59-D342,2)),0)</f>
        <v/>
      </c>
      <c r="F342" s="14">
        <f>IF((A342&lt;=COB_CA!$B$58),IF(AND((A342&lt;=COB_CA!$B$58),ROUND(C342-ROUND(COB_CA!$B$59-D342,2),2)&lt;=0),ROUND(D342+E342,2),COB_CA!$B$59),0)</f>
        <v/>
      </c>
      <c r="G342" s="14">
        <f>IF((A342&lt;=COB_CA!$B$58),IF(AND((A342&lt;=COB_CA!$B$58),ROUND(C342-ROUND(COB_CA!$B$59-D342,2),2)&lt;=0),0,ROUND(C342-E342,2)),C342)</f>
        <v/>
      </c>
      <c r="H342" s="6">
        <f>AND(H341,C341&gt;0,(A342&lt;=COB_CA!$B$58))</f>
        <v/>
      </c>
    </row>
    <row r="343">
      <c r="A343" s="6" t="n">
        <v>339</v>
      </c>
      <c r="B343" s="17">
        <f>IF(COB_CA!$B$44=12,DATE(YEAR(COB_CA!$B$22)+INT((MONTH(COB_CA!$B$22)-1+338)/12),MOD(MONTH(COB_CA!$B$22)-1+338,12)+1,1)+(DAY(COB_CA!$B$22)-1),IF(COB_CA!$B$44=24,COB_CA!$B$22+ROUND((338*365.25)/24,0),IF(COB_CA!$B$44=26,COB_CA!$B$22+4732,COB_CA!$B$22+2366)))</f>
        <v/>
      </c>
      <c r="C343" s="14">
        <f>G342</f>
        <v/>
      </c>
      <c r="D343" s="14">
        <f>IF((A343&lt;=COB_CA!$B$58),ROUND(C343*COB_CA!$B$45,2),0)</f>
        <v/>
      </c>
      <c r="E343" s="14">
        <f>IF((A343&lt;=COB_CA!$B$58),IF(AND((A343&lt;=COB_CA!$B$58),ROUND(C343-ROUND(COB_CA!$B$59-D343,2),2)&lt;=0),C343,ROUND(COB_CA!$B$59-D343,2)),0)</f>
        <v/>
      </c>
      <c r="F343" s="14">
        <f>IF((A343&lt;=COB_CA!$B$58),IF(AND((A343&lt;=COB_CA!$B$58),ROUND(C343-ROUND(COB_CA!$B$59-D343,2),2)&lt;=0),ROUND(D343+E343,2),COB_CA!$B$59),0)</f>
        <v/>
      </c>
      <c r="G343" s="14">
        <f>IF((A343&lt;=COB_CA!$B$58),IF(AND((A343&lt;=COB_CA!$B$58),ROUND(C343-ROUND(COB_CA!$B$59-D343,2),2)&lt;=0),0,ROUND(C343-E343,2)),C343)</f>
        <v/>
      </c>
      <c r="H343" s="6">
        <f>AND(H342,C342&gt;0,(A343&lt;=COB_CA!$B$58))</f>
        <v/>
      </c>
    </row>
    <row r="344">
      <c r="A344" s="6" t="n">
        <v>340</v>
      </c>
      <c r="B344" s="17">
        <f>IF(COB_CA!$B$44=12,DATE(YEAR(COB_CA!$B$22)+INT((MONTH(COB_CA!$B$22)-1+339)/12),MOD(MONTH(COB_CA!$B$22)-1+339,12)+1,1)+(DAY(COB_CA!$B$22)-1),IF(COB_CA!$B$44=24,COB_CA!$B$22+ROUND((339*365.25)/24,0),IF(COB_CA!$B$44=26,COB_CA!$B$22+4746,COB_CA!$B$22+2373)))</f>
        <v/>
      </c>
      <c r="C344" s="14">
        <f>G343</f>
        <v/>
      </c>
      <c r="D344" s="14">
        <f>IF((A344&lt;=COB_CA!$B$58),ROUND(C344*COB_CA!$B$45,2),0)</f>
        <v/>
      </c>
      <c r="E344" s="14">
        <f>IF((A344&lt;=COB_CA!$B$58),IF(AND((A344&lt;=COB_CA!$B$58),ROUND(C344-ROUND(COB_CA!$B$59-D344,2),2)&lt;=0),C344,ROUND(COB_CA!$B$59-D344,2)),0)</f>
        <v/>
      </c>
      <c r="F344" s="14">
        <f>IF((A344&lt;=COB_CA!$B$58),IF(AND((A344&lt;=COB_CA!$B$58),ROUND(C344-ROUND(COB_CA!$B$59-D344,2),2)&lt;=0),ROUND(D344+E344,2),COB_CA!$B$59),0)</f>
        <v/>
      </c>
      <c r="G344" s="14">
        <f>IF((A344&lt;=COB_CA!$B$58),IF(AND((A344&lt;=COB_CA!$B$58),ROUND(C344-ROUND(COB_CA!$B$59-D344,2),2)&lt;=0),0,ROUND(C344-E344,2)),C344)</f>
        <v/>
      </c>
      <c r="H344" s="6">
        <f>AND(H343,C343&gt;0,(A344&lt;=COB_CA!$B$58))</f>
        <v/>
      </c>
    </row>
    <row r="345">
      <c r="A345" s="6" t="n">
        <v>341</v>
      </c>
      <c r="B345" s="17">
        <f>IF(COB_CA!$B$44=12,DATE(YEAR(COB_CA!$B$22)+INT((MONTH(COB_CA!$B$22)-1+340)/12),MOD(MONTH(COB_CA!$B$22)-1+340,12)+1,1)+(DAY(COB_CA!$B$22)-1),IF(COB_CA!$B$44=24,COB_CA!$B$22+ROUND((340*365.25)/24,0),IF(COB_CA!$B$44=26,COB_CA!$B$22+4760,COB_CA!$B$22+2380)))</f>
        <v/>
      </c>
      <c r="C345" s="14">
        <f>G344</f>
        <v/>
      </c>
      <c r="D345" s="14">
        <f>IF((A345&lt;=COB_CA!$B$58),ROUND(C345*COB_CA!$B$45,2),0)</f>
        <v/>
      </c>
      <c r="E345" s="14">
        <f>IF((A345&lt;=COB_CA!$B$58),IF(AND((A345&lt;=COB_CA!$B$58),ROUND(C345-ROUND(COB_CA!$B$59-D345,2),2)&lt;=0),C345,ROUND(COB_CA!$B$59-D345,2)),0)</f>
        <v/>
      </c>
      <c r="F345" s="14">
        <f>IF((A345&lt;=COB_CA!$B$58),IF(AND((A345&lt;=COB_CA!$B$58),ROUND(C345-ROUND(COB_CA!$B$59-D345,2),2)&lt;=0),ROUND(D345+E345,2),COB_CA!$B$59),0)</f>
        <v/>
      </c>
      <c r="G345" s="14">
        <f>IF((A345&lt;=COB_CA!$B$58),IF(AND((A345&lt;=COB_CA!$B$58),ROUND(C345-ROUND(COB_CA!$B$59-D345,2),2)&lt;=0),0,ROUND(C345-E345,2)),C345)</f>
        <v/>
      </c>
      <c r="H345" s="6">
        <f>AND(H344,C344&gt;0,(A345&lt;=COB_CA!$B$58))</f>
        <v/>
      </c>
    </row>
    <row r="346">
      <c r="A346" s="6" t="n">
        <v>342</v>
      </c>
      <c r="B346" s="17">
        <f>IF(COB_CA!$B$44=12,DATE(YEAR(COB_CA!$B$22)+INT((MONTH(COB_CA!$B$22)-1+341)/12),MOD(MONTH(COB_CA!$B$22)-1+341,12)+1,1)+(DAY(COB_CA!$B$22)-1),IF(COB_CA!$B$44=24,COB_CA!$B$22+ROUND((341*365.25)/24,0),IF(COB_CA!$B$44=26,COB_CA!$B$22+4774,COB_CA!$B$22+2387)))</f>
        <v/>
      </c>
      <c r="C346" s="14">
        <f>G345</f>
        <v/>
      </c>
      <c r="D346" s="14">
        <f>IF((A346&lt;=COB_CA!$B$58),ROUND(C346*COB_CA!$B$45,2),0)</f>
        <v/>
      </c>
      <c r="E346" s="14">
        <f>IF((A346&lt;=COB_CA!$B$58),IF(AND((A346&lt;=COB_CA!$B$58),ROUND(C346-ROUND(COB_CA!$B$59-D346,2),2)&lt;=0),C346,ROUND(COB_CA!$B$59-D346,2)),0)</f>
        <v/>
      </c>
      <c r="F346" s="14">
        <f>IF((A346&lt;=COB_CA!$B$58),IF(AND((A346&lt;=COB_CA!$B$58),ROUND(C346-ROUND(COB_CA!$B$59-D346,2),2)&lt;=0),ROUND(D346+E346,2),COB_CA!$B$59),0)</f>
        <v/>
      </c>
      <c r="G346" s="14">
        <f>IF((A346&lt;=COB_CA!$B$58),IF(AND((A346&lt;=COB_CA!$B$58),ROUND(C346-ROUND(COB_CA!$B$59-D346,2),2)&lt;=0),0,ROUND(C346-E346,2)),C346)</f>
        <v/>
      </c>
      <c r="H346" s="6">
        <f>AND(H345,C345&gt;0,(A346&lt;=COB_CA!$B$58))</f>
        <v/>
      </c>
    </row>
    <row r="347">
      <c r="A347" s="6" t="n">
        <v>343</v>
      </c>
      <c r="B347" s="17">
        <f>IF(COB_CA!$B$44=12,DATE(YEAR(COB_CA!$B$22)+INT((MONTH(COB_CA!$B$22)-1+342)/12),MOD(MONTH(COB_CA!$B$22)-1+342,12)+1,1)+(DAY(COB_CA!$B$22)-1),IF(COB_CA!$B$44=24,COB_CA!$B$22+ROUND((342*365.25)/24,0),IF(COB_CA!$B$44=26,COB_CA!$B$22+4788,COB_CA!$B$22+2394)))</f>
        <v/>
      </c>
      <c r="C347" s="14">
        <f>G346</f>
        <v/>
      </c>
      <c r="D347" s="14">
        <f>IF((A347&lt;=COB_CA!$B$58),ROUND(C347*COB_CA!$B$45,2),0)</f>
        <v/>
      </c>
      <c r="E347" s="14">
        <f>IF((A347&lt;=COB_CA!$B$58),IF(AND((A347&lt;=COB_CA!$B$58),ROUND(C347-ROUND(COB_CA!$B$59-D347,2),2)&lt;=0),C347,ROUND(COB_CA!$B$59-D347,2)),0)</f>
        <v/>
      </c>
      <c r="F347" s="14">
        <f>IF((A347&lt;=COB_CA!$B$58),IF(AND((A347&lt;=COB_CA!$B$58),ROUND(C347-ROUND(COB_CA!$B$59-D347,2),2)&lt;=0),ROUND(D347+E347,2),COB_CA!$B$59),0)</f>
        <v/>
      </c>
      <c r="G347" s="14">
        <f>IF((A347&lt;=COB_CA!$B$58),IF(AND((A347&lt;=COB_CA!$B$58),ROUND(C347-ROUND(COB_CA!$B$59-D347,2),2)&lt;=0),0,ROUND(C347-E347,2)),C347)</f>
        <v/>
      </c>
      <c r="H347" s="6">
        <f>AND(H346,C346&gt;0,(A347&lt;=COB_CA!$B$58))</f>
        <v/>
      </c>
    </row>
    <row r="348">
      <c r="A348" s="6" t="n">
        <v>344</v>
      </c>
      <c r="B348" s="17">
        <f>IF(COB_CA!$B$44=12,DATE(YEAR(COB_CA!$B$22)+INT((MONTH(COB_CA!$B$22)-1+343)/12),MOD(MONTH(COB_CA!$B$22)-1+343,12)+1,1)+(DAY(COB_CA!$B$22)-1),IF(COB_CA!$B$44=24,COB_CA!$B$22+ROUND((343*365.25)/24,0),IF(COB_CA!$B$44=26,COB_CA!$B$22+4802,COB_CA!$B$22+2401)))</f>
        <v/>
      </c>
      <c r="C348" s="14">
        <f>G347</f>
        <v/>
      </c>
      <c r="D348" s="14">
        <f>IF((A348&lt;=COB_CA!$B$58),ROUND(C348*COB_CA!$B$45,2),0)</f>
        <v/>
      </c>
      <c r="E348" s="14">
        <f>IF((A348&lt;=COB_CA!$B$58),IF(AND((A348&lt;=COB_CA!$B$58),ROUND(C348-ROUND(COB_CA!$B$59-D348,2),2)&lt;=0),C348,ROUND(COB_CA!$B$59-D348,2)),0)</f>
        <v/>
      </c>
      <c r="F348" s="14">
        <f>IF((A348&lt;=COB_CA!$B$58),IF(AND((A348&lt;=COB_CA!$B$58),ROUND(C348-ROUND(COB_CA!$B$59-D348,2),2)&lt;=0),ROUND(D348+E348,2),COB_CA!$B$59),0)</f>
        <v/>
      </c>
      <c r="G348" s="14">
        <f>IF((A348&lt;=COB_CA!$B$58),IF(AND((A348&lt;=COB_CA!$B$58),ROUND(C348-ROUND(COB_CA!$B$59-D348,2),2)&lt;=0),0,ROUND(C348-E348,2)),C348)</f>
        <v/>
      </c>
      <c r="H348" s="6">
        <f>AND(H347,C347&gt;0,(A348&lt;=COB_CA!$B$58))</f>
        <v/>
      </c>
    </row>
    <row r="349">
      <c r="A349" s="6" t="n">
        <v>345</v>
      </c>
      <c r="B349" s="17">
        <f>IF(COB_CA!$B$44=12,DATE(YEAR(COB_CA!$B$22)+INT((MONTH(COB_CA!$B$22)-1+344)/12),MOD(MONTH(COB_CA!$B$22)-1+344,12)+1,1)+(DAY(COB_CA!$B$22)-1),IF(COB_CA!$B$44=24,COB_CA!$B$22+ROUND((344*365.25)/24,0),IF(COB_CA!$B$44=26,COB_CA!$B$22+4816,COB_CA!$B$22+2408)))</f>
        <v/>
      </c>
      <c r="C349" s="14">
        <f>G348</f>
        <v/>
      </c>
      <c r="D349" s="14">
        <f>IF((A349&lt;=COB_CA!$B$58),ROUND(C349*COB_CA!$B$45,2),0)</f>
        <v/>
      </c>
      <c r="E349" s="14">
        <f>IF((A349&lt;=COB_CA!$B$58),IF(AND((A349&lt;=COB_CA!$B$58),ROUND(C349-ROUND(COB_CA!$B$59-D349,2),2)&lt;=0),C349,ROUND(COB_CA!$B$59-D349,2)),0)</f>
        <v/>
      </c>
      <c r="F349" s="14">
        <f>IF((A349&lt;=COB_CA!$B$58),IF(AND((A349&lt;=COB_CA!$B$58),ROUND(C349-ROUND(COB_CA!$B$59-D349,2),2)&lt;=0),ROUND(D349+E349,2),COB_CA!$B$59),0)</f>
        <v/>
      </c>
      <c r="G349" s="14">
        <f>IF((A349&lt;=COB_CA!$B$58),IF(AND((A349&lt;=COB_CA!$B$58),ROUND(C349-ROUND(COB_CA!$B$59-D349,2),2)&lt;=0),0,ROUND(C349-E349,2)),C349)</f>
        <v/>
      </c>
      <c r="H349" s="6">
        <f>AND(H348,C348&gt;0,(A349&lt;=COB_CA!$B$58))</f>
        <v/>
      </c>
    </row>
    <row r="350">
      <c r="A350" s="6" t="n">
        <v>346</v>
      </c>
      <c r="B350" s="17">
        <f>IF(COB_CA!$B$44=12,DATE(YEAR(COB_CA!$B$22)+INT((MONTH(COB_CA!$B$22)-1+345)/12),MOD(MONTH(COB_CA!$B$22)-1+345,12)+1,1)+(DAY(COB_CA!$B$22)-1),IF(COB_CA!$B$44=24,COB_CA!$B$22+ROUND((345*365.25)/24,0),IF(COB_CA!$B$44=26,COB_CA!$B$22+4830,COB_CA!$B$22+2415)))</f>
        <v/>
      </c>
      <c r="C350" s="14">
        <f>G349</f>
        <v/>
      </c>
      <c r="D350" s="14">
        <f>IF((A350&lt;=COB_CA!$B$58),ROUND(C350*COB_CA!$B$45,2),0)</f>
        <v/>
      </c>
      <c r="E350" s="14">
        <f>IF((A350&lt;=COB_CA!$B$58),IF(AND((A350&lt;=COB_CA!$B$58),ROUND(C350-ROUND(COB_CA!$B$59-D350,2),2)&lt;=0),C350,ROUND(COB_CA!$B$59-D350,2)),0)</f>
        <v/>
      </c>
      <c r="F350" s="14">
        <f>IF((A350&lt;=COB_CA!$B$58),IF(AND((A350&lt;=COB_CA!$B$58),ROUND(C350-ROUND(COB_CA!$B$59-D350,2),2)&lt;=0),ROUND(D350+E350,2),COB_CA!$B$59),0)</f>
        <v/>
      </c>
      <c r="G350" s="14">
        <f>IF((A350&lt;=COB_CA!$B$58),IF(AND((A350&lt;=COB_CA!$B$58),ROUND(C350-ROUND(COB_CA!$B$59-D350,2),2)&lt;=0),0,ROUND(C350-E350,2)),C350)</f>
        <v/>
      </c>
      <c r="H350" s="6">
        <f>AND(H349,C349&gt;0,(A350&lt;=COB_CA!$B$58))</f>
        <v/>
      </c>
    </row>
    <row r="351">
      <c r="A351" s="6" t="n">
        <v>347</v>
      </c>
      <c r="B351" s="17">
        <f>IF(COB_CA!$B$44=12,DATE(YEAR(COB_CA!$B$22)+INT((MONTH(COB_CA!$B$22)-1+346)/12),MOD(MONTH(COB_CA!$B$22)-1+346,12)+1,1)+(DAY(COB_CA!$B$22)-1),IF(COB_CA!$B$44=24,COB_CA!$B$22+ROUND((346*365.25)/24,0),IF(COB_CA!$B$44=26,COB_CA!$B$22+4844,COB_CA!$B$22+2422)))</f>
        <v/>
      </c>
      <c r="C351" s="14">
        <f>G350</f>
        <v/>
      </c>
      <c r="D351" s="14">
        <f>IF((A351&lt;=COB_CA!$B$58),ROUND(C351*COB_CA!$B$45,2),0)</f>
        <v/>
      </c>
      <c r="E351" s="14">
        <f>IF((A351&lt;=COB_CA!$B$58),IF(AND((A351&lt;=COB_CA!$B$58),ROUND(C351-ROUND(COB_CA!$B$59-D351,2),2)&lt;=0),C351,ROUND(COB_CA!$B$59-D351,2)),0)</f>
        <v/>
      </c>
      <c r="F351" s="14">
        <f>IF((A351&lt;=COB_CA!$B$58),IF(AND((A351&lt;=COB_CA!$B$58),ROUND(C351-ROUND(COB_CA!$B$59-D351,2),2)&lt;=0),ROUND(D351+E351,2),COB_CA!$B$59),0)</f>
        <v/>
      </c>
      <c r="G351" s="14">
        <f>IF((A351&lt;=COB_CA!$B$58),IF(AND((A351&lt;=COB_CA!$B$58),ROUND(C351-ROUND(COB_CA!$B$59-D351,2),2)&lt;=0),0,ROUND(C351-E351,2)),C351)</f>
        <v/>
      </c>
      <c r="H351" s="6">
        <f>AND(H350,C350&gt;0,(A351&lt;=COB_CA!$B$58))</f>
        <v/>
      </c>
    </row>
    <row r="352">
      <c r="A352" s="6" t="n">
        <v>348</v>
      </c>
      <c r="B352" s="17">
        <f>IF(COB_CA!$B$44=12,DATE(YEAR(COB_CA!$B$22)+INT((MONTH(COB_CA!$B$22)-1+347)/12),MOD(MONTH(COB_CA!$B$22)-1+347,12)+1,1)+(DAY(COB_CA!$B$22)-1),IF(COB_CA!$B$44=24,COB_CA!$B$22+ROUND((347*365.25)/24,0),IF(COB_CA!$B$44=26,COB_CA!$B$22+4858,COB_CA!$B$22+2429)))</f>
        <v/>
      </c>
      <c r="C352" s="14">
        <f>G351</f>
        <v/>
      </c>
      <c r="D352" s="14">
        <f>IF((A352&lt;=COB_CA!$B$58),ROUND(C352*COB_CA!$B$45,2),0)</f>
        <v/>
      </c>
      <c r="E352" s="14">
        <f>IF((A352&lt;=COB_CA!$B$58),IF(AND((A352&lt;=COB_CA!$B$58),ROUND(C352-ROUND(COB_CA!$B$59-D352,2),2)&lt;=0),C352,ROUND(COB_CA!$B$59-D352,2)),0)</f>
        <v/>
      </c>
      <c r="F352" s="14">
        <f>IF((A352&lt;=COB_CA!$B$58),IF(AND((A352&lt;=COB_CA!$B$58),ROUND(C352-ROUND(COB_CA!$B$59-D352,2),2)&lt;=0),ROUND(D352+E352,2),COB_CA!$B$59),0)</f>
        <v/>
      </c>
      <c r="G352" s="14">
        <f>IF((A352&lt;=COB_CA!$B$58),IF(AND((A352&lt;=COB_CA!$B$58),ROUND(C352-ROUND(COB_CA!$B$59-D352,2),2)&lt;=0),0,ROUND(C352-E352,2)),C352)</f>
        <v/>
      </c>
      <c r="H352" s="6">
        <f>AND(H351,C351&gt;0,(A352&lt;=COB_CA!$B$58))</f>
        <v/>
      </c>
    </row>
    <row r="353">
      <c r="A353" s="6" t="n">
        <v>349</v>
      </c>
      <c r="B353" s="17">
        <f>IF(COB_CA!$B$44=12,DATE(YEAR(COB_CA!$B$22)+INT((MONTH(COB_CA!$B$22)-1+348)/12),MOD(MONTH(COB_CA!$B$22)-1+348,12)+1,1)+(DAY(COB_CA!$B$22)-1),IF(COB_CA!$B$44=24,COB_CA!$B$22+ROUND((348*365.25)/24,0),IF(COB_CA!$B$44=26,COB_CA!$B$22+4872,COB_CA!$B$22+2436)))</f>
        <v/>
      </c>
      <c r="C353" s="14">
        <f>G352</f>
        <v/>
      </c>
      <c r="D353" s="14">
        <f>IF((A353&lt;=COB_CA!$B$58),ROUND(C353*COB_CA!$B$45,2),0)</f>
        <v/>
      </c>
      <c r="E353" s="14">
        <f>IF((A353&lt;=COB_CA!$B$58),IF(AND((A353&lt;=COB_CA!$B$58),ROUND(C353-ROUND(COB_CA!$B$59-D353,2),2)&lt;=0),C353,ROUND(COB_CA!$B$59-D353,2)),0)</f>
        <v/>
      </c>
      <c r="F353" s="14">
        <f>IF((A353&lt;=COB_CA!$B$58),IF(AND((A353&lt;=COB_CA!$B$58),ROUND(C353-ROUND(COB_CA!$B$59-D353,2),2)&lt;=0),ROUND(D353+E353,2),COB_CA!$B$59),0)</f>
        <v/>
      </c>
      <c r="G353" s="14">
        <f>IF((A353&lt;=COB_CA!$B$58),IF(AND((A353&lt;=COB_CA!$B$58),ROUND(C353-ROUND(COB_CA!$B$59-D353,2),2)&lt;=0),0,ROUND(C353-E353,2)),C353)</f>
        <v/>
      </c>
      <c r="H353" s="6">
        <f>AND(H352,C352&gt;0,(A353&lt;=COB_CA!$B$58))</f>
        <v/>
      </c>
    </row>
    <row r="354">
      <c r="A354" s="6" t="n">
        <v>350</v>
      </c>
      <c r="B354" s="17">
        <f>IF(COB_CA!$B$44=12,DATE(YEAR(COB_CA!$B$22)+INT((MONTH(COB_CA!$B$22)-1+349)/12),MOD(MONTH(COB_CA!$B$22)-1+349,12)+1,1)+(DAY(COB_CA!$B$22)-1),IF(COB_CA!$B$44=24,COB_CA!$B$22+ROUND((349*365.25)/24,0),IF(COB_CA!$B$44=26,COB_CA!$B$22+4886,COB_CA!$B$22+2443)))</f>
        <v/>
      </c>
      <c r="C354" s="14">
        <f>G353</f>
        <v/>
      </c>
      <c r="D354" s="14">
        <f>IF((A354&lt;=COB_CA!$B$58),ROUND(C354*COB_CA!$B$45,2),0)</f>
        <v/>
      </c>
      <c r="E354" s="14">
        <f>IF((A354&lt;=COB_CA!$B$58),IF(AND((A354&lt;=COB_CA!$B$58),ROUND(C354-ROUND(COB_CA!$B$59-D354,2),2)&lt;=0),C354,ROUND(COB_CA!$B$59-D354,2)),0)</f>
        <v/>
      </c>
      <c r="F354" s="14">
        <f>IF((A354&lt;=COB_CA!$B$58),IF(AND((A354&lt;=COB_CA!$B$58),ROUND(C354-ROUND(COB_CA!$B$59-D354,2),2)&lt;=0),ROUND(D354+E354,2),COB_CA!$B$59),0)</f>
        <v/>
      </c>
      <c r="G354" s="14">
        <f>IF((A354&lt;=COB_CA!$B$58),IF(AND((A354&lt;=COB_CA!$B$58),ROUND(C354-ROUND(COB_CA!$B$59-D354,2),2)&lt;=0),0,ROUND(C354-E354,2)),C354)</f>
        <v/>
      </c>
      <c r="H354" s="6">
        <f>AND(H353,C353&gt;0,(A354&lt;=COB_CA!$B$58))</f>
        <v/>
      </c>
    </row>
    <row r="355">
      <c r="A355" s="6" t="n">
        <v>351</v>
      </c>
      <c r="B355" s="17">
        <f>IF(COB_CA!$B$44=12,DATE(YEAR(COB_CA!$B$22)+INT((MONTH(COB_CA!$B$22)-1+350)/12),MOD(MONTH(COB_CA!$B$22)-1+350,12)+1,1)+(DAY(COB_CA!$B$22)-1),IF(COB_CA!$B$44=24,COB_CA!$B$22+ROUND((350*365.25)/24,0),IF(COB_CA!$B$44=26,COB_CA!$B$22+4900,COB_CA!$B$22+2450)))</f>
        <v/>
      </c>
      <c r="C355" s="14">
        <f>G354</f>
        <v/>
      </c>
      <c r="D355" s="14">
        <f>IF((A355&lt;=COB_CA!$B$58),ROUND(C355*COB_CA!$B$45,2),0)</f>
        <v/>
      </c>
      <c r="E355" s="14">
        <f>IF((A355&lt;=COB_CA!$B$58),IF(AND((A355&lt;=COB_CA!$B$58),ROUND(C355-ROUND(COB_CA!$B$59-D355,2),2)&lt;=0),C355,ROUND(COB_CA!$B$59-D355,2)),0)</f>
        <v/>
      </c>
      <c r="F355" s="14">
        <f>IF((A355&lt;=COB_CA!$B$58),IF(AND((A355&lt;=COB_CA!$B$58),ROUND(C355-ROUND(COB_CA!$B$59-D355,2),2)&lt;=0),ROUND(D355+E355,2),COB_CA!$B$59),0)</f>
        <v/>
      </c>
      <c r="G355" s="14">
        <f>IF((A355&lt;=COB_CA!$B$58),IF(AND((A355&lt;=COB_CA!$B$58),ROUND(C355-ROUND(COB_CA!$B$59-D355,2),2)&lt;=0),0,ROUND(C355-E355,2)),C355)</f>
        <v/>
      </c>
      <c r="H355" s="6">
        <f>AND(H354,C354&gt;0,(A355&lt;=COB_CA!$B$58))</f>
        <v/>
      </c>
    </row>
    <row r="356">
      <c r="A356" s="6" t="n">
        <v>352</v>
      </c>
      <c r="B356" s="17">
        <f>IF(COB_CA!$B$44=12,DATE(YEAR(COB_CA!$B$22)+INT((MONTH(COB_CA!$B$22)-1+351)/12),MOD(MONTH(COB_CA!$B$22)-1+351,12)+1,1)+(DAY(COB_CA!$B$22)-1),IF(COB_CA!$B$44=24,COB_CA!$B$22+ROUND((351*365.25)/24,0),IF(COB_CA!$B$44=26,COB_CA!$B$22+4914,COB_CA!$B$22+2457)))</f>
        <v/>
      </c>
      <c r="C356" s="14">
        <f>G355</f>
        <v/>
      </c>
      <c r="D356" s="14">
        <f>IF((A356&lt;=COB_CA!$B$58),ROUND(C356*COB_CA!$B$45,2),0)</f>
        <v/>
      </c>
      <c r="E356" s="14">
        <f>IF((A356&lt;=COB_CA!$B$58),IF(AND((A356&lt;=COB_CA!$B$58),ROUND(C356-ROUND(COB_CA!$B$59-D356,2),2)&lt;=0),C356,ROUND(COB_CA!$B$59-D356,2)),0)</f>
        <v/>
      </c>
      <c r="F356" s="14">
        <f>IF((A356&lt;=COB_CA!$B$58),IF(AND((A356&lt;=COB_CA!$B$58),ROUND(C356-ROUND(COB_CA!$B$59-D356,2),2)&lt;=0),ROUND(D356+E356,2),COB_CA!$B$59),0)</f>
        <v/>
      </c>
      <c r="G356" s="14">
        <f>IF((A356&lt;=COB_CA!$B$58),IF(AND((A356&lt;=COB_CA!$B$58),ROUND(C356-ROUND(COB_CA!$B$59-D356,2),2)&lt;=0),0,ROUND(C356-E356,2)),C356)</f>
        <v/>
      </c>
      <c r="H356" s="6">
        <f>AND(H355,C355&gt;0,(A356&lt;=COB_CA!$B$58))</f>
        <v/>
      </c>
    </row>
    <row r="357">
      <c r="A357" s="6" t="n">
        <v>353</v>
      </c>
      <c r="B357" s="17">
        <f>IF(COB_CA!$B$44=12,DATE(YEAR(COB_CA!$B$22)+INT((MONTH(COB_CA!$B$22)-1+352)/12),MOD(MONTH(COB_CA!$B$22)-1+352,12)+1,1)+(DAY(COB_CA!$B$22)-1),IF(COB_CA!$B$44=24,COB_CA!$B$22+ROUND((352*365.25)/24,0),IF(COB_CA!$B$44=26,COB_CA!$B$22+4928,COB_CA!$B$22+2464)))</f>
        <v/>
      </c>
      <c r="C357" s="14">
        <f>G356</f>
        <v/>
      </c>
      <c r="D357" s="14">
        <f>IF((A357&lt;=COB_CA!$B$58),ROUND(C357*COB_CA!$B$45,2),0)</f>
        <v/>
      </c>
      <c r="E357" s="14">
        <f>IF((A357&lt;=COB_CA!$B$58),IF(AND((A357&lt;=COB_CA!$B$58),ROUND(C357-ROUND(COB_CA!$B$59-D357,2),2)&lt;=0),C357,ROUND(COB_CA!$B$59-D357,2)),0)</f>
        <v/>
      </c>
      <c r="F357" s="14">
        <f>IF((A357&lt;=COB_CA!$B$58),IF(AND((A357&lt;=COB_CA!$B$58),ROUND(C357-ROUND(COB_CA!$B$59-D357,2),2)&lt;=0),ROUND(D357+E357,2),COB_CA!$B$59),0)</f>
        <v/>
      </c>
      <c r="G357" s="14">
        <f>IF((A357&lt;=COB_CA!$B$58),IF(AND((A357&lt;=COB_CA!$B$58),ROUND(C357-ROUND(COB_CA!$B$59-D357,2),2)&lt;=0),0,ROUND(C357-E357,2)),C357)</f>
        <v/>
      </c>
      <c r="H357" s="6">
        <f>AND(H356,C356&gt;0,(A357&lt;=COB_CA!$B$58))</f>
        <v/>
      </c>
    </row>
    <row r="358">
      <c r="A358" s="6" t="n">
        <v>354</v>
      </c>
      <c r="B358" s="17">
        <f>IF(COB_CA!$B$44=12,DATE(YEAR(COB_CA!$B$22)+INT((MONTH(COB_CA!$B$22)-1+353)/12),MOD(MONTH(COB_CA!$B$22)-1+353,12)+1,1)+(DAY(COB_CA!$B$22)-1),IF(COB_CA!$B$44=24,COB_CA!$B$22+ROUND((353*365.25)/24,0),IF(COB_CA!$B$44=26,COB_CA!$B$22+4942,COB_CA!$B$22+2471)))</f>
        <v/>
      </c>
      <c r="C358" s="14">
        <f>G357</f>
        <v/>
      </c>
      <c r="D358" s="14">
        <f>IF((A358&lt;=COB_CA!$B$58),ROUND(C358*COB_CA!$B$45,2),0)</f>
        <v/>
      </c>
      <c r="E358" s="14">
        <f>IF((A358&lt;=COB_CA!$B$58),IF(AND((A358&lt;=COB_CA!$B$58),ROUND(C358-ROUND(COB_CA!$B$59-D358,2),2)&lt;=0),C358,ROUND(COB_CA!$B$59-D358,2)),0)</f>
        <v/>
      </c>
      <c r="F358" s="14">
        <f>IF((A358&lt;=COB_CA!$B$58),IF(AND((A358&lt;=COB_CA!$B$58),ROUND(C358-ROUND(COB_CA!$B$59-D358,2),2)&lt;=0),ROUND(D358+E358,2),COB_CA!$B$59),0)</f>
        <v/>
      </c>
      <c r="G358" s="14">
        <f>IF((A358&lt;=COB_CA!$B$58),IF(AND((A358&lt;=COB_CA!$B$58),ROUND(C358-ROUND(COB_CA!$B$59-D358,2),2)&lt;=0),0,ROUND(C358-E358,2)),C358)</f>
        <v/>
      </c>
      <c r="H358" s="6">
        <f>AND(H357,C357&gt;0,(A358&lt;=COB_CA!$B$58))</f>
        <v/>
      </c>
    </row>
    <row r="359">
      <c r="A359" s="6" t="n">
        <v>355</v>
      </c>
      <c r="B359" s="17">
        <f>IF(COB_CA!$B$44=12,DATE(YEAR(COB_CA!$B$22)+INT((MONTH(COB_CA!$B$22)-1+354)/12),MOD(MONTH(COB_CA!$B$22)-1+354,12)+1,1)+(DAY(COB_CA!$B$22)-1),IF(COB_CA!$B$44=24,COB_CA!$B$22+ROUND((354*365.25)/24,0),IF(COB_CA!$B$44=26,COB_CA!$B$22+4956,COB_CA!$B$22+2478)))</f>
        <v/>
      </c>
      <c r="C359" s="14">
        <f>G358</f>
        <v/>
      </c>
      <c r="D359" s="14">
        <f>IF((A359&lt;=COB_CA!$B$58),ROUND(C359*COB_CA!$B$45,2),0)</f>
        <v/>
      </c>
      <c r="E359" s="14">
        <f>IF((A359&lt;=COB_CA!$B$58),IF(AND((A359&lt;=COB_CA!$B$58),ROUND(C359-ROUND(COB_CA!$B$59-D359,2),2)&lt;=0),C359,ROUND(COB_CA!$B$59-D359,2)),0)</f>
        <v/>
      </c>
      <c r="F359" s="14">
        <f>IF((A359&lt;=COB_CA!$B$58),IF(AND((A359&lt;=COB_CA!$B$58),ROUND(C359-ROUND(COB_CA!$B$59-D359,2),2)&lt;=0),ROUND(D359+E359,2),COB_CA!$B$59),0)</f>
        <v/>
      </c>
      <c r="G359" s="14">
        <f>IF((A359&lt;=COB_CA!$B$58),IF(AND((A359&lt;=COB_CA!$B$58),ROUND(C359-ROUND(COB_CA!$B$59-D359,2),2)&lt;=0),0,ROUND(C359-E359,2)),C359)</f>
        <v/>
      </c>
      <c r="H359" s="6">
        <f>AND(H358,C358&gt;0,(A359&lt;=COB_CA!$B$58))</f>
        <v/>
      </c>
    </row>
    <row r="360">
      <c r="A360" s="6" t="n">
        <v>356</v>
      </c>
      <c r="B360" s="17">
        <f>IF(COB_CA!$B$44=12,DATE(YEAR(COB_CA!$B$22)+INT((MONTH(COB_CA!$B$22)-1+355)/12),MOD(MONTH(COB_CA!$B$22)-1+355,12)+1,1)+(DAY(COB_CA!$B$22)-1),IF(COB_CA!$B$44=24,COB_CA!$B$22+ROUND((355*365.25)/24,0),IF(COB_CA!$B$44=26,COB_CA!$B$22+4970,COB_CA!$B$22+2485)))</f>
        <v/>
      </c>
      <c r="C360" s="14">
        <f>G359</f>
        <v/>
      </c>
      <c r="D360" s="14">
        <f>IF((A360&lt;=COB_CA!$B$58),ROUND(C360*COB_CA!$B$45,2),0)</f>
        <v/>
      </c>
      <c r="E360" s="14">
        <f>IF((A360&lt;=COB_CA!$B$58),IF(AND((A360&lt;=COB_CA!$B$58),ROUND(C360-ROUND(COB_CA!$B$59-D360,2),2)&lt;=0),C360,ROUND(COB_CA!$B$59-D360,2)),0)</f>
        <v/>
      </c>
      <c r="F360" s="14">
        <f>IF((A360&lt;=COB_CA!$B$58),IF(AND((A360&lt;=COB_CA!$B$58),ROUND(C360-ROUND(COB_CA!$B$59-D360,2),2)&lt;=0),ROUND(D360+E360,2),COB_CA!$B$59),0)</f>
        <v/>
      </c>
      <c r="G360" s="14">
        <f>IF((A360&lt;=COB_CA!$B$58),IF(AND((A360&lt;=COB_CA!$B$58),ROUND(C360-ROUND(COB_CA!$B$59-D360,2),2)&lt;=0),0,ROUND(C360-E360,2)),C360)</f>
        <v/>
      </c>
      <c r="H360" s="6">
        <f>AND(H359,C359&gt;0,(A360&lt;=COB_CA!$B$58))</f>
        <v/>
      </c>
    </row>
    <row r="361">
      <c r="A361" s="6" t="n">
        <v>357</v>
      </c>
      <c r="B361" s="17">
        <f>IF(COB_CA!$B$44=12,DATE(YEAR(COB_CA!$B$22)+INT((MONTH(COB_CA!$B$22)-1+356)/12),MOD(MONTH(COB_CA!$B$22)-1+356,12)+1,1)+(DAY(COB_CA!$B$22)-1),IF(COB_CA!$B$44=24,COB_CA!$B$22+ROUND((356*365.25)/24,0),IF(COB_CA!$B$44=26,COB_CA!$B$22+4984,COB_CA!$B$22+2492)))</f>
        <v/>
      </c>
      <c r="C361" s="14">
        <f>G360</f>
        <v/>
      </c>
      <c r="D361" s="14">
        <f>IF((A361&lt;=COB_CA!$B$58),ROUND(C361*COB_CA!$B$45,2),0)</f>
        <v/>
      </c>
      <c r="E361" s="14">
        <f>IF((A361&lt;=COB_CA!$B$58),IF(AND((A361&lt;=COB_CA!$B$58),ROUND(C361-ROUND(COB_CA!$B$59-D361,2),2)&lt;=0),C361,ROUND(COB_CA!$B$59-D361,2)),0)</f>
        <v/>
      </c>
      <c r="F361" s="14">
        <f>IF((A361&lt;=COB_CA!$B$58),IF(AND((A361&lt;=COB_CA!$B$58),ROUND(C361-ROUND(COB_CA!$B$59-D361,2),2)&lt;=0),ROUND(D361+E361,2),COB_CA!$B$59),0)</f>
        <v/>
      </c>
      <c r="G361" s="14">
        <f>IF((A361&lt;=COB_CA!$B$58),IF(AND((A361&lt;=COB_CA!$B$58),ROUND(C361-ROUND(COB_CA!$B$59-D361,2),2)&lt;=0),0,ROUND(C361-E361,2)),C361)</f>
        <v/>
      </c>
      <c r="H361" s="6">
        <f>AND(H360,C360&gt;0,(A361&lt;=COB_CA!$B$58))</f>
        <v/>
      </c>
    </row>
    <row r="362">
      <c r="A362" s="6" t="n">
        <v>358</v>
      </c>
      <c r="B362" s="17">
        <f>IF(COB_CA!$B$44=12,DATE(YEAR(COB_CA!$B$22)+INT((MONTH(COB_CA!$B$22)-1+357)/12),MOD(MONTH(COB_CA!$B$22)-1+357,12)+1,1)+(DAY(COB_CA!$B$22)-1),IF(COB_CA!$B$44=24,COB_CA!$B$22+ROUND((357*365.25)/24,0),IF(COB_CA!$B$44=26,COB_CA!$B$22+4998,COB_CA!$B$22+2499)))</f>
        <v/>
      </c>
      <c r="C362" s="14">
        <f>G361</f>
        <v/>
      </c>
      <c r="D362" s="14">
        <f>IF((A362&lt;=COB_CA!$B$58),ROUND(C362*COB_CA!$B$45,2),0)</f>
        <v/>
      </c>
      <c r="E362" s="14">
        <f>IF((A362&lt;=COB_CA!$B$58),IF(AND((A362&lt;=COB_CA!$B$58),ROUND(C362-ROUND(COB_CA!$B$59-D362,2),2)&lt;=0),C362,ROUND(COB_CA!$B$59-D362,2)),0)</f>
        <v/>
      </c>
      <c r="F362" s="14">
        <f>IF((A362&lt;=COB_CA!$B$58),IF(AND((A362&lt;=COB_CA!$B$58),ROUND(C362-ROUND(COB_CA!$B$59-D362,2),2)&lt;=0),ROUND(D362+E362,2),COB_CA!$B$59),0)</f>
        <v/>
      </c>
      <c r="G362" s="14">
        <f>IF((A362&lt;=COB_CA!$B$58),IF(AND((A362&lt;=COB_CA!$B$58),ROUND(C362-ROUND(COB_CA!$B$59-D362,2),2)&lt;=0),0,ROUND(C362-E362,2)),C362)</f>
        <v/>
      </c>
      <c r="H362" s="6">
        <f>AND(H361,C361&gt;0,(A362&lt;=COB_CA!$B$58))</f>
        <v/>
      </c>
    </row>
    <row r="363">
      <c r="A363" s="6" t="n">
        <v>359</v>
      </c>
      <c r="B363" s="17">
        <f>IF(COB_CA!$B$44=12,DATE(YEAR(COB_CA!$B$22)+INT((MONTH(COB_CA!$B$22)-1+358)/12),MOD(MONTH(COB_CA!$B$22)-1+358,12)+1,1)+(DAY(COB_CA!$B$22)-1),IF(COB_CA!$B$44=24,COB_CA!$B$22+ROUND((358*365.25)/24,0),IF(COB_CA!$B$44=26,COB_CA!$B$22+5012,COB_CA!$B$22+2506)))</f>
        <v/>
      </c>
      <c r="C363" s="14">
        <f>G362</f>
        <v/>
      </c>
      <c r="D363" s="14">
        <f>IF((A363&lt;=COB_CA!$B$58),ROUND(C363*COB_CA!$B$45,2),0)</f>
        <v/>
      </c>
      <c r="E363" s="14">
        <f>IF((A363&lt;=COB_CA!$B$58),IF(AND((A363&lt;=COB_CA!$B$58),ROUND(C363-ROUND(COB_CA!$B$59-D363,2),2)&lt;=0),C363,ROUND(COB_CA!$B$59-D363,2)),0)</f>
        <v/>
      </c>
      <c r="F363" s="14">
        <f>IF((A363&lt;=COB_CA!$B$58),IF(AND((A363&lt;=COB_CA!$B$58),ROUND(C363-ROUND(COB_CA!$B$59-D363,2),2)&lt;=0),ROUND(D363+E363,2),COB_CA!$B$59),0)</f>
        <v/>
      </c>
      <c r="G363" s="14">
        <f>IF((A363&lt;=COB_CA!$B$58),IF(AND((A363&lt;=COB_CA!$B$58),ROUND(C363-ROUND(COB_CA!$B$59-D363,2),2)&lt;=0),0,ROUND(C363-E363,2)),C363)</f>
        <v/>
      </c>
      <c r="H363" s="6">
        <f>AND(H362,C362&gt;0,(A363&lt;=COB_CA!$B$58))</f>
        <v/>
      </c>
    </row>
    <row r="364">
      <c r="A364" s="6" t="n">
        <v>360</v>
      </c>
      <c r="B364" s="17">
        <f>IF(COB_CA!$B$44=12,DATE(YEAR(COB_CA!$B$22)+INT((MONTH(COB_CA!$B$22)-1+359)/12),MOD(MONTH(COB_CA!$B$22)-1+359,12)+1,1)+(DAY(COB_CA!$B$22)-1),IF(COB_CA!$B$44=24,COB_CA!$B$22+ROUND((359*365.25)/24,0),IF(COB_CA!$B$44=26,COB_CA!$B$22+5026,COB_CA!$B$22+2513)))</f>
        <v/>
      </c>
      <c r="C364" s="14">
        <f>G363</f>
        <v/>
      </c>
      <c r="D364" s="14">
        <f>IF((A364&lt;=COB_CA!$B$58),ROUND(C364*COB_CA!$B$45,2),0)</f>
        <v/>
      </c>
      <c r="E364" s="14">
        <f>IF((A364&lt;=COB_CA!$B$58),IF(AND((A364&lt;=COB_CA!$B$58),ROUND(C364-ROUND(COB_CA!$B$59-D364,2),2)&lt;=0),C364,ROUND(COB_CA!$B$59-D364,2)),0)</f>
        <v/>
      </c>
      <c r="F364" s="14">
        <f>IF((A364&lt;=COB_CA!$B$58),IF(AND((A364&lt;=COB_CA!$B$58),ROUND(C364-ROUND(COB_CA!$B$59-D364,2),2)&lt;=0),ROUND(D364+E364,2),COB_CA!$B$59),0)</f>
        <v/>
      </c>
      <c r="G364" s="14">
        <f>IF((A364&lt;=COB_CA!$B$58),IF(AND((A364&lt;=COB_CA!$B$58),ROUND(C364-ROUND(COB_CA!$B$59-D364,2),2)&lt;=0),0,ROUND(C364-E364,2)),C364)</f>
        <v/>
      </c>
      <c r="H364" s="6">
        <f>AND(H363,C363&gt;0,(A364&lt;=COB_CA!$B$58))</f>
        <v/>
      </c>
    </row>
    <row r="365">
      <c r="A365" s="6" t="n">
        <v>361</v>
      </c>
      <c r="B365" s="17">
        <f>IF(COB_CA!$B$44=12,DATE(YEAR(COB_CA!$B$22)+INT((MONTH(COB_CA!$B$22)-1+360)/12),MOD(MONTH(COB_CA!$B$22)-1+360,12)+1,1)+(DAY(COB_CA!$B$22)-1),IF(COB_CA!$B$44=24,COB_CA!$B$22+ROUND((360*365.25)/24,0),IF(COB_CA!$B$44=26,COB_CA!$B$22+5040,COB_CA!$B$22+2520)))</f>
        <v/>
      </c>
      <c r="C365" s="14">
        <f>G364</f>
        <v/>
      </c>
      <c r="D365" s="14">
        <f>IF((A365&lt;=COB_CA!$B$58),ROUND(C365*COB_CA!$B$45,2),0)</f>
        <v/>
      </c>
      <c r="E365" s="14">
        <f>IF((A365&lt;=COB_CA!$B$58),IF(AND((A365&lt;=COB_CA!$B$58),ROUND(C365-ROUND(COB_CA!$B$59-D365,2),2)&lt;=0),C365,ROUND(COB_CA!$B$59-D365,2)),0)</f>
        <v/>
      </c>
      <c r="F365" s="14">
        <f>IF((A365&lt;=COB_CA!$B$58),IF(AND((A365&lt;=COB_CA!$B$58),ROUND(C365-ROUND(COB_CA!$B$59-D365,2),2)&lt;=0),ROUND(D365+E365,2),COB_CA!$B$59),0)</f>
        <v/>
      </c>
      <c r="G365" s="14">
        <f>IF((A365&lt;=COB_CA!$B$58),IF(AND((A365&lt;=COB_CA!$B$58),ROUND(C365-ROUND(COB_CA!$B$59-D365,2),2)&lt;=0),0,ROUND(C365-E365,2)),C365)</f>
        <v/>
      </c>
      <c r="H365" s="6">
        <f>AND(H364,C364&gt;0,(A365&lt;=COB_CA!$B$58))</f>
        <v/>
      </c>
    </row>
    <row r="366">
      <c r="A366" s="6" t="n">
        <v>362</v>
      </c>
      <c r="B366" s="17">
        <f>IF(COB_CA!$B$44=12,DATE(YEAR(COB_CA!$B$22)+INT((MONTH(COB_CA!$B$22)-1+361)/12),MOD(MONTH(COB_CA!$B$22)-1+361,12)+1,1)+(DAY(COB_CA!$B$22)-1),IF(COB_CA!$B$44=24,COB_CA!$B$22+ROUND((361*365.25)/24,0),IF(COB_CA!$B$44=26,COB_CA!$B$22+5054,COB_CA!$B$22+2527)))</f>
        <v/>
      </c>
      <c r="C366" s="14">
        <f>G365</f>
        <v/>
      </c>
      <c r="D366" s="14">
        <f>IF((A366&lt;=COB_CA!$B$58),ROUND(C366*COB_CA!$B$45,2),0)</f>
        <v/>
      </c>
      <c r="E366" s="14">
        <f>IF((A366&lt;=COB_CA!$B$58),IF(AND((A366&lt;=COB_CA!$B$58),ROUND(C366-ROUND(COB_CA!$B$59-D366,2),2)&lt;=0),C366,ROUND(COB_CA!$B$59-D366,2)),0)</f>
        <v/>
      </c>
      <c r="F366" s="14">
        <f>IF((A366&lt;=COB_CA!$B$58),IF(AND((A366&lt;=COB_CA!$B$58),ROUND(C366-ROUND(COB_CA!$B$59-D366,2),2)&lt;=0),ROUND(D366+E366,2),COB_CA!$B$59),0)</f>
        <v/>
      </c>
      <c r="G366" s="14">
        <f>IF((A366&lt;=COB_CA!$B$58),IF(AND((A366&lt;=COB_CA!$B$58),ROUND(C366-ROUND(COB_CA!$B$59-D366,2),2)&lt;=0),0,ROUND(C366-E366,2)),C366)</f>
        <v/>
      </c>
      <c r="H366" s="6">
        <f>AND(H365,C365&gt;0,(A366&lt;=COB_CA!$B$58))</f>
        <v/>
      </c>
    </row>
    <row r="367">
      <c r="A367" s="6" t="n">
        <v>363</v>
      </c>
      <c r="B367" s="17">
        <f>IF(COB_CA!$B$44=12,DATE(YEAR(COB_CA!$B$22)+INT((MONTH(COB_CA!$B$22)-1+362)/12),MOD(MONTH(COB_CA!$B$22)-1+362,12)+1,1)+(DAY(COB_CA!$B$22)-1),IF(COB_CA!$B$44=24,COB_CA!$B$22+ROUND((362*365.25)/24,0),IF(COB_CA!$B$44=26,COB_CA!$B$22+5068,COB_CA!$B$22+2534)))</f>
        <v/>
      </c>
      <c r="C367" s="14">
        <f>G366</f>
        <v/>
      </c>
      <c r="D367" s="14">
        <f>IF((A367&lt;=COB_CA!$B$58),ROUND(C367*COB_CA!$B$45,2),0)</f>
        <v/>
      </c>
      <c r="E367" s="14">
        <f>IF((A367&lt;=COB_CA!$B$58),IF(AND((A367&lt;=COB_CA!$B$58),ROUND(C367-ROUND(COB_CA!$B$59-D367,2),2)&lt;=0),C367,ROUND(COB_CA!$B$59-D367,2)),0)</f>
        <v/>
      </c>
      <c r="F367" s="14">
        <f>IF((A367&lt;=COB_CA!$B$58),IF(AND((A367&lt;=COB_CA!$B$58),ROUND(C367-ROUND(COB_CA!$B$59-D367,2),2)&lt;=0),ROUND(D367+E367,2),COB_CA!$B$59),0)</f>
        <v/>
      </c>
      <c r="G367" s="14">
        <f>IF((A367&lt;=COB_CA!$B$58),IF(AND((A367&lt;=COB_CA!$B$58),ROUND(C367-ROUND(COB_CA!$B$59-D367,2),2)&lt;=0),0,ROUND(C367-E367,2)),C367)</f>
        <v/>
      </c>
      <c r="H367" s="6">
        <f>AND(H366,C366&gt;0,(A367&lt;=COB_CA!$B$58))</f>
        <v/>
      </c>
    </row>
    <row r="368">
      <c r="A368" s="6" t="n">
        <v>364</v>
      </c>
      <c r="B368" s="17">
        <f>IF(COB_CA!$B$44=12,DATE(YEAR(COB_CA!$B$22)+INT((MONTH(COB_CA!$B$22)-1+363)/12),MOD(MONTH(COB_CA!$B$22)-1+363,12)+1,1)+(DAY(COB_CA!$B$22)-1),IF(COB_CA!$B$44=24,COB_CA!$B$22+ROUND((363*365.25)/24,0),IF(COB_CA!$B$44=26,COB_CA!$B$22+5082,COB_CA!$B$22+2541)))</f>
        <v/>
      </c>
      <c r="C368" s="14">
        <f>G367</f>
        <v/>
      </c>
      <c r="D368" s="14">
        <f>IF((A368&lt;=COB_CA!$B$58),ROUND(C368*COB_CA!$B$45,2),0)</f>
        <v/>
      </c>
      <c r="E368" s="14">
        <f>IF((A368&lt;=COB_CA!$B$58),IF(AND((A368&lt;=COB_CA!$B$58),ROUND(C368-ROUND(COB_CA!$B$59-D368,2),2)&lt;=0),C368,ROUND(COB_CA!$B$59-D368,2)),0)</f>
        <v/>
      </c>
      <c r="F368" s="14">
        <f>IF((A368&lt;=COB_CA!$B$58),IF(AND((A368&lt;=COB_CA!$B$58),ROUND(C368-ROUND(COB_CA!$B$59-D368,2),2)&lt;=0),ROUND(D368+E368,2),COB_CA!$B$59),0)</f>
        <v/>
      </c>
      <c r="G368" s="14">
        <f>IF((A368&lt;=COB_CA!$B$58),IF(AND((A368&lt;=COB_CA!$B$58),ROUND(C368-ROUND(COB_CA!$B$59-D368,2),2)&lt;=0),0,ROUND(C368-E368,2)),C368)</f>
        <v/>
      </c>
      <c r="H368" s="6">
        <f>AND(H367,C367&gt;0,(A368&lt;=COB_CA!$B$58))</f>
        <v/>
      </c>
    </row>
    <row r="369">
      <c r="A369" s="6" t="n">
        <v>365</v>
      </c>
      <c r="B369" s="17">
        <f>IF(COB_CA!$B$44=12,DATE(YEAR(COB_CA!$B$22)+INT((MONTH(COB_CA!$B$22)-1+364)/12),MOD(MONTH(COB_CA!$B$22)-1+364,12)+1,1)+(DAY(COB_CA!$B$22)-1),IF(COB_CA!$B$44=24,COB_CA!$B$22+ROUND((364*365.25)/24,0),IF(COB_CA!$B$44=26,COB_CA!$B$22+5096,COB_CA!$B$22+2548)))</f>
        <v/>
      </c>
      <c r="C369" s="14">
        <f>G368</f>
        <v/>
      </c>
      <c r="D369" s="14">
        <f>IF((A369&lt;=COB_CA!$B$58),ROUND(C369*COB_CA!$B$45,2),0)</f>
        <v/>
      </c>
      <c r="E369" s="14">
        <f>IF((A369&lt;=COB_CA!$B$58),IF(AND((A369&lt;=COB_CA!$B$58),ROUND(C369-ROUND(COB_CA!$B$59-D369,2),2)&lt;=0),C369,ROUND(COB_CA!$B$59-D369,2)),0)</f>
        <v/>
      </c>
      <c r="F369" s="14">
        <f>IF((A369&lt;=COB_CA!$B$58),IF(AND((A369&lt;=COB_CA!$B$58),ROUND(C369-ROUND(COB_CA!$B$59-D369,2),2)&lt;=0),ROUND(D369+E369,2),COB_CA!$B$59),0)</f>
        <v/>
      </c>
      <c r="G369" s="14">
        <f>IF((A369&lt;=COB_CA!$B$58),IF(AND((A369&lt;=COB_CA!$B$58),ROUND(C369-ROUND(COB_CA!$B$59-D369,2),2)&lt;=0),0,ROUND(C369-E369,2)),C369)</f>
        <v/>
      </c>
      <c r="H369" s="6">
        <f>AND(H368,C368&gt;0,(A369&lt;=COB_CA!$B$58))</f>
        <v/>
      </c>
    </row>
    <row r="370">
      <c r="A370" s="6" t="n">
        <v>366</v>
      </c>
      <c r="B370" s="17">
        <f>IF(COB_CA!$B$44=12,DATE(YEAR(COB_CA!$B$22)+INT((MONTH(COB_CA!$B$22)-1+365)/12),MOD(MONTH(COB_CA!$B$22)-1+365,12)+1,1)+(DAY(COB_CA!$B$22)-1),IF(COB_CA!$B$44=24,COB_CA!$B$22+ROUND((365*365.25)/24,0),IF(COB_CA!$B$44=26,COB_CA!$B$22+5110,COB_CA!$B$22+2555)))</f>
        <v/>
      </c>
      <c r="C370" s="14">
        <f>G369</f>
        <v/>
      </c>
      <c r="D370" s="14">
        <f>IF((A370&lt;=COB_CA!$B$58),ROUND(C370*COB_CA!$B$45,2),0)</f>
        <v/>
      </c>
      <c r="E370" s="14">
        <f>IF((A370&lt;=COB_CA!$B$58),IF(AND((A370&lt;=COB_CA!$B$58),ROUND(C370-ROUND(COB_CA!$B$59-D370,2),2)&lt;=0),C370,ROUND(COB_CA!$B$59-D370,2)),0)</f>
        <v/>
      </c>
      <c r="F370" s="14">
        <f>IF((A370&lt;=COB_CA!$B$58),IF(AND((A370&lt;=COB_CA!$B$58),ROUND(C370-ROUND(COB_CA!$B$59-D370,2),2)&lt;=0),ROUND(D370+E370,2),COB_CA!$B$59),0)</f>
        <v/>
      </c>
      <c r="G370" s="14">
        <f>IF((A370&lt;=COB_CA!$B$58),IF(AND((A370&lt;=COB_CA!$B$58),ROUND(C370-ROUND(COB_CA!$B$59-D370,2),2)&lt;=0),0,ROUND(C370-E370,2)),C370)</f>
        <v/>
      </c>
      <c r="H370" s="6">
        <f>AND(H369,C369&gt;0,(A370&lt;=COB_CA!$B$58))</f>
        <v/>
      </c>
    </row>
    <row r="371">
      <c r="A371" s="6" t="n">
        <v>367</v>
      </c>
      <c r="B371" s="17">
        <f>IF(COB_CA!$B$44=12,DATE(YEAR(COB_CA!$B$22)+INT((MONTH(COB_CA!$B$22)-1+366)/12),MOD(MONTH(COB_CA!$B$22)-1+366,12)+1,1)+(DAY(COB_CA!$B$22)-1),IF(COB_CA!$B$44=24,COB_CA!$B$22+ROUND((366*365.25)/24,0),IF(COB_CA!$B$44=26,COB_CA!$B$22+5124,COB_CA!$B$22+2562)))</f>
        <v/>
      </c>
      <c r="C371" s="14">
        <f>G370</f>
        <v/>
      </c>
      <c r="D371" s="14">
        <f>IF((A371&lt;=COB_CA!$B$58),ROUND(C371*COB_CA!$B$45,2),0)</f>
        <v/>
      </c>
      <c r="E371" s="14">
        <f>IF((A371&lt;=COB_CA!$B$58),IF(AND((A371&lt;=COB_CA!$B$58),ROUND(C371-ROUND(COB_CA!$B$59-D371,2),2)&lt;=0),C371,ROUND(COB_CA!$B$59-D371,2)),0)</f>
        <v/>
      </c>
      <c r="F371" s="14">
        <f>IF((A371&lt;=COB_CA!$B$58),IF(AND((A371&lt;=COB_CA!$B$58),ROUND(C371-ROUND(COB_CA!$B$59-D371,2),2)&lt;=0),ROUND(D371+E371,2),COB_CA!$B$59),0)</f>
        <v/>
      </c>
      <c r="G371" s="14">
        <f>IF((A371&lt;=COB_CA!$B$58),IF(AND((A371&lt;=COB_CA!$B$58),ROUND(C371-ROUND(COB_CA!$B$59-D371,2),2)&lt;=0),0,ROUND(C371-E371,2)),C371)</f>
        <v/>
      </c>
      <c r="H371" s="6">
        <f>AND(H370,C370&gt;0,(A371&lt;=COB_CA!$B$58))</f>
        <v/>
      </c>
    </row>
    <row r="372">
      <c r="A372" s="6" t="n">
        <v>368</v>
      </c>
      <c r="B372" s="17">
        <f>IF(COB_CA!$B$44=12,DATE(YEAR(COB_CA!$B$22)+INT((MONTH(COB_CA!$B$22)-1+367)/12),MOD(MONTH(COB_CA!$B$22)-1+367,12)+1,1)+(DAY(COB_CA!$B$22)-1),IF(COB_CA!$B$44=24,COB_CA!$B$22+ROUND((367*365.25)/24,0),IF(COB_CA!$B$44=26,COB_CA!$B$22+5138,COB_CA!$B$22+2569)))</f>
        <v/>
      </c>
      <c r="C372" s="14">
        <f>G371</f>
        <v/>
      </c>
      <c r="D372" s="14">
        <f>IF((A372&lt;=COB_CA!$B$58),ROUND(C372*COB_CA!$B$45,2),0)</f>
        <v/>
      </c>
      <c r="E372" s="14">
        <f>IF((A372&lt;=COB_CA!$B$58),IF(AND((A372&lt;=COB_CA!$B$58),ROUND(C372-ROUND(COB_CA!$B$59-D372,2),2)&lt;=0),C372,ROUND(COB_CA!$B$59-D372,2)),0)</f>
        <v/>
      </c>
      <c r="F372" s="14">
        <f>IF((A372&lt;=COB_CA!$B$58),IF(AND((A372&lt;=COB_CA!$B$58),ROUND(C372-ROUND(COB_CA!$B$59-D372,2),2)&lt;=0),ROUND(D372+E372,2),COB_CA!$B$59),0)</f>
        <v/>
      </c>
      <c r="G372" s="14">
        <f>IF((A372&lt;=COB_CA!$B$58),IF(AND((A372&lt;=COB_CA!$B$58),ROUND(C372-ROUND(COB_CA!$B$59-D372,2),2)&lt;=0),0,ROUND(C372-E372,2)),C372)</f>
        <v/>
      </c>
      <c r="H372" s="6">
        <f>AND(H371,C371&gt;0,(A372&lt;=COB_CA!$B$58))</f>
        <v/>
      </c>
    </row>
    <row r="373">
      <c r="A373" s="6" t="n">
        <v>369</v>
      </c>
      <c r="B373" s="17">
        <f>IF(COB_CA!$B$44=12,DATE(YEAR(COB_CA!$B$22)+INT((MONTH(COB_CA!$B$22)-1+368)/12),MOD(MONTH(COB_CA!$B$22)-1+368,12)+1,1)+(DAY(COB_CA!$B$22)-1),IF(COB_CA!$B$44=24,COB_CA!$B$22+ROUND((368*365.25)/24,0),IF(COB_CA!$B$44=26,COB_CA!$B$22+5152,COB_CA!$B$22+2576)))</f>
        <v/>
      </c>
      <c r="C373" s="14">
        <f>G372</f>
        <v/>
      </c>
      <c r="D373" s="14">
        <f>IF((A373&lt;=COB_CA!$B$58),ROUND(C373*COB_CA!$B$45,2),0)</f>
        <v/>
      </c>
      <c r="E373" s="14">
        <f>IF((A373&lt;=COB_CA!$B$58),IF(AND((A373&lt;=COB_CA!$B$58),ROUND(C373-ROUND(COB_CA!$B$59-D373,2),2)&lt;=0),C373,ROUND(COB_CA!$B$59-D373,2)),0)</f>
        <v/>
      </c>
      <c r="F373" s="14">
        <f>IF((A373&lt;=COB_CA!$B$58),IF(AND((A373&lt;=COB_CA!$B$58),ROUND(C373-ROUND(COB_CA!$B$59-D373,2),2)&lt;=0),ROUND(D373+E373,2),COB_CA!$B$59),0)</f>
        <v/>
      </c>
      <c r="G373" s="14">
        <f>IF((A373&lt;=COB_CA!$B$58),IF(AND((A373&lt;=COB_CA!$B$58),ROUND(C373-ROUND(COB_CA!$B$59-D373,2),2)&lt;=0),0,ROUND(C373-E373,2)),C373)</f>
        <v/>
      </c>
      <c r="H373" s="6">
        <f>AND(H372,C372&gt;0,(A373&lt;=COB_CA!$B$58))</f>
        <v/>
      </c>
    </row>
    <row r="374">
      <c r="A374" s="6" t="n">
        <v>370</v>
      </c>
      <c r="B374" s="17">
        <f>IF(COB_CA!$B$44=12,DATE(YEAR(COB_CA!$B$22)+INT((MONTH(COB_CA!$B$22)-1+369)/12),MOD(MONTH(COB_CA!$B$22)-1+369,12)+1,1)+(DAY(COB_CA!$B$22)-1),IF(COB_CA!$B$44=24,COB_CA!$B$22+ROUND((369*365.25)/24,0),IF(COB_CA!$B$44=26,COB_CA!$B$22+5166,COB_CA!$B$22+2583)))</f>
        <v/>
      </c>
      <c r="C374" s="14">
        <f>G373</f>
        <v/>
      </c>
      <c r="D374" s="14">
        <f>IF((A374&lt;=COB_CA!$B$58),ROUND(C374*COB_CA!$B$45,2),0)</f>
        <v/>
      </c>
      <c r="E374" s="14">
        <f>IF((A374&lt;=COB_CA!$B$58),IF(AND((A374&lt;=COB_CA!$B$58),ROUND(C374-ROUND(COB_CA!$B$59-D374,2),2)&lt;=0),C374,ROUND(COB_CA!$B$59-D374,2)),0)</f>
        <v/>
      </c>
      <c r="F374" s="14">
        <f>IF((A374&lt;=COB_CA!$B$58),IF(AND((A374&lt;=COB_CA!$B$58),ROUND(C374-ROUND(COB_CA!$B$59-D374,2),2)&lt;=0),ROUND(D374+E374,2),COB_CA!$B$59),0)</f>
        <v/>
      </c>
      <c r="G374" s="14">
        <f>IF((A374&lt;=COB_CA!$B$58),IF(AND((A374&lt;=COB_CA!$B$58),ROUND(C374-ROUND(COB_CA!$B$59-D374,2),2)&lt;=0),0,ROUND(C374-E374,2)),C374)</f>
        <v/>
      </c>
      <c r="H374" s="6">
        <f>AND(H373,C373&gt;0,(A374&lt;=COB_CA!$B$58))</f>
        <v/>
      </c>
    </row>
    <row r="375">
      <c r="A375" s="6" t="n">
        <v>371</v>
      </c>
      <c r="B375" s="17">
        <f>IF(COB_CA!$B$44=12,DATE(YEAR(COB_CA!$B$22)+INT((MONTH(COB_CA!$B$22)-1+370)/12),MOD(MONTH(COB_CA!$B$22)-1+370,12)+1,1)+(DAY(COB_CA!$B$22)-1),IF(COB_CA!$B$44=24,COB_CA!$B$22+ROUND((370*365.25)/24,0),IF(COB_CA!$B$44=26,COB_CA!$B$22+5180,COB_CA!$B$22+2590)))</f>
        <v/>
      </c>
      <c r="C375" s="14">
        <f>G374</f>
        <v/>
      </c>
      <c r="D375" s="14">
        <f>IF((A375&lt;=COB_CA!$B$58),ROUND(C375*COB_CA!$B$45,2),0)</f>
        <v/>
      </c>
      <c r="E375" s="14">
        <f>IF((A375&lt;=COB_CA!$B$58),IF(AND((A375&lt;=COB_CA!$B$58),ROUND(C375-ROUND(COB_CA!$B$59-D375,2),2)&lt;=0),C375,ROUND(COB_CA!$B$59-D375,2)),0)</f>
        <v/>
      </c>
      <c r="F375" s="14">
        <f>IF((A375&lt;=COB_CA!$B$58),IF(AND((A375&lt;=COB_CA!$B$58),ROUND(C375-ROUND(COB_CA!$B$59-D375,2),2)&lt;=0),ROUND(D375+E375,2),COB_CA!$B$59),0)</f>
        <v/>
      </c>
      <c r="G375" s="14">
        <f>IF((A375&lt;=COB_CA!$B$58),IF(AND((A375&lt;=COB_CA!$B$58),ROUND(C375-ROUND(COB_CA!$B$59-D375,2),2)&lt;=0),0,ROUND(C375-E375,2)),C375)</f>
        <v/>
      </c>
      <c r="H375" s="6">
        <f>AND(H374,C374&gt;0,(A375&lt;=COB_CA!$B$58))</f>
        <v/>
      </c>
    </row>
    <row r="376">
      <c r="A376" s="6" t="n">
        <v>372</v>
      </c>
      <c r="B376" s="17">
        <f>IF(COB_CA!$B$44=12,DATE(YEAR(COB_CA!$B$22)+INT((MONTH(COB_CA!$B$22)-1+371)/12),MOD(MONTH(COB_CA!$B$22)-1+371,12)+1,1)+(DAY(COB_CA!$B$22)-1),IF(COB_CA!$B$44=24,COB_CA!$B$22+ROUND((371*365.25)/24,0),IF(COB_CA!$B$44=26,COB_CA!$B$22+5194,COB_CA!$B$22+2597)))</f>
        <v/>
      </c>
      <c r="C376" s="14">
        <f>G375</f>
        <v/>
      </c>
      <c r="D376" s="14">
        <f>IF((A376&lt;=COB_CA!$B$58),ROUND(C376*COB_CA!$B$45,2),0)</f>
        <v/>
      </c>
      <c r="E376" s="14">
        <f>IF((A376&lt;=COB_CA!$B$58),IF(AND((A376&lt;=COB_CA!$B$58),ROUND(C376-ROUND(COB_CA!$B$59-D376,2),2)&lt;=0),C376,ROUND(COB_CA!$B$59-D376,2)),0)</f>
        <v/>
      </c>
      <c r="F376" s="14">
        <f>IF((A376&lt;=COB_CA!$B$58),IF(AND((A376&lt;=COB_CA!$B$58),ROUND(C376-ROUND(COB_CA!$B$59-D376,2),2)&lt;=0),ROUND(D376+E376,2),COB_CA!$B$59),0)</f>
        <v/>
      </c>
      <c r="G376" s="14">
        <f>IF((A376&lt;=COB_CA!$B$58),IF(AND((A376&lt;=COB_CA!$B$58),ROUND(C376-ROUND(COB_CA!$B$59-D376,2),2)&lt;=0),0,ROUND(C376-E376,2)),C376)</f>
        <v/>
      </c>
      <c r="H376" s="6">
        <f>AND(H375,C375&gt;0,(A376&lt;=COB_CA!$B$58))</f>
        <v/>
      </c>
    </row>
    <row r="377">
      <c r="A377" s="6" t="n">
        <v>373</v>
      </c>
      <c r="B377" s="17">
        <f>IF(COB_CA!$B$44=12,DATE(YEAR(COB_CA!$B$22)+INT((MONTH(COB_CA!$B$22)-1+372)/12),MOD(MONTH(COB_CA!$B$22)-1+372,12)+1,1)+(DAY(COB_CA!$B$22)-1),IF(COB_CA!$B$44=24,COB_CA!$B$22+ROUND((372*365.25)/24,0),IF(COB_CA!$B$44=26,COB_CA!$B$22+5208,COB_CA!$B$22+2604)))</f>
        <v/>
      </c>
      <c r="C377" s="14">
        <f>G376</f>
        <v/>
      </c>
      <c r="D377" s="14">
        <f>IF((A377&lt;=COB_CA!$B$58),ROUND(C377*COB_CA!$B$45,2),0)</f>
        <v/>
      </c>
      <c r="E377" s="14">
        <f>IF((A377&lt;=COB_CA!$B$58),IF(AND((A377&lt;=COB_CA!$B$58),ROUND(C377-ROUND(COB_CA!$B$59-D377,2),2)&lt;=0),C377,ROUND(COB_CA!$B$59-D377,2)),0)</f>
        <v/>
      </c>
      <c r="F377" s="14">
        <f>IF((A377&lt;=COB_CA!$B$58),IF(AND((A377&lt;=COB_CA!$B$58),ROUND(C377-ROUND(COB_CA!$B$59-D377,2),2)&lt;=0),ROUND(D377+E377,2),COB_CA!$B$59),0)</f>
        <v/>
      </c>
      <c r="G377" s="14">
        <f>IF((A377&lt;=COB_CA!$B$58),IF(AND((A377&lt;=COB_CA!$B$58),ROUND(C377-ROUND(COB_CA!$B$59-D377,2),2)&lt;=0),0,ROUND(C377-E377,2)),C377)</f>
        <v/>
      </c>
      <c r="H377" s="6">
        <f>AND(H376,C376&gt;0,(A377&lt;=COB_CA!$B$58))</f>
        <v/>
      </c>
    </row>
    <row r="378">
      <c r="A378" s="6" t="n">
        <v>374</v>
      </c>
      <c r="B378" s="17">
        <f>IF(COB_CA!$B$44=12,DATE(YEAR(COB_CA!$B$22)+INT((MONTH(COB_CA!$B$22)-1+373)/12),MOD(MONTH(COB_CA!$B$22)-1+373,12)+1,1)+(DAY(COB_CA!$B$22)-1),IF(COB_CA!$B$44=24,COB_CA!$B$22+ROUND((373*365.25)/24,0),IF(COB_CA!$B$44=26,COB_CA!$B$22+5222,COB_CA!$B$22+2611)))</f>
        <v/>
      </c>
      <c r="C378" s="14">
        <f>G377</f>
        <v/>
      </c>
      <c r="D378" s="14">
        <f>IF((A378&lt;=COB_CA!$B$58),ROUND(C378*COB_CA!$B$45,2),0)</f>
        <v/>
      </c>
      <c r="E378" s="14">
        <f>IF((A378&lt;=COB_CA!$B$58),IF(AND((A378&lt;=COB_CA!$B$58),ROUND(C378-ROUND(COB_CA!$B$59-D378,2),2)&lt;=0),C378,ROUND(COB_CA!$B$59-D378,2)),0)</f>
        <v/>
      </c>
      <c r="F378" s="14">
        <f>IF((A378&lt;=COB_CA!$B$58),IF(AND((A378&lt;=COB_CA!$B$58),ROUND(C378-ROUND(COB_CA!$B$59-D378,2),2)&lt;=0),ROUND(D378+E378,2),COB_CA!$B$59),0)</f>
        <v/>
      </c>
      <c r="G378" s="14">
        <f>IF((A378&lt;=COB_CA!$B$58),IF(AND((A378&lt;=COB_CA!$B$58),ROUND(C378-ROUND(COB_CA!$B$59-D378,2),2)&lt;=0),0,ROUND(C378-E378,2)),C378)</f>
        <v/>
      </c>
      <c r="H378" s="6">
        <f>AND(H377,C377&gt;0,(A378&lt;=COB_CA!$B$58))</f>
        <v/>
      </c>
    </row>
    <row r="379">
      <c r="A379" s="6" t="n">
        <v>375</v>
      </c>
      <c r="B379" s="17">
        <f>IF(COB_CA!$B$44=12,DATE(YEAR(COB_CA!$B$22)+INT((MONTH(COB_CA!$B$22)-1+374)/12),MOD(MONTH(COB_CA!$B$22)-1+374,12)+1,1)+(DAY(COB_CA!$B$22)-1),IF(COB_CA!$B$44=24,COB_CA!$B$22+ROUND((374*365.25)/24,0),IF(COB_CA!$B$44=26,COB_CA!$B$22+5236,COB_CA!$B$22+2618)))</f>
        <v/>
      </c>
      <c r="C379" s="14">
        <f>G378</f>
        <v/>
      </c>
      <c r="D379" s="14">
        <f>IF((A379&lt;=COB_CA!$B$58),ROUND(C379*COB_CA!$B$45,2),0)</f>
        <v/>
      </c>
      <c r="E379" s="14">
        <f>IF((A379&lt;=COB_CA!$B$58),IF(AND((A379&lt;=COB_CA!$B$58),ROUND(C379-ROUND(COB_CA!$B$59-D379,2),2)&lt;=0),C379,ROUND(COB_CA!$B$59-D379,2)),0)</f>
        <v/>
      </c>
      <c r="F379" s="14">
        <f>IF((A379&lt;=COB_CA!$B$58),IF(AND((A379&lt;=COB_CA!$B$58),ROUND(C379-ROUND(COB_CA!$B$59-D379,2),2)&lt;=0),ROUND(D379+E379,2),COB_CA!$B$59),0)</f>
        <v/>
      </c>
      <c r="G379" s="14">
        <f>IF((A379&lt;=COB_CA!$B$58),IF(AND((A379&lt;=COB_CA!$B$58),ROUND(C379-ROUND(COB_CA!$B$59-D379,2),2)&lt;=0),0,ROUND(C379-E379,2)),C379)</f>
        <v/>
      </c>
      <c r="H379" s="6">
        <f>AND(H378,C378&gt;0,(A379&lt;=COB_CA!$B$58))</f>
        <v/>
      </c>
    </row>
    <row r="380">
      <c r="A380" s="6" t="n">
        <v>376</v>
      </c>
      <c r="B380" s="17">
        <f>IF(COB_CA!$B$44=12,DATE(YEAR(COB_CA!$B$22)+INT((MONTH(COB_CA!$B$22)-1+375)/12),MOD(MONTH(COB_CA!$B$22)-1+375,12)+1,1)+(DAY(COB_CA!$B$22)-1),IF(COB_CA!$B$44=24,COB_CA!$B$22+ROUND((375*365.25)/24,0),IF(COB_CA!$B$44=26,COB_CA!$B$22+5250,COB_CA!$B$22+2625)))</f>
        <v/>
      </c>
      <c r="C380" s="14">
        <f>G379</f>
        <v/>
      </c>
      <c r="D380" s="14">
        <f>IF((A380&lt;=COB_CA!$B$58),ROUND(C380*COB_CA!$B$45,2),0)</f>
        <v/>
      </c>
      <c r="E380" s="14">
        <f>IF((A380&lt;=COB_CA!$B$58),IF(AND((A380&lt;=COB_CA!$B$58),ROUND(C380-ROUND(COB_CA!$B$59-D380,2),2)&lt;=0),C380,ROUND(COB_CA!$B$59-D380,2)),0)</f>
        <v/>
      </c>
      <c r="F380" s="14">
        <f>IF((A380&lt;=COB_CA!$B$58),IF(AND((A380&lt;=COB_CA!$B$58),ROUND(C380-ROUND(COB_CA!$B$59-D380,2),2)&lt;=0),ROUND(D380+E380,2),COB_CA!$B$59),0)</f>
        <v/>
      </c>
      <c r="G380" s="14">
        <f>IF((A380&lt;=COB_CA!$B$58),IF(AND((A380&lt;=COB_CA!$B$58),ROUND(C380-ROUND(COB_CA!$B$59-D380,2),2)&lt;=0),0,ROUND(C380-E380,2)),C380)</f>
        <v/>
      </c>
      <c r="H380" s="6">
        <f>AND(H379,C379&gt;0,(A380&lt;=COB_CA!$B$58))</f>
        <v/>
      </c>
    </row>
    <row r="381">
      <c r="A381" s="6" t="n">
        <v>377</v>
      </c>
      <c r="B381" s="17">
        <f>IF(COB_CA!$B$44=12,DATE(YEAR(COB_CA!$B$22)+INT((MONTH(COB_CA!$B$22)-1+376)/12),MOD(MONTH(COB_CA!$B$22)-1+376,12)+1,1)+(DAY(COB_CA!$B$22)-1),IF(COB_CA!$B$44=24,COB_CA!$B$22+ROUND((376*365.25)/24,0),IF(COB_CA!$B$44=26,COB_CA!$B$22+5264,COB_CA!$B$22+2632)))</f>
        <v/>
      </c>
      <c r="C381" s="14">
        <f>G380</f>
        <v/>
      </c>
      <c r="D381" s="14">
        <f>IF((A381&lt;=COB_CA!$B$58),ROUND(C381*COB_CA!$B$45,2),0)</f>
        <v/>
      </c>
      <c r="E381" s="14">
        <f>IF((A381&lt;=COB_CA!$B$58),IF(AND((A381&lt;=COB_CA!$B$58),ROUND(C381-ROUND(COB_CA!$B$59-D381,2),2)&lt;=0),C381,ROUND(COB_CA!$B$59-D381,2)),0)</f>
        <v/>
      </c>
      <c r="F381" s="14">
        <f>IF((A381&lt;=COB_CA!$B$58),IF(AND((A381&lt;=COB_CA!$B$58),ROUND(C381-ROUND(COB_CA!$B$59-D381,2),2)&lt;=0),ROUND(D381+E381,2),COB_CA!$B$59),0)</f>
        <v/>
      </c>
      <c r="G381" s="14">
        <f>IF((A381&lt;=COB_CA!$B$58),IF(AND((A381&lt;=COB_CA!$B$58),ROUND(C381-ROUND(COB_CA!$B$59-D381,2),2)&lt;=0),0,ROUND(C381-E381,2)),C381)</f>
        <v/>
      </c>
      <c r="H381" s="6">
        <f>AND(H380,C380&gt;0,(A381&lt;=COB_CA!$B$58))</f>
        <v/>
      </c>
    </row>
    <row r="382">
      <c r="A382" s="6" t="n">
        <v>378</v>
      </c>
      <c r="B382" s="17">
        <f>IF(COB_CA!$B$44=12,DATE(YEAR(COB_CA!$B$22)+INT((MONTH(COB_CA!$B$22)-1+377)/12),MOD(MONTH(COB_CA!$B$22)-1+377,12)+1,1)+(DAY(COB_CA!$B$22)-1),IF(COB_CA!$B$44=24,COB_CA!$B$22+ROUND((377*365.25)/24,0),IF(COB_CA!$B$44=26,COB_CA!$B$22+5278,COB_CA!$B$22+2639)))</f>
        <v/>
      </c>
      <c r="C382" s="14">
        <f>G381</f>
        <v/>
      </c>
      <c r="D382" s="14">
        <f>IF((A382&lt;=COB_CA!$B$58),ROUND(C382*COB_CA!$B$45,2),0)</f>
        <v/>
      </c>
      <c r="E382" s="14">
        <f>IF((A382&lt;=COB_CA!$B$58),IF(AND((A382&lt;=COB_CA!$B$58),ROUND(C382-ROUND(COB_CA!$B$59-D382,2),2)&lt;=0),C382,ROUND(COB_CA!$B$59-D382,2)),0)</f>
        <v/>
      </c>
      <c r="F382" s="14">
        <f>IF((A382&lt;=COB_CA!$B$58),IF(AND((A382&lt;=COB_CA!$B$58),ROUND(C382-ROUND(COB_CA!$B$59-D382,2),2)&lt;=0),ROUND(D382+E382,2),COB_CA!$B$59),0)</f>
        <v/>
      </c>
      <c r="G382" s="14">
        <f>IF((A382&lt;=COB_CA!$B$58),IF(AND((A382&lt;=COB_CA!$B$58),ROUND(C382-ROUND(COB_CA!$B$59-D382,2),2)&lt;=0),0,ROUND(C382-E382,2)),C382)</f>
        <v/>
      </c>
      <c r="H382" s="6">
        <f>AND(H381,C381&gt;0,(A382&lt;=COB_CA!$B$58))</f>
        <v/>
      </c>
    </row>
    <row r="383">
      <c r="A383" s="6" t="n">
        <v>379</v>
      </c>
      <c r="B383" s="17">
        <f>IF(COB_CA!$B$44=12,DATE(YEAR(COB_CA!$B$22)+INT((MONTH(COB_CA!$B$22)-1+378)/12),MOD(MONTH(COB_CA!$B$22)-1+378,12)+1,1)+(DAY(COB_CA!$B$22)-1),IF(COB_CA!$B$44=24,COB_CA!$B$22+ROUND((378*365.25)/24,0),IF(COB_CA!$B$44=26,COB_CA!$B$22+5292,COB_CA!$B$22+2646)))</f>
        <v/>
      </c>
      <c r="C383" s="14">
        <f>G382</f>
        <v/>
      </c>
      <c r="D383" s="14">
        <f>IF((A383&lt;=COB_CA!$B$58),ROUND(C383*COB_CA!$B$45,2),0)</f>
        <v/>
      </c>
      <c r="E383" s="14">
        <f>IF((A383&lt;=COB_CA!$B$58),IF(AND((A383&lt;=COB_CA!$B$58),ROUND(C383-ROUND(COB_CA!$B$59-D383,2),2)&lt;=0),C383,ROUND(COB_CA!$B$59-D383,2)),0)</f>
        <v/>
      </c>
      <c r="F383" s="14">
        <f>IF((A383&lt;=COB_CA!$B$58),IF(AND((A383&lt;=COB_CA!$B$58),ROUND(C383-ROUND(COB_CA!$B$59-D383,2),2)&lt;=0),ROUND(D383+E383,2),COB_CA!$B$59),0)</f>
        <v/>
      </c>
      <c r="G383" s="14">
        <f>IF((A383&lt;=COB_CA!$B$58),IF(AND((A383&lt;=COB_CA!$B$58),ROUND(C383-ROUND(COB_CA!$B$59-D383,2),2)&lt;=0),0,ROUND(C383-E383,2)),C383)</f>
        <v/>
      </c>
      <c r="H383" s="6">
        <f>AND(H382,C382&gt;0,(A383&lt;=COB_CA!$B$58))</f>
        <v/>
      </c>
    </row>
    <row r="384">
      <c r="A384" s="6" t="n">
        <v>380</v>
      </c>
      <c r="B384" s="17">
        <f>IF(COB_CA!$B$44=12,DATE(YEAR(COB_CA!$B$22)+INT((MONTH(COB_CA!$B$22)-1+379)/12),MOD(MONTH(COB_CA!$B$22)-1+379,12)+1,1)+(DAY(COB_CA!$B$22)-1),IF(COB_CA!$B$44=24,COB_CA!$B$22+ROUND((379*365.25)/24,0),IF(COB_CA!$B$44=26,COB_CA!$B$22+5306,COB_CA!$B$22+2653)))</f>
        <v/>
      </c>
      <c r="C384" s="14">
        <f>G383</f>
        <v/>
      </c>
      <c r="D384" s="14">
        <f>IF((A384&lt;=COB_CA!$B$58),ROUND(C384*COB_CA!$B$45,2),0)</f>
        <v/>
      </c>
      <c r="E384" s="14">
        <f>IF((A384&lt;=COB_CA!$B$58),IF(AND((A384&lt;=COB_CA!$B$58),ROUND(C384-ROUND(COB_CA!$B$59-D384,2),2)&lt;=0),C384,ROUND(COB_CA!$B$59-D384,2)),0)</f>
        <v/>
      </c>
      <c r="F384" s="14">
        <f>IF((A384&lt;=COB_CA!$B$58),IF(AND((A384&lt;=COB_CA!$B$58),ROUND(C384-ROUND(COB_CA!$B$59-D384,2),2)&lt;=0),ROUND(D384+E384,2),COB_CA!$B$59),0)</f>
        <v/>
      </c>
      <c r="G384" s="14">
        <f>IF((A384&lt;=COB_CA!$B$58),IF(AND((A384&lt;=COB_CA!$B$58),ROUND(C384-ROUND(COB_CA!$B$59-D384,2),2)&lt;=0),0,ROUND(C384-E384,2)),C384)</f>
        <v/>
      </c>
      <c r="H384" s="6">
        <f>AND(H383,C383&gt;0,(A384&lt;=COB_CA!$B$58))</f>
        <v/>
      </c>
    </row>
    <row r="385">
      <c r="A385" s="6" t="n">
        <v>381</v>
      </c>
      <c r="B385" s="17">
        <f>IF(COB_CA!$B$44=12,DATE(YEAR(COB_CA!$B$22)+INT((MONTH(COB_CA!$B$22)-1+380)/12),MOD(MONTH(COB_CA!$B$22)-1+380,12)+1,1)+(DAY(COB_CA!$B$22)-1),IF(COB_CA!$B$44=24,COB_CA!$B$22+ROUND((380*365.25)/24,0),IF(COB_CA!$B$44=26,COB_CA!$B$22+5320,COB_CA!$B$22+2660)))</f>
        <v/>
      </c>
      <c r="C385" s="14">
        <f>G384</f>
        <v/>
      </c>
      <c r="D385" s="14">
        <f>IF((A385&lt;=COB_CA!$B$58),ROUND(C385*COB_CA!$B$45,2),0)</f>
        <v/>
      </c>
      <c r="E385" s="14">
        <f>IF((A385&lt;=COB_CA!$B$58),IF(AND((A385&lt;=COB_CA!$B$58),ROUND(C385-ROUND(COB_CA!$B$59-D385,2),2)&lt;=0),C385,ROUND(COB_CA!$B$59-D385,2)),0)</f>
        <v/>
      </c>
      <c r="F385" s="14">
        <f>IF((A385&lt;=COB_CA!$B$58),IF(AND((A385&lt;=COB_CA!$B$58),ROUND(C385-ROUND(COB_CA!$B$59-D385,2),2)&lt;=0),ROUND(D385+E385,2),COB_CA!$B$59),0)</f>
        <v/>
      </c>
      <c r="G385" s="14">
        <f>IF((A385&lt;=COB_CA!$B$58),IF(AND((A385&lt;=COB_CA!$B$58),ROUND(C385-ROUND(COB_CA!$B$59-D385,2),2)&lt;=0),0,ROUND(C385-E385,2)),C385)</f>
        <v/>
      </c>
      <c r="H385" s="6">
        <f>AND(H384,C384&gt;0,(A385&lt;=COB_CA!$B$58))</f>
        <v/>
      </c>
    </row>
    <row r="386">
      <c r="A386" s="6" t="n">
        <v>382</v>
      </c>
      <c r="B386" s="17">
        <f>IF(COB_CA!$B$44=12,DATE(YEAR(COB_CA!$B$22)+INT((MONTH(COB_CA!$B$22)-1+381)/12),MOD(MONTH(COB_CA!$B$22)-1+381,12)+1,1)+(DAY(COB_CA!$B$22)-1),IF(COB_CA!$B$44=24,COB_CA!$B$22+ROUND((381*365.25)/24,0),IF(COB_CA!$B$44=26,COB_CA!$B$22+5334,COB_CA!$B$22+2667)))</f>
        <v/>
      </c>
      <c r="C386" s="14">
        <f>G385</f>
        <v/>
      </c>
      <c r="D386" s="14">
        <f>IF((A386&lt;=COB_CA!$B$58),ROUND(C386*COB_CA!$B$45,2),0)</f>
        <v/>
      </c>
      <c r="E386" s="14">
        <f>IF((A386&lt;=COB_CA!$B$58),IF(AND((A386&lt;=COB_CA!$B$58),ROUND(C386-ROUND(COB_CA!$B$59-D386,2),2)&lt;=0),C386,ROUND(COB_CA!$B$59-D386,2)),0)</f>
        <v/>
      </c>
      <c r="F386" s="14">
        <f>IF((A386&lt;=COB_CA!$B$58),IF(AND((A386&lt;=COB_CA!$B$58),ROUND(C386-ROUND(COB_CA!$B$59-D386,2),2)&lt;=0),ROUND(D386+E386,2),COB_CA!$B$59),0)</f>
        <v/>
      </c>
      <c r="G386" s="14">
        <f>IF((A386&lt;=COB_CA!$B$58),IF(AND((A386&lt;=COB_CA!$B$58),ROUND(C386-ROUND(COB_CA!$B$59-D386,2),2)&lt;=0),0,ROUND(C386-E386,2)),C386)</f>
        <v/>
      </c>
      <c r="H386" s="6">
        <f>AND(H385,C385&gt;0,(A386&lt;=COB_CA!$B$58))</f>
        <v/>
      </c>
    </row>
    <row r="387">
      <c r="A387" s="6" t="n">
        <v>383</v>
      </c>
      <c r="B387" s="17">
        <f>IF(COB_CA!$B$44=12,DATE(YEAR(COB_CA!$B$22)+INT((MONTH(COB_CA!$B$22)-1+382)/12),MOD(MONTH(COB_CA!$B$22)-1+382,12)+1,1)+(DAY(COB_CA!$B$22)-1),IF(COB_CA!$B$44=24,COB_CA!$B$22+ROUND((382*365.25)/24,0),IF(COB_CA!$B$44=26,COB_CA!$B$22+5348,COB_CA!$B$22+2674)))</f>
        <v/>
      </c>
      <c r="C387" s="14">
        <f>G386</f>
        <v/>
      </c>
      <c r="D387" s="14">
        <f>IF((A387&lt;=COB_CA!$B$58),ROUND(C387*COB_CA!$B$45,2),0)</f>
        <v/>
      </c>
      <c r="E387" s="14">
        <f>IF((A387&lt;=COB_CA!$B$58),IF(AND((A387&lt;=COB_CA!$B$58),ROUND(C387-ROUND(COB_CA!$B$59-D387,2),2)&lt;=0),C387,ROUND(COB_CA!$B$59-D387,2)),0)</f>
        <v/>
      </c>
      <c r="F387" s="14">
        <f>IF((A387&lt;=COB_CA!$B$58),IF(AND((A387&lt;=COB_CA!$B$58),ROUND(C387-ROUND(COB_CA!$B$59-D387,2),2)&lt;=0),ROUND(D387+E387,2),COB_CA!$B$59),0)</f>
        <v/>
      </c>
      <c r="G387" s="14">
        <f>IF((A387&lt;=COB_CA!$B$58),IF(AND((A387&lt;=COB_CA!$B$58),ROUND(C387-ROUND(COB_CA!$B$59-D387,2),2)&lt;=0),0,ROUND(C387-E387,2)),C387)</f>
        <v/>
      </c>
      <c r="H387" s="6">
        <f>AND(H386,C386&gt;0,(A387&lt;=COB_CA!$B$58))</f>
        <v/>
      </c>
    </row>
    <row r="388">
      <c r="A388" s="6" t="n">
        <v>384</v>
      </c>
      <c r="B388" s="17">
        <f>IF(COB_CA!$B$44=12,DATE(YEAR(COB_CA!$B$22)+INT((MONTH(COB_CA!$B$22)-1+383)/12),MOD(MONTH(COB_CA!$B$22)-1+383,12)+1,1)+(DAY(COB_CA!$B$22)-1),IF(COB_CA!$B$44=24,COB_CA!$B$22+ROUND((383*365.25)/24,0),IF(COB_CA!$B$44=26,COB_CA!$B$22+5362,COB_CA!$B$22+2681)))</f>
        <v/>
      </c>
      <c r="C388" s="14">
        <f>G387</f>
        <v/>
      </c>
      <c r="D388" s="14">
        <f>IF((A388&lt;=COB_CA!$B$58),ROUND(C388*COB_CA!$B$45,2),0)</f>
        <v/>
      </c>
      <c r="E388" s="14">
        <f>IF((A388&lt;=COB_CA!$B$58),IF(AND((A388&lt;=COB_CA!$B$58),ROUND(C388-ROUND(COB_CA!$B$59-D388,2),2)&lt;=0),C388,ROUND(COB_CA!$B$59-D388,2)),0)</f>
        <v/>
      </c>
      <c r="F388" s="14">
        <f>IF((A388&lt;=COB_CA!$B$58),IF(AND((A388&lt;=COB_CA!$B$58),ROUND(C388-ROUND(COB_CA!$B$59-D388,2),2)&lt;=0),ROUND(D388+E388,2),COB_CA!$B$59),0)</f>
        <v/>
      </c>
      <c r="G388" s="14">
        <f>IF((A388&lt;=COB_CA!$B$58),IF(AND((A388&lt;=COB_CA!$B$58),ROUND(C388-ROUND(COB_CA!$B$59-D388,2),2)&lt;=0),0,ROUND(C388-E388,2)),C388)</f>
        <v/>
      </c>
      <c r="H388" s="6">
        <f>AND(H387,C387&gt;0,(A388&lt;=COB_CA!$B$58))</f>
        <v/>
      </c>
    </row>
    <row r="389">
      <c r="A389" s="6" t="n">
        <v>385</v>
      </c>
      <c r="B389" s="17">
        <f>IF(COB_CA!$B$44=12,DATE(YEAR(COB_CA!$B$22)+INT((MONTH(COB_CA!$B$22)-1+384)/12),MOD(MONTH(COB_CA!$B$22)-1+384,12)+1,1)+(DAY(COB_CA!$B$22)-1),IF(COB_CA!$B$44=24,COB_CA!$B$22+ROUND((384*365.25)/24,0),IF(COB_CA!$B$44=26,COB_CA!$B$22+5376,COB_CA!$B$22+2688)))</f>
        <v/>
      </c>
      <c r="C389" s="14">
        <f>G388</f>
        <v/>
      </c>
      <c r="D389" s="14">
        <f>IF((A389&lt;=COB_CA!$B$58),ROUND(C389*COB_CA!$B$45,2),0)</f>
        <v/>
      </c>
      <c r="E389" s="14">
        <f>IF((A389&lt;=COB_CA!$B$58),IF(AND((A389&lt;=COB_CA!$B$58),ROUND(C389-ROUND(COB_CA!$B$59-D389,2),2)&lt;=0),C389,ROUND(COB_CA!$B$59-D389,2)),0)</f>
        <v/>
      </c>
      <c r="F389" s="14">
        <f>IF((A389&lt;=COB_CA!$B$58),IF(AND((A389&lt;=COB_CA!$B$58),ROUND(C389-ROUND(COB_CA!$B$59-D389,2),2)&lt;=0),ROUND(D389+E389,2),COB_CA!$B$59),0)</f>
        <v/>
      </c>
      <c r="G389" s="14">
        <f>IF((A389&lt;=COB_CA!$B$58),IF(AND((A389&lt;=COB_CA!$B$58),ROUND(C389-ROUND(COB_CA!$B$59-D389,2),2)&lt;=0),0,ROUND(C389-E389,2)),C389)</f>
        <v/>
      </c>
      <c r="H389" s="6">
        <f>AND(H388,C388&gt;0,(A389&lt;=COB_CA!$B$58))</f>
        <v/>
      </c>
    </row>
    <row r="390">
      <c r="A390" s="6" t="n">
        <v>386</v>
      </c>
      <c r="B390" s="17">
        <f>IF(COB_CA!$B$44=12,DATE(YEAR(COB_CA!$B$22)+INT((MONTH(COB_CA!$B$22)-1+385)/12),MOD(MONTH(COB_CA!$B$22)-1+385,12)+1,1)+(DAY(COB_CA!$B$22)-1),IF(COB_CA!$B$44=24,COB_CA!$B$22+ROUND((385*365.25)/24,0),IF(COB_CA!$B$44=26,COB_CA!$B$22+5390,COB_CA!$B$22+2695)))</f>
        <v/>
      </c>
      <c r="C390" s="14">
        <f>G389</f>
        <v/>
      </c>
      <c r="D390" s="14">
        <f>IF((A390&lt;=COB_CA!$B$58),ROUND(C390*COB_CA!$B$45,2),0)</f>
        <v/>
      </c>
      <c r="E390" s="14">
        <f>IF((A390&lt;=COB_CA!$B$58),IF(AND((A390&lt;=COB_CA!$B$58),ROUND(C390-ROUND(COB_CA!$B$59-D390,2),2)&lt;=0),C390,ROUND(COB_CA!$B$59-D390,2)),0)</f>
        <v/>
      </c>
      <c r="F390" s="14">
        <f>IF((A390&lt;=COB_CA!$B$58),IF(AND((A390&lt;=COB_CA!$B$58),ROUND(C390-ROUND(COB_CA!$B$59-D390,2),2)&lt;=0),ROUND(D390+E390,2),COB_CA!$B$59),0)</f>
        <v/>
      </c>
      <c r="G390" s="14">
        <f>IF((A390&lt;=COB_CA!$B$58),IF(AND((A390&lt;=COB_CA!$B$58),ROUND(C390-ROUND(COB_CA!$B$59-D390,2),2)&lt;=0),0,ROUND(C390-E390,2)),C390)</f>
        <v/>
      </c>
      <c r="H390" s="6">
        <f>AND(H389,C389&gt;0,(A390&lt;=COB_CA!$B$58))</f>
        <v/>
      </c>
    </row>
    <row r="391">
      <c r="A391" s="6" t="n">
        <v>387</v>
      </c>
      <c r="B391" s="17">
        <f>IF(COB_CA!$B$44=12,DATE(YEAR(COB_CA!$B$22)+INT((MONTH(COB_CA!$B$22)-1+386)/12),MOD(MONTH(COB_CA!$B$22)-1+386,12)+1,1)+(DAY(COB_CA!$B$22)-1),IF(COB_CA!$B$44=24,COB_CA!$B$22+ROUND((386*365.25)/24,0),IF(COB_CA!$B$44=26,COB_CA!$B$22+5404,COB_CA!$B$22+2702)))</f>
        <v/>
      </c>
      <c r="C391" s="14">
        <f>G390</f>
        <v/>
      </c>
      <c r="D391" s="14">
        <f>IF((A391&lt;=COB_CA!$B$58),ROUND(C391*COB_CA!$B$45,2),0)</f>
        <v/>
      </c>
      <c r="E391" s="14">
        <f>IF((A391&lt;=COB_CA!$B$58),IF(AND((A391&lt;=COB_CA!$B$58),ROUND(C391-ROUND(COB_CA!$B$59-D391,2),2)&lt;=0),C391,ROUND(COB_CA!$B$59-D391,2)),0)</f>
        <v/>
      </c>
      <c r="F391" s="14">
        <f>IF((A391&lt;=COB_CA!$B$58),IF(AND((A391&lt;=COB_CA!$B$58),ROUND(C391-ROUND(COB_CA!$B$59-D391,2),2)&lt;=0),ROUND(D391+E391,2),COB_CA!$B$59),0)</f>
        <v/>
      </c>
      <c r="G391" s="14">
        <f>IF((A391&lt;=COB_CA!$B$58),IF(AND((A391&lt;=COB_CA!$B$58),ROUND(C391-ROUND(COB_CA!$B$59-D391,2),2)&lt;=0),0,ROUND(C391-E391,2)),C391)</f>
        <v/>
      </c>
      <c r="H391" s="6">
        <f>AND(H390,C390&gt;0,(A391&lt;=COB_CA!$B$58))</f>
        <v/>
      </c>
    </row>
    <row r="392">
      <c r="A392" s="6" t="n">
        <v>388</v>
      </c>
      <c r="B392" s="17">
        <f>IF(COB_CA!$B$44=12,DATE(YEAR(COB_CA!$B$22)+INT((MONTH(COB_CA!$B$22)-1+387)/12),MOD(MONTH(COB_CA!$B$22)-1+387,12)+1,1)+(DAY(COB_CA!$B$22)-1),IF(COB_CA!$B$44=24,COB_CA!$B$22+ROUND((387*365.25)/24,0),IF(COB_CA!$B$44=26,COB_CA!$B$22+5418,COB_CA!$B$22+2709)))</f>
        <v/>
      </c>
      <c r="C392" s="14">
        <f>G391</f>
        <v/>
      </c>
      <c r="D392" s="14">
        <f>IF((A392&lt;=COB_CA!$B$58),ROUND(C392*COB_CA!$B$45,2),0)</f>
        <v/>
      </c>
      <c r="E392" s="14">
        <f>IF((A392&lt;=COB_CA!$B$58),IF(AND((A392&lt;=COB_CA!$B$58),ROUND(C392-ROUND(COB_CA!$B$59-D392,2),2)&lt;=0),C392,ROUND(COB_CA!$B$59-D392,2)),0)</f>
        <v/>
      </c>
      <c r="F392" s="14">
        <f>IF((A392&lt;=COB_CA!$B$58),IF(AND((A392&lt;=COB_CA!$B$58),ROUND(C392-ROUND(COB_CA!$B$59-D392,2),2)&lt;=0),ROUND(D392+E392,2),COB_CA!$B$59),0)</f>
        <v/>
      </c>
      <c r="G392" s="14">
        <f>IF((A392&lt;=COB_CA!$B$58),IF(AND((A392&lt;=COB_CA!$B$58),ROUND(C392-ROUND(COB_CA!$B$59-D392,2),2)&lt;=0),0,ROUND(C392-E392,2)),C392)</f>
        <v/>
      </c>
      <c r="H392" s="6">
        <f>AND(H391,C391&gt;0,(A392&lt;=COB_CA!$B$58))</f>
        <v/>
      </c>
    </row>
    <row r="393">
      <c r="A393" s="6" t="n">
        <v>389</v>
      </c>
      <c r="B393" s="17">
        <f>IF(COB_CA!$B$44=12,DATE(YEAR(COB_CA!$B$22)+INT((MONTH(COB_CA!$B$22)-1+388)/12),MOD(MONTH(COB_CA!$B$22)-1+388,12)+1,1)+(DAY(COB_CA!$B$22)-1),IF(COB_CA!$B$44=24,COB_CA!$B$22+ROUND((388*365.25)/24,0),IF(COB_CA!$B$44=26,COB_CA!$B$22+5432,COB_CA!$B$22+2716)))</f>
        <v/>
      </c>
      <c r="C393" s="14">
        <f>G392</f>
        <v/>
      </c>
      <c r="D393" s="14">
        <f>IF((A393&lt;=COB_CA!$B$58),ROUND(C393*COB_CA!$B$45,2),0)</f>
        <v/>
      </c>
      <c r="E393" s="14">
        <f>IF((A393&lt;=COB_CA!$B$58),IF(AND((A393&lt;=COB_CA!$B$58),ROUND(C393-ROUND(COB_CA!$B$59-D393,2),2)&lt;=0),C393,ROUND(COB_CA!$B$59-D393,2)),0)</f>
        <v/>
      </c>
      <c r="F393" s="14">
        <f>IF((A393&lt;=COB_CA!$B$58),IF(AND((A393&lt;=COB_CA!$B$58),ROUND(C393-ROUND(COB_CA!$B$59-D393,2),2)&lt;=0),ROUND(D393+E393,2),COB_CA!$B$59),0)</f>
        <v/>
      </c>
      <c r="G393" s="14">
        <f>IF((A393&lt;=COB_CA!$B$58),IF(AND((A393&lt;=COB_CA!$B$58),ROUND(C393-ROUND(COB_CA!$B$59-D393,2),2)&lt;=0),0,ROUND(C393-E393,2)),C393)</f>
        <v/>
      </c>
      <c r="H393" s="6">
        <f>AND(H392,C392&gt;0,(A393&lt;=COB_CA!$B$58))</f>
        <v/>
      </c>
    </row>
    <row r="394">
      <c r="A394" s="6" t="n">
        <v>390</v>
      </c>
      <c r="B394" s="17">
        <f>IF(COB_CA!$B$44=12,DATE(YEAR(COB_CA!$B$22)+INT((MONTH(COB_CA!$B$22)-1+389)/12),MOD(MONTH(COB_CA!$B$22)-1+389,12)+1,1)+(DAY(COB_CA!$B$22)-1),IF(COB_CA!$B$44=24,COB_CA!$B$22+ROUND((389*365.25)/24,0),IF(COB_CA!$B$44=26,COB_CA!$B$22+5446,COB_CA!$B$22+2723)))</f>
        <v/>
      </c>
      <c r="C394" s="14">
        <f>G393</f>
        <v/>
      </c>
      <c r="D394" s="14">
        <f>IF((A394&lt;=COB_CA!$B$58),ROUND(C394*COB_CA!$B$45,2),0)</f>
        <v/>
      </c>
      <c r="E394" s="14">
        <f>IF((A394&lt;=COB_CA!$B$58),IF(AND((A394&lt;=COB_CA!$B$58),ROUND(C394-ROUND(COB_CA!$B$59-D394,2),2)&lt;=0),C394,ROUND(COB_CA!$B$59-D394,2)),0)</f>
        <v/>
      </c>
      <c r="F394" s="14">
        <f>IF((A394&lt;=COB_CA!$B$58),IF(AND((A394&lt;=COB_CA!$B$58),ROUND(C394-ROUND(COB_CA!$B$59-D394,2),2)&lt;=0),ROUND(D394+E394,2),COB_CA!$B$59),0)</f>
        <v/>
      </c>
      <c r="G394" s="14">
        <f>IF((A394&lt;=COB_CA!$B$58),IF(AND((A394&lt;=COB_CA!$B$58),ROUND(C394-ROUND(COB_CA!$B$59-D394,2),2)&lt;=0),0,ROUND(C394-E394,2)),C394)</f>
        <v/>
      </c>
      <c r="H394" s="6">
        <f>AND(H393,C393&gt;0,(A394&lt;=COB_CA!$B$58))</f>
        <v/>
      </c>
    </row>
    <row r="395">
      <c r="A395" s="6" t="n">
        <v>391</v>
      </c>
      <c r="B395" s="17">
        <f>IF(COB_CA!$B$44=12,DATE(YEAR(COB_CA!$B$22)+INT((MONTH(COB_CA!$B$22)-1+390)/12),MOD(MONTH(COB_CA!$B$22)-1+390,12)+1,1)+(DAY(COB_CA!$B$22)-1),IF(COB_CA!$B$44=24,COB_CA!$B$22+ROUND((390*365.25)/24,0),IF(COB_CA!$B$44=26,COB_CA!$B$22+5460,COB_CA!$B$22+2730)))</f>
        <v/>
      </c>
      <c r="C395" s="14">
        <f>G394</f>
        <v/>
      </c>
      <c r="D395" s="14">
        <f>IF((A395&lt;=COB_CA!$B$58),ROUND(C395*COB_CA!$B$45,2),0)</f>
        <v/>
      </c>
      <c r="E395" s="14">
        <f>IF((A395&lt;=COB_CA!$B$58),IF(AND((A395&lt;=COB_CA!$B$58),ROUND(C395-ROUND(COB_CA!$B$59-D395,2),2)&lt;=0),C395,ROUND(COB_CA!$B$59-D395,2)),0)</f>
        <v/>
      </c>
      <c r="F395" s="14">
        <f>IF((A395&lt;=COB_CA!$B$58),IF(AND((A395&lt;=COB_CA!$B$58),ROUND(C395-ROUND(COB_CA!$B$59-D395,2),2)&lt;=0),ROUND(D395+E395,2),COB_CA!$B$59),0)</f>
        <v/>
      </c>
      <c r="G395" s="14">
        <f>IF((A395&lt;=COB_CA!$B$58),IF(AND((A395&lt;=COB_CA!$B$58),ROUND(C395-ROUND(COB_CA!$B$59-D395,2),2)&lt;=0),0,ROUND(C395-E395,2)),C395)</f>
        <v/>
      </c>
      <c r="H395" s="6">
        <f>AND(H394,C394&gt;0,(A395&lt;=COB_CA!$B$58))</f>
        <v/>
      </c>
    </row>
    <row r="396">
      <c r="A396" s="6" t="n">
        <v>392</v>
      </c>
      <c r="B396" s="17">
        <f>IF(COB_CA!$B$44=12,DATE(YEAR(COB_CA!$B$22)+INT((MONTH(COB_CA!$B$22)-1+391)/12),MOD(MONTH(COB_CA!$B$22)-1+391,12)+1,1)+(DAY(COB_CA!$B$22)-1),IF(COB_CA!$B$44=24,COB_CA!$B$22+ROUND((391*365.25)/24,0),IF(COB_CA!$B$44=26,COB_CA!$B$22+5474,COB_CA!$B$22+2737)))</f>
        <v/>
      </c>
      <c r="C396" s="14">
        <f>G395</f>
        <v/>
      </c>
      <c r="D396" s="14">
        <f>IF((A396&lt;=COB_CA!$B$58),ROUND(C396*COB_CA!$B$45,2),0)</f>
        <v/>
      </c>
      <c r="E396" s="14">
        <f>IF((A396&lt;=COB_CA!$B$58),IF(AND((A396&lt;=COB_CA!$B$58),ROUND(C396-ROUND(COB_CA!$B$59-D396,2),2)&lt;=0),C396,ROUND(COB_CA!$B$59-D396,2)),0)</f>
        <v/>
      </c>
      <c r="F396" s="14">
        <f>IF((A396&lt;=COB_CA!$B$58),IF(AND((A396&lt;=COB_CA!$B$58),ROUND(C396-ROUND(COB_CA!$B$59-D396,2),2)&lt;=0),ROUND(D396+E396,2),COB_CA!$B$59),0)</f>
        <v/>
      </c>
      <c r="G396" s="14">
        <f>IF((A396&lt;=COB_CA!$B$58),IF(AND((A396&lt;=COB_CA!$B$58),ROUND(C396-ROUND(COB_CA!$B$59-D396,2),2)&lt;=0),0,ROUND(C396-E396,2)),C396)</f>
        <v/>
      </c>
      <c r="H396" s="6">
        <f>AND(H395,C395&gt;0,(A396&lt;=COB_CA!$B$58))</f>
        <v/>
      </c>
    </row>
    <row r="397">
      <c r="A397" s="6" t="n">
        <v>393</v>
      </c>
      <c r="B397" s="17">
        <f>IF(COB_CA!$B$44=12,DATE(YEAR(COB_CA!$B$22)+INT((MONTH(COB_CA!$B$22)-1+392)/12),MOD(MONTH(COB_CA!$B$22)-1+392,12)+1,1)+(DAY(COB_CA!$B$22)-1),IF(COB_CA!$B$44=24,COB_CA!$B$22+ROUND((392*365.25)/24,0),IF(COB_CA!$B$44=26,COB_CA!$B$22+5488,COB_CA!$B$22+2744)))</f>
        <v/>
      </c>
      <c r="C397" s="14">
        <f>G396</f>
        <v/>
      </c>
      <c r="D397" s="14">
        <f>IF((A397&lt;=COB_CA!$B$58),ROUND(C397*COB_CA!$B$45,2),0)</f>
        <v/>
      </c>
      <c r="E397" s="14">
        <f>IF((A397&lt;=COB_CA!$B$58),IF(AND((A397&lt;=COB_CA!$B$58),ROUND(C397-ROUND(COB_CA!$B$59-D397,2),2)&lt;=0),C397,ROUND(COB_CA!$B$59-D397,2)),0)</f>
        <v/>
      </c>
      <c r="F397" s="14">
        <f>IF((A397&lt;=COB_CA!$B$58),IF(AND((A397&lt;=COB_CA!$B$58),ROUND(C397-ROUND(COB_CA!$B$59-D397,2),2)&lt;=0),ROUND(D397+E397,2),COB_CA!$B$59),0)</f>
        <v/>
      </c>
      <c r="G397" s="14">
        <f>IF((A397&lt;=COB_CA!$B$58),IF(AND((A397&lt;=COB_CA!$B$58),ROUND(C397-ROUND(COB_CA!$B$59-D397,2),2)&lt;=0),0,ROUND(C397-E397,2)),C397)</f>
        <v/>
      </c>
      <c r="H397" s="6">
        <f>AND(H396,C396&gt;0,(A397&lt;=COB_CA!$B$58))</f>
        <v/>
      </c>
    </row>
    <row r="398">
      <c r="A398" s="6" t="n">
        <v>394</v>
      </c>
      <c r="B398" s="17">
        <f>IF(COB_CA!$B$44=12,DATE(YEAR(COB_CA!$B$22)+INT((MONTH(COB_CA!$B$22)-1+393)/12),MOD(MONTH(COB_CA!$B$22)-1+393,12)+1,1)+(DAY(COB_CA!$B$22)-1),IF(COB_CA!$B$44=24,COB_CA!$B$22+ROUND((393*365.25)/24,0),IF(COB_CA!$B$44=26,COB_CA!$B$22+5502,COB_CA!$B$22+2751)))</f>
        <v/>
      </c>
      <c r="C398" s="14">
        <f>G397</f>
        <v/>
      </c>
      <c r="D398" s="14">
        <f>IF((A398&lt;=COB_CA!$B$58),ROUND(C398*COB_CA!$B$45,2),0)</f>
        <v/>
      </c>
      <c r="E398" s="14">
        <f>IF((A398&lt;=COB_CA!$B$58),IF(AND((A398&lt;=COB_CA!$B$58),ROUND(C398-ROUND(COB_CA!$B$59-D398,2),2)&lt;=0),C398,ROUND(COB_CA!$B$59-D398,2)),0)</f>
        <v/>
      </c>
      <c r="F398" s="14">
        <f>IF((A398&lt;=COB_CA!$B$58),IF(AND((A398&lt;=COB_CA!$B$58),ROUND(C398-ROUND(COB_CA!$B$59-D398,2),2)&lt;=0),ROUND(D398+E398,2),COB_CA!$B$59),0)</f>
        <v/>
      </c>
      <c r="G398" s="14">
        <f>IF((A398&lt;=COB_CA!$B$58),IF(AND((A398&lt;=COB_CA!$B$58),ROUND(C398-ROUND(COB_CA!$B$59-D398,2),2)&lt;=0),0,ROUND(C398-E398,2)),C398)</f>
        <v/>
      </c>
      <c r="H398" s="6">
        <f>AND(H397,C397&gt;0,(A398&lt;=COB_CA!$B$58))</f>
        <v/>
      </c>
    </row>
    <row r="399">
      <c r="A399" s="6" t="n">
        <v>395</v>
      </c>
      <c r="B399" s="17">
        <f>IF(COB_CA!$B$44=12,DATE(YEAR(COB_CA!$B$22)+INT((MONTH(COB_CA!$B$22)-1+394)/12),MOD(MONTH(COB_CA!$B$22)-1+394,12)+1,1)+(DAY(COB_CA!$B$22)-1),IF(COB_CA!$B$44=24,COB_CA!$B$22+ROUND((394*365.25)/24,0),IF(COB_CA!$B$44=26,COB_CA!$B$22+5516,COB_CA!$B$22+2758)))</f>
        <v/>
      </c>
      <c r="C399" s="14">
        <f>G398</f>
        <v/>
      </c>
      <c r="D399" s="14">
        <f>IF((A399&lt;=COB_CA!$B$58),ROUND(C399*COB_CA!$B$45,2),0)</f>
        <v/>
      </c>
      <c r="E399" s="14">
        <f>IF((A399&lt;=COB_CA!$B$58),IF(AND((A399&lt;=COB_CA!$B$58),ROUND(C399-ROUND(COB_CA!$B$59-D399,2),2)&lt;=0),C399,ROUND(COB_CA!$B$59-D399,2)),0)</f>
        <v/>
      </c>
      <c r="F399" s="14">
        <f>IF((A399&lt;=COB_CA!$B$58),IF(AND((A399&lt;=COB_CA!$B$58),ROUND(C399-ROUND(COB_CA!$B$59-D399,2),2)&lt;=0),ROUND(D399+E399,2),COB_CA!$B$59),0)</f>
        <v/>
      </c>
      <c r="G399" s="14">
        <f>IF((A399&lt;=COB_CA!$B$58),IF(AND((A399&lt;=COB_CA!$B$58),ROUND(C399-ROUND(COB_CA!$B$59-D399,2),2)&lt;=0),0,ROUND(C399-E399,2)),C399)</f>
        <v/>
      </c>
      <c r="H399" s="6">
        <f>AND(H398,C398&gt;0,(A399&lt;=COB_CA!$B$58))</f>
        <v/>
      </c>
    </row>
    <row r="400">
      <c r="A400" s="6" t="n">
        <v>396</v>
      </c>
      <c r="B400" s="17">
        <f>IF(COB_CA!$B$44=12,DATE(YEAR(COB_CA!$B$22)+INT((MONTH(COB_CA!$B$22)-1+395)/12),MOD(MONTH(COB_CA!$B$22)-1+395,12)+1,1)+(DAY(COB_CA!$B$22)-1),IF(COB_CA!$B$44=24,COB_CA!$B$22+ROUND((395*365.25)/24,0),IF(COB_CA!$B$44=26,COB_CA!$B$22+5530,COB_CA!$B$22+2765)))</f>
        <v/>
      </c>
      <c r="C400" s="14">
        <f>G399</f>
        <v/>
      </c>
      <c r="D400" s="14">
        <f>IF((A400&lt;=COB_CA!$B$58),ROUND(C400*COB_CA!$B$45,2),0)</f>
        <v/>
      </c>
      <c r="E400" s="14">
        <f>IF((A400&lt;=COB_CA!$B$58),IF(AND((A400&lt;=COB_CA!$B$58),ROUND(C400-ROUND(COB_CA!$B$59-D400,2),2)&lt;=0),C400,ROUND(COB_CA!$B$59-D400,2)),0)</f>
        <v/>
      </c>
      <c r="F400" s="14">
        <f>IF((A400&lt;=COB_CA!$B$58),IF(AND((A400&lt;=COB_CA!$B$58),ROUND(C400-ROUND(COB_CA!$B$59-D400,2),2)&lt;=0),ROUND(D400+E400,2),COB_CA!$B$59),0)</f>
        <v/>
      </c>
      <c r="G400" s="14">
        <f>IF((A400&lt;=COB_CA!$B$58),IF(AND((A400&lt;=COB_CA!$B$58),ROUND(C400-ROUND(COB_CA!$B$59-D400,2),2)&lt;=0),0,ROUND(C400-E400,2)),C400)</f>
        <v/>
      </c>
      <c r="H400" s="6">
        <f>AND(H399,C399&gt;0,(A400&lt;=COB_CA!$B$58))</f>
        <v/>
      </c>
    </row>
    <row r="401">
      <c r="A401" s="6" t="n">
        <v>397</v>
      </c>
      <c r="B401" s="17">
        <f>IF(COB_CA!$B$44=12,DATE(YEAR(COB_CA!$B$22)+INT((MONTH(COB_CA!$B$22)-1+396)/12),MOD(MONTH(COB_CA!$B$22)-1+396,12)+1,1)+(DAY(COB_CA!$B$22)-1),IF(COB_CA!$B$44=24,COB_CA!$B$22+ROUND((396*365.25)/24,0),IF(COB_CA!$B$44=26,COB_CA!$B$22+5544,COB_CA!$B$22+2772)))</f>
        <v/>
      </c>
      <c r="C401" s="14">
        <f>G400</f>
        <v/>
      </c>
      <c r="D401" s="14">
        <f>IF((A401&lt;=COB_CA!$B$58),ROUND(C401*COB_CA!$B$45,2),0)</f>
        <v/>
      </c>
      <c r="E401" s="14">
        <f>IF((A401&lt;=COB_CA!$B$58),IF(AND((A401&lt;=COB_CA!$B$58),ROUND(C401-ROUND(COB_CA!$B$59-D401,2),2)&lt;=0),C401,ROUND(COB_CA!$B$59-D401,2)),0)</f>
        <v/>
      </c>
      <c r="F401" s="14">
        <f>IF((A401&lt;=COB_CA!$B$58),IF(AND((A401&lt;=COB_CA!$B$58),ROUND(C401-ROUND(COB_CA!$B$59-D401,2),2)&lt;=0),ROUND(D401+E401,2),COB_CA!$B$59),0)</f>
        <v/>
      </c>
      <c r="G401" s="14">
        <f>IF((A401&lt;=COB_CA!$B$58),IF(AND((A401&lt;=COB_CA!$B$58),ROUND(C401-ROUND(COB_CA!$B$59-D401,2),2)&lt;=0),0,ROUND(C401-E401,2)),C401)</f>
        <v/>
      </c>
      <c r="H401" s="6">
        <f>AND(H400,C400&gt;0,(A401&lt;=COB_CA!$B$58))</f>
        <v/>
      </c>
    </row>
    <row r="402">
      <c r="A402" s="6" t="n">
        <v>398</v>
      </c>
      <c r="B402" s="17">
        <f>IF(COB_CA!$B$44=12,DATE(YEAR(COB_CA!$B$22)+INT((MONTH(COB_CA!$B$22)-1+397)/12),MOD(MONTH(COB_CA!$B$22)-1+397,12)+1,1)+(DAY(COB_CA!$B$22)-1),IF(COB_CA!$B$44=24,COB_CA!$B$22+ROUND((397*365.25)/24,0),IF(COB_CA!$B$44=26,COB_CA!$B$22+5558,COB_CA!$B$22+2779)))</f>
        <v/>
      </c>
      <c r="C402" s="14">
        <f>G401</f>
        <v/>
      </c>
      <c r="D402" s="14">
        <f>IF((A402&lt;=COB_CA!$B$58),ROUND(C402*COB_CA!$B$45,2),0)</f>
        <v/>
      </c>
      <c r="E402" s="14">
        <f>IF((A402&lt;=COB_CA!$B$58),IF(AND((A402&lt;=COB_CA!$B$58),ROUND(C402-ROUND(COB_CA!$B$59-D402,2),2)&lt;=0),C402,ROUND(COB_CA!$B$59-D402,2)),0)</f>
        <v/>
      </c>
      <c r="F402" s="14">
        <f>IF((A402&lt;=COB_CA!$B$58),IF(AND((A402&lt;=COB_CA!$B$58),ROUND(C402-ROUND(COB_CA!$B$59-D402,2),2)&lt;=0),ROUND(D402+E402,2),COB_CA!$B$59),0)</f>
        <v/>
      </c>
      <c r="G402" s="14">
        <f>IF((A402&lt;=COB_CA!$B$58),IF(AND((A402&lt;=COB_CA!$B$58),ROUND(C402-ROUND(COB_CA!$B$59-D402,2),2)&lt;=0),0,ROUND(C402-E402,2)),C402)</f>
        <v/>
      </c>
      <c r="H402" s="6">
        <f>AND(H401,C401&gt;0,(A402&lt;=COB_CA!$B$58))</f>
        <v/>
      </c>
    </row>
    <row r="403">
      <c r="A403" s="6" t="n">
        <v>399</v>
      </c>
      <c r="B403" s="17">
        <f>IF(COB_CA!$B$44=12,DATE(YEAR(COB_CA!$B$22)+INT((MONTH(COB_CA!$B$22)-1+398)/12),MOD(MONTH(COB_CA!$B$22)-1+398,12)+1,1)+(DAY(COB_CA!$B$22)-1),IF(COB_CA!$B$44=24,COB_CA!$B$22+ROUND((398*365.25)/24,0),IF(COB_CA!$B$44=26,COB_CA!$B$22+5572,COB_CA!$B$22+2786)))</f>
        <v/>
      </c>
      <c r="C403" s="14">
        <f>G402</f>
        <v/>
      </c>
      <c r="D403" s="14">
        <f>IF((A403&lt;=COB_CA!$B$58),ROUND(C403*COB_CA!$B$45,2),0)</f>
        <v/>
      </c>
      <c r="E403" s="14">
        <f>IF((A403&lt;=COB_CA!$B$58),IF(AND((A403&lt;=COB_CA!$B$58),ROUND(C403-ROUND(COB_CA!$B$59-D403,2),2)&lt;=0),C403,ROUND(COB_CA!$B$59-D403,2)),0)</f>
        <v/>
      </c>
      <c r="F403" s="14">
        <f>IF((A403&lt;=COB_CA!$B$58),IF(AND((A403&lt;=COB_CA!$B$58),ROUND(C403-ROUND(COB_CA!$B$59-D403,2),2)&lt;=0),ROUND(D403+E403,2),COB_CA!$B$59),0)</f>
        <v/>
      </c>
      <c r="G403" s="14">
        <f>IF((A403&lt;=COB_CA!$B$58),IF(AND((A403&lt;=COB_CA!$B$58),ROUND(C403-ROUND(COB_CA!$B$59-D403,2),2)&lt;=0),0,ROUND(C403-E403,2)),C403)</f>
        <v/>
      </c>
      <c r="H403" s="6">
        <f>AND(H402,C402&gt;0,(A403&lt;=COB_CA!$B$58))</f>
        <v/>
      </c>
    </row>
    <row r="404">
      <c r="A404" s="6" t="n">
        <v>400</v>
      </c>
      <c r="B404" s="17">
        <f>IF(COB_CA!$B$44=12,DATE(YEAR(COB_CA!$B$22)+INT((MONTH(COB_CA!$B$22)-1+399)/12),MOD(MONTH(COB_CA!$B$22)-1+399,12)+1,1)+(DAY(COB_CA!$B$22)-1),IF(COB_CA!$B$44=24,COB_CA!$B$22+ROUND((399*365.25)/24,0),IF(COB_CA!$B$44=26,COB_CA!$B$22+5586,COB_CA!$B$22+2793)))</f>
        <v/>
      </c>
      <c r="C404" s="14">
        <f>G403</f>
        <v/>
      </c>
      <c r="D404" s="14">
        <f>IF((A404&lt;=COB_CA!$B$58),ROUND(C404*COB_CA!$B$45,2),0)</f>
        <v/>
      </c>
      <c r="E404" s="14">
        <f>IF((A404&lt;=COB_CA!$B$58),IF(AND((A404&lt;=COB_CA!$B$58),ROUND(C404-ROUND(COB_CA!$B$59-D404,2),2)&lt;=0),C404,ROUND(COB_CA!$B$59-D404,2)),0)</f>
        <v/>
      </c>
      <c r="F404" s="14">
        <f>IF((A404&lt;=COB_CA!$B$58),IF(AND((A404&lt;=COB_CA!$B$58),ROUND(C404-ROUND(COB_CA!$B$59-D404,2),2)&lt;=0),ROUND(D404+E404,2),COB_CA!$B$59),0)</f>
        <v/>
      </c>
      <c r="G404" s="14">
        <f>IF((A404&lt;=COB_CA!$B$58),IF(AND((A404&lt;=COB_CA!$B$58),ROUND(C404-ROUND(COB_CA!$B$59-D404,2),2)&lt;=0),0,ROUND(C404-E404,2)),C404)</f>
        <v/>
      </c>
      <c r="H404" s="6">
        <f>AND(H403,C403&gt;0,(A404&lt;=COB_CA!$B$58))</f>
        <v/>
      </c>
    </row>
    <row r="405">
      <c r="A405" s="6" t="n">
        <v>401</v>
      </c>
      <c r="B405" s="17">
        <f>IF(COB_CA!$B$44=12,DATE(YEAR(COB_CA!$B$22)+INT((MONTH(COB_CA!$B$22)-1+400)/12),MOD(MONTH(COB_CA!$B$22)-1+400,12)+1,1)+(DAY(COB_CA!$B$22)-1),IF(COB_CA!$B$44=24,COB_CA!$B$22+ROUND((400*365.25)/24,0),IF(COB_CA!$B$44=26,COB_CA!$B$22+5600,COB_CA!$B$22+2800)))</f>
        <v/>
      </c>
      <c r="C405" s="14">
        <f>G404</f>
        <v/>
      </c>
      <c r="D405" s="14">
        <f>IF((A405&lt;=COB_CA!$B$58),ROUND(C405*COB_CA!$B$45,2),0)</f>
        <v/>
      </c>
      <c r="E405" s="14">
        <f>IF((A405&lt;=COB_CA!$B$58),IF(AND((A405&lt;=COB_CA!$B$58),ROUND(C405-ROUND(COB_CA!$B$59-D405,2),2)&lt;=0),C405,ROUND(COB_CA!$B$59-D405,2)),0)</f>
        <v/>
      </c>
      <c r="F405" s="14">
        <f>IF((A405&lt;=COB_CA!$B$58),IF(AND((A405&lt;=COB_CA!$B$58),ROUND(C405-ROUND(COB_CA!$B$59-D405,2),2)&lt;=0),ROUND(D405+E405,2),COB_CA!$B$59),0)</f>
        <v/>
      </c>
      <c r="G405" s="14">
        <f>IF((A405&lt;=COB_CA!$B$58),IF(AND((A405&lt;=COB_CA!$B$58),ROUND(C405-ROUND(COB_CA!$B$59-D405,2),2)&lt;=0),0,ROUND(C405-E405,2)),C405)</f>
        <v/>
      </c>
      <c r="H405" s="6">
        <f>AND(H404,C404&gt;0,(A405&lt;=COB_CA!$B$58))</f>
        <v/>
      </c>
    </row>
    <row r="406">
      <c r="A406" s="6" t="n">
        <v>402</v>
      </c>
      <c r="B406" s="17">
        <f>IF(COB_CA!$B$44=12,DATE(YEAR(COB_CA!$B$22)+INT((MONTH(COB_CA!$B$22)-1+401)/12),MOD(MONTH(COB_CA!$B$22)-1+401,12)+1,1)+(DAY(COB_CA!$B$22)-1),IF(COB_CA!$B$44=24,COB_CA!$B$22+ROUND((401*365.25)/24,0),IF(COB_CA!$B$44=26,COB_CA!$B$22+5614,COB_CA!$B$22+2807)))</f>
        <v/>
      </c>
      <c r="C406" s="14">
        <f>G405</f>
        <v/>
      </c>
      <c r="D406" s="14">
        <f>IF((A406&lt;=COB_CA!$B$58),ROUND(C406*COB_CA!$B$45,2),0)</f>
        <v/>
      </c>
      <c r="E406" s="14">
        <f>IF((A406&lt;=COB_CA!$B$58),IF(AND((A406&lt;=COB_CA!$B$58),ROUND(C406-ROUND(COB_CA!$B$59-D406,2),2)&lt;=0),C406,ROUND(COB_CA!$B$59-D406,2)),0)</f>
        <v/>
      </c>
      <c r="F406" s="14">
        <f>IF((A406&lt;=COB_CA!$B$58),IF(AND((A406&lt;=COB_CA!$B$58),ROUND(C406-ROUND(COB_CA!$B$59-D406,2),2)&lt;=0),ROUND(D406+E406,2),COB_CA!$B$59),0)</f>
        <v/>
      </c>
      <c r="G406" s="14">
        <f>IF((A406&lt;=COB_CA!$B$58),IF(AND((A406&lt;=COB_CA!$B$58),ROUND(C406-ROUND(COB_CA!$B$59-D406,2),2)&lt;=0),0,ROUND(C406-E406,2)),C406)</f>
        <v/>
      </c>
      <c r="H406" s="6">
        <f>AND(H405,C405&gt;0,(A406&lt;=COB_CA!$B$58))</f>
        <v/>
      </c>
    </row>
    <row r="407">
      <c r="A407" s="6" t="n">
        <v>403</v>
      </c>
      <c r="B407" s="17">
        <f>IF(COB_CA!$B$44=12,DATE(YEAR(COB_CA!$B$22)+INT((MONTH(COB_CA!$B$22)-1+402)/12),MOD(MONTH(COB_CA!$B$22)-1+402,12)+1,1)+(DAY(COB_CA!$B$22)-1),IF(COB_CA!$B$44=24,COB_CA!$B$22+ROUND((402*365.25)/24,0),IF(COB_CA!$B$44=26,COB_CA!$B$22+5628,COB_CA!$B$22+2814)))</f>
        <v/>
      </c>
      <c r="C407" s="14">
        <f>G406</f>
        <v/>
      </c>
      <c r="D407" s="14">
        <f>IF((A407&lt;=COB_CA!$B$58),ROUND(C407*COB_CA!$B$45,2),0)</f>
        <v/>
      </c>
      <c r="E407" s="14">
        <f>IF((A407&lt;=COB_CA!$B$58),IF(AND((A407&lt;=COB_CA!$B$58),ROUND(C407-ROUND(COB_CA!$B$59-D407,2),2)&lt;=0),C407,ROUND(COB_CA!$B$59-D407,2)),0)</f>
        <v/>
      </c>
      <c r="F407" s="14">
        <f>IF((A407&lt;=COB_CA!$B$58),IF(AND((A407&lt;=COB_CA!$B$58),ROUND(C407-ROUND(COB_CA!$B$59-D407,2),2)&lt;=0),ROUND(D407+E407,2),COB_CA!$B$59),0)</f>
        <v/>
      </c>
      <c r="G407" s="14">
        <f>IF((A407&lt;=COB_CA!$B$58),IF(AND((A407&lt;=COB_CA!$B$58),ROUND(C407-ROUND(COB_CA!$B$59-D407,2),2)&lt;=0),0,ROUND(C407-E407,2)),C407)</f>
        <v/>
      </c>
      <c r="H407" s="6">
        <f>AND(H406,C406&gt;0,(A407&lt;=COB_CA!$B$58))</f>
        <v/>
      </c>
    </row>
    <row r="408">
      <c r="A408" s="6" t="n">
        <v>404</v>
      </c>
      <c r="B408" s="17">
        <f>IF(COB_CA!$B$44=12,DATE(YEAR(COB_CA!$B$22)+INT((MONTH(COB_CA!$B$22)-1+403)/12),MOD(MONTH(COB_CA!$B$22)-1+403,12)+1,1)+(DAY(COB_CA!$B$22)-1),IF(COB_CA!$B$44=24,COB_CA!$B$22+ROUND((403*365.25)/24,0),IF(COB_CA!$B$44=26,COB_CA!$B$22+5642,COB_CA!$B$22+2821)))</f>
        <v/>
      </c>
      <c r="C408" s="14">
        <f>G407</f>
        <v/>
      </c>
      <c r="D408" s="14">
        <f>IF((A408&lt;=COB_CA!$B$58),ROUND(C408*COB_CA!$B$45,2),0)</f>
        <v/>
      </c>
      <c r="E408" s="14">
        <f>IF((A408&lt;=COB_CA!$B$58),IF(AND((A408&lt;=COB_CA!$B$58),ROUND(C408-ROUND(COB_CA!$B$59-D408,2),2)&lt;=0),C408,ROUND(COB_CA!$B$59-D408,2)),0)</f>
        <v/>
      </c>
      <c r="F408" s="14">
        <f>IF((A408&lt;=COB_CA!$B$58),IF(AND((A408&lt;=COB_CA!$B$58),ROUND(C408-ROUND(COB_CA!$B$59-D408,2),2)&lt;=0),ROUND(D408+E408,2),COB_CA!$B$59),0)</f>
        <v/>
      </c>
      <c r="G408" s="14">
        <f>IF((A408&lt;=COB_CA!$B$58),IF(AND((A408&lt;=COB_CA!$B$58),ROUND(C408-ROUND(COB_CA!$B$59-D408,2),2)&lt;=0),0,ROUND(C408-E408,2)),C408)</f>
        <v/>
      </c>
      <c r="H408" s="6">
        <f>AND(H407,C407&gt;0,(A408&lt;=COB_CA!$B$58))</f>
        <v/>
      </c>
    </row>
    <row r="409">
      <c r="A409" s="6" t="n">
        <v>405</v>
      </c>
      <c r="B409" s="17">
        <f>IF(COB_CA!$B$44=12,DATE(YEAR(COB_CA!$B$22)+INT((MONTH(COB_CA!$B$22)-1+404)/12),MOD(MONTH(COB_CA!$B$22)-1+404,12)+1,1)+(DAY(COB_CA!$B$22)-1),IF(COB_CA!$B$44=24,COB_CA!$B$22+ROUND((404*365.25)/24,0),IF(COB_CA!$B$44=26,COB_CA!$B$22+5656,COB_CA!$B$22+2828)))</f>
        <v/>
      </c>
      <c r="C409" s="14">
        <f>G408</f>
        <v/>
      </c>
      <c r="D409" s="14">
        <f>IF((A409&lt;=COB_CA!$B$58),ROUND(C409*COB_CA!$B$45,2),0)</f>
        <v/>
      </c>
      <c r="E409" s="14">
        <f>IF((A409&lt;=COB_CA!$B$58),IF(AND((A409&lt;=COB_CA!$B$58),ROUND(C409-ROUND(COB_CA!$B$59-D409,2),2)&lt;=0),C409,ROUND(COB_CA!$B$59-D409,2)),0)</f>
        <v/>
      </c>
      <c r="F409" s="14">
        <f>IF((A409&lt;=COB_CA!$B$58),IF(AND((A409&lt;=COB_CA!$B$58),ROUND(C409-ROUND(COB_CA!$B$59-D409,2),2)&lt;=0),ROUND(D409+E409,2),COB_CA!$B$59),0)</f>
        <v/>
      </c>
      <c r="G409" s="14">
        <f>IF((A409&lt;=COB_CA!$B$58),IF(AND((A409&lt;=COB_CA!$B$58),ROUND(C409-ROUND(COB_CA!$B$59-D409,2),2)&lt;=0),0,ROUND(C409-E409,2)),C409)</f>
        <v/>
      </c>
      <c r="H409" s="6">
        <f>AND(H408,C408&gt;0,(A409&lt;=COB_CA!$B$58))</f>
        <v/>
      </c>
    </row>
    <row r="410">
      <c r="A410" s="6" t="n">
        <v>406</v>
      </c>
      <c r="B410" s="17">
        <f>IF(COB_CA!$B$44=12,DATE(YEAR(COB_CA!$B$22)+INT((MONTH(COB_CA!$B$22)-1+405)/12),MOD(MONTH(COB_CA!$B$22)-1+405,12)+1,1)+(DAY(COB_CA!$B$22)-1),IF(COB_CA!$B$44=24,COB_CA!$B$22+ROUND((405*365.25)/24,0),IF(COB_CA!$B$44=26,COB_CA!$B$22+5670,COB_CA!$B$22+2835)))</f>
        <v/>
      </c>
      <c r="C410" s="14">
        <f>G409</f>
        <v/>
      </c>
      <c r="D410" s="14">
        <f>IF((A410&lt;=COB_CA!$B$58),ROUND(C410*COB_CA!$B$45,2),0)</f>
        <v/>
      </c>
      <c r="E410" s="14">
        <f>IF((A410&lt;=COB_CA!$B$58),IF(AND((A410&lt;=COB_CA!$B$58),ROUND(C410-ROUND(COB_CA!$B$59-D410,2),2)&lt;=0),C410,ROUND(COB_CA!$B$59-D410,2)),0)</f>
        <v/>
      </c>
      <c r="F410" s="14">
        <f>IF((A410&lt;=COB_CA!$B$58),IF(AND((A410&lt;=COB_CA!$B$58),ROUND(C410-ROUND(COB_CA!$B$59-D410,2),2)&lt;=0),ROUND(D410+E410,2),COB_CA!$B$59),0)</f>
        <v/>
      </c>
      <c r="G410" s="14">
        <f>IF((A410&lt;=COB_CA!$B$58),IF(AND((A410&lt;=COB_CA!$B$58),ROUND(C410-ROUND(COB_CA!$B$59-D410,2),2)&lt;=0),0,ROUND(C410-E410,2)),C410)</f>
        <v/>
      </c>
      <c r="H410" s="6">
        <f>AND(H409,C409&gt;0,(A410&lt;=COB_CA!$B$58))</f>
        <v/>
      </c>
    </row>
    <row r="411">
      <c r="A411" s="6" t="n">
        <v>407</v>
      </c>
      <c r="B411" s="17">
        <f>IF(COB_CA!$B$44=12,DATE(YEAR(COB_CA!$B$22)+INT((MONTH(COB_CA!$B$22)-1+406)/12),MOD(MONTH(COB_CA!$B$22)-1+406,12)+1,1)+(DAY(COB_CA!$B$22)-1),IF(COB_CA!$B$44=24,COB_CA!$B$22+ROUND((406*365.25)/24,0),IF(COB_CA!$B$44=26,COB_CA!$B$22+5684,COB_CA!$B$22+2842)))</f>
        <v/>
      </c>
      <c r="C411" s="14">
        <f>G410</f>
        <v/>
      </c>
      <c r="D411" s="14">
        <f>IF((A411&lt;=COB_CA!$B$58),ROUND(C411*COB_CA!$B$45,2),0)</f>
        <v/>
      </c>
      <c r="E411" s="14">
        <f>IF((A411&lt;=COB_CA!$B$58),IF(AND((A411&lt;=COB_CA!$B$58),ROUND(C411-ROUND(COB_CA!$B$59-D411,2),2)&lt;=0),C411,ROUND(COB_CA!$B$59-D411,2)),0)</f>
        <v/>
      </c>
      <c r="F411" s="14">
        <f>IF((A411&lt;=COB_CA!$B$58),IF(AND((A411&lt;=COB_CA!$B$58),ROUND(C411-ROUND(COB_CA!$B$59-D411,2),2)&lt;=0),ROUND(D411+E411,2),COB_CA!$B$59),0)</f>
        <v/>
      </c>
      <c r="G411" s="14">
        <f>IF((A411&lt;=COB_CA!$B$58),IF(AND((A411&lt;=COB_CA!$B$58),ROUND(C411-ROUND(COB_CA!$B$59-D411,2),2)&lt;=0),0,ROUND(C411-E411,2)),C411)</f>
        <v/>
      </c>
      <c r="H411" s="6">
        <f>AND(H410,C410&gt;0,(A411&lt;=COB_CA!$B$58))</f>
        <v/>
      </c>
    </row>
    <row r="412">
      <c r="A412" s="6" t="n">
        <v>408</v>
      </c>
      <c r="B412" s="17">
        <f>IF(COB_CA!$B$44=12,DATE(YEAR(COB_CA!$B$22)+INT((MONTH(COB_CA!$B$22)-1+407)/12),MOD(MONTH(COB_CA!$B$22)-1+407,12)+1,1)+(DAY(COB_CA!$B$22)-1),IF(COB_CA!$B$44=24,COB_CA!$B$22+ROUND((407*365.25)/24,0),IF(COB_CA!$B$44=26,COB_CA!$B$22+5698,COB_CA!$B$22+2849)))</f>
        <v/>
      </c>
      <c r="C412" s="14">
        <f>G411</f>
        <v/>
      </c>
      <c r="D412" s="14">
        <f>IF((A412&lt;=COB_CA!$B$58),ROUND(C412*COB_CA!$B$45,2),0)</f>
        <v/>
      </c>
      <c r="E412" s="14">
        <f>IF((A412&lt;=COB_CA!$B$58),IF(AND((A412&lt;=COB_CA!$B$58),ROUND(C412-ROUND(COB_CA!$B$59-D412,2),2)&lt;=0),C412,ROUND(COB_CA!$B$59-D412,2)),0)</f>
        <v/>
      </c>
      <c r="F412" s="14">
        <f>IF((A412&lt;=COB_CA!$B$58),IF(AND((A412&lt;=COB_CA!$B$58),ROUND(C412-ROUND(COB_CA!$B$59-D412,2),2)&lt;=0),ROUND(D412+E412,2),COB_CA!$B$59),0)</f>
        <v/>
      </c>
      <c r="G412" s="14">
        <f>IF((A412&lt;=COB_CA!$B$58),IF(AND((A412&lt;=COB_CA!$B$58),ROUND(C412-ROUND(COB_CA!$B$59-D412,2),2)&lt;=0),0,ROUND(C412-E412,2)),C412)</f>
        <v/>
      </c>
      <c r="H412" s="6">
        <f>AND(H411,C411&gt;0,(A412&lt;=COB_CA!$B$58))</f>
        <v/>
      </c>
    </row>
    <row r="413">
      <c r="A413" s="6" t="n">
        <v>409</v>
      </c>
      <c r="B413" s="17">
        <f>IF(COB_CA!$B$44=12,DATE(YEAR(COB_CA!$B$22)+INT((MONTH(COB_CA!$B$22)-1+408)/12),MOD(MONTH(COB_CA!$B$22)-1+408,12)+1,1)+(DAY(COB_CA!$B$22)-1),IF(COB_CA!$B$44=24,COB_CA!$B$22+ROUND((408*365.25)/24,0),IF(COB_CA!$B$44=26,COB_CA!$B$22+5712,COB_CA!$B$22+2856)))</f>
        <v/>
      </c>
      <c r="C413" s="14">
        <f>G412</f>
        <v/>
      </c>
      <c r="D413" s="14">
        <f>IF((A413&lt;=COB_CA!$B$58),ROUND(C413*COB_CA!$B$45,2),0)</f>
        <v/>
      </c>
      <c r="E413" s="14">
        <f>IF((A413&lt;=COB_CA!$B$58),IF(AND((A413&lt;=COB_CA!$B$58),ROUND(C413-ROUND(COB_CA!$B$59-D413,2),2)&lt;=0),C413,ROUND(COB_CA!$B$59-D413,2)),0)</f>
        <v/>
      </c>
      <c r="F413" s="14">
        <f>IF((A413&lt;=COB_CA!$B$58),IF(AND((A413&lt;=COB_CA!$B$58),ROUND(C413-ROUND(COB_CA!$B$59-D413,2),2)&lt;=0),ROUND(D413+E413,2),COB_CA!$B$59),0)</f>
        <v/>
      </c>
      <c r="G413" s="14">
        <f>IF((A413&lt;=COB_CA!$B$58),IF(AND((A413&lt;=COB_CA!$B$58),ROUND(C413-ROUND(COB_CA!$B$59-D413,2),2)&lt;=0),0,ROUND(C413-E413,2)),C413)</f>
        <v/>
      </c>
      <c r="H413" s="6">
        <f>AND(H412,C412&gt;0,(A413&lt;=COB_CA!$B$58))</f>
        <v/>
      </c>
    </row>
    <row r="414">
      <c r="A414" s="6" t="n">
        <v>410</v>
      </c>
      <c r="B414" s="17">
        <f>IF(COB_CA!$B$44=12,DATE(YEAR(COB_CA!$B$22)+INT((MONTH(COB_CA!$B$22)-1+409)/12),MOD(MONTH(COB_CA!$B$22)-1+409,12)+1,1)+(DAY(COB_CA!$B$22)-1),IF(COB_CA!$B$44=24,COB_CA!$B$22+ROUND((409*365.25)/24,0),IF(COB_CA!$B$44=26,COB_CA!$B$22+5726,COB_CA!$B$22+2863)))</f>
        <v/>
      </c>
      <c r="C414" s="14">
        <f>G413</f>
        <v/>
      </c>
      <c r="D414" s="14">
        <f>IF((A414&lt;=COB_CA!$B$58),ROUND(C414*COB_CA!$B$45,2),0)</f>
        <v/>
      </c>
      <c r="E414" s="14">
        <f>IF((A414&lt;=COB_CA!$B$58),IF(AND((A414&lt;=COB_CA!$B$58),ROUND(C414-ROUND(COB_CA!$B$59-D414,2),2)&lt;=0),C414,ROUND(COB_CA!$B$59-D414,2)),0)</f>
        <v/>
      </c>
      <c r="F414" s="14">
        <f>IF((A414&lt;=COB_CA!$B$58),IF(AND((A414&lt;=COB_CA!$B$58),ROUND(C414-ROUND(COB_CA!$B$59-D414,2),2)&lt;=0),ROUND(D414+E414,2),COB_CA!$B$59),0)</f>
        <v/>
      </c>
      <c r="G414" s="14">
        <f>IF((A414&lt;=COB_CA!$B$58),IF(AND((A414&lt;=COB_CA!$B$58),ROUND(C414-ROUND(COB_CA!$B$59-D414,2),2)&lt;=0),0,ROUND(C414-E414,2)),C414)</f>
        <v/>
      </c>
      <c r="H414" s="6">
        <f>AND(H413,C413&gt;0,(A414&lt;=COB_CA!$B$58))</f>
        <v/>
      </c>
    </row>
    <row r="415">
      <c r="A415" s="6" t="n">
        <v>411</v>
      </c>
      <c r="B415" s="17">
        <f>IF(COB_CA!$B$44=12,DATE(YEAR(COB_CA!$B$22)+INT((MONTH(COB_CA!$B$22)-1+410)/12),MOD(MONTH(COB_CA!$B$22)-1+410,12)+1,1)+(DAY(COB_CA!$B$22)-1),IF(COB_CA!$B$44=24,COB_CA!$B$22+ROUND((410*365.25)/24,0),IF(COB_CA!$B$44=26,COB_CA!$B$22+5740,COB_CA!$B$22+2870)))</f>
        <v/>
      </c>
      <c r="C415" s="14">
        <f>G414</f>
        <v/>
      </c>
      <c r="D415" s="14">
        <f>IF((A415&lt;=COB_CA!$B$58),ROUND(C415*COB_CA!$B$45,2),0)</f>
        <v/>
      </c>
      <c r="E415" s="14">
        <f>IF((A415&lt;=COB_CA!$B$58),IF(AND((A415&lt;=COB_CA!$B$58),ROUND(C415-ROUND(COB_CA!$B$59-D415,2),2)&lt;=0),C415,ROUND(COB_CA!$B$59-D415,2)),0)</f>
        <v/>
      </c>
      <c r="F415" s="14">
        <f>IF((A415&lt;=COB_CA!$B$58),IF(AND((A415&lt;=COB_CA!$B$58),ROUND(C415-ROUND(COB_CA!$B$59-D415,2),2)&lt;=0),ROUND(D415+E415,2),COB_CA!$B$59),0)</f>
        <v/>
      </c>
      <c r="G415" s="14">
        <f>IF((A415&lt;=COB_CA!$B$58),IF(AND((A415&lt;=COB_CA!$B$58),ROUND(C415-ROUND(COB_CA!$B$59-D415,2),2)&lt;=0),0,ROUND(C415-E415,2)),C415)</f>
        <v/>
      </c>
      <c r="H415" s="6">
        <f>AND(H414,C414&gt;0,(A415&lt;=COB_CA!$B$58))</f>
        <v/>
      </c>
    </row>
    <row r="416">
      <c r="A416" s="6" t="n">
        <v>412</v>
      </c>
      <c r="B416" s="17">
        <f>IF(COB_CA!$B$44=12,DATE(YEAR(COB_CA!$B$22)+INT((MONTH(COB_CA!$B$22)-1+411)/12),MOD(MONTH(COB_CA!$B$22)-1+411,12)+1,1)+(DAY(COB_CA!$B$22)-1),IF(COB_CA!$B$44=24,COB_CA!$B$22+ROUND((411*365.25)/24,0),IF(COB_CA!$B$44=26,COB_CA!$B$22+5754,COB_CA!$B$22+2877)))</f>
        <v/>
      </c>
      <c r="C416" s="14">
        <f>G415</f>
        <v/>
      </c>
      <c r="D416" s="14">
        <f>IF((A416&lt;=COB_CA!$B$58),ROUND(C416*COB_CA!$B$45,2),0)</f>
        <v/>
      </c>
      <c r="E416" s="14">
        <f>IF((A416&lt;=COB_CA!$B$58),IF(AND((A416&lt;=COB_CA!$B$58),ROUND(C416-ROUND(COB_CA!$B$59-D416,2),2)&lt;=0),C416,ROUND(COB_CA!$B$59-D416,2)),0)</f>
        <v/>
      </c>
      <c r="F416" s="14">
        <f>IF((A416&lt;=COB_CA!$B$58),IF(AND((A416&lt;=COB_CA!$B$58),ROUND(C416-ROUND(COB_CA!$B$59-D416,2),2)&lt;=0),ROUND(D416+E416,2),COB_CA!$B$59),0)</f>
        <v/>
      </c>
      <c r="G416" s="14">
        <f>IF((A416&lt;=COB_CA!$B$58),IF(AND((A416&lt;=COB_CA!$B$58),ROUND(C416-ROUND(COB_CA!$B$59-D416,2),2)&lt;=0),0,ROUND(C416-E416,2)),C416)</f>
        <v/>
      </c>
      <c r="H416" s="6">
        <f>AND(H415,C415&gt;0,(A416&lt;=COB_CA!$B$58))</f>
        <v/>
      </c>
    </row>
    <row r="417">
      <c r="A417" s="6" t="n">
        <v>413</v>
      </c>
      <c r="B417" s="17">
        <f>IF(COB_CA!$B$44=12,DATE(YEAR(COB_CA!$B$22)+INT((MONTH(COB_CA!$B$22)-1+412)/12),MOD(MONTH(COB_CA!$B$22)-1+412,12)+1,1)+(DAY(COB_CA!$B$22)-1),IF(COB_CA!$B$44=24,COB_CA!$B$22+ROUND((412*365.25)/24,0),IF(COB_CA!$B$44=26,COB_CA!$B$22+5768,COB_CA!$B$22+2884)))</f>
        <v/>
      </c>
      <c r="C417" s="14">
        <f>G416</f>
        <v/>
      </c>
      <c r="D417" s="14">
        <f>IF((A417&lt;=COB_CA!$B$58),ROUND(C417*COB_CA!$B$45,2),0)</f>
        <v/>
      </c>
      <c r="E417" s="14">
        <f>IF((A417&lt;=COB_CA!$B$58),IF(AND((A417&lt;=COB_CA!$B$58),ROUND(C417-ROUND(COB_CA!$B$59-D417,2),2)&lt;=0),C417,ROUND(COB_CA!$B$59-D417,2)),0)</f>
        <v/>
      </c>
      <c r="F417" s="14">
        <f>IF((A417&lt;=COB_CA!$B$58),IF(AND((A417&lt;=COB_CA!$B$58),ROUND(C417-ROUND(COB_CA!$B$59-D417,2),2)&lt;=0),ROUND(D417+E417,2),COB_CA!$B$59),0)</f>
        <v/>
      </c>
      <c r="G417" s="14">
        <f>IF((A417&lt;=COB_CA!$B$58),IF(AND((A417&lt;=COB_CA!$B$58),ROUND(C417-ROUND(COB_CA!$B$59-D417,2),2)&lt;=0),0,ROUND(C417-E417,2)),C417)</f>
        <v/>
      </c>
      <c r="H417" s="6">
        <f>AND(H416,C416&gt;0,(A417&lt;=COB_CA!$B$58))</f>
        <v/>
      </c>
    </row>
    <row r="418">
      <c r="A418" s="6" t="n">
        <v>414</v>
      </c>
      <c r="B418" s="17">
        <f>IF(COB_CA!$B$44=12,DATE(YEAR(COB_CA!$B$22)+INT((MONTH(COB_CA!$B$22)-1+413)/12),MOD(MONTH(COB_CA!$B$22)-1+413,12)+1,1)+(DAY(COB_CA!$B$22)-1),IF(COB_CA!$B$44=24,COB_CA!$B$22+ROUND((413*365.25)/24,0),IF(COB_CA!$B$44=26,COB_CA!$B$22+5782,COB_CA!$B$22+2891)))</f>
        <v/>
      </c>
      <c r="C418" s="14">
        <f>G417</f>
        <v/>
      </c>
      <c r="D418" s="14">
        <f>IF((A418&lt;=COB_CA!$B$58),ROUND(C418*COB_CA!$B$45,2),0)</f>
        <v/>
      </c>
      <c r="E418" s="14">
        <f>IF((A418&lt;=COB_CA!$B$58),IF(AND((A418&lt;=COB_CA!$B$58),ROUND(C418-ROUND(COB_CA!$B$59-D418,2),2)&lt;=0),C418,ROUND(COB_CA!$B$59-D418,2)),0)</f>
        <v/>
      </c>
      <c r="F418" s="14">
        <f>IF((A418&lt;=COB_CA!$B$58),IF(AND((A418&lt;=COB_CA!$B$58),ROUND(C418-ROUND(COB_CA!$B$59-D418,2),2)&lt;=0),ROUND(D418+E418,2),COB_CA!$B$59),0)</f>
        <v/>
      </c>
      <c r="G418" s="14">
        <f>IF((A418&lt;=COB_CA!$B$58),IF(AND((A418&lt;=COB_CA!$B$58),ROUND(C418-ROUND(COB_CA!$B$59-D418,2),2)&lt;=0),0,ROUND(C418-E418,2)),C418)</f>
        <v/>
      </c>
      <c r="H418" s="6">
        <f>AND(H417,C417&gt;0,(A418&lt;=COB_CA!$B$58))</f>
        <v/>
      </c>
    </row>
    <row r="419">
      <c r="A419" s="6" t="n">
        <v>415</v>
      </c>
      <c r="B419" s="17">
        <f>IF(COB_CA!$B$44=12,DATE(YEAR(COB_CA!$B$22)+INT((MONTH(COB_CA!$B$22)-1+414)/12),MOD(MONTH(COB_CA!$B$22)-1+414,12)+1,1)+(DAY(COB_CA!$B$22)-1),IF(COB_CA!$B$44=24,COB_CA!$B$22+ROUND((414*365.25)/24,0),IF(COB_CA!$B$44=26,COB_CA!$B$22+5796,COB_CA!$B$22+2898)))</f>
        <v/>
      </c>
      <c r="C419" s="14">
        <f>G418</f>
        <v/>
      </c>
      <c r="D419" s="14">
        <f>IF((A419&lt;=COB_CA!$B$58),ROUND(C419*COB_CA!$B$45,2),0)</f>
        <v/>
      </c>
      <c r="E419" s="14">
        <f>IF((A419&lt;=COB_CA!$B$58),IF(AND((A419&lt;=COB_CA!$B$58),ROUND(C419-ROUND(COB_CA!$B$59-D419,2),2)&lt;=0),C419,ROUND(COB_CA!$B$59-D419,2)),0)</f>
        <v/>
      </c>
      <c r="F419" s="14">
        <f>IF((A419&lt;=COB_CA!$B$58),IF(AND((A419&lt;=COB_CA!$B$58),ROUND(C419-ROUND(COB_CA!$B$59-D419,2),2)&lt;=0),ROUND(D419+E419,2),COB_CA!$B$59),0)</f>
        <v/>
      </c>
      <c r="G419" s="14">
        <f>IF((A419&lt;=COB_CA!$B$58),IF(AND((A419&lt;=COB_CA!$B$58),ROUND(C419-ROUND(COB_CA!$B$59-D419,2),2)&lt;=0),0,ROUND(C419-E419,2)),C419)</f>
        <v/>
      </c>
      <c r="H419" s="6">
        <f>AND(H418,C418&gt;0,(A419&lt;=COB_CA!$B$58))</f>
        <v/>
      </c>
    </row>
    <row r="420">
      <c r="A420" s="6" t="n">
        <v>416</v>
      </c>
      <c r="B420" s="17">
        <f>IF(COB_CA!$B$44=12,DATE(YEAR(COB_CA!$B$22)+INT((MONTH(COB_CA!$B$22)-1+415)/12),MOD(MONTH(COB_CA!$B$22)-1+415,12)+1,1)+(DAY(COB_CA!$B$22)-1),IF(COB_CA!$B$44=24,COB_CA!$B$22+ROUND((415*365.25)/24,0),IF(COB_CA!$B$44=26,COB_CA!$B$22+5810,COB_CA!$B$22+2905)))</f>
        <v/>
      </c>
      <c r="C420" s="14">
        <f>G419</f>
        <v/>
      </c>
      <c r="D420" s="14">
        <f>IF((A420&lt;=COB_CA!$B$58),ROUND(C420*COB_CA!$B$45,2),0)</f>
        <v/>
      </c>
      <c r="E420" s="14">
        <f>IF((A420&lt;=COB_CA!$B$58),IF(AND((A420&lt;=COB_CA!$B$58),ROUND(C420-ROUND(COB_CA!$B$59-D420,2),2)&lt;=0),C420,ROUND(COB_CA!$B$59-D420,2)),0)</f>
        <v/>
      </c>
      <c r="F420" s="14">
        <f>IF((A420&lt;=COB_CA!$B$58),IF(AND((A420&lt;=COB_CA!$B$58),ROUND(C420-ROUND(COB_CA!$B$59-D420,2),2)&lt;=0),ROUND(D420+E420,2),COB_CA!$B$59),0)</f>
        <v/>
      </c>
      <c r="G420" s="14">
        <f>IF((A420&lt;=COB_CA!$B$58),IF(AND((A420&lt;=COB_CA!$B$58),ROUND(C420-ROUND(COB_CA!$B$59-D420,2),2)&lt;=0),0,ROUND(C420-E420,2)),C420)</f>
        <v/>
      </c>
      <c r="H420" s="6">
        <f>AND(H419,C419&gt;0,(A420&lt;=COB_CA!$B$58))</f>
        <v/>
      </c>
    </row>
    <row r="421">
      <c r="A421" s="6" t="n">
        <v>417</v>
      </c>
      <c r="B421" s="17">
        <f>IF(COB_CA!$B$44=12,DATE(YEAR(COB_CA!$B$22)+INT((MONTH(COB_CA!$B$22)-1+416)/12),MOD(MONTH(COB_CA!$B$22)-1+416,12)+1,1)+(DAY(COB_CA!$B$22)-1),IF(COB_CA!$B$44=24,COB_CA!$B$22+ROUND((416*365.25)/24,0),IF(COB_CA!$B$44=26,COB_CA!$B$22+5824,COB_CA!$B$22+2912)))</f>
        <v/>
      </c>
      <c r="C421" s="14">
        <f>G420</f>
        <v/>
      </c>
      <c r="D421" s="14">
        <f>IF((A421&lt;=COB_CA!$B$58),ROUND(C421*COB_CA!$B$45,2),0)</f>
        <v/>
      </c>
      <c r="E421" s="14">
        <f>IF((A421&lt;=COB_CA!$B$58),IF(AND((A421&lt;=COB_CA!$B$58),ROUND(C421-ROUND(COB_CA!$B$59-D421,2),2)&lt;=0),C421,ROUND(COB_CA!$B$59-D421,2)),0)</f>
        <v/>
      </c>
      <c r="F421" s="14">
        <f>IF((A421&lt;=COB_CA!$B$58),IF(AND((A421&lt;=COB_CA!$B$58),ROUND(C421-ROUND(COB_CA!$B$59-D421,2),2)&lt;=0),ROUND(D421+E421,2),COB_CA!$B$59),0)</f>
        <v/>
      </c>
      <c r="G421" s="14">
        <f>IF((A421&lt;=COB_CA!$B$58),IF(AND((A421&lt;=COB_CA!$B$58),ROUND(C421-ROUND(COB_CA!$B$59-D421,2),2)&lt;=0),0,ROUND(C421-E421,2)),C421)</f>
        <v/>
      </c>
      <c r="H421" s="6">
        <f>AND(H420,C420&gt;0,(A421&lt;=COB_CA!$B$58))</f>
        <v/>
      </c>
    </row>
    <row r="422">
      <c r="A422" s="6" t="n">
        <v>418</v>
      </c>
      <c r="B422" s="17">
        <f>IF(COB_CA!$B$44=12,DATE(YEAR(COB_CA!$B$22)+INT((MONTH(COB_CA!$B$22)-1+417)/12),MOD(MONTH(COB_CA!$B$22)-1+417,12)+1,1)+(DAY(COB_CA!$B$22)-1),IF(COB_CA!$B$44=24,COB_CA!$B$22+ROUND((417*365.25)/24,0),IF(COB_CA!$B$44=26,COB_CA!$B$22+5838,COB_CA!$B$22+2919)))</f>
        <v/>
      </c>
      <c r="C422" s="14">
        <f>G421</f>
        <v/>
      </c>
      <c r="D422" s="14">
        <f>IF((A422&lt;=COB_CA!$B$58),ROUND(C422*COB_CA!$B$45,2),0)</f>
        <v/>
      </c>
      <c r="E422" s="14">
        <f>IF((A422&lt;=COB_CA!$B$58),IF(AND((A422&lt;=COB_CA!$B$58),ROUND(C422-ROUND(COB_CA!$B$59-D422,2),2)&lt;=0),C422,ROUND(COB_CA!$B$59-D422,2)),0)</f>
        <v/>
      </c>
      <c r="F422" s="14">
        <f>IF((A422&lt;=COB_CA!$B$58),IF(AND((A422&lt;=COB_CA!$B$58),ROUND(C422-ROUND(COB_CA!$B$59-D422,2),2)&lt;=0),ROUND(D422+E422,2),COB_CA!$B$59),0)</f>
        <v/>
      </c>
      <c r="G422" s="14">
        <f>IF((A422&lt;=COB_CA!$B$58),IF(AND((A422&lt;=COB_CA!$B$58),ROUND(C422-ROUND(COB_CA!$B$59-D422,2),2)&lt;=0),0,ROUND(C422-E422,2)),C422)</f>
        <v/>
      </c>
      <c r="H422" s="6">
        <f>AND(H421,C421&gt;0,(A422&lt;=COB_CA!$B$58))</f>
        <v/>
      </c>
    </row>
    <row r="423">
      <c r="A423" s="6" t="n">
        <v>419</v>
      </c>
      <c r="B423" s="17">
        <f>IF(COB_CA!$B$44=12,DATE(YEAR(COB_CA!$B$22)+INT((MONTH(COB_CA!$B$22)-1+418)/12),MOD(MONTH(COB_CA!$B$22)-1+418,12)+1,1)+(DAY(COB_CA!$B$22)-1),IF(COB_CA!$B$44=24,COB_CA!$B$22+ROUND((418*365.25)/24,0),IF(COB_CA!$B$44=26,COB_CA!$B$22+5852,COB_CA!$B$22+2926)))</f>
        <v/>
      </c>
      <c r="C423" s="14">
        <f>G422</f>
        <v/>
      </c>
      <c r="D423" s="14">
        <f>IF((A423&lt;=COB_CA!$B$58),ROUND(C423*COB_CA!$B$45,2),0)</f>
        <v/>
      </c>
      <c r="E423" s="14">
        <f>IF((A423&lt;=COB_CA!$B$58),IF(AND((A423&lt;=COB_CA!$B$58),ROUND(C423-ROUND(COB_CA!$B$59-D423,2),2)&lt;=0),C423,ROUND(COB_CA!$B$59-D423,2)),0)</f>
        <v/>
      </c>
      <c r="F423" s="14">
        <f>IF((A423&lt;=COB_CA!$B$58),IF(AND((A423&lt;=COB_CA!$B$58),ROUND(C423-ROUND(COB_CA!$B$59-D423,2),2)&lt;=0),ROUND(D423+E423,2),COB_CA!$B$59),0)</f>
        <v/>
      </c>
      <c r="G423" s="14">
        <f>IF((A423&lt;=COB_CA!$B$58),IF(AND((A423&lt;=COB_CA!$B$58),ROUND(C423-ROUND(COB_CA!$B$59-D423,2),2)&lt;=0),0,ROUND(C423-E423,2)),C423)</f>
        <v/>
      </c>
      <c r="H423" s="6">
        <f>AND(H422,C422&gt;0,(A423&lt;=COB_CA!$B$58))</f>
        <v/>
      </c>
    </row>
    <row r="424">
      <c r="A424" s="6" t="n">
        <v>420</v>
      </c>
      <c r="B424" s="17">
        <f>IF(COB_CA!$B$44=12,DATE(YEAR(COB_CA!$B$22)+INT((MONTH(COB_CA!$B$22)-1+419)/12),MOD(MONTH(COB_CA!$B$22)-1+419,12)+1,1)+(DAY(COB_CA!$B$22)-1),IF(COB_CA!$B$44=24,COB_CA!$B$22+ROUND((419*365.25)/24,0),IF(COB_CA!$B$44=26,COB_CA!$B$22+5866,COB_CA!$B$22+2933)))</f>
        <v/>
      </c>
      <c r="C424" s="14">
        <f>G423</f>
        <v/>
      </c>
      <c r="D424" s="14">
        <f>IF((A424&lt;=COB_CA!$B$58),ROUND(C424*COB_CA!$B$45,2),0)</f>
        <v/>
      </c>
      <c r="E424" s="14">
        <f>IF((A424&lt;=COB_CA!$B$58),IF(AND((A424&lt;=COB_CA!$B$58),ROUND(C424-ROUND(COB_CA!$B$59-D424,2),2)&lt;=0),C424,ROUND(COB_CA!$B$59-D424,2)),0)</f>
        <v/>
      </c>
      <c r="F424" s="14">
        <f>IF((A424&lt;=COB_CA!$B$58),IF(AND((A424&lt;=COB_CA!$B$58),ROUND(C424-ROUND(COB_CA!$B$59-D424,2),2)&lt;=0),ROUND(D424+E424,2),COB_CA!$B$59),0)</f>
        <v/>
      </c>
      <c r="G424" s="14">
        <f>IF((A424&lt;=COB_CA!$B$58),IF(AND((A424&lt;=COB_CA!$B$58),ROUND(C424-ROUND(COB_CA!$B$59-D424,2),2)&lt;=0),0,ROUND(C424-E424,2)),C424)</f>
        <v/>
      </c>
      <c r="H424" s="6">
        <f>AND(H423,C423&gt;0,(A424&lt;=COB_CA!$B$58))</f>
        <v/>
      </c>
    </row>
    <row r="425">
      <c r="A425" s="6" t="n">
        <v>421</v>
      </c>
      <c r="B425" s="17">
        <f>IF(COB_CA!$B$44=12,DATE(YEAR(COB_CA!$B$22)+INT((MONTH(COB_CA!$B$22)-1+420)/12),MOD(MONTH(COB_CA!$B$22)-1+420,12)+1,1)+(DAY(COB_CA!$B$22)-1),IF(COB_CA!$B$44=24,COB_CA!$B$22+ROUND((420*365.25)/24,0),IF(COB_CA!$B$44=26,COB_CA!$B$22+5880,COB_CA!$B$22+2940)))</f>
        <v/>
      </c>
      <c r="C425" s="14">
        <f>G424</f>
        <v/>
      </c>
      <c r="D425" s="14">
        <f>IF((A425&lt;=COB_CA!$B$58),ROUND(C425*COB_CA!$B$45,2),0)</f>
        <v/>
      </c>
      <c r="E425" s="14">
        <f>IF((A425&lt;=COB_CA!$B$58),IF(AND((A425&lt;=COB_CA!$B$58),ROUND(C425-ROUND(COB_CA!$B$59-D425,2),2)&lt;=0),C425,ROUND(COB_CA!$B$59-D425,2)),0)</f>
        <v/>
      </c>
      <c r="F425" s="14">
        <f>IF((A425&lt;=COB_CA!$B$58),IF(AND((A425&lt;=COB_CA!$B$58),ROUND(C425-ROUND(COB_CA!$B$59-D425,2),2)&lt;=0),ROUND(D425+E425,2),COB_CA!$B$59),0)</f>
        <v/>
      </c>
      <c r="G425" s="14">
        <f>IF((A425&lt;=COB_CA!$B$58),IF(AND((A425&lt;=COB_CA!$B$58),ROUND(C425-ROUND(COB_CA!$B$59-D425,2),2)&lt;=0),0,ROUND(C425-E425,2)),C425)</f>
        <v/>
      </c>
      <c r="H425" s="6">
        <f>AND(H424,C424&gt;0,(A425&lt;=COB_CA!$B$58))</f>
        <v/>
      </c>
    </row>
    <row r="426">
      <c r="A426" s="6" t="n">
        <v>422</v>
      </c>
      <c r="B426" s="17">
        <f>IF(COB_CA!$B$44=12,DATE(YEAR(COB_CA!$B$22)+INT((MONTH(COB_CA!$B$22)-1+421)/12),MOD(MONTH(COB_CA!$B$22)-1+421,12)+1,1)+(DAY(COB_CA!$B$22)-1),IF(COB_CA!$B$44=24,COB_CA!$B$22+ROUND((421*365.25)/24,0),IF(COB_CA!$B$44=26,COB_CA!$B$22+5894,COB_CA!$B$22+2947)))</f>
        <v/>
      </c>
      <c r="C426" s="14">
        <f>G425</f>
        <v/>
      </c>
      <c r="D426" s="14">
        <f>IF((A426&lt;=COB_CA!$B$58),ROUND(C426*COB_CA!$B$45,2),0)</f>
        <v/>
      </c>
      <c r="E426" s="14">
        <f>IF((A426&lt;=COB_CA!$B$58),IF(AND((A426&lt;=COB_CA!$B$58),ROUND(C426-ROUND(COB_CA!$B$59-D426,2),2)&lt;=0),C426,ROUND(COB_CA!$B$59-D426,2)),0)</f>
        <v/>
      </c>
      <c r="F426" s="14">
        <f>IF((A426&lt;=COB_CA!$B$58),IF(AND((A426&lt;=COB_CA!$B$58),ROUND(C426-ROUND(COB_CA!$B$59-D426,2),2)&lt;=0),ROUND(D426+E426,2),COB_CA!$B$59),0)</f>
        <v/>
      </c>
      <c r="G426" s="14">
        <f>IF((A426&lt;=COB_CA!$B$58),IF(AND((A426&lt;=COB_CA!$B$58),ROUND(C426-ROUND(COB_CA!$B$59-D426,2),2)&lt;=0),0,ROUND(C426-E426,2)),C426)</f>
        <v/>
      </c>
      <c r="H426" s="6">
        <f>AND(H425,C425&gt;0,(A426&lt;=COB_CA!$B$58))</f>
        <v/>
      </c>
    </row>
    <row r="427">
      <c r="A427" s="6" t="n">
        <v>423</v>
      </c>
      <c r="B427" s="17">
        <f>IF(COB_CA!$B$44=12,DATE(YEAR(COB_CA!$B$22)+INT((MONTH(COB_CA!$B$22)-1+422)/12),MOD(MONTH(COB_CA!$B$22)-1+422,12)+1,1)+(DAY(COB_CA!$B$22)-1),IF(COB_CA!$B$44=24,COB_CA!$B$22+ROUND((422*365.25)/24,0),IF(COB_CA!$B$44=26,COB_CA!$B$22+5908,COB_CA!$B$22+2954)))</f>
        <v/>
      </c>
      <c r="C427" s="14">
        <f>G426</f>
        <v/>
      </c>
      <c r="D427" s="14">
        <f>IF((A427&lt;=COB_CA!$B$58),ROUND(C427*COB_CA!$B$45,2),0)</f>
        <v/>
      </c>
      <c r="E427" s="14">
        <f>IF((A427&lt;=COB_CA!$B$58),IF(AND((A427&lt;=COB_CA!$B$58),ROUND(C427-ROUND(COB_CA!$B$59-D427,2),2)&lt;=0),C427,ROUND(COB_CA!$B$59-D427,2)),0)</f>
        <v/>
      </c>
      <c r="F427" s="14">
        <f>IF((A427&lt;=COB_CA!$B$58),IF(AND((A427&lt;=COB_CA!$B$58),ROUND(C427-ROUND(COB_CA!$B$59-D427,2),2)&lt;=0),ROUND(D427+E427,2),COB_CA!$B$59),0)</f>
        <v/>
      </c>
      <c r="G427" s="14">
        <f>IF((A427&lt;=COB_CA!$B$58),IF(AND((A427&lt;=COB_CA!$B$58),ROUND(C427-ROUND(COB_CA!$B$59-D427,2),2)&lt;=0),0,ROUND(C427-E427,2)),C427)</f>
        <v/>
      </c>
      <c r="H427" s="6">
        <f>AND(H426,C426&gt;0,(A427&lt;=COB_CA!$B$58))</f>
        <v/>
      </c>
    </row>
    <row r="428">
      <c r="A428" s="6" t="n">
        <v>424</v>
      </c>
      <c r="B428" s="17">
        <f>IF(COB_CA!$B$44=12,DATE(YEAR(COB_CA!$B$22)+INT((MONTH(COB_CA!$B$22)-1+423)/12),MOD(MONTH(COB_CA!$B$22)-1+423,12)+1,1)+(DAY(COB_CA!$B$22)-1),IF(COB_CA!$B$44=24,COB_CA!$B$22+ROUND((423*365.25)/24,0),IF(COB_CA!$B$44=26,COB_CA!$B$22+5922,COB_CA!$B$22+2961)))</f>
        <v/>
      </c>
      <c r="C428" s="14">
        <f>G427</f>
        <v/>
      </c>
      <c r="D428" s="14">
        <f>IF((A428&lt;=COB_CA!$B$58),ROUND(C428*COB_CA!$B$45,2),0)</f>
        <v/>
      </c>
      <c r="E428" s="14">
        <f>IF((A428&lt;=COB_CA!$B$58),IF(AND((A428&lt;=COB_CA!$B$58),ROUND(C428-ROUND(COB_CA!$B$59-D428,2),2)&lt;=0),C428,ROUND(COB_CA!$B$59-D428,2)),0)</f>
        <v/>
      </c>
      <c r="F428" s="14">
        <f>IF((A428&lt;=COB_CA!$B$58),IF(AND((A428&lt;=COB_CA!$B$58),ROUND(C428-ROUND(COB_CA!$B$59-D428,2),2)&lt;=0),ROUND(D428+E428,2),COB_CA!$B$59),0)</f>
        <v/>
      </c>
      <c r="G428" s="14">
        <f>IF((A428&lt;=COB_CA!$B$58),IF(AND((A428&lt;=COB_CA!$B$58),ROUND(C428-ROUND(COB_CA!$B$59-D428,2),2)&lt;=0),0,ROUND(C428-E428,2)),C428)</f>
        <v/>
      </c>
      <c r="H428" s="6">
        <f>AND(H427,C427&gt;0,(A428&lt;=COB_CA!$B$58))</f>
        <v/>
      </c>
    </row>
    <row r="429">
      <c r="A429" s="6" t="n">
        <v>425</v>
      </c>
      <c r="B429" s="17">
        <f>IF(COB_CA!$B$44=12,DATE(YEAR(COB_CA!$B$22)+INT((MONTH(COB_CA!$B$22)-1+424)/12),MOD(MONTH(COB_CA!$B$22)-1+424,12)+1,1)+(DAY(COB_CA!$B$22)-1),IF(COB_CA!$B$44=24,COB_CA!$B$22+ROUND((424*365.25)/24,0),IF(COB_CA!$B$44=26,COB_CA!$B$22+5936,COB_CA!$B$22+2968)))</f>
        <v/>
      </c>
      <c r="C429" s="14">
        <f>G428</f>
        <v/>
      </c>
      <c r="D429" s="14">
        <f>IF((A429&lt;=COB_CA!$B$58),ROUND(C429*COB_CA!$B$45,2),0)</f>
        <v/>
      </c>
      <c r="E429" s="14">
        <f>IF((A429&lt;=COB_CA!$B$58),IF(AND((A429&lt;=COB_CA!$B$58),ROUND(C429-ROUND(COB_CA!$B$59-D429,2),2)&lt;=0),C429,ROUND(COB_CA!$B$59-D429,2)),0)</f>
        <v/>
      </c>
      <c r="F429" s="14">
        <f>IF((A429&lt;=COB_CA!$B$58),IF(AND((A429&lt;=COB_CA!$B$58),ROUND(C429-ROUND(COB_CA!$B$59-D429,2),2)&lt;=0),ROUND(D429+E429,2),COB_CA!$B$59),0)</f>
        <v/>
      </c>
      <c r="G429" s="14">
        <f>IF((A429&lt;=COB_CA!$B$58),IF(AND((A429&lt;=COB_CA!$B$58),ROUND(C429-ROUND(COB_CA!$B$59-D429,2),2)&lt;=0),0,ROUND(C429-E429,2)),C429)</f>
        <v/>
      </c>
      <c r="H429" s="6">
        <f>AND(H428,C428&gt;0,(A429&lt;=COB_CA!$B$58))</f>
        <v/>
      </c>
    </row>
    <row r="430">
      <c r="A430" s="6" t="n">
        <v>426</v>
      </c>
      <c r="B430" s="17">
        <f>IF(COB_CA!$B$44=12,DATE(YEAR(COB_CA!$B$22)+INT((MONTH(COB_CA!$B$22)-1+425)/12),MOD(MONTH(COB_CA!$B$22)-1+425,12)+1,1)+(DAY(COB_CA!$B$22)-1),IF(COB_CA!$B$44=24,COB_CA!$B$22+ROUND((425*365.25)/24,0),IF(COB_CA!$B$44=26,COB_CA!$B$22+5950,COB_CA!$B$22+2975)))</f>
        <v/>
      </c>
      <c r="C430" s="14">
        <f>G429</f>
        <v/>
      </c>
      <c r="D430" s="14">
        <f>IF((A430&lt;=COB_CA!$B$58),ROUND(C430*COB_CA!$B$45,2),0)</f>
        <v/>
      </c>
      <c r="E430" s="14">
        <f>IF((A430&lt;=COB_CA!$B$58),IF(AND((A430&lt;=COB_CA!$B$58),ROUND(C430-ROUND(COB_CA!$B$59-D430,2),2)&lt;=0),C430,ROUND(COB_CA!$B$59-D430,2)),0)</f>
        <v/>
      </c>
      <c r="F430" s="14">
        <f>IF((A430&lt;=COB_CA!$B$58),IF(AND((A430&lt;=COB_CA!$B$58),ROUND(C430-ROUND(COB_CA!$B$59-D430,2),2)&lt;=0),ROUND(D430+E430,2),COB_CA!$B$59),0)</f>
        <v/>
      </c>
      <c r="G430" s="14">
        <f>IF((A430&lt;=COB_CA!$B$58),IF(AND((A430&lt;=COB_CA!$B$58),ROUND(C430-ROUND(COB_CA!$B$59-D430,2),2)&lt;=0),0,ROUND(C430-E430,2)),C430)</f>
        <v/>
      </c>
      <c r="H430" s="6">
        <f>AND(H429,C429&gt;0,(A430&lt;=COB_CA!$B$58))</f>
        <v/>
      </c>
    </row>
    <row r="431">
      <c r="A431" s="6" t="n">
        <v>427</v>
      </c>
      <c r="B431" s="17">
        <f>IF(COB_CA!$B$44=12,DATE(YEAR(COB_CA!$B$22)+INT((MONTH(COB_CA!$B$22)-1+426)/12),MOD(MONTH(COB_CA!$B$22)-1+426,12)+1,1)+(DAY(COB_CA!$B$22)-1),IF(COB_CA!$B$44=24,COB_CA!$B$22+ROUND((426*365.25)/24,0),IF(COB_CA!$B$44=26,COB_CA!$B$22+5964,COB_CA!$B$22+2982)))</f>
        <v/>
      </c>
      <c r="C431" s="14">
        <f>G430</f>
        <v/>
      </c>
      <c r="D431" s="14">
        <f>IF((A431&lt;=COB_CA!$B$58),ROUND(C431*COB_CA!$B$45,2),0)</f>
        <v/>
      </c>
      <c r="E431" s="14">
        <f>IF((A431&lt;=COB_CA!$B$58),IF(AND((A431&lt;=COB_CA!$B$58),ROUND(C431-ROUND(COB_CA!$B$59-D431,2),2)&lt;=0),C431,ROUND(COB_CA!$B$59-D431,2)),0)</f>
        <v/>
      </c>
      <c r="F431" s="14">
        <f>IF((A431&lt;=COB_CA!$B$58),IF(AND((A431&lt;=COB_CA!$B$58),ROUND(C431-ROUND(COB_CA!$B$59-D431,2),2)&lt;=0),ROUND(D431+E431,2),COB_CA!$B$59),0)</f>
        <v/>
      </c>
      <c r="G431" s="14">
        <f>IF((A431&lt;=COB_CA!$B$58),IF(AND((A431&lt;=COB_CA!$B$58),ROUND(C431-ROUND(COB_CA!$B$59-D431,2),2)&lt;=0),0,ROUND(C431-E431,2)),C431)</f>
        <v/>
      </c>
      <c r="H431" s="6">
        <f>AND(H430,C430&gt;0,(A431&lt;=COB_CA!$B$58))</f>
        <v/>
      </c>
    </row>
    <row r="432">
      <c r="A432" s="6" t="n">
        <v>428</v>
      </c>
      <c r="B432" s="17">
        <f>IF(COB_CA!$B$44=12,DATE(YEAR(COB_CA!$B$22)+INT((MONTH(COB_CA!$B$22)-1+427)/12),MOD(MONTH(COB_CA!$B$22)-1+427,12)+1,1)+(DAY(COB_CA!$B$22)-1),IF(COB_CA!$B$44=24,COB_CA!$B$22+ROUND((427*365.25)/24,0),IF(COB_CA!$B$44=26,COB_CA!$B$22+5978,COB_CA!$B$22+2989)))</f>
        <v/>
      </c>
      <c r="C432" s="14">
        <f>G431</f>
        <v/>
      </c>
      <c r="D432" s="14">
        <f>IF((A432&lt;=COB_CA!$B$58),ROUND(C432*COB_CA!$B$45,2),0)</f>
        <v/>
      </c>
      <c r="E432" s="14">
        <f>IF((A432&lt;=COB_CA!$B$58),IF(AND((A432&lt;=COB_CA!$B$58),ROUND(C432-ROUND(COB_CA!$B$59-D432,2),2)&lt;=0),C432,ROUND(COB_CA!$B$59-D432,2)),0)</f>
        <v/>
      </c>
      <c r="F432" s="14">
        <f>IF((A432&lt;=COB_CA!$B$58),IF(AND((A432&lt;=COB_CA!$B$58),ROUND(C432-ROUND(COB_CA!$B$59-D432,2),2)&lt;=0),ROUND(D432+E432,2),COB_CA!$B$59),0)</f>
        <v/>
      </c>
      <c r="G432" s="14">
        <f>IF((A432&lt;=COB_CA!$B$58),IF(AND((A432&lt;=COB_CA!$B$58),ROUND(C432-ROUND(COB_CA!$B$59-D432,2),2)&lt;=0),0,ROUND(C432-E432,2)),C432)</f>
        <v/>
      </c>
      <c r="H432" s="6">
        <f>AND(H431,C431&gt;0,(A432&lt;=COB_CA!$B$58))</f>
        <v/>
      </c>
    </row>
    <row r="433">
      <c r="A433" s="6" t="n">
        <v>429</v>
      </c>
      <c r="B433" s="17">
        <f>IF(COB_CA!$B$44=12,DATE(YEAR(COB_CA!$B$22)+INT((MONTH(COB_CA!$B$22)-1+428)/12),MOD(MONTH(COB_CA!$B$22)-1+428,12)+1,1)+(DAY(COB_CA!$B$22)-1),IF(COB_CA!$B$44=24,COB_CA!$B$22+ROUND((428*365.25)/24,0),IF(COB_CA!$B$44=26,COB_CA!$B$22+5992,COB_CA!$B$22+2996)))</f>
        <v/>
      </c>
      <c r="C433" s="14">
        <f>G432</f>
        <v/>
      </c>
      <c r="D433" s="14">
        <f>IF((A433&lt;=COB_CA!$B$58),ROUND(C433*COB_CA!$B$45,2),0)</f>
        <v/>
      </c>
      <c r="E433" s="14">
        <f>IF((A433&lt;=COB_CA!$B$58),IF(AND((A433&lt;=COB_CA!$B$58),ROUND(C433-ROUND(COB_CA!$B$59-D433,2),2)&lt;=0),C433,ROUND(COB_CA!$B$59-D433,2)),0)</f>
        <v/>
      </c>
      <c r="F433" s="14">
        <f>IF((A433&lt;=COB_CA!$B$58),IF(AND((A433&lt;=COB_CA!$B$58),ROUND(C433-ROUND(COB_CA!$B$59-D433,2),2)&lt;=0),ROUND(D433+E433,2),COB_CA!$B$59),0)</f>
        <v/>
      </c>
      <c r="G433" s="14">
        <f>IF((A433&lt;=COB_CA!$B$58),IF(AND((A433&lt;=COB_CA!$B$58),ROUND(C433-ROUND(COB_CA!$B$59-D433,2),2)&lt;=0),0,ROUND(C433-E433,2)),C433)</f>
        <v/>
      </c>
      <c r="H433" s="6">
        <f>AND(H432,C432&gt;0,(A433&lt;=COB_CA!$B$58))</f>
        <v/>
      </c>
    </row>
    <row r="434">
      <c r="A434" s="6" t="n">
        <v>430</v>
      </c>
      <c r="B434" s="17">
        <f>IF(COB_CA!$B$44=12,DATE(YEAR(COB_CA!$B$22)+INT((MONTH(COB_CA!$B$22)-1+429)/12),MOD(MONTH(COB_CA!$B$22)-1+429,12)+1,1)+(DAY(COB_CA!$B$22)-1),IF(COB_CA!$B$44=24,COB_CA!$B$22+ROUND((429*365.25)/24,0),IF(COB_CA!$B$44=26,COB_CA!$B$22+6006,COB_CA!$B$22+3003)))</f>
        <v/>
      </c>
      <c r="C434" s="14">
        <f>G433</f>
        <v/>
      </c>
      <c r="D434" s="14">
        <f>IF((A434&lt;=COB_CA!$B$58),ROUND(C434*COB_CA!$B$45,2),0)</f>
        <v/>
      </c>
      <c r="E434" s="14">
        <f>IF((A434&lt;=COB_CA!$B$58),IF(AND((A434&lt;=COB_CA!$B$58),ROUND(C434-ROUND(COB_CA!$B$59-D434,2),2)&lt;=0),C434,ROUND(COB_CA!$B$59-D434,2)),0)</f>
        <v/>
      </c>
      <c r="F434" s="14">
        <f>IF((A434&lt;=COB_CA!$B$58),IF(AND((A434&lt;=COB_CA!$B$58),ROUND(C434-ROUND(COB_CA!$B$59-D434,2),2)&lt;=0),ROUND(D434+E434,2),COB_CA!$B$59),0)</f>
        <v/>
      </c>
      <c r="G434" s="14">
        <f>IF((A434&lt;=COB_CA!$B$58),IF(AND((A434&lt;=COB_CA!$B$58),ROUND(C434-ROUND(COB_CA!$B$59-D434,2),2)&lt;=0),0,ROUND(C434-E434,2)),C434)</f>
        <v/>
      </c>
      <c r="H434" s="6">
        <f>AND(H433,C433&gt;0,(A434&lt;=COB_CA!$B$58))</f>
        <v/>
      </c>
    </row>
    <row r="435">
      <c r="A435" s="6" t="n">
        <v>431</v>
      </c>
      <c r="B435" s="17">
        <f>IF(COB_CA!$B$44=12,DATE(YEAR(COB_CA!$B$22)+INT((MONTH(COB_CA!$B$22)-1+430)/12),MOD(MONTH(COB_CA!$B$22)-1+430,12)+1,1)+(DAY(COB_CA!$B$22)-1),IF(COB_CA!$B$44=24,COB_CA!$B$22+ROUND((430*365.25)/24,0),IF(COB_CA!$B$44=26,COB_CA!$B$22+6020,COB_CA!$B$22+3010)))</f>
        <v/>
      </c>
      <c r="C435" s="14">
        <f>G434</f>
        <v/>
      </c>
      <c r="D435" s="14">
        <f>IF((A435&lt;=COB_CA!$B$58),ROUND(C435*COB_CA!$B$45,2),0)</f>
        <v/>
      </c>
      <c r="E435" s="14">
        <f>IF((A435&lt;=COB_CA!$B$58),IF(AND((A435&lt;=COB_CA!$B$58),ROUND(C435-ROUND(COB_CA!$B$59-D435,2),2)&lt;=0),C435,ROUND(COB_CA!$B$59-D435,2)),0)</f>
        <v/>
      </c>
      <c r="F435" s="14">
        <f>IF((A435&lt;=COB_CA!$B$58),IF(AND((A435&lt;=COB_CA!$B$58),ROUND(C435-ROUND(COB_CA!$B$59-D435,2),2)&lt;=0),ROUND(D435+E435,2),COB_CA!$B$59),0)</f>
        <v/>
      </c>
      <c r="G435" s="14">
        <f>IF((A435&lt;=COB_CA!$B$58),IF(AND((A435&lt;=COB_CA!$B$58),ROUND(C435-ROUND(COB_CA!$B$59-D435,2),2)&lt;=0),0,ROUND(C435-E435,2)),C435)</f>
        <v/>
      </c>
      <c r="H435" s="6">
        <f>AND(H434,C434&gt;0,(A435&lt;=COB_CA!$B$58))</f>
        <v/>
      </c>
    </row>
    <row r="436">
      <c r="A436" s="6" t="n">
        <v>432</v>
      </c>
      <c r="B436" s="17">
        <f>IF(COB_CA!$B$44=12,DATE(YEAR(COB_CA!$B$22)+INT((MONTH(COB_CA!$B$22)-1+431)/12),MOD(MONTH(COB_CA!$B$22)-1+431,12)+1,1)+(DAY(COB_CA!$B$22)-1),IF(COB_CA!$B$44=24,COB_CA!$B$22+ROUND((431*365.25)/24,0),IF(COB_CA!$B$44=26,COB_CA!$B$22+6034,COB_CA!$B$22+3017)))</f>
        <v/>
      </c>
      <c r="C436" s="14">
        <f>G435</f>
        <v/>
      </c>
      <c r="D436" s="14">
        <f>IF((A436&lt;=COB_CA!$B$58),ROUND(C436*COB_CA!$B$45,2),0)</f>
        <v/>
      </c>
      <c r="E436" s="14">
        <f>IF((A436&lt;=COB_CA!$B$58),IF(AND((A436&lt;=COB_CA!$B$58),ROUND(C436-ROUND(COB_CA!$B$59-D436,2),2)&lt;=0),C436,ROUND(COB_CA!$B$59-D436,2)),0)</f>
        <v/>
      </c>
      <c r="F436" s="14">
        <f>IF((A436&lt;=COB_CA!$B$58),IF(AND((A436&lt;=COB_CA!$B$58),ROUND(C436-ROUND(COB_CA!$B$59-D436,2),2)&lt;=0),ROUND(D436+E436,2),COB_CA!$B$59),0)</f>
        <v/>
      </c>
      <c r="G436" s="14">
        <f>IF((A436&lt;=COB_CA!$B$58),IF(AND((A436&lt;=COB_CA!$B$58),ROUND(C436-ROUND(COB_CA!$B$59-D436,2),2)&lt;=0),0,ROUND(C436-E436,2)),C436)</f>
        <v/>
      </c>
      <c r="H436" s="6">
        <f>AND(H435,C435&gt;0,(A436&lt;=COB_CA!$B$58))</f>
        <v/>
      </c>
    </row>
    <row r="437">
      <c r="A437" s="6" t="n">
        <v>433</v>
      </c>
      <c r="B437" s="17">
        <f>IF(COB_CA!$B$44=12,DATE(YEAR(COB_CA!$B$22)+INT((MONTH(COB_CA!$B$22)-1+432)/12),MOD(MONTH(COB_CA!$B$22)-1+432,12)+1,1)+(DAY(COB_CA!$B$22)-1),IF(COB_CA!$B$44=24,COB_CA!$B$22+ROUND((432*365.25)/24,0),IF(COB_CA!$B$44=26,COB_CA!$B$22+6048,COB_CA!$B$22+3024)))</f>
        <v/>
      </c>
      <c r="C437" s="14">
        <f>G436</f>
        <v/>
      </c>
      <c r="D437" s="14">
        <f>IF((A437&lt;=COB_CA!$B$58),ROUND(C437*COB_CA!$B$45,2),0)</f>
        <v/>
      </c>
      <c r="E437" s="14">
        <f>IF((A437&lt;=COB_CA!$B$58),IF(AND((A437&lt;=COB_CA!$B$58),ROUND(C437-ROUND(COB_CA!$B$59-D437,2),2)&lt;=0),C437,ROUND(COB_CA!$B$59-D437,2)),0)</f>
        <v/>
      </c>
      <c r="F437" s="14">
        <f>IF((A437&lt;=COB_CA!$B$58),IF(AND((A437&lt;=COB_CA!$B$58),ROUND(C437-ROUND(COB_CA!$B$59-D437,2),2)&lt;=0),ROUND(D437+E437,2),COB_CA!$B$59),0)</f>
        <v/>
      </c>
      <c r="G437" s="14">
        <f>IF((A437&lt;=COB_CA!$B$58),IF(AND((A437&lt;=COB_CA!$B$58),ROUND(C437-ROUND(COB_CA!$B$59-D437,2),2)&lt;=0),0,ROUND(C437-E437,2)),C437)</f>
        <v/>
      </c>
      <c r="H437" s="6">
        <f>AND(H436,C436&gt;0,(A437&lt;=COB_CA!$B$58))</f>
        <v/>
      </c>
    </row>
    <row r="438">
      <c r="A438" s="6" t="n">
        <v>434</v>
      </c>
      <c r="B438" s="17">
        <f>IF(COB_CA!$B$44=12,DATE(YEAR(COB_CA!$B$22)+INT((MONTH(COB_CA!$B$22)-1+433)/12),MOD(MONTH(COB_CA!$B$22)-1+433,12)+1,1)+(DAY(COB_CA!$B$22)-1),IF(COB_CA!$B$44=24,COB_CA!$B$22+ROUND((433*365.25)/24,0),IF(COB_CA!$B$44=26,COB_CA!$B$22+6062,COB_CA!$B$22+3031)))</f>
        <v/>
      </c>
      <c r="C438" s="14">
        <f>G437</f>
        <v/>
      </c>
      <c r="D438" s="14">
        <f>IF((A438&lt;=COB_CA!$B$58),ROUND(C438*COB_CA!$B$45,2),0)</f>
        <v/>
      </c>
      <c r="E438" s="14">
        <f>IF((A438&lt;=COB_CA!$B$58),IF(AND((A438&lt;=COB_CA!$B$58),ROUND(C438-ROUND(COB_CA!$B$59-D438,2),2)&lt;=0),C438,ROUND(COB_CA!$B$59-D438,2)),0)</f>
        <v/>
      </c>
      <c r="F438" s="14">
        <f>IF((A438&lt;=COB_CA!$B$58),IF(AND((A438&lt;=COB_CA!$B$58),ROUND(C438-ROUND(COB_CA!$B$59-D438,2),2)&lt;=0),ROUND(D438+E438,2),COB_CA!$B$59),0)</f>
        <v/>
      </c>
      <c r="G438" s="14">
        <f>IF((A438&lt;=COB_CA!$B$58),IF(AND((A438&lt;=COB_CA!$B$58),ROUND(C438-ROUND(COB_CA!$B$59-D438,2),2)&lt;=0),0,ROUND(C438-E438,2)),C438)</f>
        <v/>
      </c>
      <c r="H438" s="6">
        <f>AND(H437,C437&gt;0,(A438&lt;=COB_CA!$B$58))</f>
        <v/>
      </c>
    </row>
    <row r="439">
      <c r="A439" s="6" t="n">
        <v>435</v>
      </c>
      <c r="B439" s="17">
        <f>IF(COB_CA!$B$44=12,DATE(YEAR(COB_CA!$B$22)+INT((MONTH(COB_CA!$B$22)-1+434)/12),MOD(MONTH(COB_CA!$B$22)-1+434,12)+1,1)+(DAY(COB_CA!$B$22)-1),IF(COB_CA!$B$44=24,COB_CA!$B$22+ROUND((434*365.25)/24,0),IF(COB_CA!$B$44=26,COB_CA!$B$22+6076,COB_CA!$B$22+3038)))</f>
        <v/>
      </c>
      <c r="C439" s="14">
        <f>G438</f>
        <v/>
      </c>
      <c r="D439" s="14">
        <f>IF((A439&lt;=COB_CA!$B$58),ROUND(C439*COB_CA!$B$45,2),0)</f>
        <v/>
      </c>
      <c r="E439" s="14">
        <f>IF((A439&lt;=COB_CA!$B$58),IF(AND((A439&lt;=COB_CA!$B$58),ROUND(C439-ROUND(COB_CA!$B$59-D439,2),2)&lt;=0),C439,ROUND(COB_CA!$B$59-D439,2)),0)</f>
        <v/>
      </c>
      <c r="F439" s="14">
        <f>IF((A439&lt;=COB_CA!$B$58),IF(AND((A439&lt;=COB_CA!$B$58),ROUND(C439-ROUND(COB_CA!$B$59-D439,2),2)&lt;=0),ROUND(D439+E439,2),COB_CA!$B$59),0)</f>
        <v/>
      </c>
      <c r="G439" s="14">
        <f>IF((A439&lt;=COB_CA!$B$58),IF(AND((A439&lt;=COB_CA!$B$58),ROUND(C439-ROUND(COB_CA!$B$59-D439,2),2)&lt;=0),0,ROUND(C439-E439,2)),C439)</f>
        <v/>
      </c>
      <c r="H439" s="6">
        <f>AND(H438,C438&gt;0,(A439&lt;=COB_CA!$B$58))</f>
        <v/>
      </c>
    </row>
    <row r="440">
      <c r="A440" s="6" t="n">
        <v>436</v>
      </c>
      <c r="B440" s="17">
        <f>IF(COB_CA!$B$44=12,DATE(YEAR(COB_CA!$B$22)+INT((MONTH(COB_CA!$B$22)-1+435)/12),MOD(MONTH(COB_CA!$B$22)-1+435,12)+1,1)+(DAY(COB_CA!$B$22)-1),IF(COB_CA!$B$44=24,COB_CA!$B$22+ROUND((435*365.25)/24,0),IF(COB_CA!$B$44=26,COB_CA!$B$22+6090,COB_CA!$B$22+3045)))</f>
        <v/>
      </c>
      <c r="C440" s="14">
        <f>G439</f>
        <v/>
      </c>
      <c r="D440" s="14">
        <f>IF((A440&lt;=COB_CA!$B$58),ROUND(C440*COB_CA!$B$45,2),0)</f>
        <v/>
      </c>
      <c r="E440" s="14">
        <f>IF((A440&lt;=COB_CA!$B$58),IF(AND((A440&lt;=COB_CA!$B$58),ROUND(C440-ROUND(COB_CA!$B$59-D440,2),2)&lt;=0),C440,ROUND(COB_CA!$B$59-D440,2)),0)</f>
        <v/>
      </c>
      <c r="F440" s="14">
        <f>IF((A440&lt;=COB_CA!$B$58),IF(AND((A440&lt;=COB_CA!$B$58),ROUND(C440-ROUND(COB_CA!$B$59-D440,2),2)&lt;=0),ROUND(D440+E440,2),COB_CA!$B$59),0)</f>
        <v/>
      </c>
      <c r="G440" s="14">
        <f>IF((A440&lt;=COB_CA!$B$58),IF(AND((A440&lt;=COB_CA!$B$58),ROUND(C440-ROUND(COB_CA!$B$59-D440,2),2)&lt;=0),0,ROUND(C440-E440,2)),C440)</f>
        <v/>
      </c>
      <c r="H440" s="6">
        <f>AND(H439,C439&gt;0,(A440&lt;=COB_CA!$B$58))</f>
        <v/>
      </c>
    </row>
    <row r="441">
      <c r="A441" s="6" t="n">
        <v>437</v>
      </c>
      <c r="B441" s="17">
        <f>IF(COB_CA!$B$44=12,DATE(YEAR(COB_CA!$B$22)+INT((MONTH(COB_CA!$B$22)-1+436)/12),MOD(MONTH(COB_CA!$B$22)-1+436,12)+1,1)+(DAY(COB_CA!$B$22)-1),IF(COB_CA!$B$44=24,COB_CA!$B$22+ROUND((436*365.25)/24,0),IF(COB_CA!$B$44=26,COB_CA!$B$22+6104,COB_CA!$B$22+3052)))</f>
        <v/>
      </c>
      <c r="C441" s="14">
        <f>G440</f>
        <v/>
      </c>
      <c r="D441" s="14">
        <f>IF((A441&lt;=COB_CA!$B$58),ROUND(C441*COB_CA!$B$45,2),0)</f>
        <v/>
      </c>
      <c r="E441" s="14">
        <f>IF((A441&lt;=COB_CA!$B$58),IF(AND((A441&lt;=COB_CA!$B$58),ROUND(C441-ROUND(COB_CA!$B$59-D441,2),2)&lt;=0),C441,ROUND(COB_CA!$B$59-D441,2)),0)</f>
        <v/>
      </c>
      <c r="F441" s="14">
        <f>IF((A441&lt;=COB_CA!$B$58),IF(AND((A441&lt;=COB_CA!$B$58),ROUND(C441-ROUND(COB_CA!$B$59-D441,2),2)&lt;=0),ROUND(D441+E441,2),COB_CA!$B$59),0)</f>
        <v/>
      </c>
      <c r="G441" s="14">
        <f>IF((A441&lt;=COB_CA!$B$58),IF(AND((A441&lt;=COB_CA!$B$58),ROUND(C441-ROUND(COB_CA!$B$59-D441,2),2)&lt;=0),0,ROUND(C441-E441,2)),C441)</f>
        <v/>
      </c>
      <c r="H441" s="6">
        <f>AND(H440,C440&gt;0,(A441&lt;=COB_CA!$B$58))</f>
        <v/>
      </c>
    </row>
    <row r="442">
      <c r="A442" s="6" t="n">
        <v>438</v>
      </c>
      <c r="B442" s="17">
        <f>IF(COB_CA!$B$44=12,DATE(YEAR(COB_CA!$B$22)+INT((MONTH(COB_CA!$B$22)-1+437)/12),MOD(MONTH(COB_CA!$B$22)-1+437,12)+1,1)+(DAY(COB_CA!$B$22)-1),IF(COB_CA!$B$44=24,COB_CA!$B$22+ROUND((437*365.25)/24,0),IF(COB_CA!$B$44=26,COB_CA!$B$22+6118,COB_CA!$B$22+3059)))</f>
        <v/>
      </c>
      <c r="C442" s="14">
        <f>G441</f>
        <v/>
      </c>
      <c r="D442" s="14">
        <f>IF((A442&lt;=COB_CA!$B$58),ROUND(C442*COB_CA!$B$45,2),0)</f>
        <v/>
      </c>
      <c r="E442" s="14">
        <f>IF((A442&lt;=COB_CA!$B$58),IF(AND((A442&lt;=COB_CA!$B$58),ROUND(C442-ROUND(COB_CA!$B$59-D442,2),2)&lt;=0),C442,ROUND(COB_CA!$B$59-D442,2)),0)</f>
        <v/>
      </c>
      <c r="F442" s="14">
        <f>IF((A442&lt;=COB_CA!$B$58),IF(AND((A442&lt;=COB_CA!$B$58),ROUND(C442-ROUND(COB_CA!$B$59-D442,2),2)&lt;=0),ROUND(D442+E442,2),COB_CA!$B$59),0)</f>
        <v/>
      </c>
      <c r="G442" s="14">
        <f>IF((A442&lt;=COB_CA!$B$58),IF(AND((A442&lt;=COB_CA!$B$58),ROUND(C442-ROUND(COB_CA!$B$59-D442,2),2)&lt;=0),0,ROUND(C442-E442,2)),C442)</f>
        <v/>
      </c>
      <c r="H442" s="6">
        <f>AND(H441,C441&gt;0,(A442&lt;=COB_CA!$B$58))</f>
        <v/>
      </c>
    </row>
    <row r="443">
      <c r="A443" s="6" t="n">
        <v>439</v>
      </c>
      <c r="B443" s="17">
        <f>IF(COB_CA!$B$44=12,DATE(YEAR(COB_CA!$B$22)+INT((MONTH(COB_CA!$B$22)-1+438)/12),MOD(MONTH(COB_CA!$B$22)-1+438,12)+1,1)+(DAY(COB_CA!$B$22)-1),IF(COB_CA!$B$44=24,COB_CA!$B$22+ROUND((438*365.25)/24,0),IF(COB_CA!$B$44=26,COB_CA!$B$22+6132,COB_CA!$B$22+3066)))</f>
        <v/>
      </c>
      <c r="C443" s="14">
        <f>G442</f>
        <v/>
      </c>
      <c r="D443" s="14">
        <f>IF((A443&lt;=COB_CA!$B$58),ROUND(C443*COB_CA!$B$45,2),0)</f>
        <v/>
      </c>
      <c r="E443" s="14">
        <f>IF((A443&lt;=COB_CA!$B$58),IF(AND((A443&lt;=COB_CA!$B$58),ROUND(C443-ROUND(COB_CA!$B$59-D443,2),2)&lt;=0),C443,ROUND(COB_CA!$B$59-D443,2)),0)</f>
        <v/>
      </c>
      <c r="F443" s="14">
        <f>IF((A443&lt;=COB_CA!$B$58),IF(AND((A443&lt;=COB_CA!$B$58),ROUND(C443-ROUND(COB_CA!$B$59-D443,2),2)&lt;=0),ROUND(D443+E443,2),COB_CA!$B$59),0)</f>
        <v/>
      </c>
      <c r="G443" s="14">
        <f>IF((A443&lt;=COB_CA!$B$58),IF(AND((A443&lt;=COB_CA!$B$58),ROUND(C443-ROUND(COB_CA!$B$59-D443,2),2)&lt;=0),0,ROUND(C443-E443,2)),C443)</f>
        <v/>
      </c>
      <c r="H443" s="6">
        <f>AND(H442,C442&gt;0,(A443&lt;=COB_CA!$B$58))</f>
        <v/>
      </c>
    </row>
    <row r="444">
      <c r="A444" s="6" t="n">
        <v>440</v>
      </c>
      <c r="B444" s="17">
        <f>IF(COB_CA!$B$44=12,DATE(YEAR(COB_CA!$B$22)+INT((MONTH(COB_CA!$B$22)-1+439)/12),MOD(MONTH(COB_CA!$B$22)-1+439,12)+1,1)+(DAY(COB_CA!$B$22)-1),IF(COB_CA!$B$44=24,COB_CA!$B$22+ROUND((439*365.25)/24,0),IF(COB_CA!$B$44=26,COB_CA!$B$22+6146,COB_CA!$B$22+3073)))</f>
        <v/>
      </c>
      <c r="C444" s="14">
        <f>G443</f>
        <v/>
      </c>
      <c r="D444" s="14">
        <f>IF((A444&lt;=COB_CA!$B$58),ROUND(C444*COB_CA!$B$45,2),0)</f>
        <v/>
      </c>
      <c r="E444" s="14">
        <f>IF((A444&lt;=COB_CA!$B$58),IF(AND((A444&lt;=COB_CA!$B$58),ROUND(C444-ROUND(COB_CA!$B$59-D444,2),2)&lt;=0),C444,ROUND(COB_CA!$B$59-D444,2)),0)</f>
        <v/>
      </c>
      <c r="F444" s="14">
        <f>IF((A444&lt;=COB_CA!$B$58),IF(AND((A444&lt;=COB_CA!$B$58),ROUND(C444-ROUND(COB_CA!$B$59-D444,2),2)&lt;=0),ROUND(D444+E444,2),COB_CA!$B$59),0)</f>
        <v/>
      </c>
      <c r="G444" s="14">
        <f>IF((A444&lt;=COB_CA!$B$58),IF(AND((A444&lt;=COB_CA!$B$58),ROUND(C444-ROUND(COB_CA!$B$59-D444,2),2)&lt;=0),0,ROUND(C444-E444,2)),C444)</f>
        <v/>
      </c>
      <c r="H444" s="6">
        <f>AND(H443,C443&gt;0,(A444&lt;=COB_CA!$B$58))</f>
        <v/>
      </c>
    </row>
    <row r="445">
      <c r="A445" s="6" t="n">
        <v>441</v>
      </c>
      <c r="B445" s="17">
        <f>IF(COB_CA!$B$44=12,DATE(YEAR(COB_CA!$B$22)+INT((MONTH(COB_CA!$B$22)-1+440)/12),MOD(MONTH(COB_CA!$B$22)-1+440,12)+1,1)+(DAY(COB_CA!$B$22)-1),IF(COB_CA!$B$44=24,COB_CA!$B$22+ROUND((440*365.25)/24,0),IF(COB_CA!$B$44=26,COB_CA!$B$22+6160,COB_CA!$B$22+3080)))</f>
        <v/>
      </c>
      <c r="C445" s="14">
        <f>G444</f>
        <v/>
      </c>
      <c r="D445" s="14">
        <f>IF((A445&lt;=COB_CA!$B$58),ROUND(C445*COB_CA!$B$45,2),0)</f>
        <v/>
      </c>
      <c r="E445" s="14">
        <f>IF((A445&lt;=COB_CA!$B$58),IF(AND((A445&lt;=COB_CA!$B$58),ROUND(C445-ROUND(COB_CA!$B$59-D445,2),2)&lt;=0),C445,ROUND(COB_CA!$B$59-D445,2)),0)</f>
        <v/>
      </c>
      <c r="F445" s="14">
        <f>IF((A445&lt;=COB_CA!$B$58),IF(AND((A445&lt;=COB_CA!$B$58),ROUND(C445-ROUND(COB_CA!$B$59-D445,2),2)&lt;=0),ROUND(D445+E445,2),COB_CA!$B$59),0)</f>
        <v/>
      </c>
      <c r="G445" s="14">
        <f>IF((A445&lt;=COB_CA!$B$58),IF(AND((A445&lt;=COB_CA!$B$58),ROUND(C445-ROUND(COB_CA!$B$59-D445,2),2)&lt;=0),0,ROUND(C445-E445,2)),C445)</f>
        <v/>
      </c>
      <c r="H445" s="6">
        <f>AND(H444,C444&gt;0,(A445&lt;=COB_CA!$B$58))</f>
        <v/>
      </c>
    </row>
    <row r="446">
      <c r="A446" s="6" t="n">
        <v>442</v>
      </c>
      <c r="B446" s="17">
        <f>IF(COB_CA!$B$44=12,DATE(YEAR(COB_CA!$B$22)+INT((MONTH(COB_CA!$B$22)-1+441)/12),MOD(MONTH(COB_CA!$B$22)-1+441,12)+1,1)+(DAY(COB_CA!$B$22)-1),IF(COB_CA!$B$44=24,COB_CA!$B$22+ROUND((441*365.25)/24,0),IF(COB_CA!$B$44=26,COB_CA!$B$22+6174,COB_CA!$B$22+3087)))</f>
        <v/>
      </c>
      <c r="C446" s="14">
        <f>G445</f>
        <v/>
      </c>
      <c r="D446" s="14">
        <f>IF((A446&lt;=COB_CA!$B$58),ROUND(C446*COB_CA!$B$45,2),0)</f>
        <v/>
      </c>
      <c r="E446" s="14">
        <f>IF((A446&lt;=COB_CA!$B$58),IF(AND((A446&lt;=COB_CA!$B$58),ROUND(C446-ROUND(COB_CA!$B$59-D446,2),2)&lt;=0),C446,ROUND(COB_CA!$B$59-D446,2)),0)</f>
        <v/>
      </c>
      <c r="F446" s="14">
        <f>IF((A446&lt;=COB_CA!$B$58),IF(AND((A446&lt;=COB_CA!$B$58),ROUND(C446-ROUND(COB_CA!$B$59-D446,2),2)&lt;=0),ROUND(D446+E446,2),COB_CA!$B$59),0)</f>
        <v/>
      </c>
      <c r="G446" s="14">
        <f>IF((A446&lt;=COB_CA!$B$58),IF(AND((A446&lt;=COB_CA!$B$58),ROUND(C446-ROUND(COB_CA!$B$59-D446,2),2)&lt;=0),0,ROUND(C446-E446,2)),C446)</f>
        <v/>
      </c>
      <c r="H446" s="6">
        <f>AND(H445,C445&gt;0,(A446&lt;=COB_CA!$B$58))</f>
        <v/>
      </c>
    </row>
    <row r="447">
      <c r="A447" s="6" t="n">
        <v>443</v>
      </c>
      <c r="B447" s="17">
        <f>IF(COB_CA!$B$44=12,DATE(YEAR(COB_CA!$B$22)+INT((MONTH(COB_CA!$B$22)-1+442)/12),MOD(MONTH(COB_CA!$B$22)-1+442,12)+1,1)+(DAY(COB_CA!$B$22)-1),IF(COB_CA!$B$44=24,COB_CA!$B$22+ROUND((442*365.25)/24,0),IF(COB_CA!$B$44=26,COB_CA!$B$22+6188,COB_CA!$B$22+3094)))</f>
        <v/>
      </c>
      <c r="C447" s="14">
        <f>G446</f>
        <v/>
      </c>
      <c r="D447" s="14">
        <f>IF((A447&lt;=COB_CA!$B$58),ROUND(C447*COB_CA!$B$45,2),0)</f>
        <v/>
      </c>
      <c r="E447" s="14">
        <f>IF((A447&lt;=COB_CA!$B$58),IF(AND((A447&lt;=COB_CA!$B$58),ROUND(C447-ROUND(COB_CA!$B$59-D447,2),2)&lt;=0),C447,ROUND(COB_CA!$B$59-D447,2)),0)</f>
        <v/>
      </c>
      <c r="F447" s="14">
        <f>IF((A447&lt;=COB_CA!$B$58),IF(AND((A447&lt;=COB_CA!$B$58),ROUND(C447-ROUND(COB_CA!$B$59-D447,2),2)&lt;=0),ROUND(D447+E447,2),COB_CA!$B$59),0)</f>
        <v/>
      </c>
      <c r="G447" s="14">
        <f>IF((A447&lt;=COB_CA!$B$58),IF(AND((A447&lt;=COB_CA!$B$58),ROUND(C447-ROUND(COB_CA!$B$59-D447,2),2)&lt;=0),0,ROUND(C447-E447,2)),C447)</f>
        <v/>
      </c>
      <c r="H447" s="6">
        <f>AND(H446,C446&gt;0,(A447&lt;=COB_CA!$B$58))</f>
        <v/>
      </c>
    </row>
    <row r="448">
      <c r="A448" s="6" t="n">
        <v>444</v>
      </c>
      <c r="B448" s="17">
        <f>IF(COB_CA!$B$44=12,DATE(YEAR(COB_CA!$B$22)+INT((MONTH(COB_CA!$B$22)-1+443)/12),MOD(MONTH(COB_CA!$B$22)-1+443,12)+1,1)+(DAY(COB_CA!$B$22)-1),IF(COB_CA!$B$44=24,COB_CA!$B$22+ROUND((443*365.25)/24,0),IF(COB_CA!$B$44=26,COB_CA!$B$22+6202,COB_CA!$B$22+3101)))</f>
        <v/>
      </c>
      <c r="C448" s="14">
        <f>G447</f>
        <v/>
      </c>
      <c r="D448" s="14">
        <f>IF((A448&lt;=COB_CA!$B$58),ROUND(C448*COB_CA!$B$45,2),0)</f>
        <v/>
      </c>
      <c r="E448" s="14">
        <f>IF((A448&lt;=COB_CA!$B$58),IF(AND((A448&lt;=COB_CA!$B$58),ROUND(C448-ROUND(COB_CA!$B$59-D448,2),2)&lt;=0),C448,ROUND(COB_CA!$B$59-D448,2)),0)</f>
        <v/>
      </c>
      <c r="F448" s="14">
        <f>IF((A448&lt;=COB_CA!$B$58),IF(AND((A448&lt;=COB_CA!$B$58),ROUND(C448-ROUND(COB_CA!$B$59-D448,2),2)&lt;=0),ROUND(D448+E448,2),COB_CA!$B$59),0)</f>
        <v/>
      </c>
      <c r="G448" s="14">
        <f>IF((A448&lt;=COB_CA!$B$58),IF(AND((A448&lt;=COB_CA!$B$58),ROUND(C448-ROUND(COB_CA!$B$59-D448,2),2)&lt;=0),0,ROUND(C448-E448,2)),C448)</f>
        <v/>
      </c>
      <c r="H448" s="6">
        <f>AND(H447,C447&gt;0,(A448&lt;=COB_CA!$B$58))</f>
        <v/>
      </c>
    </row>
    <row r="449">
      <c r="A449" s="6" t="n">
        <v>445</v>
      </c>
      <c r="B449" s="17">
        <f>IF(COB_CA!$B$44=12,DATE(YEAR(COB_CA!$B$22)+INT((MONTH(COB_CA!$B$22)-1+444)/12),MOD(MONTH(COB_CA!$B$22)-1+444,12)+1,1)+(DAY(COB_CA!$B$22)-1),IF(COB_CA!$B$44=24,COB_CA!$B$22+ROUND((444*365.25)/24,0),IF(COB_CA!$B$44=26,COB_CA!$B$22+6216,COB_CA!$B$22+3108)))</f>
        <v/>
      </c>
      <c r="C449" s="14">
        <f>G448</f>
        <v/>
      </c>
      <c r="D449" s="14">
        <f>IF((A449&lt;=COB_CA!$B$58),ROUND(C449*COB_CA!$B$45,2),0)</f>
        <v/>
      </c>
      <c r="E449" s="14">
        <f>IF((A449&lt;=COB_CA!$B$58),IF(AND((A449&lt;=COB_CA!$B$58),ROUND(C449-ROUND(COB_CA!$B$59-D449,2),2)&lt;=0),C449,ROUND(COB_CA!$B$59-D449,2)),0)</f>
        <v/>
      </c>
      <c r="F449" s="14">
        <f>IF((A449&lt;=COB_CA!$B$58),IF(AND((A449&lt;=COB_CA!$B$58),ROUND(C449-ROUND(COB_CA!$B$59-D449,2),2)&lt;=0),ROUND(D449+E449,2),COB_CA!$B$59),0)</f>
        <v/>
      </c>
      <c r="G449" s="14">
        <f>IF((A449&lt;=COB_CA!$B$58),IF(AND((A449&lt;=COB_CA!$B$58),ROUND(C449-ROUND(COB_CA!$B$59-D449,2),2)&lt;=0),0,ROUND(C449-E449,2)),C449)</f>
        <v/>
      </c>
      <c r="H449" s="6">
        <f>AND(H448,C448&gt;0,(A449&lt;=COB_CA!$B$58))</f>
        <v/>
      </c>
    </row>
    <row r="450">
      <c r="A450" s="6" t="n">
        <v>446</v>
      </c>
      <c r="B450" s="17">
        <f>IF(COB_CA!$B$44=12,DATE(YEAR(COB_CA!$B$22)+INT((MONTH(COB_CA!$B$22)-1+445)/12),MOD(MONTH(COB_CA!$B$22)-1+445,12)+1,1)+(DAY(COB_CA!$B$22)-1),IF(COB_CA!$B$44=24,COB_CA!$B$22+ROUND((445*365.25)/24,0),IF(COB_CA!$B$44=26,COB_CA!$B$22+6230,COB_CA!$B$22+3115)))</f>
        <v/>
      </c>
      <c r="C450" s="14">
        <f>G449</f>
        <v/>
      </c>
      <c r="D450" s="14">
        <f>IF((A450&lt;=COB_CA!$B$58),ROUND(C450*COB_CA!$B$45,2),0)</f>
        <v/>
      </c>
      <c r="E450" s="14">
        <f>IF((A450&lt;=COB_CA!$B$58),IF(AND((A450&lt;=COB_CA!$B$58),ROUND(C450-ROUND(COB_CA!$B$59-D450,2),2)&lt;=0),C450,ROUND(COB_CA!$B$59-D450,2)),0)</f>
        <v/>
      </c>
      <c r="F450" s="14">
        <f>IF((A450&lt;=COB_CA!$B$58),IF(AND((A450&lt;=COB_CA!$B$58),ROUND(C450-ROUND(COB_CA!$B$59-D450,2),2)&lt;=0),ROUND(D450+E450,2),COB_CA!$B$59),0)</f>
        <v/>
      </c>
      <c r="G450" s="14">
        <f>IF((A450&lt;=COB_CA!$B$58),IF(AND((A450&lt;=COB_CA!$B$58),ROUND(C450-ROUND(COB_CA!$B$59-D450,2),2)&lt;=0),0,ROUND(C450-E450,2)),C450)</f>
        <v/>
      </c>
      <c r="H450" s="6">
        <f>AND(H449,C449&gt;0,(A450&lt;=COB_CA!$B$58))</f>
        <v/>
      </c>
    </row>
    <row r="451">
      <c r="A451" s="6" t="n">
        <v>447</v>
      </c>
      <c r="B451" s="17">
        <f>IF(COB_CA!$B$44=12,DATE(YEAR(COB_CA!$B$22)+INT((MONTH(COB_CA!$B$22)-1+446)/12),MOD(MONTH(COB_CA!$B$22)-1+446,12)+1,1)+(DAY(COB_CA!$B$22)-1),IF(COB_CA!$B$44=24,COB_CA!$B$22+ROUND((446*365.25)/24,0),IF(COB_CA!$B$44=26,COB_CA!$B$22+6244,COB_CA!$B$22+3122)))</f>
        <v/>
      </c>
      <c r="C451" s="14">
        <f>G450</f>
        <v/>
      </c>
      <c r="D451" s="14">
        <f>IF((A451&lt;=COB_CA!$B$58),ROUND(C451*COB_CA!$B$45,2),0)</f>
        <v/>
      </c>
      <c r="E451" s="14">
        <f>IF((A451&lt;=COB_CA!$B$58),IF(AND((A451&lt;=COB_CA!$B$58),ROUND(C451-ROUND(COB_CA!$B$59-D451,2),2)&lt;=0),C451,ROUND(COB_CA!$B$59-D451,2)),0)</f>
        <v/>
      </c>
      <c r="F451" s="14">
        <f>IF((A451&lt;=COB_CA!$B$58),IF(AND((A451&lt;=COB_CA!$B$58),ROUND(C451-ROUND(COB_CA!$B$59-D451,2),2)&lt;=0),ROUND(D451+E451,2),COB_CA!$B$59),0)</f>
        <v/>
      </c>
      <c r="G451" s="14">
        <f>IF((A451&lt;=COB_CA!$B$58),IF(AND((A451&lt;=COB_CA!$B$58),ROUND(C451-ROUND(COB_CA!$B$59-D451,2),2)&lt;=0),0,ROUND(C451-E451,2)),C451)</f>
        <v/>
      </c>
      <c r="H451" s="6">
        <f>AND(H450,C450&gt;0,(A451&lt;=COB_CA!$B$58))</f>
        <v/>
      </c>
    </row>
    <row r="452">
      <c r="A452" s="6" t="n">
        <v>448</v>
      </c>
      <c r="B452" s="17">
        <f>IF(COB_CA!$B$44=12,DATE(YEAR(COB_CA!$B$22)+INT((MONTH(COB_CA!$B$22)-1+447)/12),MOD(MONTH(COB_CA!$B$22)-1+447,12)+1,1)+(DAY(COB_CA!$B$22)-1),IF(COB_CA!$B$44=24,COB_CA!$B$22+ROUND((447*365.25)/24,0),IF(COB_CA!$B$44=26,COB_CA!$B$22+6258,COB_CA!$B$22+3129)))</f>
        <v/>
      </c>
      <c r="C452" s="14">
        <f>G451</f>
        <v/>
      </c>
      <c r="D452" s="14">
        <f>IF((A452&lt;=COB_CA!$B$58),ROUND(C452*COB_CA!$B$45,2),0)</f>
        <v/>
      </c>
      <c r="E452" s="14">
        <f>IF((A452&lt;=COB_CA!$B$58),IF(AND((A452&lt;=COB_CA!$B$58),ROUND(C452-ROUND(COB_CA!$B$59-D452,2),2)&lt;=0),C452,ROUND(COB_CA!$B$59-D452,2)),0)</f>
        <v/>
      </c>
      <c r="F452" s="14">
        <f>IF((A452&lt;=COB_CA!$B$58),IF(AND((A452&lt;=COB_CA!$B$58),ROUND(C452-ROUND(COB_CA!$B$59-D452,2),2)&lt;=0),ROUND(D452+E452,2),COB_CA!$B$59),0)</f>
        <v/>
      </c>
      <c r="G452" s="14">
        <f>IF((A452&lt;=COB_CA!$B$58),IF(AND((A452&lt;=COB_CA!$B$58),ROUND(C452-ROUND(COB_CA!$B$59-D452,2),2)&lt;=0),0,ROUND(C452-E452,2)),C452)</f>
        <v/>
      </c>
      <c r="H452" s="6">
        <f>AND(H451,C451&gt;0,(A452&lt;=COB_CA!$B$58))</f>
        <v/>
      </c>
    </row>
    <row r="453">
      <c r="A453" s="6" t="n">
        <v>449</v>
      </c>
      <c r="B453" s="17">
        <f>IF(COB_CA!$B$44=12,DATE(YEAR(COB_CA!$B$22)+INT((MONTH(COB_CA!$B$22)-1+448)/12),MOD(MONTH(COB_CA!$B$22)-1+448,12)+1,1)+(DAY(COB_CA!$B$22)-1),IF(COB_CA!$B$44=24,COB_CA!$B$22+ROUND((448*365.25)/24,0),IF(COB_CA!$B$44=26,COB_CA!$B$22+6272,COB_CA!$B$22+3136)))</f>
        <v/>
      </c>
      <c r="C453" s="14">
        <f>G452</f>
        <v/>
      </c>
      <c r="D453" s="14">
        <f>IF((A453&lt;=COB_CA!$B$58),ROUND(C453*COB_CA!$B$45,2),0)</f>
        <v/>
      </c>
      <c r="E453" s="14">
        <f>IF((A453&lt;=COB_CA!$B$58),IF(AND((A453&lt;=COB_CA!$B$58),ROUND(C453-ROUND(COB_CA!$B$59-D453,2),2)&lt;=0),C453,ROUND(COB_CA!$B$59-D453,2)),0)</f>
        <v/>
      </c>
      <c r="F453" s="14">
        <f>IF((A453&lt;=COB_CA!$B$58),IF(AND((A453&lt;=COB_CA!$B$58),ROUND(C453-ROUND(COB_CA!$B$59-D453,2),2)&lt;=0),ROUND(D453+E453,2),COB_CA!$B$59),0)</f>
        <v/>
      </c>
      <c r="G453" s="14">
        <f>IF((A453&lt;=COB_CA!$B$58),IF(AND((A453&lt;=COB_CA!$B$58),ROUND(C453-ROUND(COB_CA!$B$59-D453,2),2)&lt;=0),0,ROUND(C453-E453,2)),C453)</f>
        <v/>
      </c>
      <c r="H453" s="6">
        <f>AND(H452,C452&gt;0,(A453&lt;=COB_CA!$B$58))</f>
        <v/>
      </c>
    </row>
    <row r="454">
      <c r="A454" s="6" t="n">
        <v>450</v>
      </c>
      <c r="B454" s="17">
        <f>IF(COB_CA!$B$44=12,DATE(YEAR(COB_CA!$B$22)+INT((MONTH(COB_CA!$B$22)-1+449)/12),MOD(MONTH(COB_CA!$B$22)-1+449,12)+1,1)+(DAY(COB_CA!$B$22)-1),IF(COB_CA!$B$44=24,COB_CA!$B$22+ROUND((449*365.25)/24,0),IF(COB_CA!$B$44=26,COB_CA!$B$22+6286,COB_CA!$B$22+3143)))</f>
        <v/>
      </c>
      <c r="C454" s="14">
        <f>G453</f>
        <v/>
      </c>
      <c r="D454" s="14">
        <f>IF((A454&lt;=COB_CA!$B$58),ROUND(C454*COB_CA!$B$45,2),0)</f>
        <v/>
      </c>
      <c r="E454" s="14">
        <f>IF((A454&lt;=COB_CA!$B$58),IF(AND((A454&lt;=COB_CA!$B$58),ROUND(C454-ROUND(COB_CA!$B$59-D454,2),2)&lt;=0),C454,ROUND(COB_CA!$B$59-D454,2)),0)</f>
        <v/>
      </c>
      <c r="F454" s="14">
        <f>IF((A454&lt;=COB_CA!$B$58),IF(AND((A454&lt;=COB_CA!$B$58),ROUND(C454-ROUND(COB_CA!$B$59-D454,2),2)&lt;=0),ROUND(D454+E454,2),COB_CA!$B$59),0)</f>
        <v/>
      </c>
      <c r="G454" s="14">
        <f>IF((A454&lt;=COB_CA!$B$58),IF(AND((A454&lt;=COB_CA!$B$58),ROUND(C454-ROUND(COB_CA!$B$59-D454,2),2)&lt;=0),0,ROUND(C454-E454,2)),C454)</f>
        <v/>
      </c>
      <c r="H454" s="6">
        <f>AND(H453,C453&gt;0,(A454&lt;=COB_CA!$B$58))</f>
        <v/>
      </c>
    </row>
    <row r="455">
      <c r="A455" s="6" t="n">
        <v>451</v>
      </c>
      <c r="B455" s="17">
        <f>IF(COB_CA!$B$44=12,DATE(YEAR(COB_CA!$B$22)+INT((MONTH(COB_CA!$B$22)-1+450)/12),MOD(MONTH(COB_CA!$B$22)-1+450,12)+1,1)+(DAY(COB_CA!$B$22)-1),IF(COB_CA!$B$44=24,COB_CA!$B$22+ROUND((450*365.25)/24,0),IF(COB_CA!$B$44=26,COB_CA!$B$22+6300,COB_CA!$B$22+3150)))</f>
        <v/>
      </c>
      <c r="C455" s="14">
        <f>G454</f>
        <v/>
      </c>
      <c r="D455" s="14">
        <f>IF((A455&lt;=COB_CA!$B$58),ROUND(C455*COB_CA!$B$45,2),0)</f>
        <v/>
      </c>
      <c r="E455" s="14">
        <f>IF((A455&lt;=COB_CA!$B$58),IF(AND((A455&lt;=COB_CA!$B$58),ROUND(C455-ROUND(COB_CA!$B$59-D455,2),2)&lt;=0),C455,ROUND(COB_CA!$B$59-D455,2)),0)</f>
        <v/>
      </c>
      <c r="F455" s="14">
        <f>IF((A455&lt;=COB_CA!$B$58),IF(AND((A455&lt;=COB_CA!$B$58),ROUND(C455-ROUND(COB_CA!$B$59-D455,2),2)&lt;=0),ROUND(D455+E455,2),COB_CA!$B$59),0)</f>
        <v/>
      </c>
      <c r="G455" s="14">
        <f>IF((A455&lt;=COB_CA!$B$58),IF(AND((A455&lt;=COB_CA!$B$58),ROUND(C455-ROUND(COB_CA!$B$59-D455,2),2)&lt;=0),0,ROUND(C455-E455,2)),C455)</f>
        <v/>
      </c>
      <c r="H455" s="6">
        <f>AND(H454,C454&gt;0,(A455&lt;=COB_CA!$B$58))</f>
        <v/>
      </c>
    </row>
    <row r="456">
      <c r="A456" s="6" t="n">
        <v>452</v>
      </c>
      <c r="B456" s="17">
        <f>IF(COB_CA!$B$44=12,DATE(YEAR(COB_CA!$B$22)+INT((MONTH(COB_CA!$B$22)-1+451)/12),MOD(MONTH(COB_CA!$B$22)-1+451,12)+1,1)+(DAY(COB_CA!$B$22)-1),IF(COB_CA!$B$44=24,COB_CA!$B$22+ROUND((451*365.25)/24,0),IF(COB_CA!$B$44=26,COB_CA!$B$22+6314,COB_CA!$B$22+3157)))</f>
        <v/>
      </c>
      <c r="C456" s="14">
        <f>G455</f>
        <v/>
      </c>
      <c r="D456" s="14">
        <f>IF((A456&lt;=COB_CA!$B$58),ROUND(C456*COB_CA!$B$45,2),0)</f>
        <v/>
      </c>
      <c r="E456" s="14">
        <f>IF((A456&lt;=COB_CA!$B$58),IF(AND((A456&lt;=COB_CA!$B$58),ROUND(C456-ROUND(COB_CA!$B$59-D456,2),2)&lt;=0),C456,ROUND(COB_CA!$B$59-D456,2)),0)</f>
        <v/>
      </c>
      <c r="F456" s="14">
        <f>IF((A456&lt;=COB_CA!$B$58),IF(AND((A456&lt;=COB_CA!$B$58),ROUND(C456-ROUND(COB_CA!$B$59-D456,2),2)&lt;=0),ROUND(D456+E456,2),COB_CA!$B$59),0)</f>
        <v/>
      </c>
      <c r="G456" s="14">
        <f>IF((A456&lt;=COB_CA!$B$58),IF(AND((A456&lt;=COB_CA!$B$58),ROUND(C456-ROUND(COB_CA!$B$59-D456,2),2)&lt;=0),0,ROUND(C456-E456,2)),C456)</f>
        <v/>
      </c>
      <c r="H456" s="6">
        <f>AND(H455,C455&gt;0,(A456&lt;=COB_CA!$B$58))</f>
        <v/>
      </c>
    </row>
    <row r="457">
      <c r="A457" s="6" t="n">
        <v>453</v>
      </c>
      <c r="B457" s="17">
        <f>IF(COB_CA!$B$44=12,DATE(YEAR(COB_CA!$B$22)+INT((MONTH(COB_CA!$B$22)-1+452)/12),MOD(MONTH(COB_CA!$B$22)-1+452,12)+1,1)+(DAY(COB_CA!$B$22)-1),IF(COB_CA!$B$44=24,COB_CA!$B$22+ROUND((452*365.25)/24,0),IF(COB_CA!$B$44=26,COB_CA!$B$22+6328,COB_CA!$B$22+3164)))</f>
        <v/>
      </c>
      <c r="C457" s="14">
        <f>G456</f>
        <v/>
      </c>
      <c r="D457" s="14">
        <f>IF((A457&lt;=COB_CA!$B$58),ROUND(C457*COB_CA!$B$45,2),0)</f>
        <v/>
      </c>
      <c r="E457" s="14">
        <f>IF((A457&lt;=COB_CA!$B$58),IF(AND((A457&lt;=COB_CA!$B$58),ROUND(C457-ROUND(COB_CA!$B$59-D457,2),2)&lt;=0),C457,ROUND(COB_CA!$B$59-D457,2)),0)</f>
        <v/>
      </c>
      <c r="F457" s="14">
        <f>IF((A457&lt;=COB_CA!$B$58),IF(AND((A457&lt;=COB_CA!$B$58),ROUND(C457-ROUND(COB_CA!$B$59-D457,2),2)&lt;=0),ROUND(D457+E457,2),COB_CA!$B$59),0)</f>
        <v/>
      </c>
      <c r="G457" s="14">
        <f>IF((A457&lt;=COB_CA!$B$58),IF(AND((A457&lt;=COB_CA!$B$58),ROUND(C457-ROUND(COB_CA!$B$59-D457,2),2)&lt;=0),0,ROUND(C457-E457,2)),C457)</f>
        <v/>
      </c>
      <c r="H457" s="6">
        <f>AND(H456,C456&gt;0,(A457&lt;=COB_CA!$B$58))</f>
        <v/>
      </c>
    </row>
    <row r="458">
      <c r="A458" s="6" t="n">
        <v>454</v>
      </c>
      <c r="B458" s="17">
        <f>IF(COB_CA!$B$44=12,DATE(YEAR(COB_CA!$B$22)+INT((MONTH(COB_CA!$B$22)-1+453)/12),MOD(MONTH(COB_CA!$B$22)-1+453,12)+1,1)+(DAY(COB_CA!$B$22)-1),IF(COB_CA!$B$44=24,COB_CA!$B$22+ROUND((453*365.25)/24,0),IF(COB_CA!$B$44=26,COB_CA!$B$22+6342,COB_CA!$B$22+3171)))</f>
        <v/>
      </c>
      <c r="C458" s="14">
        <f>G457</f>
        <v/>
      </c>
      <c r="D458" s="14">
        <f>IF((A458&lt;=COB_CA!$B$58),ROUND(C458*COB_CA!$B$45,2),0)</f>
        <v/>
      </c>
      <c r="E458" s="14">
        <f>IF((A458&lt;=COB_CA!$B$58),IF(AND((A458&lt;=COB_CA!$B$58),ROUND(C458-ROUND(COB_CA!$B$59-D458,2),2)&lt;=0),C458,ROUND(COB_CA!$B$59-D458,2)),0)</f>
        <v/>
      </c>
      <c r="F458" s="14">
        <f>IF((A458&lt;=COB_CA!$B$58),IF(AND((A458&lt;=COB_CA!$B$58),ROUND(C458-ROUND(COB_CA!$B$59-D458,2),2)&lt;=0),ROUND(D458+E458,2),COB_CA!$B$59),0)</f>
        <v/>
      </c>
      <c r="G458" s="14">
        <f>IF((A458&lt;=COB_CA!$B$58),IF(AND((A458&lt;=COB_CA!$B$58),ROUND(C458-ROUND(COB_CA!$B$59-D458,2),2)&lt;=0),0,ROUND(C458-E458,2)),C458)</f>
        <v/>
      </c>
      <c r="H458" s="6">
        <f>AND(H457,C457&gt;0,(A458&lt;=COB_CA!$B$58))</f>
        <v/>
      </c>
    </row>
    <row r="459">
      <c r="A459" s="6" t="n">
        <v>455</v>
      </c>
      <c r="B459" s="17">
        <f>IF(COB_CA!$B$44=12,DATE(YEAR(COB_CA!$B$22)+INT((MONTH(COB_CA!$B$22)-1+454)/12),MOD(MONTH(COB_CA!$B$22)-1+454,12)+1,1)+(DAY(COB_CA!$B$22)-1),IF(COB_CA!$B$44=24,COB_CA!$B$22+ROUND((454*365.25)/24,0),IF(COB_CA!$B$44=26,COB_CA!$B$22+6356,COB_CA!$B$22+3178)))</f>
        <v/>
      </c>
      <c r="C459" s="14">
        <f>G458</f>
        <v/>
      </c>
      <c r="D459" s="14">
        <f>IF((A459&lt;=COB_CA!$B$58),ROUND(C459*COB_CA!$B$45,2),0)</f>
        <v/>
      </c>
      <c r="E459" s="14">
        <f>IF((A459&lt;=COB_CA!$B$58),IF(AND((A459&lt;=COB_CA!$B$58),ROUND(C459-ROUND(COB_CA!$B$59-D459,2),2)&lt;=0),C459,ROUND(COB_CA!$B$59-D459,2)),0)</f>
        <v/>
      </c>
      <c r="F459" s="14">
        <f>IF((A459&lt;=COB_CA!$B$58),IF(AND((A459&lt;=COB_CA!$B$58),ROUND(C459-ROUND(COB_CA!$B$59-D459,2),2)&lt;=0),ROUND(D459+E459,2),COB_CA!$B$59),0)</f>
        <v/>
      </c>
      <c r="G459" s="14">
        <f>IF((A459&lt;=COB_CA!$B$58),IF(AND((A459&lt;=COB_CA!$B$58),ROUND(C459-ROUND(COB_CA!$B$59-D459,2),2)&lt;=0),0,ROUND(C459-E459,2)),C459)</f>
        <v/>
      </c>
      <c r="H459" s="6">
        <f>AND(H458,C458&gt;0,(A459&lt;=COB_CA!$B$58))</f>
        <v/>
      </c>
    </row>
    <row r="460">
      <c r="A460" s="6" t="n">
        <v>456</v>
      </c>
      <c r="B460" s="17">
        <f>IF(COB_CA!$B$44=12,DATE(YEAR(COB_CA!$B$22)+INT((MONTH(COB_CA!$B$22)-1+455)/12),MOD(MONTH(COB_CA!$B$22)-1+455,12)+1,1)+(DAY(COB_CA!$B$22)-1),IF(COB_CA!$B$44=24,COB_CA!$B$22+ROUND((455*365.25)/24,0),IF(COB_CA!$B$44=26,COB_CA!$B$22+6370,COB_CA!$B$22+3185)))</f>
        <v/>
      </c>
      <c r="C460" s="14">
        <f>G459</f>
        <v/>
      </c>
      <c r="D460" s="14">
        <f>IF((A460&lt;=COB_CA!$B$58),ROUND(C460*COB_CA!$B$45,2),0)</f>
        <v/>
      </c>
      <c r="E460" s="14">
        <f>IF((A460&lt;=COB_CA!$B$58),IF(AND((A460&lt;=COB_CA!$B$58),ROUND(C460-ROUND(COB_CA!$B$59-D460,2),2)&lt;=0),C460,ROUND(COB_CA!$B$59-D460,2)),0)</f>
        <v/>
      </c>
      <c r="F460" s="14">
        <f>IF((A460&lt;=COB_CA!$B$58),IF(AND((A460&lt;=COB_CA!$B$58),ROUND(C460-ROUND(COB_CA!$B$59-D460,2),2)&lt;=0),ROUND(D460+E460,2),COB_CA!$B$59),0)</f>
        <v/>
      </c>
      <c r="G460" s="14">
        <f>IF((A460&lt;=COB_CA!$B$58),IF(AND((A460&lt;=COB_CA!$B$58),ROUND(C460-ROUND(COB_CA!$B$59-D460,2),2)&lt;=0),0,ROUND(C460-E460,2)),C460)</f>
        <v/>
      </c>
      <c r="H460" s="6">
        <f>AND(H459,C459&gt;0,(A460&lt;=COB_CA!$B$58))</f>
        <v/>
      </c>
    </row>
    <row r="461">
      <c r="A461" s="6" t="n">
        <v>457</v>
      </c>
      <c r="B461" s="17">
        <f>IF(COB_CA!$B$44=12,DATE(YEAR(COB_CA!$B$22)+INT((MONTH(COB_CA!$B$22)-1+456)/12),MOD(MONTH(COB_CA!$B$22)-1+456,12)+1,1)+(DAY(COB_CA!$B$22)-1),IF(COB_CA!$B$44=24,COB_CA!$B$22+ROUND((456*365.25)/24,0),IF(COB_CA!$B$44=26,COB_CA!$B$22+6384,COB_CA!$B$22+3192)))</f>
        <v/>
      </c>
      <c r="C461" s="14">
        <f>G460</f>
        <v/>
      </c>
      <c r="D461" s="14">
        <f>IF((A461&lt;=COB_CA!$B$58),ROUND(C461*COB_CA!$B$45,2),0)</f>
        <v/>
      </c>
      <c r="E461" s="14">
        <f>IF((A461&lt;=COB_CA!$B$58),IF(AND((A461&lt;=COB_CA!$B$58),ROUND(C461-ROUND(COB_CA!$B$59-D461,2),2)&lt;=0),C461,ROUND(COB_CA!$B$59-D461,2)),0)</f>
        <v/>
      </c>
      <c r="F461" s="14">
        <f>IF((A461&lt;=COB_CA!$B$58),IF(AND((A461&lt;=COB_CA!$B$58),ROUND(C461-ROUND(COB_CA!$B$59-D461,2),2)&lt;=0),ROUND(D461+E461,2),COB_CA!$B$59),0)</f>
        <v/>
      </c>
      <c r="G461" s="14">
        <f>IF((A461&lt;=COB_CA!$B$58),IF(AND((A461&lt;=COB_CA!$B$58),ROUND(C461-ROUND(COB_CA!$B$59-D461,2),2)&lt;=0),0,ROUND(C461-E461,2)),C461)</f>
        <v/>
      </c>
      <c r="H461" s="6">
        <f>AND(H460,C460&gt;0,(A461&lt;=COB_CA!$B$58))</f>
        <v/>
      </c>
    </row>
    <row r="462">
      <c r="A462" s="6" t="n">
        <v>458</v>
      </c>
      <c r="B462" s="17">
        <f>IF(COB_CA!$B$44=12,DATE(YEAR(COB_CA!$B$22)+INT((MONTH(COB_CA!$B$22)-1+457)/12),MOD(MONTH(COB_CA!$B$22)-1+457,12)+1,1)+(DAY(COB_CA!$B$22)-1),IF(COB_CA!$B$44=24,COB_CA!$B$22+ROUND((457*365.25)/24,0),IF(COB_CA!$B$44=26,COB_CA!$B$22+6398,COB_CA!$B$22+3199)))</f>
        <v/>
      </c>
      <c r="C462" s="14">
        <f>G461</f>
        <v/>
      </c>
      <c r="D462" s="14">
        <f>IF((A462&lt;=COB_CA!$B$58),ROUND(C462*COB_CA!$B$45,2),0)</f>
        <v/>
      </c>
      <c r="E462" s="14">
        <f>IF((A462&lt;=COB_CA!$B$58),IF(AND((A462&lt;=COB_CA!$B$58),ROUND(C462-ROUND(COB_CA!$B$59-D462,2),2)&lt;=0),C462,ROUND(COB_CA!$B$59-D462,2)),0)</f>
        <v/>
      </c>
      <c r="F462" s="14">
        <f>IF((A462&lt;=COB_CA!$B$58),IF(AND((A462&lt;=COB_CA!$B$58),ROUND(C462-ROUND(COB_CA!$B$59-D462,2),2)&lt;=0),ROUND(D462+E462,2),COB_CA!$B$59),0)</f>
        <v/>
      </c>
      <c r="G462" s="14">
        <f>IF((A462&lt;=COB_CA!$B$58),IF(AND((A462&lt;=COB_CA!$B$58),ROUND(C462-ROUND(COB_CA!$B$59-D462,2),2)&lt;=0),0,ROUND(C462-E462,2)),C462)</f>
        <v/>
      </c>
      <c r="H462" s="6">
        <f>AND(H461,C461&gt;0,(A462&lt;=COB_CA!$B$58))</f>
        <v/>
      </c>
    </row>
    <row r="463">
      <c r="A463" s="6" t="n">
        <v>459</v>
      </c>
      <c r="B463" s="17">
        <f>IF(COB_CA!$B$44=12,DATE(YEAR(COB_CA!$B$22)+INT((MONTH(COB_CA!$B$22)-1+458)/12),MOD(MONTH(COB_CA!$B$22)-1+458,12)+1,1)+(DAY(COB_CA!$B$22)-1),IF(COB_CA!$B$44=24,COB_CA!$B$22+ROUND((458*365.25)/24,0),IF(COB_CA!$B$44=26,COB_CA!$B$22+6412,COB_CA!$B$22+3206)))</f>
        <v/>
      </c>
      <c r="C463" s="14">
        <f>G462</f>
        <v/>
      </c>
      <c r="D463" s="14">
        <f>IF((A463&lt;=COB_CA!$B$58),ROUND(C463*COB_CA!$B$45,2),0)</f>
        <v/>
      </c>
      <c r="E463" s="14">
        <f>IF((A463&lt;=COB_CA!$B$58),IF(AND((A463&lt;=COB_CA!$B$58),ROUND(C463-ROUND(COB_CA!$B$59-D463,2),2)&lt;=0),C463,ROUND(COB_CA!$B$59-D463,2)),0)</f>
        <v/>
      </c>
      <c r="F463" s="14">
        <f>IF((A463&lt;=COB_CA!$B$58),IF(AND((A463&lt;=COB_CA!$B$58),ROUND(C463-ROUND(COB_CA!$B$59-D463,2),2)&lt;=0),ROUND(D463+E463,2),COB_CA!$B$59),0)</f>
        <v/>
      </c>
      <c r="G463" s="14">
        <f>IF((A463&lt;=COB_CA!$B$58),IF(AND((A463&lt;=COB_CA!$B$58),ROUND(C463-ROUND(COB_CA!$B$59-D463,2),2)&lt;=0),0,ROUND(C463-E463,2)),C463)</f>
        <v/>
      </c>
      <c r="H463" s="6">
        <f>AND(H462,C462&gt;0,(A463&lt;=COB_CA!$B$58))</f>
        <v/>
      </c>
    </row>
    <row r="464">
      <c r="A464" s="6" t="n">
        <v>460</v>
      </c>
      <c r="B464" s="17">
        <f>IF(COB_CA!$B$44=12,DATE(YEAR(COB_CA!$B$22)+INT((MONTH(COB_CA!$B$22)-1+459)/12),MOD(MONTH(COB_CA!$B$22)-1+459,12)+1,1)+(DAY(COB_CA!$B$22)-1),IF(COB_CA!$B$44=24,COB_CA!$B$22+ROUND((459*365.25)/24,0),IF(COB_CA!$B$44=26,COB_CA!$B$22+6426,COB_CA!$B$22+3213)))</f>
        <v/>
      </c>
      <c r="C464" s="14">
        <f>G463</f>
        <v/>
      </c>
      <c r="D464" s="14">
        <f>IF((A464&lt;=COB_CA!$B$58),ROUND(C464*COB_CA!$B$45,2),0)</f>
        <v/>
      </c>
      <c r="E464" s="14">
        <f>IF((A464&lt;=COB_CA!$B$58),IF(AND((A464&lt;=COB_CA!$B$58),ROUND(C464-ROUND(COB_CA!$B$59-D464,2),2)&lt;=0),C464,ROUND(COB_CA!$B$59-D464,2)),0)</f>
        <v/>
      </c>
      <c r="F464" s="14">
        <f>IF((A464&lt;=COB_CA!$B$58),IF(AND((A464&lt;=COB_CA!$B$58),ROUND(C464-ROUND(COB_CA!$B$59-D464,2),2)&lt;=0),ROUND(D464+E464,2),COB_CA!$B$59),0)</f>
        <v/>
      </c>
      <c r="G464" s="14">
        <f>IF((A464&lt;=COB_CA!$B$58),IF(AND((A464&lt;=COB_CA!$B$58),ROUND(C464-ROUND(COB_CA!$B$59-D464,2),2)&lt;=0),0,ROUND(C464-E464,2)),C464)</f>
        <v/>
      </c>
      <c r="H464" s="6">
        <f>AND(H463,C463&gt;0,(A464&lt;=COB_CA!$B$58))</f>
        <v/>
      </c>
    </row>
    <row r="465">
      <c r="A465" s="6" t="n">
        <v>461</v>
      </c>
      <c r="B465" s="17">
        <f>IF(COB_CA!$B$44=12,DATE(YEAR(COB_CA!$B$22)+INT((MONTH(COB_CA!$B$22)-1+460)/12),MOD(MONTH(COB_CA!$B$22)-1+460,12)+1,1)+(DAY(COB_CA!$B$22)-1),IF(COB_CA!$B$44=24,COB_CA!$B$22+ROUND((460*365.25)/24,0),IF(COB_CA!$B$44=26,COB_CA!$B$22+6440,COB_CA!$B$22+3220)))</f>
        <v/>
      </c>
      <c r="C465" s="14">
        <f>G464</f>
        <v/>
      </c>
      <c r="D465" s="14">
        <f>IF((A465&lt;=COB_CA!$B$58),ROUND(C465*COB_CA!$B$45,2),0)</f>
        <v/>
      </c>
      <c r="E465" s="14">
        <f>IF((A465&lt;=COB_CA!$B$58),IF(AND((A465&lt;=COB_CA!$B$58),ROUND(C465-ROUND(COB_CA!$B$59-D465,2),2)&lt;=0),C465,ROUND(COB_CA!$B$59-D465,2)),0)</f>
        <v/>
      </c>
      <c r="F465" s="14">
        <f>IF((A465&lt;=COB_CA!$B$58),IF(AND((A465&lt;=COB_CA!$B$58),ROUND(C465-ROUND(COB_CA!$B$59-D465,2),2)&lt;=0),ROUND(D465+E465,2),COB_CA!$B$59),0)</f>
        <v/>
      </c>
      <c r="G465" s="14">
        <f>IF((A465&lt;=COB_CA!$B$58),IF(AND((A465&lt;=COB_CA!$B$58),ROUND(C465-ROUND(COB_CA!$B$59-D465,2),2)&lt;=0),0,ROUND(C465-E465,2)),C465)</f>
        <v/>
      </c>
      <c r="H465" s="6">
        <f>AND(H464,C464&gt;0,(A465&lt;=COB_CA!$B$58))</f>
        <v/>
      </c>
    </row>
    <row r="466">
      <c r="A466" s="6" t="n">
        <v>462</v>
      </c>
      <c r="B466" s="17">
        <f>IF(COB_CA!$B$44=12,DATE(YEAR(COB_CA!$B$22)+INT((MONTH(COB_CA!$B$22)-1+461)/12),MOD(MONTH(COB_CA!$B$22)-1+461,12)+1,1)+(DAY(COB_CA!$B$22)-1),IF(COB_CA!$B$44=24,COB_CA!$B$22+ROUND((461*365.25)/24,0),IF(COB_CA!$B$44=26,COB_CA!$B$22+6454,COB_CA!$B$22+3227)))</f>
        <v/>
      </c>
      <c r="C466" s="14">
        <f>G465</f>
        <v/>
      </c>
      <c r="D466" s="14">
        <f>IF((A466&lt;=COB_CA!$B$58),ROUND(C466*COB_CA!$B$45,2),0)</f>
        <v/>
      </c>
      <c r="E466" s="14">
        <f>IF((A466&lt;=COB_CA!$B$58),IF(AND((A466&lt;=COB_CA!$B$58),ROUND(C466-ROUND(COB_CA!$B$59-D466,2),2)&lt;=0),C466,ROUND(COB_CA!$B$59-D466,2)),0)</f>
        <v/>
      </c>
      <c r="F466" s="14">
        <f>IF((A466&lt;=COB_CA!$B$58),IF(AND((A466&lt;=COB_CA!$B$58),ROUND(C466-ROUND(COB_CA!$B$59-D466,2),2)&lt;=0),ROUND(D466+E466,2),COB_CA!$B$59),0)</f>
        <v/>
      </c>
      <c r="G466" s="14">
        <f>IF((A466&lt;=COB_CA!$B$58),IF(AND((A466&lt;=COB_CA!$B$58),ROUND(C466-ROUND(COB_CA!$B$59-D466,2),2)&lt;=0),0,ROUND(C466-E466,2)),C466)</f>
        <v/>
      </c>
      <c r="H466" s="6">
        <f>AND(H465,C465&gt;0,(A466&lt;=COB_CA!$B$58))</f>
        <v/>
      </c>
    </row>
    <row r="467">
      <c r="A467" s="6" t="n">
        <v>463</v>
      </c>
      <c r="B467" s="17">
        <f>IF(COB_CA!$B$44=12,DATE(YEAR(COB_CA!$B$22)+INT((MONTH(COB_CA!$B$22)-1+462)/12),MOD(MONTH(COB_CA!$B$22)-1+462,12)+1,1)+(DAY(COB_CA!$B$22)-1),IF(COB_CA!$B$44=24,COB_CA!$B$22+ROUND((462*365.25)/24,0),IF(COB_CA!$B$44=26,COB_CA!$B$22+6468,COB_CA!$B$22+3234)))</f>
        <v/>
      </c>
      <c r="C467" s="14">
        <f>G466</f>
        <v/>
      </c>
      <c r="D467" s="14">
        <f>IF((A467&lt;=COB_CA!$B$58),ROUND(C467*COB_CA!$B$45,2),0)</f>
        <v/>
      </c>
      <c r="E467" s="14">
        <f>IF((A467&lt;=COB_CA!$B$58),IF(AND((A467&lt;=COB_CA!$B$58),ROUND(C467-ROUND(COB_CA!$B$59-D467,2),2)&lt;=0),C467,ROUND(COB_CA!$B$59-D467,2)),0)</f>
        <v/>
      </c>
      <c r="F467" s="14">
        <f>IF((A467&lt;=COB_CA!$B$58),IF(AND((A467&lt;=COB_CA!$B$58),ROUND(C467-ROUND(COB_CA!$B$59-D467,2),2)&lt;=0),ROUND(D467+E467,2),COB_CA!$B$59),0)</f>
        <v/>
      </c>
      <c r="G467" s="14">
        <f>IF((A467&lt;=COB_CA!$B$58),IF(AND((A467&lt;=COB_CA!$B$58),ROUND(C467-ROUND(COB_CA!$B$59-D467,2),2)&lt;=0),0,ROUND(C467-E467,2)),C467)</f>
        <v/>
      </c>
      <c r="H467" s="6">
        <f>AND(H466,C466&gt;0,(A467&lt;=COB_CA!$B$58))</f>
        <v/>
      </c>
    </row>
    <row r="468">
      <c r="A468" s="6" t="n">
        <v>464</v>
      </c>
      <c r="B468" s="17">
        <f>IF(COB_CA!$B$44=12,DATE(YEAR(COB_CA!$B$22)+INT((MONTH(COB_CA!$B$22)-1+463)/12),MOD(MONTH(COB_CA!$B$22)-1+463,12)+1,1)+(DAY(COB_CA!$B$22)-1),IF(COB_CA!$B$44=24,COB_CA!$B$22+ROUND((463*365.25)/24,0),IF(COB_CA!$B$44=26,COB_CA!$B$22+6482,COB_CA!$B$22+3241)))</f>
        <v/>
      </c>
      <c r="C468" s="14">
        <f>G467</f>
        <v/>
      </c>
      <c r="D468" s="14">
        <f>IF((A468&lt;=COB_CA!$B$58),ROUND(C468*COB_CA!$B$45,2),0)</f>
        <v/>
      </c>
      <c r="E468" s="14">
        <f>IF((A468&lt;=COB_CA!$B$58),IF(AND((A468&lt;=COB_CA!$B$58),ROUND(C468-ROUND(COB_CA!$B$59-D468,2),2)&lt;=0),C468,ROUND(COB_CA!$B$59-D468,2)),0)</f>
        <v/>
      </c>
      <c r="F468" s="14">
        <f>IF((A468&lt;=COB_CA!$B$58),IF(AND((A468&lt;=COB_CA!$B$58),ROUND(C468-ROUND(COB_CA!$B$59-D468,2),2)&lt;=0),ROUND(D468+E468,2),COB_CA!$B$59),0)</f>
        <v/>
      </c>
      <c r="G468" s="14">
        <f>IF((A468&lt;=COB_CA!$B$58),IF(AND((A468&lt;=COB_CA!$B$58),ROUND(C468-ROUND(COB_CA!$B$59-D468,2),2)&lt;=0),0,ROUND(C468-E468,2)),C468)</f>
        <v/>
      </c>
      <c r="H468" s="6">
        <f>AND(H467,C467&gt;0,(A468&lt;=COB_CA!$B$58))</f>
        <v/>
      </c>
    </row>
    <row r="469">
      <c r="A469" s="6" t="n">
        <v>465</v>
      </c>
      <c r="B469" s="17">
        <f>IF(COB_CA!$B$44=12,DATE(YEAR(COB_CA!$B$22)+INT((MONTH(COB_CA!$B$22)-1+464)/12),MOD(MONTH(COB_CA!$B$22)-1+464,12)+1,1)+(DAY(COB_CA!$B$22)-1),IF(COB_CA!$B$44=24,COB_CA!$B$22+ROUND((464*365.25)/24,0),IF(COB_CA!$B$44=26,COB_CA!$B$22+6496,COB_CA!$B$22+3248)))</f>
        <v/>
      </c>
      <c r="C469" s="14">
        <f>G468</f>
        <v/>
      </c>
      <c r="D469" s="14">
        <f>IF((A469&lt;=COB_CA!$B$58),ROUND(C469*COB_CA!$B$45,2),0)</f>
        <v/>
      </c>
      <c r="E469" s="14">
        <f>IF((A469&lt;=COB_CA!$B$58),IF(AND((A469&lt;=COB_CA!$B$58),ROUND(C469-ROUND(COB_CA!$B$59-D469,2),2)&lt;=0),C469,ROUND(COB_CA!$B$59-D469,2)),0)</f>
        <v/>
      </c>
      <c r="F469" s="14">
        <f>IF((A469&lt;=COB_CA!$B$58),IF(AND((A469&lt;=COB_CA!$B$58),ROUND(C469-ROUND(COB_CA!$B$59-D469,2),2)&lt;=0),ROUND(D469+E469,2),COB_CA!$B$59),0)</f>
        <v/>
      </c>
      <c r="G469" s="14">
        <f>IF((A469&lt;=COB_CA!$B$58),IF(AND((A469&lt;=COB_CA!$B$58),ROUND(C469-ROUND(COB_CA!$B$59-D469,2),2)&lt;=0),0,ROUND(C469-E469,2)),C469)</f>
        <v/>
      </c>
      <c r="H469" s="6">
        <f>AND(H468,C468&gt;0,(A469&lt;=COB_CA!$B$58))</f>
        <v/>
      </c>
    </row>
    <row r="470">
      <c r="A470" s="6" t="n">
        <v>466</v>
      </c>
      <c r="B470" s="17">
        <f>IF(COB_CA!$B$44=12,DATE(YEAR(COB_CA!$B$22)+INT((MONTH(COB_CA!$B$22)-1+465)/12),MOD(MONTH(COB_CA!$B$22)-1+465,12)+1,1)+(DAY(COB_CA!$B$22)-1),IF(COB_CA!$B$44=24,COB_CA!$B$22+ROUND((465*365.25)/24,0),IF(COB_CA!$B$44=26,COB_CA!$B$22+6510,COB_CA!$B$22+3255)))</f>
        <v/>
      </c>
      <c r="C470" s="14">
        <f>G469</f>
        <v/>
      </c>
      <c r="D470" s="14">
        <f>IF((A470&lt;=COB_CA!$B$58),ROUND(C470*COB_CA!$B$45,2),0)</f>
        <v/>
      </c>
      <c r="E470" s="14">
        <f>IF((A470&lt;=COB_CA!$B$58),IF(AND((A470&lt;=COB_CA!$B$58),ROUND(C470-ROUND(COB_CA!$B$59-D470,2),2)&lt;=0),C470,ROUND(COB_CA!$B$59-D470,2)),0)</f>
        <v/>
      </c>
      <c r="F470" s="14">
        <f>IF((A470&lt;=COB_CA!$B$58),IF(AND((A470&lt;=COB_CA!$B$58),ROUND(C470-ROUND(COB_CA!$B$59-D470,2),2)&lt;=0),ROUND(D470+E470,2),COB_CA!$B$59),0)</f>
        <v/>
      </c>
      <c r="G470" s="14">
        <f>IF((A470&lt;=COB_CA!$B$58),IF(AND((A470&lt;=COB_CA!$B$58),ROUND(C470-ROUND(COB_CA!$B$59-D470,2),2)&lt;=0),0,ROUND(C470-E470,2)),C470)</f>
        <v/>
      </c>
      <c r="H470" s="6">
        <f>AND(H469,C469&gt;0,(A470&lt;=COB_CA!$B$58))</f>
        <v/>
      </c>
    </row>
    <row r="471">
      <c r="A471" s="6" t="n">
        <v>467</v>
      </c>
      <c r="B471" s="17">
        <f>IF(COB_CA!$B$44=12,DATE(YEAR(COB_CA!$B$22)+INT((MONTH(COB_CA!$B$22)-1+466)/12),MOD(MONTH(COB_CA!$B$22)-1+466,12)+1,1)+(DAY(COB_CA!$B$22)-1),IF(COB_CA!$B$44=24,COB_CA!$B$22+ROUND((466*365.25)/24,0),IF(COB_CA!$B$44=26,COB_CA!$B$22+6524,COB_CA!$B$22+3262)))</f>
        <v/>
      </c>
      <c r="C471" s="14">
        <f>G470</f>
        <v/>
      </c>
      <c r="D471" s="14">
        <f>IF((A471&lt;=COB_CA!$B$58),ROUND(C471*COB_CA!$B$45,2),0)</f>
        <v/>
      </c>
      <c r="E471" s="14">
        <f>IF((A471&lt;=COB_CA!$B$58),IF(AND((A471&lt;=COB_CA!$B$58),ROUND(C471-ROUND(COB_CA!$B$59-D471,2),2)&lt;=0),C471,ROUND(COB_CA!$B$59-D471,2)),0)</f>
        <v/>
      </c>
      <c r="F471" s="14">
        <f>IF((A471&lt;=COB_CA!$B$58),IF(AND((A471&lt;=COB_CA!$B$58),ROUND(C471-ROUND(COB_CA!$B$59-D471,2),2)&lt;=0),ROUND(D471+E471,2),COB_CA!$B$59),0)</f>
        <v/>
      </c>
      <c r="G471" s="14">
        <f>IF((A471&lt;=COB_CA!$B$58),IF(AND((A471&lt;=COB_CA!$B$58),ROUND(C471-ROUND(COB_CA!$B$59-D471,2),2)&lt;=0),0,ROUND(C471-E471,2)),C471)</f>
        <v/>
      </c>
      <c r="H471" s="6">
        <f>AND(H470,C470&gt;0,(A471&lt;=COB_CA!$B$58))</f>
        <v/>
      </c>
    </row>
    <row r="472">
      <c r="A472" s="6" t="n">
        <v>468</v>
      </c>
      <c r="B472" s="17">
        <f>IF(COB_CA!$B$44=12,DATE(YEAR(COB_CA!$B$22)+INT((MONTH(COB_CA!$B$22)-1+467)/12),MOD(MONTH(COB_CA!$B$22)-1+467,12)+1,1)+(DAY(COB_CA!$B$22)-1),IF(COB_CA!$B$44=24,COB_CA!$B$22+ROUND((467*365.25)/24,0),IF(COB_CA!$B$44=26,COB_CA!$B$22+6538,COB_CA!$B$22+3269)))</f>
        <v/>
      </c>
      <c r="C472" s="14">
        <f>G471</f>
        <v/>
      </c>
      <c r="D472" s="14">
        <f>IF((A472&lt;=COB_CA!$B$58),ROUND(C472*COB_CA!$B$45,2),0)</f>
        <v/>
      </c>
      <c r="E472" s="14">
        <f>IF((A472&lt;=COB_CA!$B$58),IF(AND((A472&lt;=COB_CA!$B$58),ROUND(C472-ROUND(COB_CA!$B$59-D472,2),2)&lt;=0),C472,ROUND(COB_CA!$B$59-D472,2)),0)</f>
        <v/>
      </c>
      <c r="F472" s="14">
        <f>IF((A472&lt;=COB_CA!$B$58),IF(AND((A472&lt;=COB_CA!$B$58),ROUND(C472-ROUND(COB_CA!$B$59-D472,2),2)&lt;=0),ROUND(D472+E472,2),COB_CA!$B$59),0)</f>
        <v/>
      </c>
      <c r="G472" s="14">
        <f>IF((A472&lt;=COB_CA!$B$58),IF(AND((A472&lt;=COB_CA!$B$58),ROUND(C472-ROUND(COB_CA!$B$59-D472,2),2)&lt;=0),0,ROUND(C472-E472,2)),C472)</f>
        <v/>
      </c>
      <c r="H472" s="6">
        <f>AND(H471,C471&gt;0,(A472&lt;=COB_CA!$B$58))</f>
        <v/>
      </c>
    </row>
    <row r="473">
      <c r="A473" s="6" t="n">
        <v>469</v>
      </c>
      <c r="B473" s="17">
        <f>IF(COB_CA!$B$44=12,DATE(YEAR(COB_CA!$B$22)+INT((MONTH(COB_CA!$B$22)-1+468)/12),MOD(MONTH(COB_CA!$B$22)-1+468,12)+1,1)+(DAY(COB_CA!$B$22)-1),IF(COB_CA!$B$44=24,COB_CA!$B$22+ROUND((468*365.25)/24,0),IF(COB_CA!$B$44=26,COB_CA!$B$22+6552,COB_CA!$B$22+3276)))</f>
        <v/>
      </c>
      <c r="C473" s="14">
        <f>G472</f>
        <v/>
      </c>
      <c r="D473" s="14">
        <f>IF((A473&lt;=COB_CA!$B$58),ROUND(C473*COB_CA!$B$45,2),0)</f>
        <v/>
      </c>
      <c r="E473" s="14">
        <f>IF((A473&lt;=COB_CA!$B$58),IF(AND((A473&lt;=COB_CA!$B$58),ROUND(C473-ROUND(COB_CA!$B$59-D473,2),2)&lt;=0),C473,ROUND(COB_CA!$B$59-D473,2)),0)</f>
        <v/>
      </c>
      <c r="F473" s="14">
        <f>IF((A473&lt;=COB_CA!$B$58),IF(AND((A473&lt;=COB_CA!$B$58),ROUND(C473-ROUND(COB_CA!$B$59-D473,2),2)&lt;=0),ROUND(D473+E473,2),COB_CA!$B$59),0)</f>
        <v/>
      </c>
      <c r="G473" s="14">
        <f>IF((A473&lt;=COB_CA!$B$58),IF(AND((A473&lt;=COB_CA!$B$58),ROUND(C473-ROUND(COB_CA!$B$59-D473,2),2)&lt;=0),0,ROUND(C473-E473,2)),C473)</f>
        <v/>
      </c>
      <c r="H473" s="6">
        <f>AND(H472,C472&gt;0,(A473&lt;=COB_CA!$B$58))</f>
        <v/>
      </c>
    </row>
    <row r="474">
      <c r="A474" s="6" t="n">
        <v>470</v>
      </c>
      <c r="B474" s="17">
        <f>IF(COB_CA!$B$44=12,DATE(YEAR(COB_CA!$B$22)+INT((MONTH(COB_CA!$B$22)-1+469)/12),MOD(MONTH(COB_CA!$B$22)-1+469,12)+1,1)+(DAY(COB_CA!$B$22)-1),IF(COB_CA!$B$44=24,COB_CA!$B$22+ROUND((469*365.25)/24,0),IF(COB_CA!$B$44=26,COB_CA!$B$22+6566,COB_CA!$B$22+3283)))</f>
        <v/>
      </c>
      <c r="C474" s="14">
        <f>G473</f>
        <v/>
      </c>
      <c r="D474" s="14">
        <f>IF((A474&lt;=COB_CA!$B$58),ROUND(C474*COB_CA!$B$45,2),0)</f>
        <v/>
      </c>
      <c r="E474" s="14">
        <f>IF((A474&lt;=COB_CA!$B$58),IF(AND((A474&lt;=COB_CA!$B$58),ROUND(C474-ROUND(COB_CA!$B$59-D474,2),2)&lt;=0),C474,ROUND(COB_CA!$B$59-D474,2)),0)</f>
        <v/>
      </c>
      <c r="F474" s="14">
        <f>IF((A474&lt;=COB_CA!$B$58),IF(AND((A474&lt;=COB_CA!$B$58),ROUND(C474-ROUND(COB_CA!$B$59-D474,2),2)&lt;=0),ROUND(D474+E474,2),COB_CA!$B$59),0)</f>
        <v/>
      </c>
      <c r="G474" s="14">
        <f>IF((A474&lt;=COB_CA!$B$58),IF(AND((A474&lt;=COB_CA!$B$58),ROUND(C474-ROUND(COB_CA!$B$59-D474,2),2)&lt;=0),0,ROUND(C474-E474,2)),C474)</f>
        <v/>
      </c>
      <c r="H474" s="6">
        <f>AND(H473,C473&gt;0,(A474&lt;=COB_CA!$B$58))</f>
        <v/>
      </c>
    </row>
    <row r="475">
      <c r="A475" s="6" t="n">
        <v>471</v>
      </c>
      <c r="B475" s="17">
        <f>IF(COB_CA!$B$44=12,DATE(YEAR(COB_CA!$B$22)+INT((MONTH(COB_CA!$B$22)-1+470)/12),MOD(MONTH(COB_CA!$B$22)-1+470,12)+1,1)+(DAY(COB_CA!$B$22)-1),IF(COB_CA!$B$44=24,COB_CA!$B$22+ROUND((470*365.25)/24,0),IF(COB_CA!$B$44=26,COB_CA!$B$22+6580,COB_CA!$B$22+3290)))</f>
        <v/>
      </c>
      <c r="C475" s="14">
        <f>G474</f>
        <v/>
      </c>
      <c r="D475" s="14">
        <f>IF((A475&lt;=COB_CA!$B$58),ROUND(C475*COB_CA!$B$45,2),0)</f>
        <v/>
      </c>
      <c r="E475" s="14">
        <f>IF((A475&lt;=COB_CA!$B$58),IF(AND((A475&lt;=COB_CA!$B$58),ROUND(C475-ROUND(COB_CA!$B$59-D475,2),2)&lt;=0),C475,ROUND(COB_CA!$B$59-D475,2)),0)</f>
        <v/>
      </c>
      <c r="F475" s="14">
        <f>IF((A475&lt;=COB_CA!$B$58),IF(AND((A475&lt;=COB_CA!$B$58),ROUND(C475-ROUND(COB_CA!$B$59-D475,2),2)&lt;=0),ROUND(D475+E475,2),COB_CA!$B$59),0)</f>
        <v/>
      </c>
      <c r="G475" s="14">
        <f>IF((A475&lt;=COB_CA!$B$58),IF(AND((A475&lt;=COB_CA!$B$58),ROUND(C475-ROUND(COB_CA!$B$59-D475,2),2)&lt;=0),0,ROUND(C475-E475,2)),C475)</f>
        <v/>
      </c>
      <c r="H475" s="6">
        <f>AND(H474,C474&gt;0,(A475&lt;=COB_CA!$B$58))</f>
        <v/>
      </c>
    </row>
    <row r="476">
      <c r="A476" s="6" t="n">
        <v>472</v>
      </c>
      <c r="B476" s="17">
        <f>IF(COB_CA!$B$44=12,DATE(YEAR(COB_CA!$B$22)+INT((MONTH(COB_CA!$B$22)-1+471)/12),MOD(MONTH(COB_CA!$B$22)-1+471,12)+1,1)+(DAY(COB_CA!$B$22)-1),IF(COB_CA!$B$44=24,COB_CA!$B$22+ROUND((471*365.25)/24,0),IF(COB_CA!$B$44=26,COB_CA!$B$22+6594,COB_CA!$B$22+3297)))</f>
        <v/>
      </c>
      <c r="C476" s="14">
        <f>G475</f>
        <v/>
      </c>
      <c r="D476" s="14">
        <f>IF((A476&lt;=COB_CA!$B$58),ROUND(C476*COB_CA!$B$45,2),0)</f>
        <v/>
      </c>
      <c r="E476" s="14">
        <f>IF((A476&lt;=COB_CA!$B$58),IF(AND((A476&lt;=COB_CA!$B$58),ROUND(C476-ROUND(COB_CA!$B$59-D476,2),2)&lt;=0),C476,ROUND(COB_CA!$B$59-D476,2)),0)</f>
        <v/>
      </c>
      <c r="F476" s="14">
        <f>IF((A476&lt;=COB_CA!$B$58),IF(AND((A476&lt;=COB_CA!$B$58),ROUND(C476-ROUND(COB_CA!$B$59-D476,2),2)&lt;=0),ROUND(D476+E476,2),COB_CA!$B$59),0)</f>
        <v/>
      </c>
      <c r="G476" s="14">
        <f>IF((A476&lt;=COB_CA!$B$58),IF(AND((A476&lt;=COB_CA!$B$58),ROUND(C476-ROUND(COB_CA!$B$59-D476,2),2)&lt;=0),0,ROUND(C476-E476,2)),C476)</f>
        <v/>
      </c>
      <c r="H476" s="6">
        <f>AND(H475,C475&gt;0,(A476&lt;=COB_CA!$B$58))</f>
        <v/>
      </c>
    </row>
    <row r="477">
      <c r="A477" s="6" t="n">
        <v>473</v>
      </c>
      <c r="B477" s="17">
        <f>IF(COB_CA!$B$44=12,DATE(YEAR(COB_CA!$B$22)+INT((MONTH(COB_CA!$B$22)-1+472)/12),MOD(MONTH(COB_CA!$B$22)-1+472,12)+1,1)+(DAY(COB_CA!$B$22)-1),IF(COB_CA!$B$44=24,COB_CA!$B$22+ROUND((472*365.25)/24,0),IF(COB_CA!$B$44=26,COB_CA!$B$22+6608,COB_CA!$B$22+3304)))</f>
        <v/>
      </c>
      <c r="C477" s="14">
        <f>G476</f>
        <v/>
      </c>
      <c r="D477" s="14">
        <f>IF((A477&lt;=COB_CA!$B$58),ROUND(C477*COB_CA!$B$45,2),0)</f>
        <v/>
      </c>
      <c r="E477" s="14">
        <f>IF((A477&lt;=COB_CA!$B$58),IF(AND((A477&lt;=COB_CA!$B$58),ROUND(C477-ROUND(COB_CA!$B$59-D477,2),2)&lt;=0),C477,ROUND(COB_CA!$B$59-D477,2)),0)</f>
        <v/>
      </c>
      <c r="F477" s="14">
        <f>IF((A477&lt;=COB_CA!$B$58),IF(AND((A477&lt;=COB_CA!$B$58),ROUND(C477-ROUND(COB_CA!$B$59-D477,2),2)&lt;=0),ROUND(D477+E477,2),COB_CA!$B$59),0)</f>
        <v/>
      </c>
      <c r="G477" s="14">
        <f>IF((A477&lt;=COB_CA!$B$58),IF(AND((A477&lt;=COB_CA!$B$58),ROUND(C477-ROUND(COB_CA!$B$59-D477,2),2)&lt;=0),0,ROUND(C477-E477,2)),C477)</f>
        <v/>
      </c>
      <c r="H477" s="6">
        <f>AND(H476,C476&gt;0,(A477&lt;=COB_CA!$B$58))</f>
        <v/>
      </c>
    </row>
    <row r="478">
      <c r="A478" s="6" t="n">
        <v>474</v>
      </c>
      <c r="B478" s="17">
        <f>IF(COB_CA!$B$44=12,DATE(YEAR(COB_CA!$B$22)+INT((MONTH(COB_CA!$B$22)-1+473)/12),MOD(MONTH(COB_CA!$B$22)-1+473,12)+1,1)+(DAY(COB_CA!$B$22)-1),IF(COB_CA!$B$44=24,COB_CA!$B$22+ROUND((473*365.25)/24,0),IF(COB_CA!$B$44=26,COB_CA!$B$22+6622,COB_CA!$B$22+3311)))</f>
        <v/>
      </c>
      <c r="C478" s="14">
        <f>G477</f>
        <v/>
      </c>
      <c r="D478" s="14">
        <f>IF((A478&lt;=COB_CA!$B$58),ROUND(C478*COB_CA!$B$45,2),0)</f>
        <v/>
      </c>
      <c r="E478" s="14">
        <f>IF((A478&lt;=COB_CA!$B$58),IF(AND((A478&lt;=COB_CA!$B$58),ROUND(C478-ROUND(COB_CA!$B$59-D478,2),2)&lt;=0),C478,ROUND(COB_CA!$B$59-D478,2)),0)</f>
        <v/>
      </c>
      <c r="F478" s="14">
        <f>IF((A478&lt;=COB_CA!$B$58),IF(AND((A478&lt;=COB_CA!$B$58),ROUND(C478-ROUND(COB_CA!$B$59-D478,2),2)&lt;=0),ROUND(D478+E478,2),COB_CA!$B$59),0)</f>
        <v/>
      </c>
      <c r="G478" s="14">
        <f>IF((A478&lt;=COB_CA!$B$58),IF(AND((A478&lt;=COB_CA!$B$58),ROUND(C478-ROUND(COB_CA!$B$59-D478,2),2)&lt;=0),0,ROUND(C478-E478,2)),C478)</f>
        <v/>
      </c>
      <c r="H478" s="6">
        <f>AND(H477,C477&gt;0,(A478&lt;=COB_CA!$B$58))</f>
        <v/>
      </c>
    </row>
    <row r="479">
      <c r="A479" s="6" t="n">
        <v>475</v>
      </c>
      <c r="B479" s="17">
        <f>IF(COB_CA!$B$44=12,DATE(YEAR(COB_CA!$B$22)+INT((MONTH(COB_CA!$B$22)-1+474)/12),MOD(MONTH(COB_CA!$B$22)-1+474,12)+1,1)+(DAY(COB_CA!$B$22)-1),IF(COB_CA!$B$44=24,COB_CA!$B$22+ROUND((474*365.25)/24,0),IF(COB_CA!$B$44=26,COB_CA!$B$22+6636,COB_CA!$B$22+3318)))</f>
        <v/>
      </c>
      <c r="C479" s="14">
        <f>G478</f>
        <v/>
      </c>
      <c r="D479" s="14">
        <f>IF((A479&lt;=COB_CA!$B$58),ROUND(C479*COB_CA!$B$45,2),0)</f>
        <v/>
      </c>
      <c r="E479" s="14">
        <f>IF((A479&lt;=COB_CA!$B$58),IF(AND((A479&lt;=COB_CA!$B$58),ROUND(C479-ROUND(COB_CA!$B$59-D479,2),2)&lt;=0),C479,ROUND(COB_CA!$B$59-D479,2)),0)</f>
        <v/>
      </c>
      <c r="F479" s="14">
        <f>IF((A479&lt;=COB_CA!$B$58),IF(AND((A479&lt;=COB_CA!$B$58),ROUND(C479-ROUND(COB_CA!$B$59-D479,2),2)&lt;=0),ROUND(D479+E479,2),COB_CA!$B$59),0)</f>
        <v/>
      </c>
      <c r="G479" s="14">
        <f>IF((A479&lt;=COB_CA!$B$58),IF(AND((A479&lt;=COB_CA!$B$58),ROUND(C479-ROUND(COB_CA!$B$59-D479,2),2)&lt;=0),0,ROUND(C479-E479,2)),C479)</f>
        <v/>
      </c>
      <c r="H479" s="6">
        <f>AND(H478,C478&gt;0,(A479&lt;=COB_CA!$B$58))</f>
        <v/>
      </c>
    </row>
    <row r="480">
      <c r="A480" s="6" t="n">
        <v>476</v>
      </c>
      <c r="B480" s="17">
        <f>IF(COB_CA!$B$44=12,DATE(YEAR(COB_CA!$B$22)+INT((MONTH(COB_CA!$B$22)-1+475)/12),MOD(MONTH(COB_CA!$B$22)-1+475,12)+1,1)+(DAY(COB_CA!$B$22)-1),IF(COB_CA!$B$44=24,COB_CA!$B$22+ROUND((475*365.25)/24,0),IF(COB_CA!$B$44=26,COB_CA!$B$22+6650,COB_CA!$B$22+3325)))</f>
        <v/>
      </c>
      <c r="C480" s="14">
        <f>G479</f>
        <v/>
      </c>
      <c r="D480" s="14">
        <f>IF((A480&lt;=COB_CA!$B$58),ROUND(C480*COB_CA!$B$45,2),0)</f>
        <v/>
      </c>
      <c r="E480" s="14">
        <f>IF((A480&lt;=COB_CA!$B$58),IF(AND((A480&lt;=COB_CA!$B$58),ROUND(C480-ROUND(COB_CA!$B$59-D480,2),2)&lt;=0),C480,ROUND(COB_CA!$B$59-D480,2)),0)</f>
        <v/>
      </c>
      <c r="F480" s="14">
        <f>IF((A480&lt;=COB_CA!$B$58),IF(AND((A480&lt;=COB_CA!$B$58),ROUND(C480-ROUND(COB_CA!$B$59-D480,2),2)&lt;=0),ROUND(D480+E480,2),COB_CA!$B$59),0)</f>
        <v/>
      </c>
      <c r="G480" s="14">
        <f>IF((A480&lt;=COB_CA!$B$58),IF(AND((A480&lt;=COB_CA!$B$58),ROUND(C480-ROUND(COB_CA!$B$59-D480,2),2)&lt;=0),0,ROUND(C480-E480,2)),C480)</f>
        <v/>
      </c>
      <c r="H480" s="6">
        <f>AND(H479,C479&gt;0,(A480&lt;=COB_CA!$B$58))</f>
        <v/>
      </c>
    </row>
    <row r="481">
      <c r="A481" s="6" t="n">
        <v>477</v>
      </c>
      <c r="B481" s="17">
        <f>IF(COB_CA!$B$44=12,DATE(YEAR(COB_CA!$B$22)+INT((MONTH(COB_CA!$B$22)-1+476)/12),MOD(MONTH(COB_CA!$B$22)-1+476,12)+1,1)+(DAY(COB_CA!$B$22)-1),IF(COB_CA!$B$44=24,COB_CA!$B$22+ROUND((476*365.25)/24,0),IF(COB_CA!$B$44=26,COB_CA!$B$22+6664,COB_CA!$B$22+3332)))</f>
        <v/>
      </c>
      <c r="C481" s="14">
        <f>G480</f>
        <v/>
      </c>
      <c r="D481" s="14">
        <f>IF((A481&lt;=COB_CA!$B$58),ROUND(C481*COB_CA!$B$45,2),0)</f>
        <v/>
      </c>
      <c r="E481" s="14">
        <f>IF((A481&lt;=COB_CA!$B$58),IF(AND((A481&lt;=COB_CA!$B$58),ROUND(C481-ROUND(COB_CA!$B$59-D481,2),2)&lt;=0),C481,ROUND(COB_CA!$B$59-D481,2)),0)</f>
        <v/>
      </c>
      <c r="F481" s="14">
        <f>IF((A481&lt;=COB_CA!$B$58),IF(AND((A481&lt;=COB_CA!$B$58),ROUND(C481-ROUND(COB_CA!$B$59-D481,2),2)&lt;=0),ROUND(D481+E481,2),COB_CA!$B$59),0)</f>
        <v/>
      </c>
      <c r="G481" s="14">
        <f>IF((A481&lt;=COB_CA!$B$58),IF(AND((A481&lt;=COB_CA!$B$58),ROUND(C481-ROUND(COB_CA!$B$59-D481,2),2)&lt;=0),0,ROUND(C481-E481,2)),C481)</f>
        <v/>
      </c>
      <c r="H481" s="6">
        <f>AND(H480,C480&gt;0,(A481&lt;=COB_CA!$B$58))</f>
        <v/>
      </c>
    </row>
    <row r="482">
      <c r="A482" s="6" t="n">
        <v>478</v>
      </c>
      <c r="B482" s="17">
        <f>IF(COB_CA!$B$44=12,DATE(YEAR(COB_CA!$B$22)+INT((MONTH(COB_CA!$B$22)-1+477)/12),MOD(MONTH(COB_CA!$B$22)-1+477,12)+1,1)+(DAY(COB_CA!$B$22)-1),IF(COB_CA!$B$44=24,COB_CA!$B$22+ROUND((477*365.25)/24,0),IF(COB_CA!$B$44=26,COB_CA!$B$22+6678,COB_CA!$B$22+3339)))</f>
        <v/>
      </c>
      <c r="C482" s="14">
        <f>G481</f>
        <v/>
      </c>
      <c r="D482" s="14">
        <f>IF((A482&lt;=COB_CA!$B$58),ROUND(C482*COB_CA!$B$45,2),0)</f>
        <v/>
      </c>
      <c r="E482" s="14">
        <f>IF((A482&lt;=COB_CA!$B$58),IF(AND((A482&lt;=COB_CA!$B$58),ROUND(C482-ROUND(COB_CA!$B$59-D482,2),2)&lt;=0),C482,ROUND(COB_CA!$B$59-D482,2)),0)</f>
        <v/>
      </c>
      <c r="F482" s="14">
        <f>IF((A482&lt;=COB_CA!$B$58),IF(AND((A482&lt;=COB_CA!$B$58),ROUND(C482-ROUND(COB_CA!$B$59-D482,2),2)&lt;=0),ROUND(D482+E482,2),COB_CA!$B$59),0)</f>
        <v/>
      </c>
      <c r="G482" s="14">
        <f>IF((A482&lt;=COB_CA!$B$58),IF(AND((A482&lt;=COB_CA!$B$58),ROUND(C482-ROUND(COB_CA!$B$59-D482,2),2)&lt;=0),0,ROUND(C482-E482,2)),C482)</f>
        <v/>
      </c>
      <c r="H482" s="6">
        <f>AND(H481,C481&gt;0,(A482&lt;=COB_CA!$B$58))</f>
        <v/>
      </c>
    </row>
    <row r="483">
      <c r="A483" s="6" t="n">
        <v>479</v>
      </c>
      <c r="B483" s="17">
        <f>IF(COB_CA!$B$44=12,DATE(YEAR(COB_CA!$B$22)+INT((MONTH(COB_CA!$B$22)-1+478)/12),MOD(MONTH(COB_CA!$B$22)-1+478,12)+1,1)+(DAY(COB_CA!$B$22)-1),IF(COB_CA!$B$44=24,COB_CA!$B$22+ROUND((478*365.25)/24,0),IF(COB_CA!$B$44=26,COB_CA!$B$22+6692,COB_CA!$B$22+3346)))</f>
        <v/>
      </c>
      <c r="C483" s="14">
        <f>G482</f>
        <v/>
      </c>
      <c r="D483" s="14">
        <f>IF((A483&lt;=COB_CA!$B$58),ROUND(C483*COB_CA!$B$45,2),0)</f>
        <v/>
      </c>
      <c r="E483" s="14">
        <f>IF((A483&lt;=COB_CA!$B$58),IF(AND((A483&lt;=COB_CA!$B$58),ROUND(C483-ROUND(COB_CA!$B$59-D483,2),2)&lt;=0),C483,ROUND(COB_CA!$B$59-D483,2)),0)</f>
        <v/>
      </c>
      <c r="F483" s="14">
        <f>IF((A483&lt;=COB_CA!$B$58),IF(AND((A483&lt;=COB_CA!$B$58),ROUND(C483-ROUND(COB_CA!$B$59-D483,2),2)&lt;=0),ROUND(D483+E483,2),COB_CA!$B$59),0)</f>
        <v/>
      </c>
      <c r="G483" s="14">
        <f>IF((A483&lt;=COB_CA!$B$58),IF(AND((A483&lt;=COB_CA!$B$58),ROUND(C483-ROUND(COB_CA!$B$59-D483,2),2)&lt;=0),0,ROUND(C483-E483,2)),C483)</f>
        <v/>
      </c>
      <c r="H483" s="6">
        <f>AND(H482,C482&gt;0,(A483&lt;=COB_CA!$B$58))</f>
        <v/>
      </c>
    </row>
    <row r="484">
      <c r="A484" s="6" t="n">
        <v>480</v>
      </c>
      <c r="B484" s="17">
        <f>IF(COB_CA!$B$44=12,DATE(YEAR(COB_CA!$B$22)+INT((MONTH(COB_CA!$B$22)-1+479)/12),MOD(MONTH(COB_CA!$B$22)-1+479,12)+1,1)+(DAY(COB_CA!$B$22)-1),IF(COB_CA!$B$44=24,COB_CA!$B$22+ROUND((479*365.25)/24,0),IF(COB_CA!$B$44=26,COB_CA!$B$22+6706,COB_CA!$B$22+3353)))</f>
        <v/>
      </c>
      <c r="C484" s="14">
        <f>G483</f>
        <v/>
      </c>
      <c r="D484" s="14">
        <f>IF((A484&lt;=COB_CA!$B$58),ROUND(C484*COB_CA!$B$45,2),0)</f>
        <v/>
      </c>
      <c r="E484" s="14">
        <f>IF((A484&lt;=COB_CA!$B$58),IF(AND((A484&lt;=COB_CA!$B$58),ROUND(C484-ROUND(COB_CA!$B$59-D484,2),2)&lt;=0),C484,ROUND(COB_CA!$B$59-D484,2)),0)</f>
        <v/>
      </c>
      <c r="F484" s="14">
        <f>IF((A484&lt;=COB_CA!$B$58),IF(AND((A484&lt;=COB_CA!$B$58),ROUND(C484-ROUND(COB_CA!$B$59-D484,2),2)&lt;=0),ROUND(D484+E484,2),COB_CA!$B$59),0)</f>
        <v/>
      </c>
      <c r="G484" s="14">
        <f>IF((A484&lt;=COB_CA!$B$58),IF(AND((A484&lt;=COB_CA!$B$58),ROUND(C484-ROUND(COB_CA!$B$59-D484,2),2)&lt;=0),0,ROUND(C484-E484,2)),C484)</f>
        <v/>
      </c>
      <c r="H484" s="6">
        <f>AND(H483,C483&gt;0,(A484&lt;=COB_CA!$B$58))</f>
        <v/>
      </c>
    </row>
    <row r="485">
      <c r="A485" s="6" t="n">
        <v>481</v>
      </c>
      <c r="B485" s="17">
        <f>IF(COB_CA!$B$44=12,DATE(YEAR(COB_CA!$B$22)+INT((MONTH(COB_CA!$B$22)-1+480)/12),MOD(MONTH(COB_CA!$B$22)-1+480,12)+1,1)+(DAY(COB_CA!$B$22)-1),IF(COB_CA!$B$44=24,COB_CA!$B$22+ROUND((480*365.25)/24,0),IF(COB_CA!$B$44=26,COB_CA!$B$22+6720,COB_CA!$B$22+3360)))</f>
        <v/>
      </c>
      <c r="C485" s="14">
        <f>G484</f>
        <v/>
      </c>
      <c r="D485" s="14">
        <f>IF((A485&lt;=COB_CA!$B$58),ROUND(C485*COB_CA!$B$45,2),0)</f>
        <v/>
      </c>
      <c r="E485" s="14">
        <f>IF((A485&lt;=COB_CA!$B$58),IF(AND((A485&lt;=COB_CA!$B$58),ROUND(C485-ROUND(COB_CA!$B$59-D485,2),2)&lt;=0),C485,ROUND(COB_CA!$B$59-D485,2)),0)</f>
        <v/>
      </c>
      <c r="F485" s="14">
        <f>IF((A485&lt;=COB_CA!$B$58),IF(AND((A485&lt;=COB_CA!$B$58),ROUND(C485-ROUND(COB_CA!$B$59-D485,2),2)&lt;=0),ROUND(D485+E485,2),COB_CA!$B$59),0)</f>
        <v/>
      </c>
      <c r="G485" s="14">
        <f>IF((A485&lt;=COB_CA!$B$58),IF(AND((A485&lt;=COB_CA!$B$58),ROUND(C485-ROUND(COB_CA!$B$59-D485,2),2)&lt;=0),0,ROUND(C485-E485,2)),C485)</f>
        <v/>
      </c>
      <c r="H485" s="6">
        <f>AND(H484,C484&gt;0,(A485&lt;=COB_CA!$B$58))</f>
        <v/>
      </c>
    </row>
    <row r="486">
      <c r="A486" s="6" t="n">
        <v>482</v>
      </c>
      <c r="B486" s="17">
        <f>IF(COB_CA!$B$44=12,DATE(YEAR(COB_CA!$B$22)+INT((MONTH(COB_CA!$B$22)-1+481)/12),MOD(MONTH(COB_CA!$B$22)-1+481,12)+1,1)+(DAY(COB_CA!$B$22)-1),IF(COB_CA!$B$44=24,COB_CA!$B$22+ROUND((481*365.25)/24,0),IF(COB_CA!$B$44=26,COB_CA!$B$22+6734,COB_CA!$B$22+3367)))</f>
        <v/>
      </c>
      <c r="C486" s="14">
        <f>G485</f>
        <v/>
      </c>
      <c r="D486" s="14">
        <f>IF((A486&lt;=COB_CA!$B$58),ROUND(C486*COB_CA!$B$45,2),0)</f>
        <v/>
      </c>
      <c r="E486" s="14">
        <f>IF((A486&lt;=COB_CA!$B$58),IF(AND((A486&lt;=COB_CA!$B$58),ROUND(C486-ROUND(COB_CA!$B$59-D486,2),2)&lt;=0),C486,ROUND(COB_CA!$B$59-D486,2)),0)</f>
        <v/>
      </c>
      <c r="F486" s="14">
        <f>IF((A486&lt;=COB_CA!$B$58),IF(AND((A486&lt;=COB_CA!$B$58),ROUND(C486-ROUND(COB_CA!$B$59-D486,2),2)&lt;=0),ROUND(D486+E486,2),COB_CA!$B$59),0)</f>
        <v/>
      </c>
      <c r="G486" s="14">
        <f>IF((A486&lt;=COB_CA!$B$58),IF(AND((A486&lt;=COB_CA!$B$58),ROUND(C486-ROUND(COB_CA!$B$59-D486,2),2)&lt;=0),0,ROUND(C486-E486,2)),C486)</f>
        <v/>
      </c>
      <c r="H486" s="6">
        <f>AND(H485,C485&gt;0,(A486&lt;=COB_CA!$B$58))</f>
        <v/>
      </c>
    </row>
    <row r="487">
      <c r="A487" s="6" t="n">
        <v>483</v>
      </c>
      <c r="B487" s="17">
        <f>IF(COB_CA!$B$44=12,DATE(YEAR(COB_CA!$B$22)+INT((MONTH(COB_CA!$B$22)-1+482)/12),MOD(MONTH(COB_CA!$B$22)-1+482,12)+1,1)+(DAY(COB_CA!$B$22)-1),IF(COB_CA!$B$44=24,COB_CA!$B$22+ROUND((482*365.25)/24,0),IF(COB_CA!$B$44=26,COB_CA!$B$22+6748,COB_CA!$B$22+3374)))</f>
        <v/>
      </c>
      <c r="C487" s="14">
        <f>G486</f>
        <v/>
      </c>
      <c r="D487" s="14">
        <f>IF((A487&lt;=COB_CA!$B$58),ROUND(C487*COB_CA!$B$45,2),0)</f>
        <v/>
      </c>
      <c r="E487" s="14">
        <f>IF((A487&lt;=COB_CA!$B$58),IF(AND((A487&lt;=COB_CA!$B$58),ROUND(C487-ROUND(COB_CA!$B$59-D487,2),2)&lt;=0),C487,ROUND(COB_CA!$B$59-D487,2)),0)</f>
        <v/>
      </c>
      <c r="F487" s="14">
        <f>IF((A487&lt;=COB_CA!$B$58),IF(AND((A487&lt;=COB_CA!$B$58),ROUND(C487-ROUND(COB_CA!$B$59-D487,2),2)&lt;=0),ROUND(D487+E487,2),COB_CA!$B$59),0)</f>
        <v/>
      </c>
      <c r="G487" s="14">
        <f>IF((A487&lt;=COB_CA!$B$58),IF(AND((A487&lt;=COB_CA!$B$58),ROUND(C487-ROUND(COB_CA!$B$59-D487,2),2)&lt;=0),0,ROUND(C487-E487,2)),C487)</f>
        <v/>
      </c>
      <c r="H487" s="6">
        <f>AND(H486,C486&gt;0,(A487&lt;=COB_CA!$B$58))</f>
        <v/>
      </c>
    </row>
    <row r="488">
      <c r="A488" s="6" t="n">
        <v>484</v>
      </c>
      <c r="B488" s="17">
        <f>IF(COB_CA!$B$44=12,DATE(YEAR(COB_CA!$B$22)+INT((MONTH(COB_CA!$B$22)-1+483)/12),MOD(MONTH(COB_CA!$B$22)-1+483,12)+1,1)+(DAY(COB_CA!$B$22)-1),IF(COB_CA!$B$44=24,COB_CA!$B$22+ROUND((483*365.25)/24,0),IF(COB_CA!$B$44=26,COB_CA!$B$22+6762,COB_CA!$B$22+3381)))</f>
        <v/>
      </c>
      <c r="C488" s="14">
        <f>G487</f>
        <v/>
      </c>
      <c r="D488" s="14">
        <f>IF((A488&lt;=COB_CA!$B$58),ROUND(C488*COB_CA!$B$45,2),0)</f>
        <v/>
      </c>
      <c r="E488" s="14">
        <f>IF((A488&lt;=COB_CA!$B$58),IF(AND((A488&lt;=COB_CA!$B$58),ROUND(C488-ROUND(COB_CA!$B$59-D488,2),2)&lt;=0),C488,ROUND(COB_CA!$B$59-D488,2)),0)</f>
        <v/>
      </c>
      <c r="F488" s="14">
        <f>IF((A488&lt;=COB_CA!$B$58),IF(AND((A488&lt;=COB_CA!$B$58),ROUND(C488-ROUND(COB_CA!$B$59-D488,2),2)&lt;=0),ROUND(D488+E488,2),COB_CA!$B$59),0)</f>
        <v/>
      </c>
      <c r="G488" s="14">
        <f>IF((A488&lt;=COB_CA!$B$58),IF(AND((A488&lt;=COB_CA!$B$58),ROUND(C488-ROUND(COB_CA!$B$59-D488,2),2)&lt;=0),0,ROUND(C488-E488,2)),C488)</f>
        <v/>
      </c>
      <c r="H488" s="6">
        <f>AND(H487,C487&gt;0,(A488&lt;=COB_CA!$B$58))</f>
        <v/>
      </c>
    </row>
    <row r="489">
      <c r="A489" s="6" t="n">
        <v>485</v>
      </c>
      <c r="B489" s="17">
        <f>IF(COB_CA!$B$44=12,DATE(YEAR(COB_CA!$B$22)+INT((MONTH(COB_CA!$B$22)-1+484)/12),MOD(MONTH(COB_CA!$B$22)-1+484,12)+1,1)+(DAY(COB_CA!$B$22)-1),IF(COB_CA!$B$44=24,COB_CA!$B$22+ROUND((484*365.25)/24,0),IF(COB_CA!$B$44=26,COB_CA!$B$22+6776,COB_CA!$B$22+3388)))</f>
        <v/>
      </c>
      <c r="C489" s="14">
        <f>G488</f>
        <v/>
      </c>
      <c r="D489" s="14">
        <f>IF((A489&lt;=COB_CA!$B$58),ROUND(C489*COB_CA!$B$45,2),0)</f>
        <v/>
      </c>
      <c r="E489" s="14">
        <f>IF((A489&lt;=COB_CA!$B$58),IF(AND((A489&lt;=COB_CA!$B$58),ROUND(C489-ROUND(COB_CA!$B$59-D489,2),2)&lt;=0),C489,ROUND(COB_CA!$B$59-D489,2)),0)</f>
        <v/>
      </c>
      <c r="F489" s="14">
        <f>IF((A489&lt;=COB_CA!$B$58),IF(AND((A489&lt;=COB_CA!$B$58),ROUND(C489-ROUND(COB_CA!$B$59-D489,2),2)&lt;=0),ROUND(D489+E489,2),COB_CA!$B$59),0)</f>
        <v/>
      </c>
      <c r="G489" s="14">
        <f>IF((A489&lt;=COB_CA!$B$58),IF(AND((A489&lt;=COB_CA!$B$58),ROUND(C489-ROUND(COB_CA!$B$59-D489,2),2)&lt;=0),0,ROUND(C489-E489,2)),C489)</f>
        <v/>
      </c>
      <c r="H489" s="6">
        <f>AND(H488,C488&gt;0,(A489&lt;=COB_CA!$B$58))</f>
        <v/>
      </c>
    </row>
    <row r="490">
      <c r="A490" s="6" t="n">
        <v>486</v>
      </c>
      <c r="B490" s="17">
        <f>IF(COB_CA!$B$44=12,DATE(YEAR(COB_CA!$B$22)+INT((MONTH(COB_CA!$B$22)-1+485)/12),MOD(MONTH(COB_CA!$B$22)-1+485,12)+1,1)+(DAY(COB_CA!$B$22)-1),IF(COB_CA!$B$44=24,COB_CA!$B$22+ROUND((485*365.25)/24,0),IF(COB_CA!$B$44=26,COB_CA!$B$22+6790,COB_CA!$B$22+3395)))</f>
        <v/>
      </c>
      <c r="C490" s="14">
        <f>G489</f>
        <v/>
      </c>
      <c r="D490" s="14">
        <f>IF((A490&lt;=COB_CA!$B$58),ROUND(C490*COB_CA!$B$45,2),0)</f>
        <v/>
      </c>
      <c r="E490" s="14">
        <f>IF((A490&lt;=COB_CA!$B$58),IF(AND((A490&lt;=COB_CA!$B$58),ROUND(C490-ROUND(COB_CA!$B$59-D490,2),2)&lt;=0),C490,ROUND(COB_CA!$B$59-D490,2)),0)</f>
        <v/>
      </c>
      <c r="F490" s="14">
        <f>IF((A490&lt;=COB_CA!$B$58),IF(AND((A490&lt;=COB_CA!$B$58),ROUND(C490-ROUND(COB_CA!$B$59-D490,2),2)&lt;=0),ROUND(D490+E490,2),COB_CA!$B$59),0)</f>
        <v/>
      </c>
      <c r="G490" s="14">
        <f>IF((A490&lt;=COB_CA!$B$58),IF(AND((A490&lt;=COB_CA!$B$58),ROUND(C490-ROUND(COB_CA!$B$59-D490,2),2)&lt;=0),0,ROUND(C490-E490,2)),C490)</f>
        <v/>
      </c>
      <c r="H490" s="6">
        <f>AND(H489,C489&gt;0,(A490&lt;=COB_CA!$B$58))</f>
        <v/>
      </c>
    </row>
    <row r="491">
      <c r="A491" s="6" t="n">
        <v>487</v>
      </c>
      <c r="B491" s="17">
        <f>IF(COB_CA!$B$44=12,DATE(YEAR(COB_CA!$B$22)+INT((MONTH(COB_CA!$B$22)-1+486)/12),MOD(MONTH(COB_CA!$B$22)-1+486,12)+1,1)+(DAY(COB_CA!$B$22)-1),IF(COB_CA!$B$44=24,COB_CA!$B$22+ROUND((486*365.25)/24,0),IF(COB_CA!$B$44=26,COB_CA!$B$22+6804,COB_CA!$B$22+3402)))</f>
        <v/>
      </c>
      <c r="C491" s="14">
        <f>G490</f>
        <v/>
      </c>
      <c r="D491" s="14">
        <f>IF((A491&lt;=COB_CA!$B$58),ROUND(C491*COB_CA!$B$45,2),0)</f>
        <v/>
      </c>
      <c r="E491" s="14">
        <f>IF((A491&lt;=COB_CA!$B$58),IF(AND((A491&lt;=COB_CA!$B$58),ROUND(C491-ROUND(COB_CA!$B$59-D491,2),2)&lt;=0),C491,ROUND(COB_CA!$B$59-D491,2)),0)</f>
        <v/>
      </c>
      <c r="F491" s="14">
        <f>IF((A491&lt;=COB_CA!$B$58),IF(AND((A491&lt;=COB_CA!$B$58),ROUND(C491-ROUND(COB_CA!$B$59-D491,2),2)&lt;=0),ROUND(D491+E491,2),COB_CA!$B$59),0)</f>
        <v/>
      </c>
      <c r="G491" s="14">
        <f>IF((A491&lt;=COB_CA!$B$58),IF(AND((A491&lt;=COB_CA!$B$58),ROUND(C491-ROUND(COB_CA!$B$59-D491,2),2)&lt;=0),0,ROUND(C491-E491,2)),C491)</f>
        <v/>
      </c>
      <c r="H491" s="6">
        <f>AND(H490,C490&gt;0,(A491&lt;=COB_CA!$B$58))</f>
        <v/>
      </c>
    </row>
    <row r="492">
      <c r="A492" s="6" t="n">
        <v>488</v>
      </c>
      <c r="B492" s="17">
        <f>IF(COB_CA!$B$44=12,DATE(YEAR(COB_CA!$B$22)+INT((MONTH(COB_CA!$B$22)-1+487)/12),MOD(MONTH(COB_CA!$B$22)-1+487,12)+1,1)+(DAY(COB_CA!$B$22)-1),IF(COB_CA!$B$44=24,COB_CA!$B$22+ROUND((487*365.25)/24,0),IF(COB_CA!$B$44=26,COB_CA!$B$22+6818,COB_CA!$B$22+3409)))</f>
        <v/>
      </c>
      <c r="C492" s="14">
        <f>G491</f>
        <v/>
      </c>
      <c r="D492" s="14">
        <f>IF((A492&lt;=COB_CA!$B$58),ROUND(C492*COB_CA!$B$45,2),0)</f>
        <v/>
      </c>
      <c r="E492" s="14">
        <f>IF((A492&lt;=COB_CA!$B$58),IF(AND((A492&lt;=COB_CA!$B$58),ROUND(C492-ROUND(COB_CA!$B$59-D492,2),2)&lt;=0),C492,ROUND(COB_CA!$B$59-D492,2)),0)</f>
        <v/>
      </c>
      <c r="F492" s="14">
        <f>IF((A492&lt;=COB_CA!$B$58),IF(AND((A492&lt;=COB_CA!$B$58),ROUND(C492-ROUND(COB_CA!$B$59-D492,2),2)&lt;=0),ROUND(D492+E492,2),COB_CA!$B$59),0)</f>
        <v/>
      </c>
      <c r="G492" s="14">
        <f>IF((A492&lt;=COB_CA!$B$58),IF(AND((A492&lt;=COB_CA!$B$58),ROUND(C492-ROUND(COB_CA!$B$59-D492,2),2)&lt;=0),0,ROUND(C492-E492,2)),C492)</f>
        <v/>
      </c>
      <c r="H492" s="6">
        <f>AND(H491,C491&gt;0,(A492&lt;=COB_CA!$B$58))</f>
        <v/>
      </c>
    </row>
    <row r="493">
      <c r="A493" s="6" t="n">
        <v>489</v>
      </c>
      <c r="B493" s="17">
        <f>IF(COB_CA!$B$44=12,DATE(YEAR(COB_CA!$B$22)+INT((MONTH(COB_CA!$B$22)-1+488)/12),MOD(MONTH(COB_CA!$B$22)-1+488,12)+1,1)+(DAY(COB_CA!$B$22)-1),IF(COB_CA!$B$44=24,COB_CA!$B$22+ROUND((488*365.25)/24,0),IF(COB_CA!$B$44=26,COB_CA!$B$22+6832,COB_CA!$B$22+3416)))</f>
        <v/>
      </c>
      <c r="C493" s="14">
        <f>G492</f>
        <v/>
      </c>
      <c r="D493" s="14">
        <f>IF((A493&lt;=COB_CA!$B$58),ROUND(C493*COB_CA!$B$45,2),0)</f>
        <v/>
      </c>
      <c r="E493" s="14">
        <f>IF((A493&lt;=COB_CA!$B$58),IF(AND((A493&lt;=COB_CA!$B$58),ROUND(C493-ROUND(COB_CA!$B$59-D493,2),2)&lt;=0),C493,ROUND(COB_CA!$B$59-D493,2)),0)</f>
        <v/>
      </c>
      <c r="F493" s="14">
        <f>IF((A493&lt;=COB_CA!$B$58),IF(AND((A493&lt;=COB_CA!$B$58),ROUND(C493-ROUND(COB_CA!$B$59-D493,2),2)&lt;=0),ROUND(D493+E493,2),COB_CA!$B$59),0)</f>
        <v/>
      </c>
      <c r="G493" s="14">
        <f>IF((A493&lt;=COB_CA!$B$58),IF(AND((A493&lt;=COB_CA!$B$58),ROUND(C493-ROUND(COB_CA!$B$59-D493,2),2)&lt;=0),0,ROUND(C493-E493,2)),C493)</f>
        <v/>
      </c>
      <c r="H493" s="6">
        <f>AND(H492,C492&gt;0,(A493&lt;=COB_CA!$B$58))</f>
        <v/>
      </c>
    </row>
    <row r="494">
      <c r="A494" s="6" t="n">
        <v>490</v>
      </c>
      <c r="B494" s="17">
        <f>IF(COB_CA!$B$44=12,DATE(YEAR(COB_CA!$B$22)+INT((MONTH(COB_CA!$B$22)-1+489)/12),MOD(MONTH(COB_CA!$B$22)-1+489,12)+1,1)+(DAY(COB_CA!$B$22)-1),IF(COB_CA!$B$44=24,COB_CA!$B$22+ROUND((489*365.25)/24,0),IF(COB_CA!$B$44=26,COB_CA!$B$22+6846,COB_CA!$B$22+3423)))</f>
        <v/>
      </c>
      <c r="C494" s="14">
        <f>G493</f>
        <v/>
      </c>
      <c r="D494" s="14">
        <f>IF((A494&lt;=COB_CA!$B$58),ROUND(C494*COB_CA!$B$45,2),0)</f>
        <v/>
      </c>
      <c r="E494" s="14">
        <f>IF((A494&lt;=COB_CA!$B$58),IF(AND((A494&lt;=COB_CA!$B$58),ROUND(C494-ROUND(COB_CA!$B$59-D494,2),2)&lt;=0),C494,ROUND(COB_CA!$B$59-D494,2)),0)</f>
        <v/>
      </c>
      <c r="F494" s="14">
        <f>IF((A494&lt;=COB_CA!$B$58),IF(AND((A494&lt;=COB_CA!$B$58),ROUND(C494-ROUND(COB_CA!$B$59-D494,2),2)&lt;=0),ROUND(D494+E494,2),COB_CA!$B$59),0)</f>
        <v/>
      </c>
      <c r="G494" s="14">
        <f>IF((A494&lt;=COB_CA!$B$58),IF(AND((A494&lt;=COB_CA!$B$58),ROUND(C494-ROUND(COB_CA!$B$59-D494,2),2)&lt;=0),0,ROUND(C494-E494,2)),C494)</f>
        <v/>
      </c>
      <c r="H494" s="6">
        <f>AND(H493,C493&gt;0,(A494&lt;=COB_CA!$B$58))</f>
        <v/>
      </c>
    </row>
    <row r="495">
      <c r="A495" s="6" t="n">
        <v>491</v>
      </c>
      <c r="B495" s="17">
        <f>IF(COB_CA!$B$44=12,DATE(YEAR(COB_CA!$B$22)+INT((MONTH(COB_CA!$B$22)-1+490)/12),MOD(MONTH(COB_CA!$B$22)-1+490,12)+1,1)+(DAY(COB_CA!$B$22)-1),IF(COB_CA!$B$44=24,COB_CA!$B$22+ROUND((490*365.25)/24,0),IF(COB_CA!$B$44=26,COB_CA!$B$22+6860,COB_CA!$B$22+3430)))</f>
        <v/>
      </c>
      <c r="C495" s="14">
        <f>G494</f>
        <v/>
      </c>
      <c r="D495" s="14">
        <f>IF((A495&lt;=COB_CA!$B$58),ROUND(C495*COB_CA!$B$45,2),0)</f>
        <v/>
      </c>
      <c r="E495" s="14">
        <f>IF((A495&lt;=COB_CA!$B$58),IF(AND((A495&lt;=COB_CA!$B$58),ROUND(C495-ROUND(COB_CA!$B$59-D495,2),2)&lt;=0),C495,ROUND(COB_CA!$B$59-D495,2)),0)</f>
        <v/>
      </c>
      <c r="F495" s="14">
        <f>IF((A495&lt;=COB_CA!$B$58),IF(AND((A495&lt;=COB_CA!$B$58),ROUND(C495-ROUND(COB_CA!$B$59-D495,2),2)&lt;=0),ROUND(D495+E495,2),COB_CA!$B$59),0)</f>
        <v/>
      </c>
      <c r="G495" s="14">
        <f>IF((A495&lt;=COB_CA!$B$58),IF(AND((A495&lt;=COB_CA!$B$58),ROUND(C495-ROUND(COB_CA!$B$59-D495,2),2)&lt;=0),0,ROUND(C495-E495,2)),C495)</f>
        <v/>
      </c>
      <c r="H495" s="6">
        <f>AND(H494,C494&gt;0,(A495&lt;=COB_CA!$B$58))</f>
        <v/>
      </c>
    </row>
    <row r="496">
      <c r="A496" s="6" t="n">
        <v>492</v>
      </c>
      <c r="B496" s="17">
        <f>IF(COB_CA!$B$44=12,DATE(YEAR(COB_CA!$B$22)+INT((MONTH(COB_CA!$B$22)-1+491)/12),MOD(MONTH(COB_CA!$B$22)-1+491,12)+1,1)+(DAY(COB_CA!$B$22)-1),IF(COB_CA!$B$44=24,COB_CA!$B$22+ROUND((491*365.25)/24,0),IF(COB_CA!$B$44=26,COB_CA!$B$22+6874,COB_CA!$B$22+3437)))</f>
        <v/>
      </c>
      <c r="C496" s="14">
        <f>G495</f>
        <v/>
      </c>
      <c r="D496" s="14">
        <f>IF((A496&lt;=COB_CA!$B$58),ROUND(C496*COB_CA!$B$45,2),0)</f>
        <v/>
      </c>
      <c r="E496" s="14">
        <f>IF((A496&lt;=COB_CA!$B$58),IF(AND((A496&lt;=COB_CA!$B$58),ROUND(C496-ROUND(COB_CA!$B$59-D496,2),2)&lt;=0),C496,ROUND(COB_CA!$B$59-D496,2)),0)</f>
        <v/>
      </c>
      <c r="F496" s="14">
        <f>IF((A496&lt;=COB_CA!$B$58),IF(AND((A496&lt;=COB_CA!$B$58),ROUND(C496-ROUND(COB_CA!$B$59-D496,2),2)&lt;=0),ROUND(D496+E496,2),COB_CA!$B$59),0)</f>
        <v/>
      </c>
      <c r="G496" s="14">
        <f>IF((A496&lt;=COB_CA!$B$58),IF(AND((A496&lt;=COB_CA!$B$58),ROUND(C496-ROUND(COB_CA!$B$59-D496,2),2)&lt;=0),0,ROUND(C496-E496,2)),C496)</f>
        <v/>
      </c>
      <c r="H496" s="6">
        <f>AND(H495,C495&gt;0,(A496&lt;=COB_CA!$B$58))</f>
        <v/>
      </c>
    </row>
    <row r="497">
      <c r="A497" s="6" t="n">
        <v>493</v>
      </c>
      <c r="B497" s="17">
        <f>IF(COB_CA!$B$44=12,DATE(YEAR(COB_CA!$B$22)+INT((MONTH(COB_CA!$B$22)-1+492)/12),MOD(MONTH(COB_CA!$B$22)-1+492,12)+1,1)+(DAY(COB_CA!$B$22)-1),IF(COB_CA!$B$44=24,COB_CA!$B$22+ROUND((492*365.25)/24,0),IF(COB_CA!$B$44=26,COB_CA!$B$22+6888,COB_CA!$B$22+3444)))</f>
        <v/>
      </c>
      <c r="C497" s="14">
        <f>G496</f>
        <v/>
      </c>
      <c r="D497" s="14">
        <f>IF((A497&lt;=COB_CA!$B$58),ROUND(C497*COB_CA!$B$45,2),0)</f>
        <v/>
      </c>
      <c r="E497" s="14">
        <f>IF((A497&lt;=COB_CA!$B$58),IF(AND((A497&lt;=COB_CA!$B$58),ROUND(C497-ROUND(COB_CA!$B$59-D497,2),2)&lt;=0),C497,ROUND(COB_CA!$B$59-D497,2)),0)</f>
        <v/>
      </c>
      <c r="F497" s="14">
        <f>IF((A497&lt;=COB_CA!$B$58),IF(AND((A497&lt;=COB_CA!$B$58),ROUND(C497-ROUND(COB_CA!$B$59-D497,2),2)&lt;=0),ROUND(D497+E497,2),COB_CA!$B$59),0)</f>
        <v/>
      </c>
      <c r="G497" s="14">
        <f>IF((A497&lt;=COB_CA!$B$58),IF(AND((A497&lt;=COB_CA!$B$58),ROUND(C497-ROUND(COB_CA!$B$59-D497,2),2)&lt;=0),0,ROUND(C497-E497,2)),C497)</f>
        <v/>
      </c>
      <c r="H497" s="6">
        <f>AND(H496,C496&gt;0,(A497&lt;=COB_CA!$B$58))</f>
        <v/>
      </c>
    </row>
    <row r="498">
      <c r="A498" s="6" t="n">
        <v>494</v>
      </c>
      <c r="B498" s="17">
        <f>IF(COB_CA!$B$44=12,DATE(YEAR(COB_CA!$B$22)+INT((MONTH(COB_CA!$B$22)-1+493)/12),MOD(MONTH(COB_CA!$B$22)-1+493,12)+1,1)+(DAY(COB_CA!$B$22)-1),IF(COB_CA!$B$44=24,COB_CA!$B$22+ROUND((493*365.25)/24,0),IF(COB_CA!$B$44=26,COB_CA!$B$22+6902,COB_CA!$B$22+3451)))</f>
        <v/>
      </c>
      <c r="C498" s="14">
        <f>G497</f>
        <v/>
      </c>
      <c r="D498" s="14">
        <f>IF((A498&lt;=COB_CA!$B$58),ROUND(C498*COB_CA!$B$45,2),0)</f>
        <v/>
      </c>
      <c r="E498" s="14">
        <f>IF((A498&lt;=COB_CA!$B$58),IF(AND((A498&lt;=COB_CA!$B$58),ROUND(C498-ROUND(COB_CA!$B$59-D498,2),2)&lt;=0),C498,ROUND(COB_CA!$B$59-D498,2)),0)</f>
        <v/>
      </c>
      <c r="F498" s="14">
        <f>IF((A498&lt;=COB_CA!$B$58),IF(AND((A498&lt;=COB_CA!$B$58),ROUND(C498-ROUND(COB_CA!$B$59-D498,2),2)&lt;=0),ROUND(D498+E498,2),COB_CA!$B$59),0)</f>
        <v/>
      </c>
      <c r="G498" s="14">
        <f>IF((A498&lt;=COB_CA!$B$58),IF(AND((A498&lt;=COB_CA!$B$58),ROUND(C498-ROUND(COB_CA!$B$59-D498,2),2)&lt;=0),0,ROUND(C498-E498,2)),C498)</f>
        <v/>
      </c>
      <c r="H498" s="6">
        <f>AND(H497,C497&gt;0,(A498&lt;=COB_CA!$B$58))</f>
        <v/>
      </c>
    </row>
    <row r="499">
      <c r="A499" s="6" t="n">
        <v>495</v>
      </c>
      <c r="B499" s="17">
        <f>IF(COB_CA!$B$44=12,DATE(YEAR(COB_CA!$B$22)+INT((MONTH(COB_CA!$B$22)-1+494)/12),MOD(MONTH(COB_CA!$B$22)-1+494,12)+1,1)+(DAY(COB_CA!$B$22)-1),IF(COB_CA!$B$44=24,COB_CA!$B$22+ROUND((494*365.25)/24,0),IF(COB_CA!$B$44=26,COB_CA!$B$22+6916,COB_CA!$B$22+3458)))</f>
        <v/>
      </c>
      <c r="C499" s="14">
        <f>G498</f>
        <v/>
      </c>
      <c r="D499" s="14">
        <f>IF((A499&lt;=COB_CA!$B$58),ROUND(C499*COB_CA!$B$45,2),0)</f>
        <v/>
      </c>
      <c r="E499" s="14">
        <f>IF((A499&lt;=COB_CA!$B$58),IF(AND((A499&lt;=COB_CA!$B$58),ROUND(C499-ROUND(COB_CA!$B$59-D499,2),2)&lt;=0),C499,ROUND(COB_CA!$B$59-D499,2)),0)</f>
        <v/>
      </c>
      <c r="F499" s="14">
        <f>IF((A499&lt;=COB_CA!$B$58),IF(AND((A499&lt;=COB_CA!$B$58),ROUND(C499-ROUND(COB_CA!$B$59-D499,2),2)&lt;=0),ROUND(D499+E499,2),COB_CA!$B$59),0)</f>
        <v/>
      </c>
      <c r="G499" s="14">
        <f>IF((A499&lt;=COB_CA!$B$58),IF(AND((A499&lt;=COB_CA!$B$58),ROUND(C499-ROUND(COB_CA!$B$59-D499,2),2)&lt;=0),0,ROUND(C499-E499,2)),C499)</f>
        <v/>
      </c>
      <c r="H499" s="6">
        <f>AND(H498,C498&gt;0,(A499&lt;=COB_CA!$B$58))</f>
        <v/>
      </c>
    </row>
    <row r="500">
      <c r="A500" s="6" t="n">
        <v>496</v>
      </c>
      <c r="B500" s="17">
        <f>IF(COB_CA!$B$44=12,DATE(YEAR(COB_CA!$B$22)+INT((MONTH(COB_CA!$B$22)-1+495)/12),MOD(MONTH(COB_CA!$B$22)-1+495,12)+1,1)+(DAY(COB_CA!$B$22)-1),IF(COB_CA!$B$44=24,COB_CA!$B$22+ROUND((495*365.25)/24,0),IF(COB_CA!$B$44=26,COB_CA!$B$22+6930,COB_CA!$B$22+3465)))</f>
        <v/>
      </c>
      <c r="C500" s="14">
        <f>G499</f>
        <v/>
      </c>
      <c r="D500" s="14">
        <f>IF((A500&lt;=COB_CA!$B$58),ROUND(C500*COB_CA!$B$45,2),0)</f>
        <v/>
      </c>
      <c r="E500" s="14">
        <f>IF((A500&lt;=COB_CA!$B$58),IF(AND((A500&lt;=COB_CA!$B$58),ROUND(C500-ROUND(COB_CA!$B$59-D500,2),2)&lt;=0),C500,ROUND(COB_CA!$B$59-D500,2)),0)</f>
        <v/>
      </c>
      <c r="F500" s="14">
        <f>IF((A500&lt;=COB_CA!$B$58),IF(AND((A500&lt;=COB_CA!$B$58),ROUND(C500-ROUND(COB_CA!$B$59-D500,2),2)&lt;=0),ROUND(D500+E500,2),COB_CA!$B$59),0)</f>
        <v/>
      </c>
      <c r="G500" s="14">
        <f>IF((A500&lt;=COB_CA!$B$58),IF(AND((A500&lt;=COB_CA!$B$58),ROUND(C500-ROUND(COB_CA!$B$59-D500,2),2)&lt;=0),0,ROUND(C500-E500,2)),C500)</f>
        <v/>
      </c>
      <c r="H500" s="6">
        <f>AND(H499,C499&gt;0,(A500&lt;=COB_CA!$B$58))</f>
        <v/>
      </c>
    </row>
    <row r="501">
      <c r="A501" s="6" t="n">
        <v>497</v>
      </c>
      <c r="B501" s="17">
        <f>IF(COB_CA!$B$44=12,DATE(YEAR(COB_CA!$B$22)+INT((MONTH(COB_CA!$B$22)-1+496)/12),MOD(MONTH(COB_CA!$B$22)-1+496,12)+1,1)+(DAY(COB_CA!$B$22)-1),IF(COB_CA!$B$44=24,COB_CA!$B$22+ROUND((496*365.25)/24,0),IF(COB_CA!$B$44=26,COB_CA!$B$22+6944,COB_CA!$B$22+3472)))</f>
        <v/>
      </c>
      <c r="C501" s="14">
        <f>G500</f>
        <v/>
      </c>
      <c r="D501" s="14">
        <f>IF((A501&lt;=COB_CA!$B$58),ROUND(C501*COB_CA!$B$45,2),0)</f>
        <v/>
      </c>
      <c r="E501" s="14">
        <f>IF((A501&lt;=COB_CA!$B$58),IF(AND((A501&lt;=COB_CA!$B$58),ROUND(C501-ROUND(COB_CA!$B$59-D501,2),2)&lt;=0),C501,ROUND(COB_CA!$B$59-D501,2)),0)</f>
        <v/>
      </c>
      <c r="F501" s="14">
        <f>IF((A501&lt;=COB_CA!$B$58),IF(AND((A501&lt;=COB_CA!$B$58),ROUND(C501-ROUND(COB_CA!$B$59-D501,2),2)&lt;=0),ROUND(D501+E501,2),COB_CA!$B$59),0)</f>
        <v/>
      </c>
      <c r="G501" s="14">
        <f>IF((A501&lt;=COB_CA!$B$58),IF(AND((A501&lt;=COB_CA!$B$58),ROUND(C501-ROUND(COB_CA!$B$59-D501,2),2)&lt;=0),0,ROUND(C501-E501,2)),C501)</f>
        <v/>
      </c>
      <c r="H501" s="6">
        <f>AND(H500,C500&gt;0,(A501&lt;=COB_CA!$B$58))</f>
        <v/>
      </c>
    </row>
    <row r="502">
      <c r="A502" s="6" t="n">
        <v>498</v>
      </c>
      <c r="B502" s="17">
        <f>IF(COB_CA!$B$44=12,DATE(YEAR(COB_CA!$B$22)+INT((MONTH(COB_CA!$B$22)-1+497)/12),MOD(MONTH(COB_CA!$B$22)-1+497,12)+1,1)+(DAY(COB_CA!$B$22)-1),IF(COB_CA!$B$44=24,COB_CA!$B$22+ROUND((497*365.25)/24,0),IF(COB_CA!$B$44=26,COB_CA!$B$22+6958,COB_CA!$B$22+3479)))</f>
        <v/>
      </c>
      <c r="C502" s="14">
        <f>G501</f>
        <v/>
      </c>
      <c r="D502" s="14">
        <f>IF((A502&lt;=COB_CA!$B$58),ROUND(C502*COB_CA!$B$45,2),0)</f>
        <v/>
      </c>
      <c r="E502" s="14">
        <f>IF((A502&lt;=COB_CA!$B$58),IF(AND((A502&lt;=COB_CA!$B$58),ROUND(C502-ROUND(COB_CA!$B$59-D502,2),2)&lt;=0),C502,ROUND(COB_CA!$B$59-D502,2)),0)</f>
        <v/>
      </c>
      <c r="F502" s="14">
        <f>IF((A502&lt;=COB_CA!$B$58),IF(AND((A502&lt;=COB_CA!$B$58),ROUND(C502-ROUND(COB_CA!$B$59-D502,2),2)&lt;=0),ROUND(D502+E502,2),COB_CA!$B$59),0)</f>
        <v/>
      </c>
      <c r="G502" s="14">
        <f>IF((A502&lt;=COB_CA!$B$58),IF(AND((A502&lt;=COB_CA!$B$58),ROUND(C502-ROUND(COB_CA!$B$59-D502,2),2)&lt;=0),0,ROUND(C502-E502,2)),C502)</f>
        <v/>
      </c>
      <c r="H502" s="6">
        <f>AND(H501,C501&gt;0,(A502&lt;=COB_CA!$B$58))</f>
        <v/>
      </c>
    </row>
    <row r="503">
      <c r="A503" s="6" t="n">
        <v>499</v>
      </c>
      <c r="B503" s="17">
        <f>IF(COB_CA!$B$44=12,DATE(YEAR(COB_CA!$B$22)+INT((MONTH(COB_CA!$B$22)-1+498)/12),MOD(MONTH(COB_CA!$B$22)-1+498,12)+1,1)+(DAY(COB_CA!$B$22)-1),IF(COB_CA!$B$44=24,COB_CA!$B$22+ROUND((498*365.25)/24,0),IF(COB_CA!$B$44=26,COB_CA!$B$22+6972,COB_CA!$B$22+3486)))</f>
        <v/>
      </c>
      <c r="C503" s="14">
        <f>G502</f>
        <v/>
      </c>
      <c r="D503" s="14">
        <f>IF((A503&lt;=COB_CA!$B$58),ROUND(C503*COB_CA!$B$45,2),0)</f>
        <v/>
      </c>
      <c r="E503" s="14">
        <f>IF((A503&lt;=COB_CA!$B$58),IF(AND((A503&lt;=COB_CA!$B$58),ROUND(C503-ROUND(COB_CA!$B$59-D503,2),2)&lt;=0),C503,ROUND(COB_CA!$B$59-D503,2)),0)</f>
        <v/>
      </c>
      <c r="F503" s="14">
        <f>IF((A503&lt;=COB_CA!$B$58),IF(AND((A503&lt;=COB_CA!$B$58),ROUND(C503-ROUND(COB_CA!$B$59-D503,2),2)&lt;=0),ROUND(D503+E503,2),COB_CA!$B$59),0)</f>
        <v/>
      </c>
      <c r="G503" s="14">
        <f>IF((A503&lt;=COB_CA!$B$58),IF(AND((A503&lt;=COB_CA!$B$58),ROUND(C503-ROUND(COB_CA!$B$59-D503,2),2)&lt;=0),0,ROUND(C503-E503,2)),C503)</f>
        <v/>
      </c>
      <c r="H503" s="6">
        <f>AND(H502,C502&gt;0,(A503&lt;=COB_CA!$B$58))</f>
        <v/>
      </c>
    </row>
    <row r="504">
      <c r="A504" s="6" t="n">
        <v>500</v>
      </c>
      <c r="B504" s="17">
        <f>IF(COB_CA!$B$44=12,DATE(YEAR(COB_CA!$B$22)+INT((MONTH(COB_CA!$B$22)-1+499)/12),MOD(MONTH(COB_CA!$B$22)-1+499,12)+1,1)+(DAY(COB_CA!$B$22)-1),IF(COB_CA!$B$44=24,COB_CA!$B$22+ROUND((499*365.25)/24,0),IF(COB_CA!$B$44=26,COB_CA!$B$22+6986,COB_CA!$B$22+3493)))</f>
        <v/>
      </c>
      <c r="C504" s="14">
        <f>G503</f>
        <v/>
      </c>
      <c r="D504" s="14">
        <f>IF((A504&lt;=COB_CA!$B$58),ROUND(C504*COB_CA!$B$45,2),0)</f>
        <v/>
      </c>
      <c r="E504" s="14">
        <f>IF((A504&lt;=COB_CA!$B$58),IF(AND((A504&lt;=COB_CA!$B$58),ROUND(C504-ROUND(COB_CA!$B$59-D504,2),2)&lt;=0),C504,ROUND(COB_CA!$B$59-D504,2)),0)</f>
        <v/>
      </c>
      <c r="F504" s="14">
        <f>IF((A504&lt;=COB_CA!$B$58),IF(AND((A504&lt;=COB_CA!$B$58),ROUND(C504-ROUND(COB_CA!$B$59-D504,2),2)&lt;=0),ROUND(D504+E504,2),COB_CA!$B$59),0)</f>
        <v/>
      </c>
      <c r="G504" s="14">
        <f>IF((A504&lt;=COB_CA!$B$58),IF(AND((A504&lt;=COB_CA!$B$58),ROUND(C504-ROUND(COB_CA!$B$59-D504,2),2)&lt;=0),0,ROUND(C504-E504,2)),C504)</f>
        <v/>
      </c>
      <c r="H504" s="6">
        <f>AND(H503,C503&gt;0,(A504&lt;=COB_CA!$B$58))</f>
        <v/>
      </c>
    </row>
    <row r="505">
      <c r="A505" s="6" t="n">
        <v>501</v>
      </c>
      <c r="B505" s="17">
        <f>IF(COB_CA!$B$44=12,DATE(YEAR(COB_CA!$B$22)+INT((MONTH(COB_CA!$B$22)-1+500)/12),MOD(MONTH(COB_CA!$B$22)-1+500,12)+1,1)+(DAY(COB_CA!$B$22)-1),IF(COB_CA!$B$44=24,COB_CA!$B$22+ROUND((500*365.25)/24,0),IF(COB_CA!$B$44=26,COB_CA!$B$22+7000,COB_CA!$B$22+3500)))</f>
        <v/>
      </c>
      <c r="C505" s="14">
        <f>G504</f>
        <v/>
      </c>
      <c r="D505" s="14">
        <f>IF((A505&lt;=COB_CA!$B$58),ROUND(C505*COB_CA!$B$45,2),0)</f>
        <v/>
      </c>
      <c r="E505" s="14">
        <f>IF((A505&lt;=COB_CA!$B$58),IF(AND((A505&lt;=COB_CA!$B$58),ROUND(C505-ROUND(COB_CA!$B$59-D505,2),2)&lt;=0),C505,ROUND(COB_CA!$B$59-D505,2)),0)</f>
        <v/>
      </c>
      <c r="F505" s="14">
        <f>IF((A505&lt;=COB_CA!$B$58),IF(AND((A505&lt;=COB_CA!$B$58),ROUND(C505-ROUND(COB_CA!$B$59-D505,2),2)&lt;=0),ROUND(D505+E505,2),COB_CA!$B$59),0)</f>
        <v/>
      </c>
      <c r="G505" s="14">
        <f>IF((A505&lt;=COB_CA!$B$58),IF(AND((A505&lt;=COB_CA!$B$58),ROUND(C505-ROUND(COB_CA!$B$59-D505,2),2)&lt;=0),0,ROUND(C505-E505,2)),C505)</f>
        <v/>
      </c>
      <c r="H505" s="6">
        <f>AND(H504,C504&gt;0,(A505&lt;=COB_CA!$B$58))</f>
        <v/>
      </c>
    </row>
    <row r="506">
      <c r="A506" s="6" t="n">
        <v>502</v>
      </c>
      <c r="B506" s="17">
        <f>IF(COB_CA!$B$44=12,DATE(YEAR(COB_CA!$B$22)+INT((MONTH(COB_CA!$B$22)-1+501)/12),MOD(MONTH(COB_CA!$B$22)-1+501,12)+1,1)+(DAY(COB_CA!$B$22)-1),IF(COB_CA!$B$44=24,COB_CA!$B$22+ROUND((501*365.25)/24,0),IF(COB_CA!$B$44=26,COB_CA!$B$22+7014,COB_CA!$B$22+3507)))</f>
        <v/>
      </c>
      <c r="C506" s="14">
        <f>G505</f>
        <v/>
      </c>
      <c r="D506" s="14">
        <f>IF((A506&lt;=COB_CA!$B$58),ROUND(C506*COB_CA!$B$45,2),0)</f>
        <v/>
      </c>
      <c r="E506" s="14">
        <f>IF((A506&lt;=COB_CA!$B$58),IF(AND((A506&lt;=COB_CA!$B$58),ROUND(C506-ROUND(COB_CA!$B$59-D506,2),2)&lt;=0),C506,ROUND(COB_CA!$B$59-D506,2)),0)</f>
        <v/>
      </c>
      <c r="F506" s="14">
        <f>IF((A506&lt;=COB_CA!$B$58),IF(AND((A506&lt;=COB_CA!$B$58),ROUND(C506-ROUND(COB_CA!$B$59-D506,2),2)&lt;=0),ROUND(D506+E506,2),COB_CA!$B$59),0)</f>
        <v/>
      </c>
      <c r="G506" s="14">
        <f>IF((A506&lt;=COB_CA!$B$58),IF(AND((A506&lt;=COB_CA!$B$58),ROUND(C506-ROUND(COB_CA!$B$59-D506,2),2)&lt;=0),0,ROUND(C506-E506,2)),C506)</f>
        <v/>
      </c>
      <c r="H506" s="6">
        <f>AND(H505,C505&gt;0,(A506&lt;=COB_CA!$B$58))</f>
        <v/>
      </c>
    </row>
    <row r="507">
      <c r="A507" s="6" t="n">
        <v>503</v>
      </c>
      <c r="B507" s="17">
        <f>IF(COB_CA!$B$44=12,DATE(YEAR(COB_CA!$B$22)+INT((MONTH(COB_CA!$B$22)-1+502)/12),MOD(MONTH(COB_CA!$B$22)-1+502,12)+1,1)+(DAY(COB_CA!$B$22)-1),IF(COB_CA!$B$44=24,COB_CA!$B$22+ROUND((502*365.25)/24,0),IF(COB_CA!$B$44=26,COB_CA!$B$22+7028,COB_CA!$B$22+3514)))</f>
        <v/>
      </c>
      <c r="C507" s="14">
        <f>G506</f>
        <v/>
      </c>
      <c r="D507" s="14">
        <f>IF((A507&lt;=COB_CA!$B$58),ROUND(C507*COB_CA!$B$45,2),0)</f>
        <v/>
      </c>
      <c r="E507" s="14">
        <f>IF((A507&lt;=COB_CA!$B$58),IF(AND((A507&lt;=COB_CA!$B$58),ROUND(C507-ROUND(COB_CA!$B$59-D507,2),2)&lt;=0),C507,ROUND(COB_CA!$B$59-D507,2)),0)</f>
        <v/>
      </c>
      <c r="F507" s="14">
        <f>IF((A507&lt;=COB_CA!$B$58),IF(AND((A507&lt;=COB_CA!$B$58),ROUND(C507-ROUND(COB_CA!$B$59-D507,2),2)&lt;=0),ROUND(D507+E507,2),COB_CA!$B$59),0)</f>
        <v/>
      </c>
      <c r="G507" s="14">
        <f>IF((A507&lt;=COB_CA!$B$58),IF(AND((A507&lt;=COB_CA!$B$58),ROUND(C507-ROUND(COB_CA!$B$59-D507,2),2)&lt;=0),0,ROUND(C507-E507,2)),C507)</f>
        <v/>
      </c>
      <c r="H507" s="6">
        <f>AND(H506,C506&gt;0,(A507&lt;=COB_CA!$B$58))</f>
        <v/>
      </c>
    </row>
    <row r="508">
      <c r="A508" s="6" t="n">
        <v>504</v>
      </c>
      <c r="B508" s="17">
        <f>IF(COB_CA!$B$44=12,DATE(YEAR(COB_CA!$B$22)+INT((MONTH(COB_CA!$B$22)-1+503)/12),MOD(MONTH(COB_CA!$B$22)-1+503,12)+1,1)+(DAY(COB_CA!$B$22)-1),IF(COB_CA!$B$44=24,COB_CA!$B$22+ROUND((503*365.25)/24,0),IF(COB_CA!$B$44=26,COB_CA!$B$22+7042,COB_CA!$B$22+3521)))</f>
        <v/>
      </c>
      <c r="C508" s="14">
        <f>G507</f>
        <v/>
      </c>
      <c r="D508" s="14">
        <f>IF((A508&lt;=COB_CA!$B$58),ROUND(C508*COB_CA!$B$45,2),0)</f>
        <v/>
      </c>
      <c r="E508" s="14">
        <f>IF((A508&lt;=COB_CA!$B$58),IF(AND((A508&lt;=COB_CA!$B$58),ROUND(C508-ROUND(COB_CA!$B$59-D508,2),2)&lt;=0),C508,ROUND(COB_CA!$B$59-D508,2)),0)</f>
        <v/>
      </c>
      <c r="F508" s="14">
        <f>IF((A508&lt;=COB_CA!$B$58),IF(AND((A508&lt;=COB_CA!$B$58),ROUND(C508-ROUND(COB_CA!$B$59-D508,2),2)&lt;=0),ROUND(D508+E508,2),COB_CA!$B$59),0)</f>
        <v/>
      </c>
      <c r="G508" s="14">
        <f>IF((A508&lt;=COB_CA!$B$58),IF(AND((A508&lt;=COB_CA!$B$58),ROUND(C508-ROUND(COB_CA!$B$59-D508,2),2)&lt;=0),0,ROUND(C508-E508,2)),C508)</f>
        <v/>
      </c>
      <c r="H508" s="6">
        <f>AND(H507,C507&gt;0,(A508&lt;=COB_CA!$B$58))</f>
        <v/>
      </c>
    </row>
    <row r="509">
      <c r="A509" s="6" t="n">
        <v>505</v>
      </c>
      <c r="B509" s="17">
        <f>IF(COB_CA!$B$44=12,DATE(YEAR(COB_CA!$B$22)+INT((MONTH(COB_CA!$B$22)-1+504)/12),MOD(MONTH(COB_CA!$B$22)-1+504,12)+1,1)+(DAY(COB_CA!$B$22)-1),IF(COB_CA!$B$44=24,COB_CA!$B$22+ROUND((504*365.25)/24,0),IF(COB_CA!$B$44=26,COB_CA!$B$22+7056,COB_CA!$B$22+3528)))</f>
        <v/>
      </c>
      <c r="C509" s="14">
        <f>G508</f>
        <v/>
      </c>
      <c r="D509" s="14">
        <f>IF((A509&lt;=COB_CA!$B$58),ROUND(C509*COB_CA!$B$45,2),0)</f>
        <v/>
      </c>
      <c r="E509" s="14">
        <f>IF((A509&lt;=COB_CA!$B$58),IF(AND((A509&lt;=COB_CA!$B$58),ROUND(C509-ROUND(COB_CA!$B$59-D509,2),2)&lt;=0),C509,ROUND(COB_CA!$B$59-D509,2)),0)</f>
        <v/>
      </c>
      <c r="F509" s="14">
        <f>IF((A509&lt;=COB_CA!$B$58),IF(AND((A509&lt;=COB_CA!$B$58),ROUND(C509-ROUND(COB_CA!$B$59-D509,2),2)&lt;=0),ROUND(D509+E509,2),COB_CA!$B$59),0)</f>
        <v/>
      </c>
      <c r="G509" s="14">
        <f>IF((A509&lt;=COB_CA!$B$58),IF(AND((A509&lt;=COB_CA!$B$58),ROUND(C509-ROUND(COB_CA!$B$59-D509,2),2)&lt;=0),0,ROUND(C509-E509,2)),C509)</f>
        <v/>
      </c>
      <c r="H509" s="6">
        <f>AND(H508,C508&gt;0,(A509&lt;=COB_CA!$B$58))</f>
        <v/>
      </c>
    </row>
    <row r="510">
      <c r="A510" s="6" t="n">
        <v>506</v>
      </c>
      <c r="B510" s="17">
        <f>IF(COB_CA!$B$44=12,DATE(YEAR(COB_CA!$B$22)+INT((MONTH(COB_CA!$B$22)-1+505)/12),MOD(MONTH(COB_CA!$B$22)-1+505,12)+1,1)+(DAY(COB_CA!$B$22)-1),IF(COB_CA!$B$44=24,COB_CA!$B$22+ROUND((505*365.25)/24,0),IF(COB_CA!$B$44=26,COB_CA!$B$22+7070,COB_CA!$B$22+3535)))</f>
        <v/>
      </c>
      <c r="C510" s="14">
        <f>G509</f>
        <v/>
      </c>
      <c r="D510" s="14">
        <f>IF((A510&lt;=COB_CA!$B$58),ROUND(C510*COB_CA!$B$45,2),0)</f>
        <v/>
      </c>
      <c r="E510" s="14">
        <f>IF((A510&lt;=COB_CA!$B$58),IF(AND((A510&lt;=COB_CA!$B$58),ROUND(C510-ROUND(COB_CA!$B$59-D510,2),2)&lt;=0),C510,ROUND(COB_CA!$B$59-D510,2)),0)</f>
        <v/>
      </c>
      <c r="F510" s="14">
        <f>IF((A510&lt;=COB_CA!$B$58),IF(AND((A510&lt;=COB_CA!$B$58),ROUND(C510-ROUND(COB_CA!$B$59-D510,2),2)&lt;=0),ROUND(D510+E510,2),COB_CA!$B$59),0)</f>
        <v/>
      </c>
      <c r="G510" s="14">
        <f>IF((A510&lt;=COB_CA!$B$58),IF(AND((A510&lt;=COB_CA!$B$58),ROUND(C510-ROUND(COB_CA!$B$59-D510,2),2)&lt;=0),0,ROUND(C510-E510,2)),C510)</f>
        <v/>
      </c>
      <c r="H510" s="6">
        <f>AND(H509,C509&gt;0,(A510&lt;=COB_CA!$B$58))</f>
        <v/>
      </c>
    </row>
    <row r="511">
      <c r="A511" s="6" t="n">
        <v>507</v>
      </c>
      <c r="B511" s="17">
        <f>IF(COB_CA!$B$44=12,DATE(YEAR(COB_CA!$B$22)+INT((MONTH(COB_CA!$B$22)-1+506)/12),MOD(MONTH(COB_CA!$B$22)-1+506,12)+1,1)+(DAY(COB_CA!$B$22)-1),IF(COB_CA!$B$44=24,COB_CA!$B$22+ROUND((506*365.25)/24,0),IF(COB_CA!$B$44=26,COB_CA!$B$22+7084,COB_CA!$B$22+3542)))</f>
        <v/>
      </c>
      <c r="C511" s="14">
        <f>G510</f>
        <v/>
      </c>
      <c r="D511" s="14">
        <f>IF((A511&lt;=COB_CA!$B$58),ROUND(C511*COB_CA!$B$45,2),0)</f>
        <v/>
      </c>
      <c r="E511" s="14">
        <f>IF((A511&lt;=COB_CA!$B$58),IF(AND((A511&lt;=COB_CA!$B$58),ROUND(C511-ROUND(COB_CA!$B$59-D511,2),2)&lt;=0),C511,ROUND(COB_CA!$B$59-D511,2)),0)</f>
        <v/>
      </c>
      <c r="F511" s="14">
        <f>IF((A511&lt;=COB_CA!$B$58),IF(AND((A511&lt;=COB_CA!$B$58),ROUND(C511-ROUND(COB_CA!$B$59-D511,2),2)&lt;=0),ROUND(D511+E511,2),COB_CA!$B$59),0)</f>
        <v/>
      </c>
      <c r="G511" s="14">
        <f>IF((A511&lt;=COB_CA!$B$58),IF(AND((A511&lt;=COB_CA!$B$58),ROUND(C511-ROUND(COB_CA!$B$59-D511,2),2)&lt;=0),0,ROUND(C511-E511,2)),C511)</f>
        <v/>
      </c>
      <c r="H511" s="6">
        <f>AND(H510,C510&gt;0,(A511&lt;=COB_CA!$B$58))</f>
        <v/>
      </c>
    </row>
    <row r="512">
      <c r="A512" s="6" t="n">
        <v>508</v>
      </c>
      <c r="B512" s="17">
        <f>IF(COB_CA!$B$44=12,DATE(YEAR(COB_CA!$B$22)+INT((MONTH(COB_CA!$B$22)-1+507)/12),MOD(MONTH(COB_CA!$B$22)-1+507,12)+1,1)+(DAY(COB_CA!$B$22)-1),IF(COB_CA!$B$44=24,COB_CA!$B$22+ROUND((507*365.25)/24,0),IF(COB_CA!$B$44=26,COB_CA!$B$22+7098,COB_CA!$B$22+3549)))</f>
        <v/>
      </c>
      <c r="C512" s="14">
        <f>G511</f>
        <v/>
      </c>
      <c r="D512" s="14">
        <f>IF((A512&lt;=COB_CA!$B$58),ROUND(C512*COB_CA!$B$45,2),0)</f>
        <v/>
      </c>
      <c r="E512" s="14">
        <f>IF((A512&lt;=COB_CA!$B$58),IF(AND((A512&lt;=COB_CA!$B$58),ROUND(C512-ROUND(COB_CA!$B$59-D512,2),2)&lt;=0),C512,ROUND(COB_CA!$B$59-D512,2)),0)</f>
        <v/>
      </c>
      <c r="F512" s="14">
        <f>IF((A512&lt;=COB_CA!$B$58),IF(AND((A512&lt;=COB_CA!$B$58),ROUND(C512-ROUND(COB_CA!$B$59-D512,2),2)&lt;=0),ROUND(D512+E512,2),COB_CA!$B$59),0)</f>
        <v/>
      </c>
      <c r="G512" s="14">
        <f>IF((A512&lt;=COB_CA!$B$58),IF(AND((A512&lt;=COB_CA!$B$58),ROUND(C512-ROUND(COB_CA!$B$59-D512,2),2)&lt;=0),0,ROUND(C512-E512,2)),C512)</f>
        <v/>
      </c>
      <c r="H512" s="6">
        <f>AND(H511,C511&gt;0,(A512&lt;=COB_CA!$B$58))</f>
        <v/>
      </c>
    </row>
    <row r="513">
      <c r="A513" s="6" t="n">
        <v>509</v>
      </c>
      <c r="B513" s="17">
        <f>IF(COB_CA!$B$44=12,DATE(YEAR(COB_CA!$B$22)+INT((MONTH(COB_CA!$B$22)-1+508)/12),MOD(MONTH(COB_CA!$B$22)-1+508,12)+1,1)+(DAY(COB_CA!$B$22)-1),IF(COB_CA!$B$44=24,COB_CA!$B$22+ROUND((508*365.25)/24,0),IF(COB_CA!$B$44=26,COB_CA!$B$22+7112,COB_CA!$B$22+3556)))</f>
        <v/>
      </c>
      <c r="C513" s="14">
        <f>G512</f>
        <v/>
      </c>
      <c r="D513" s="14">
        <f>IF((A513&lt;=COB_CA!$B$58),ROUND(C513*COB_CA!$B$45,2),0)</f>
        <v/>
      </c>
      <c r="E513" s="14">
        <f>IF((A513&lt;=COB_CA!$B$58),IF(AND((A513&lt;=COB_CA!$B$58),ROUND(C513-ROUND(COB_CA!$B$59-D513,2),2)&lt;=0),C513,ROUND(COB_CA!$B$59-D513,2)),0)</f>
        <v/>
      </c>
      <c r="F513" s="14">
        <f>IF((A513&lt;=COB_CA!$B$58),IF(AND((A513&lt;=COB_CA!$B$58),ROUND(C513-ROUND(COB_CA!$B$59-D513,2),2)&lt;=0),ROUND(D513+E513,2),COB_CA!$B$59),0)</f>
        <v/>
      </c>
      <c r="G513" s="14">
        <f>IF((A513&lt;=COB_CA!$B$58),IF(AND((A513&lt;=COB_CA!$B$58),ROUND(C513-ROUND(COB_CA!$B$59-D513,2),2)&lt;=0),0,ROUND(C513-E513,2)),C513)</f>
        <v/>
      </c>
      <c r="H513" s="6">
        <f>AND(H512,C512&gt;0,(A513&lt;=COB_CA!$B$58))</f>
        <v/>
      </c>
    </row>
    <row r="514">
      <c r="A514" s="6" t="n">
        <v>510</v>
      </c>
      <c r="B514" s="17">
        <f>IF(COB_CA!$B$44=12,DATE(YEAR(COB_CA!$B$22)+INT((MONTH(COB_CA!$B$22)-1+509)/12),MOD(MONTH(COB_CA!$B$22)-1+509,12)+1,1)+(DAY(COB_CA!$B$22)-1),IF(COB_CA!$B$44=24,COB_CA!$B$22+ROUND((509*365.25)/24,0),IF(COB_CA!$B$44=26,COB_CA!$B$22+7126,COB_CA!$B$22+3563)))</f>
        <v/>
      </c>
      <c r="C514" s="14">
        <f>G513</f>
        <v/>
      </c>
      <c r="D514" s="14">
        <f>IF((A514&lt;=COB_CA!$B$58),ROUND(C514*COB_CA!$B$45,2),0)</f>
        <v/>
      </c>
      <c r="E514" s="14">
        <f>IF((A514&lt;=COB_CA!$B$58),IF(AND((A514&lt;=COB_CA!$B$58),ROUND(C514-ROUND(COB_CA!$B$59-D514,2),2)&lt;=0),C514,ROUND(COB_CA!$B$59-D514,2)),0)</f>
        <v/>
      </c>
      <c r="F514" s="14">
        <f>IF((A514&lt;=COB_CA!$B$58),IF(AND((A514&lt;=COB_CA!$B$58),ROUND(C514-ROUND(COB_CA!$B$59-D514,2),2)&lt;=0),ROUND(D514+E514,2),COB_CA!$B$59),0)</f>
        <v/>
      </c>
      <c r="G514" s="14">
        <f>IF((A514&lt;=COB_CA!$B$58),IF(AND((A514&lt;=COB_CA!$B$58),ROUND(C514-ROUND(COB_CA!$B$59-D514,2),2)&lt;=0),0,ROUND(C514-E514,2)),C514)</f>
        <v/>
      </c>
      <c r="H514" s="6">
        <f>AND(H513,C513&gt;0,(A514&lt;=COB_CA!$B$58))</f>
        <v/>
      </c>
    </row>
    <row r="515">
      <c r="A515" s="6" t="n">
        <v>511</v>
      </c>
      <c r="B515" s="17">
        <f>IF(COB_CA!$B$44=12,DATE(YEAR(COB_CA!$B$22)+INT((MONTH(COB_CA!$B$22)-1+510)/12),MOD(MONTH(COB_CA!$B$22)-1+510,12)+1,1)+(DAY(COB_CA!$B$22)-1),IF(COB_CA!$B$44=24,COB_CA!$B$22+ROUND((510*365.25)/24,0),IF(COB_CA!$B$44=26,COB_CA!$B$22+7140,COB_CA!$B$22+3570)))</f>
        <v/>
      </c>
      <c r="C515" s="14">
        <f>G514</f>
        <v/>
      </c>
      <c r="D515" s="14">
        <f>IF((A515&lt;=COB_CA!$B$58),ROUND(C515*COB_CA!$B$45,2),0)</f>
        <v/>
      </c>
      <c r="E515" s="14">
        <f>IF((A515&lt;=COB_CA!$B$58),IF(AND((A515&lt;=COB_CA!$B$58),ROUND(C515-ROUND(COB_CA!$B$59-D515,2),2)&lt;=0),C515,ROUND(COB_CA!$B$59-D515,2)),0)</f>
        <v/>
      </c>
      <c r="F515" s="14">
        <f>IF((A515&lt;=COB_CA!$B$58),IF(AND((A515&lt;=COB_CA!$B$58),ROUND(C515-ROUND(COB_CA!$B$59-D515,2),2)&lt;=0),ROUND(D515+E515,2),COB_CA!$B$59),0)</f>
        <v/>
      </c>
      <c r="G515" s="14">
        <f>IF((A515&lt;=COB_CA!$B$58),IF(AND((A515&lt;=COB_CA!$B$58),ROUND(C515-ROUND(COB_CA!$B$59-D515,2),2)&lt;=0),0,ROUND(C515-E515,2)),C515)</f>
        <v/>
      </c>
      <c r="H515" s="6">
        <f>AND(H514,C514&gt;0,(A515&lt;=COB_CA!$B$58))</f>
        <v/>
      </c>
    </row>
    <row r="516">
      <c r="A516" s="6" t="n">
        <v>512</v>
      </c>
      <c r="B516" s="17">
        <f>IF(COB_CA!$B$44=12,DATE(YEAR(COB_CA!$B$22)+INT((MONTH(COB_CA!$B$22)-1+511)/12),MOD(MONTH(COB_CA!$B$22)-1+511,12)+1,1)+(DAY(COB_CA!$B$22)-1),IF(COB_CA!$B$44=24,COB_CA!$B$22+ROUND((511*365.25)/24,0),IF(COB_CA!$B$44=26,COB_CA!$B$22+7154,COB_CA!$B$22+3577)))</f>
        <v/>
      </c>
      <c r="C516" s="14">
        <f>G515</f>
        <v/>
      </c>
      <c r="D516" s="14">
        <f>IF((A516&lt;=COB_CA!$B$58),ROUND(C516*COB_CA!$B$45,2),0)</f>
        <v/>
      </c>
      <c r="E516" s="14">
        <f>IF((A516&lt;=COB_CA!$B$58),IF(AND((A516&lt;=COB_CA!$B$58),ROUND(C516-ROUND(COB_CA!$B$59-D516,2),2)&lt;=0),C516,ROUND(COB_CA!$B$59-D516,2)),0)</f>
        <v/>
      </c>
      <c r="F516" s="14">
        <f>IF((A516&lt;=COB_CA!$B$58),IF(AND((A516&lt;=COB_CA!$B$58),ROUND(C516-ROUND(COB_CA!$B$59-D516,2),2)&lt;=0),ROUND(D516+E516,2),COB_CA!$B$59),0)</f>
        <v/>
      </c>
      <c r="G516" s="14">
        <f>IF((A516&lt;=COB_CA!$B$58),IF(AND((A516&lt;=COB_CA!$B$58),ROUND(C516-ROUND(COB_CA!$B$59-D516,2),2)&lt;=0),0,ROUND(C516-E516,2)),C516)</f>
        <v/>
      </c>
      <c r="H516" s="6">
        <f>AND(H515,C515&gt;0,(A516&lt;=COB_CA!$B$58))</f>
        <v/>
      </c>
    </row>
    <row r="517">
      <c r="A517" s="6" t="n">
        <v>513</v>
      </c>
      <c r="B517" s="17">
        <f>IF(COB_CA!$B$44=12,DATE(YEAR(COB_CA!$B$22)+INT((MONTH(COB_CA!$B$22)-1+512)/12),MOD(MONTH(COB_CA!$B$22)-1+512,12)+1,1)+(DAY(COB_CA!$B$22)-1),IF(COB_CA!$B$44=24,COB_CA!$B$22+ROUND((512*365.25)/24,0),IF(COB_CA!$B$44=26,COB_CA!$B$22+7168,COB_CA!$B$22+3584)))</f>
        <v/>
      </c>
      <c r="C517" s="14">
        <f>G516</f>
        <v/>
      </c>
      <c r="D517" s="14">
        <f>IF((A517&lt;=COB_CA!$B$58),ROUND(C517*COB_CA!$B$45,2),0)</f>
        <v/>
      </c>
      <c r="E517" s="14">
        <f>IF((A517&lt;=COB_CA!$B$58),IF(AND((A517&lt;=COB_CA!$B$58),ROUND(C517-ROUND(COB_CA!$B$59-D517,2),2)&lt;=0),C517,ROUND(COB_CA!$B$59-D517,2)),0)</f>
        <v/>
      </c>
      <c r="F517" s="14">
        <f>IF((A517&lt;=COB_CA!$B$58),IF(AND((A517&lt;=COB_CA!$B$58),ROUND(C517-ROUND(COB_CA!$B$59-D517,2),2)&lt;=0),ROUND(D517+E517,2),COB_CA!$B$59),0)</f>
        <v/>
      </c>
      <c r="G517" s="14">
        <f>IF((A517&lt;=COB_CA!$B$58),IF(AND((A517&lt;=COB_CA!$B$58),ROUND(C517-ROUND(COB_CA!$B$59-D517,2),2)&lt;=0),0,ROUND(C517-E517,2)),C517)</f>
        <v/>
      </c>
      <c r="H517" s="6">
        <f>AND(H516,C516&gt;0,(A517&lt;=COB_CA!$B$58))</f>
        <v/>
      </c>
    </row>
    <row r="518">
      <c r="A518" s="6" t="n">
        <v>514</v>
      </c>
      <c r="B518" s="17">
        <f>IF(COB_CA!$B$44=12,DATE(YEAR(COB_CA!$B$22)+INT((MONTH(COB_CA!$B$22)-1+513)/12),MOD(MONTH(COB_CA!$B$22)-1+513,12)+1,1)+(DAY(COB_CA!$B$22)-1),IF(COB_CA!$B$44=24,COB_CA!$B$22+ROUND((513*365.25)/24,0),IF(COB_CA!$B$44=26,COB_CA!$B$22+7182,COB_CA!$B$22+3591)))</f>
        <v/>
      </c>
      <c r="C518" s="14">
        <f>G517</f>
        <v/>
      </c>
      <c r="D518" s="14">
        <f>IF((A518&lt;=COB_CA!$B$58),ROUND(C518*COB_CA!$B$45,2),0)</f>
        <v/>
      </c>
      <c r="E518" s="14">
        <f>IF((A518&lt;=COB_CA!$B$58),IF(AND((A518&lt;=COB_CA!$B$58),ROUND(C518-ROUND(COB_CA!$B$59-D518,2),2)&lt;=0),C518,ROUND(COB_CA!$B$59-D518,2)),0)</f>
        <v/>
      </c>
      <c r="F518" s="14">
        <f>IF((A518&lt;=COB_CA!$B$58),IF(AND((A518&lt;=COB_CA!$B$58),ROUND(C518-ROUND(COB_CA!$B$59-D518,2),2)&lt;=0),ROUND(D518+E518,2),COB_CA!$B$59),0)</f>
        <v/>
      </c>
      <c r="G518" s="14">
        <f>IF((A518&lt;=COB_CA!$B$58),IF(AND((A518&lt;=COB_CA!$B$58),ROUND(C518-ROUND(COB_CA!$B$59-D518,2),2)&lt;=0),0,ROUND(C518-E518,2)),C518)</f>
        <v/>
      </c>
      <c r="H518" s="6">
        <f>AND(H517,C517&gt;0,(A518&lt;=COB_CA!$B$58))</f>
        <v/>
      </c>
    </row>
    <row r="519">
      <c r="A519" s="6" t="n">
        <v>515</v>
      </c>
      <c r="B519" s="17">
        <f>IF(COB_CA!$B$44=12,DATE(YEAR(COB_CA!$B$22)+INT((MONTH(COB_CA!$B$22)-1+514)/12),MOD(MONTH(COB_CA!$B$22)-1+514,12)+1,1)+(DAY(COB_CA!$B$22)-1),IF(COB_CA!$B$44=24,COB_CA!$B$22+ROUND((514*365.25)/24,0),IF(COB_CA!$B$44=26,COB_CA!$B$22+7196,COB_CA!$B$22+3598)))</f>
        <v/>
      </c>
      <c r="C519" s="14">
        <f>G518</f>
        <v/>
      </c>
      <c r="D519" s="14">
        <f>IF((A519&lt;=COB_CA!$B$58),ROUND(C519*COB_CA!$B$45,2),0)</f>
        <v/>
      </c>
      <c r="E519" s="14">
        <f>IF((A519&lt;=COB_CA!$B$58),IF(AND((A519&lt;=COB_CA!$B$58),ROUND(C519-ROUND(COB_CA!$B$59-D519,2),2)&lt;=0),C519,ROUND(COB_CA!$B$59-D519,2)),0)</f>
        <v/>
      </c>
      <c r="F519" s="14">
        <f>IF((A519&lt;=COB_CA!$B$58),IF(AND((A519&lt;=COB_CA!$B$58),ROUND(C519-ROUND(COB_CA!$B$59-D519,2),2)&lt;=0),ROUND(D519+E519,2),COB_CA!$B$59),0)</f>
        <v/>
      </c>
      <c r="G519" s="14">
        <f>IF((A519&lt;=COB_CA!$B$58),IF(AND((A519&lt;=COB_CA!$B$58),ROUND(C519-ROUND(COB_CA!$B$59-D519,2),2)&lt;=0),0,ROUND(C519-E519,2)),C519)</f>
        <v/>
      </c>
      <c r="H519" s="6">
        <f>AND(H518,C518&gt;0,(A519&lt;=COB_CA!$B$58))</f>
        <v/>
      </c>
    </row>
    <row r="520">
      <c r="A520" s="6" t="n">
        <v>516</v>
      </c>
      <c r="B520" s="17">
        <f>IF(COB_CA!$B$44=12,DATE(YEAR(COB_CA!$B$22)+INT((MONTH(COB_CA!$B$22)-1+515)/12),MOD(MONTH(COB_CA!$B$22)-1+515,12)+1,1)+(DAY(COB_CA!$B$22)-1),IF(COB_CA!$B$44=24,COB_CA!$B$22+ROUND((515*365.25)/24,0),IF(COB_CA!$B$44=26,COB_CA!$B$22+7210,COB_CA!$B$22+3605)))</f>
        <v/>
      </c>
      <c r="C520" s="14">
        <f>G519</f>
        <v/>
      </c>
      <c r="D520" s="14">
        <f>IF((A520&lt;=COB_CA!$B$58),ROUND(C520*COB_CA!$B$45,2),0)</f>
        <v/>
      </c>
      <c r="E520" s="14">
        <f>IF((A520&lt;=COB_CA!$B$58),IF(AND((A520&lt;=COB_CA!$B$58),ROUND(C520-ROUND(COB_CA!$B$59-D520,2),2)&lt;=0),C520,ROUND(COB_CA!$B$59-D520,2)),0)</f>
        <v/>
      </c>
      <c r="F520" s="14">
        <f>IF((A520&lt;=COB_CA!$B$58),IF(AND((A520&lt;=COB_CA!$B$58),ROUND(C520-ROUND(COB_CA!$B$59-D520,2),2)&lt;=0),ROUND(D520+E520,2),COB_CA!$B$59),0)</f>
        <v/>
      </c>
      <c r="G520" s="14">
        <f>IF((A520&lt;=COB_CA!$B$58),IF(AND((A520&lt;=COB_CA!$B$58),ROUND(C520-ROUND(COB_CA!$B$59-D520,2),2)&lt;=0),0,ROUND(C520-E520,2)),C520)</f>
        <v/>
      </c>
      <c r="H520" s="6">
        <f>AND(H519,C519&gt;0,(A520&lt;=COB_CA!$B$58))</f>
        <v/>
      </c>
    </row>
    <row r="521">
      <c r="A521" s="6" t="n">
        <v>517</v>
      </c>
      <c r="B521" s="17">
        <f>IF(COB_CA!$B$44=12,DATE(YEAR(COB_CA!$B$22)+INT((MONTH(COB_CA!$B$22)-1+516)/12),MOD(MONTH(COB_CA!$B$22)-1+516,12)+1,1)+(DAY(COB_CA!$B$22)-1),IF(COB_CA!$B$44=24,COB_CA!$B$22+ROUND((516*365.25)/24,0),IF(COB_CA!$B$44=26,COB_CA!$B$22+7224,COB_CA!$B$22+3612)))</f>
        <v/>
      </c>
      <c r="C521" s="14">
        <f>G520</f>
        <v/>
      </c>
      <c r="D521" s="14">
        <f>IF((A521&lt;=COB_CA!$B$58),ROUND(C521*COB_CA!$B$45,2),0)</f>
        <v/>
      </c>
      <c r="E521" s="14">
        <f>IF((A521&lt;=COB_CA!$B$58),IF(AND((A521&lt;=COB_CA!$B$58),ROUND(C521-ROUND(COB_CA!$B$59-D521,2),2)&lt;=0),C521,ROUND(COB_CA!$B$59-D521,2)),0)</f>
        <v/>
      </c>
      <c r="F521" s="14">
        <f>IF((A521&lt;=COB_CA!$B$58),IF(AND((A521&lt;=COB_CA!$B$58),ROUND(C521-ROUND(COB_CA!$B$59-D521,2),2)&lt;=0),ROUND(D521+E521,2),COB_CA!$B$59),0)</f>
        <v/>
      </c>
      <c r="G521" s="14">
        <f>IF((A521&lt;=COB_CA!$B$58),IF(AND((A521&lt;=COB_CA!$B$58),ROUND(C521-ROUND(COB_CA!$B$59-D521,2),2)&lt;=0),0,ROUND(C521-E521,2)),C521)</f>
        <v/>
      </c>
      <c r="H521" s="6">
        <f>AND(H520,C520&gt;0,(A521&lt;=COB_CA!$B$58))</f>
        <v/>
      </c>
    </row>
    <row r="522">
      <c r="A522" s="6" t="n">
        <v>518</v>
      </c>
      <c r="B522" s="17">
        <f>IF(COB_CA!$B$44=12,DATE(YEAR(COB_CA!$B$22)+INT((MONTH(COB_CA!$B$22)-1+517)/12),MOD(MONTH(COB_CA!$B$22)-1+517,12)+1,1)+(DAY(COB_CA!$B$22)-1),IF(COB_CA!$B$44=24,COB_CA!$B$22+ROUND((517*365.25)/24,0),IF(COB_CA!$B$44=26,COB_CA!$B$22+7238,COB_CA!$B$22+3619)))</f>
        <v/>
      </c>
      <c r="C522" s="14">
        <f>G521</f>
        <v/>
      </c>
      <c r="D522" s="14">
        <f>IF((A522&lt;=COB_CA!$B$58),ROUND(C522*COB_CA!$B$45,2),0)</f>
        <v/>
      </c>
      <c r="E522" s="14">
        <f>IF((A522&lt;=COB_CA!$B$58),IF(AND((A522&lt;=COB_CA!$B$58),ROUND(C522-ROUND(COB_CA!$B$59-D522,2),2)&lt;=0),C522,ROUND(COB_CA!$B$59-D522,2)),0)</f>
        <v/>
      </c>
      <c r="F522" s="14">
        <f>IF((A522&lt;=COB_CA!$B$58),IF(AND((A522&lt;=COB_CA!$B$58),ROUND(C522-ROUND(COB_CA!$B$59-D522,2),2)&lt;=0),ROUND(D522+E522,2),COB_CA!$B$59),0)</f>
        <v/>
      </c>
      <c r="G522" s="14">
        <f>IF((A522&lt;=COB_CA!$B$58),IF(AND((A522&lt;=COB_CA!$B$58),ROUND(C522-ROUND(COB_CA!$B$59-D522,2),2)&lt;=0),0,ROUND(C522-E522,2)),C522)</f>
        <v/>
      </c>
      <c r="H522" s="6">
        <f>AND(H521,C521&gt;0,(A522&lt;=COB_CA!$B$58))</f>
        <v/>
      </c>
    </row>
    <row r="523">
      <c r="A523" s="6" t="n">
        <v>519</v>
      </c>
      <c r="B523" s="17">
        <f>IF(COB_CA!$B$44=12,DATE(YEAR(COB_CA!$B$22)+INT((MONTH(COB_CA!$B$22)-1+518)/12),MOD(MONTH(COB_CA!$B$22)-1+518,12)+1,1)+(DAY(COB_CA!$B$22)-1),IF(COB_CA!$B$44=24,COB_CA!$B$22+ROUND((518*365.25)/24,0),IF(COB_CA!$B$44=26,COB_CA!$B$22+7252,COB_CA!$B$22+3626)))</f>
        <v/>
      </c>
      <c r="C523" s="14">
        <f>G522</f>
        <v/>
      </c>
      <c r="D523" s="14">
        <f>IF((A523&lt;=COB_CA!$B$58),ROUND(C523*COB_CA!$B$45,2),0)</f>
        <v/>
      </c>
      <c r="E523" s="14">
        <f>IF((A523&lt;=COB_CA!$B$58),IF(AND((A523&lt;=COB_CA!$B$58),ROUND(C523-ROUND(COB_CA!$B$59-D523,2),2)&lt;=0),C523,ROUND(COB_CA!$B$59-D523,2)),0)</f>
        <v/>
      </c>
      <c r="F523" s="14">
        <f>IF((A523&lt;=COB_CA!$B$58),IF(AND((A523&lt;=COB_CA!$B$58),ROUND(C523-ROUND(COB_CA!$B$59-D523,2),2)&lt;=0),ROUND(D523+E523,2),COB_CA!$B$59),0)</f>
        <v/>
      </c>
      <c r="G523" s="14">
        <f>IF((A523&lt;=COB_CA!$B$58),IF(AND((A523&lt;=COB_CA!$B$58),ROUND(C523-ROUND(COB_CA!$B$59-D523,2),2)&lt;=0),0,ROUND(C523-E523,2)),C523)</f>
        <v/>
      </c>
      <c r="H523" s="6">
        <f>AND(H522,C522&gt;0,(A523&lt;=COB_CA!$B$58))</f>
        <v/>
      </c>
    </row>
    <row r="524">
      <c r="A524" s="6" t="n">
        <v>520</v>
      </c>
      <c r="B524" s="17">
        <f>IF(COB_CA!$B$44=12,DATE(YEAR(COB_CA!$B$22)+INT((MONTH(COB_CA!$B$22)-1+519)/12),MOD(MONTH(COB_CA!$B$22)-1+519,12)+1,1)+(DAY(COB_CA!$B$22)-1),IF(COB_CA!$B$44=24,COB_CA!$B$22+ROUND((519*365.25)/24,0),IF(COB_CA!$B$44=26,COB_CA!$B$22+7266,COB_CA!$B$22+3633)))</f>
        <v/>
      </c>
      <c r="C524" s="14">
        <f>G523</f>
        <v/>
      </c>
      <c r="D524" s="14">
        <f>IF((A524&lt;=COB_CA!$B$58),ROUND(C524*COB_CA!$B$45,2),0)</f>
        <v/>
      </c>
      <c r="E524" s="14">
        <f>IF((A524&lt;=COB_CA!$B$58),IF(AND((A524&lt;=COB_CA!$B$58),ROUND(C524-ROUND(COB_CA!$B$59-D524,2),2)&lt;=0),C524,ROUND(COB_CA!$B$59-D524,2)),0)</f>
        <v/>
      </c>
      <c r="F524" s="14">
        <f>IF((A524&lt;=COB_CA!$B$58),IF(AND((A524&lt;=COB_CA!$B$58),ROUND(C524-ROUND(COB_CA!$B$59-D524,2),2)&lt;=0),ROUND(D524+E524,2),COB_CA!$B$59),0)</f>
        <v/>
      </c>
      <c r="G524" s="14">
        <f>IF((A524&lt;=COB_CA!$B$58),IF(AND((A524&lt;=COB_CA!$B$58),ROUND(C524-ROUND(COB_CA!$B$59-D524,2),2)&lt;=0),0,ROUND(C524-E524,2)),C524)</f>
        <v/>
      </c>
      <c r="H524" s="6">
        <f>AND(H523,C523&gt;0,(A524&lt;=COB_CA!$B$58))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2026-09-22T02:20:31Z</dcterms:created>
  <dcterms:modified xmlns:dcterms="http://purl.org/dc/terms/" xmlns:xsi="http://www.w3.org/2001/XMLSchema-instance" xsi:type="dcterms:W3CDTF">2026-09-22T02:20:31Z</dcterms:modified>
</cp:coreProperties>
</file>