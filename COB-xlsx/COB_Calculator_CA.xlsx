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B_CA" sheetId="1" state="visible" r:id="rId1"/>
    <sheet xmlns:r="http://schemas.openxmlformats.org/officeDocument/2006/relationships" name="COB_CA_Schedu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;($#,##0.00);-"/>
    <numFmt numFmtId="165" formatCode="0.00000000"/>
    <numFmt numFmtId="166" formatCode="yyyy-mm-dd"/>
    <numFmt numFmtId="167" formatCode="0.000000000000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</font>
    <font>
      <name val="Arial"/>
      <color rgb="000000FF"/>
    </font>
    <font>
      <name val="Arial"/>
      <color rgb="00000000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pivotButton="0" quotePrefix="0" xfId="0"/>
    <xf numFmtId="0" fontId="6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166" fontId="5" fillId="2" borderId="1" pivotButton="0" quotePrefix="0" xfId="0"/>
    <xf numFmtId="3" fontId="5" fillId="2" borderId="1" pivotButton="0" quotePrefix="0" xfId="0"/>
    <xf numFmtId="0" fontId="7" fillId="3" borderId="1" applyAlignment="1" pivotButton="0" quotePrefix="0" xfId="0">
      <alignment horizontal="center" vertical="center" wrapText="1"/>
    </xf>
    <xf numFmtId="3" fontId="6" fillId="0" borderId="0" pivotButton="0" quotePrefix="0" xfId="0"/>
    <xf numFmtId="167" fontId="6" fillId="0" borderId="0" pivotButton="0" quotePrefix="0" xfId="0"/>
    <xf numFmtId="164" fontId="6" fillId="0" borderId="0" pivotButton="0" quotePrefix="0" xfId="0"/>
    <xf numFmtId="166" fontId="6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46" customWidth="1" min="3" max="3"/>
    <col width="14" customWidth="1" min="4" max="4"/>
    <col width="12" customWidth="1" min="5" max="5"/>
  </cols>
  <sheetData>
    <row r="1">
      <c r="A1" s="1" t="inlineStr">
        <is>
          <t>Canadian Cost of Borrowing (COB) Disclosure -- inputs &amp; summary</t>
        </is>
      </c>
    </row>
    <row r="2">
      <c r="A2" s="2" t="inlineStr">
        <is>
          <t>Reproduces Alterna Savings' COB Calculator v7 for the same inputs (see docs/new-req/006-cost-of-borrowing-disclosure.md and docs/new-req/007-cob-canada-brd-reconciliation.md) -- a borrower-facing cost-of-borrowing ESTIMATE, not a certified regulatory disclosure engine or a general model of every Canadian lender's practice. Blue cells = edit; black = computed. Every input field stays visible for every Flow (no macros hide/show fields) -- pick Flow/Product type/Rate type below, then read the computed helper rows to see which date field, trigger-rate, and compounding rule actually apply; unused fields for your Flow are simply ignored by the formulas.</t>
        </is>
      </c>
    </row>
    <row r="3"/>
    <row r="4">
      <c r="A4" s="3" t="inlineStr">
        <is>
          <t>Flow / product / rate-type selection</t>
        </is>
      </c>
      <c r="D4" s="4" t="inlineStr">
        <is>
          <t>Frequency</t>
        </is>
      </c>
      <c r="E4" s="4" t="inlineStr">
        <is>
          <t>Payments/Yr</t>
        </is>
      </c>
    </row>
    <row r="5">
      <c r="A5" s="4" t="inlineStr">
        <is>
          <t>Flow</t>
        </is>
      </c>
      <c r="B5" s="5" t="inlineStr">
        <is>
          <t>New Mortgage/Loan</t>
        </is>
      </c>
      <c r="C5" s="2" t="inlineStr">
        <is>
          <t>4 values per COB Requirements v2.3.docx IN-01 (doc 007 finding #9): New Mortgage/Loan, Renewal, Payment Change, Variable Rate Payment Change.</t>
        </is>
      </c>
      <c r="D5" s="6" t="inlineStr">
        <is>
          <t>monthly</t>
        </is>
      </c>
      <c r="E5" s="6" t="n">
        <v>12</v>
      </c>
    </row>
    <row r="6">
      <c r="A6" s="4" t="inlineStr">
        <is>
          <t>Product type</t>
        </is>
      </c>
      <c r="B6" s="5" t="inlineStr">
        <is>
          <t>mortgage</t>
        </is>
      </c>
      <c r="D6" s="6" t="inlineStr">
        <is>
          <t>semiMonthly</t>
        </is>
      </c>
      <c r="E6" s="6" t="n">
        <v>24</v>
      </c>
    </row>
    <row r="7">
      <c r="A7" s="4" t="inlineStr">
        <is>
          <t>Rate type</t>
        </is>
      </c>
      <c r="B7" s="5" t="inlineStr">
        <is>
          <t>fixed</t>
        </is>
      </c>
      <c r="D7" s="6" t="inlineStr">
        <is>
          <t>biweekly</t>
        </is>
      </c>
      <c r="E7" s="6" t="n">
        <v>26</v>
      </c>
    </row>
    <row r="8">
      <c r="D8" s="6" t="inlineStr">
        <is>
          <t>weekly</t>
        </is>
      </c>
      <c r="E8" s="6" t="n">
        <v>52</v>
      </c>
    </row>
    <row r="9">
      <c r="A9" s="4" t="inlineStr">
        <is>
          <t>Date field used (per spec's Flow table)</t>
        </is>
      </c>
      <c r="B9" s="6">
        <f>IF(B5="New Mortgage/Loan","Disbursal date","Renewal date")</f>
        <v/>
      </c>
    </row>
    <row r="10">
      <c r="A10" s="4" t="inlineStr">
        <is>
          <t>Accrued-interest carry-forward applies?</t>
        </is>
      </c>
      <c r="B10" s="6">
        <f>IF(B5="New Mortgage/Loan","No","Yes")</f>
        <v/>
      </c>
    </row>
    <row r="11">
      <c r="A11" s="4" t="inlineStr">
        <is>
          <t>Compounding convention (eq. 1 / eq. 2, docx section 4.2)</t>
        </is>
      </c>
      <c r="B11" s="6">
        <f>IF(AND(B6="mortgage",B7="fixed"),"Fixed mortgage: m=2, semi-annual (Interest Act s.6, CONFIRMED)",IF(AND(B6="mortgage",B7="variable"),"Variable mortgage: m=n, no conversion (calculated rate = contract rate)","Personal loan: m=12, monthly compounding"))</f>
        <v/>
      </c>
    </row>
    <row r="12">
      <c r="A12" s="4" t="inlineStr">
        <is>
          <t>Trigger rate computed? (mortgage + variable only, all 4 flows)</t>
        </is>
      </c>
      <c r="B12" s="6">
        <f>IF(AND(B6="mortgage",B7="variable"),"Yes","No / N/A")</f>
        <v/>
      </c>
    </row>
    <row r="13"/>
    <row r="14">
      <c r="A14" s="3" t="inlineStr">
        <is>
          <t>Inputs -- common to every flow</t>
        </is>
      </c>
    </row>
    <row r="15">
      <c r="A15" s="4" t="inlineStr">
        <is>
          <t>Loan amount ($) / current outstanding balance ($)</t>
        </is>
      </c>
      <c r="B15" s="7" t="n">
        <v>227829.65</v>
      </c>
      <c r="C15" s="2" t="inlineStr">
        <is>
          <t>New Mortgage/Loan: the new loan/mortgage face amount, ALREADY INCLUSIVE of financed fees (IN-02). Renewal/Payment Change/Variable Rate Payment Change flows: enter the prior term's final closing_balance here instead (same field, reused per spec).</t>
        </is>
      </c>
    </row>
    <row r="16">
      <c r="A16" s="4" t="inlineStr">
        <is>
          <t>Contract rate, nominal annual (%, e.g. 3.74 means 3.74%)</t>
        </is>
      </c>
      <c r="B16" s="8" t="n">
        <v>3.74</v>
      </c>
    </row>
    <row r="17">
      <c r="A17" s="4" t="inlineStr">
        <is>
          <t>Payment frequency</t>
        </is>
      </c>
      <c r="B17" s="5" t="inlineStr">
        <is>
          <t>weekly</t>
        </is>
      </c>
      <c r="C17" s="2" t="inlineStr">
        <is>
          <t>"Accelerated Weekly" is treated identically to plain Weekly for rate/day-count purposes (BR-09) -- select weekly for either.</t>
        </is>
      </c>
    </row>
    <row r="18">
      <c r="A18" s="4" t="inlineStr">
        <is>
          <t>Payment amount ($) -- PLAIN INPUT, never solved by this engine</t>
        </is>
      </c>
      <c r="B18" s="7" t="n">
        <v>465.46</v>
      </c>
      <c r="C18" s="2" t="inlineStr">
        <is>
          <t>Doc 007 finding #1: payment_amount is user-entered in every flow, not an annuity solve. Constant across every scheduled payment.</t>
        </is>
      </c>
    </row>
    <row r="19">
      <c r="A19" s="4" t="inlineStr">
        <is>
          <t>First payment date</t>
        </is>
      </c>
      <c r="B19" s="9" t="n">
        <v>46104</v>
      </c>
    </row>
    <row r="20">
      <c r="A20" s="4" t="inlineStr">
        <is>
          <t>End date (the date the schedule is run to)</t>
        </is>
      </c>
      <c r="B20" s="9" t="n">
        <v>47194</v>
      </c>
      <c r="C20" s="2" t="inlineStr">
        <is>
          <t>No amortization-horizon concept exists in this engine (doc 007 finding #2) -- the schedule commonly ends with a nonzero closing_balance still outstanding.</t>
        </is>
      </c>
    </row>
    <row r="21">
      <c r="A21" s="4" t="inlineStr">
        <is>
          <t>Term years (DISPLAY ONLY -- does not drive the schedule)</t>
        </is>
      </c>
      <c r="B21" s="10" t="n">
        <v>3</v>
      </c>
    </row>
    <row r="22">
      <c r="A22" s="4" t="inlineStr">
        <is>
          <t>Term months (display only, extra months)</t>
        </is>
      </c>
      <c r="B22" s="10" t="n">
        <v>0</v>
      </c>
    </row>
    <row r="23"/>
    <row r="24">
      <c r="A24" s="3" t="inlineStr">
        <is>
          <t>Inputs -- flow-conditional</t>
        </is>
      </c>
    </row>
    <row r="25">
      <c r="A25" s="4" t="inlineStr">
        <is>
          <t>Disbursal date (New Mortgage/Loan ONLY)</t>
        </is>
      </c>
      <c r="B25" s="9" t="n">
        <v>46098</v>
      </c>
    </row>
    <row r="26">
      <c r="A26" s="4" t="inlineStr">
        <is>
          <t>Renewal date (Renewal / Payment Change / Variable Rate Payment Change ONLY)</t>
        </is>
      </c>
      <c r="B26" s="9" t="n">
        <v>46098</v>
      </c>
    </row>
    <row r="27">
      <c r="A27" s="4" t="inlineStr">
        <is>
          <t>Accrued interest ($) -- Renewal/Payment Change/Variable Rate Payment Change ONLY</t>
        </is>
      </c>
      <c r="B27" s="7" t="n">
        <v>0</v>
      </c>
      <c r="C27" s="2" t="inlineStr">
        <is>
          <t>NOT capitalized into the opening balance (doc 007 finding #5). Seeds the schedule's carried_accrued_interest running column instead -- see COB_CA_Schedule column F.</t>
        </is>
      </c>
    </row>
    <row r="28">
      <c r="A28" s="4" t="inlineStr">
        <is>
          <t>Semi-annual compounding reference date (fixed mortgages only)</t>
        </is>
      </c>
      <c r="B28" s="9" t="n">
        <v>46098</v>
      </c>
      <c r="C28" s="2" t="inlineStr">
        <is>
          <t>Display/reference only -- eq. 1's periodic-rate conversion does not depend on this date. Not used in any formula below.</t>
        </is>
      </c>
    </row>
    <row r="29"/>
    <row r="30">
      <c r="A30" s="3" t="inlineStr">
        <is>
          <t>Fees</t>
        </is>
      </c>
    </row>
    <row r="31">
      <c r="A31" s="2" t="inlineStr">
        <is>
          <t>cob_amount now includes ALL fees unconditionally (financed + cash), per doc 007 finding #6. The 'Included in COB?' column below is kept for backward compatibility only -- it no longer drives any formula (do not re-wire it).</t>
        </is>
      </c>
    </row>
    <row r="32"/>
    <row r="33">
      <c r="A33" s="11" t="inlineStr">
        <is>
          <t>Fee name</t>
        </is>
      </c>
      <c r="B33" s="11" t="inlineStr">
        <is>
          <t>Amount ($)</t>
        </is>
      </c>
      <c r="C33" s="11" t="inlineStr">
        <is>
          <t>Financed? (Y/N)</t>
        </is>
      </c>
      <c r="D33" s="11" t="inlineStr">
        <is>
          <t>Included in COB? (Y/N, UNUSED)</t>
        </is>
      </c>
    </row>
    <row r="34">
      <c r="A34" s="5" t="inlineStr">
        <is>
          <t>Example financed fee (edit amount/name)</t>
        </is>
      </c>
      <c r="B34" s="7" t="n">
        <v>0</v>
      </c>
      <c r="C34" s="5" t="inlineStr">
        <is>
          <t>Y</t>
        </is>
      </c>
      <c r="D34" s="5" t="inlineStr">
        <is>
          <t>Y</t>
        </is>
      </c>
    </row>
    <row r="35">
      <c r="A35" s="5" t="inlineStr">
        <is>
          <t>Example cash-paid fee (edit amount/name)</t>
        </is>
      </c>
      <c r="B35" s="7" t="n">
        <v>0</v>
      </c>
      <c r="C35" s="5" t="inlineStr">
        <is>
          <t>N</t>
        </is>
      </c>
      <c r="D35" s="5" t="inlineStr">
        <is>
          <t>Y</t>
        </is>
      </c>
    </row>
    <row r="36"/>
    <row r="37">
      <c r="A37" s="3" t="inlineStr">
        <is>
          <t>Derived quantities</t>
        </is>
      </c>
    </row>
    <row r="38">
      <c r="A38" s="4" t="inlineStr">
        <is>
          <t>Payments per year (n)</t>
        </is>
      </c>
      <c r="B38" s="12">
        <f>INDEX($E$5:$E$8,MATCH(B17,$D$5:$D$8,0))</f>
        <v/>
      </c>
    </row>
    <row r="39">
      <c r="A39" s="4" t="inlineStr">
        <is>
          <t>Compounding periods/year (m, eq. 2 -- doc 007 finding #10)</t>
        </is>
      </c>
      <c r="B39" s="12">
        <f>IF(AND(B6="mortgage",B7="fixed"),2,IF(AND(B6="mortgage",B7="variable"),B38,12))</f>
        <v/>
      </c>
    </row>
    <row r="40">
      <c r="A40" s="4" t="inlineStr">
        <is>
          <t>Calculated rate (%, eq. 1: n*((1+rate/m)^(m/n)-1))</t>
        </is>
      </c>
      <c r="B40" s="13">
        <f>B38*((1+B16/100/B39)^(B39/B38)-1)*100</f>
        <v/>
      </c>
      <c r="C40" s="2" t="inlineStr">
        <is>
          <t>Unified formula for all 3 branches (m=2 fixed mortgage / m=n variable mortgage / m=12 personal loan) -- when m=n this algebraically reduces to calculated_rate = contract_rate exactly.</t>
        </is>
      </c>
    </row>
    <row r="41">
      <c r="A41" s="4" t="inlineStr">
        <is>
          <t>Total fees (financed + cash)</t>
        </is>
      </c>
      <c r="B41" s="14">
        <f>SUM($B$34:$B$35)</f>
        <v/>
      </c>
    </row>
    <row r="42">
      <c r="A42" s="4" t="inlineStr">
        <is>
          <t>Total financed fees</t>
        </is>
      </c>
      <c r="B42" s="14">
        <f>SUMIF($C$34:$C$35,"Y",$B$34:$B$35)</f>
        <v/>
      </c>
    </row>
    <row r="43">
      <c r="A43" s="4" t="inlineStr">
        <is>
          <t>Total cash (non-financed) fees</t>
        </is>
      </c>
      <c r="B43" s="14">
        <f>B41-B42</f>
        <v/>
      </c>
    </row>
    <row r="44">
      <c r="A44" s="4" t="inlineStr">
        <is>
          <t>Amortized principal P0 (== loan_amount, invariant #3)</t>
        </is>
      </c>
      <c r="B44" s="14">
        <f>B15</f>
        <v/>
      </c>
      <c r="C44" s="2" t="inlineStr">
        <is>
          <t>Doc 007 finding #4: loan_amount is ALREADY INCLUSIVE of financed fees -- financing a fee does not change this figure at all.</t>
        </is>
      </c>
    </row>
    <row r="45">
      <c r="A45" s="4" t="inlineStr">
        <is>
          <t>Disbursal amount (cash actually advanced)</t>
        </is>
      </c>
      <c r="B45" s="14">
        <f>B15-B42</f>
        <v/>
      </c>
      <c r="C45" s="2" t="inlineStr">
        <is>
          <t>Cash (non-financed) fees do NOT reduce disbursal (IN-07, BR-04) -- only financed fees do.</t>
        </is>
      </c>
    </row>
    <row r="46">
      <c r="A46" s="4" t="inlineStr">
        <is>
          <t>start_date (this flow's schedule/APR start date)</t>
        </is>
      </c>
      <c r="B46" s="15">
        <f>IF(B5="New Mortgage/Loan",B25,B26)</f>
        <v/>
      </c>
    </row>
    <row r="47">
      <c r="A47" s="4" t="inlineStr">
        <is>
          <t>carried_accrued_interest seed (0 for New Mortgage/Loan)</t>
        </is>
      </c>
      <c r="B47" s="14">
        <f>IF(B5="New Mortgage/Loan",0,B27)</f>
        <v/>
      </c>
    </row>
    <row r="48">
      <c r="A48" s="4" t="inlineStr">
        <is>
          <t>fees_to_recover seed (financed + cash, eq. 4)</t>
        </is>
      </c>
      <c r="B48" s="14">
        <f>B42+B43</f>
        <v/>
      </c>
    </row>
    <row r="49">
      <c r="A49" s="4" t="inlineStr">
        <is>
          <t>Trigger rate, raw/unconditional calc (eq. 6): payment*n/loan_amount*100</t>
        </is>
      </c>
      <c r="B49" s="13">
        <f>B18*B38/B44*100</f>
        <v/>
      </c>
      <c r="C49" s="2" t="inlineStr">
        <is>
          <t>Always computed (matches the live workbook's own 'Other related calculations!D9' cell, which has no product/rate-type gating at the formula level) -- see trigger_applies above for whether this value is actually MEANINGFUL for the current Flow/Product/Rate type. loan_amount here = P0 = the flow's current outstanding principal. Ratios stay unrounded per this project's rounding policy; the number format above truncates display only.</t>
        </is>
      </c>
    </row>
    <row r="50">
      <c r="A50" s="4" t="inlineStr">
        <is>
          <t>trigger_rate_percent (eq. 6 output -- mortgage + variable only, per spec)</t>
        </is>
      </c>
      <c r="B50" s="13">
        <f>IF(B12="Yes",B49,"N/A")</f>
        <v/>
      </c>
      <c r="C50" s="2" t="inlineStr">
        <is>
          <t>Spec 006: null/N/A for personal loans and fixed-rate mortgages -- this is the RESTRICTED output field. See the raw/unconditional row above for the always-computed value.</t>
        </is>
      </c>
    </row>
    <row r="51"/>
    <row r="52">
      <c r="A52" s="3" t="inlineStr">
        <is>
          <t>Outputs</t>
        </is>
      </c>
    </row>
    <row r="53">
      <c r="A53" s="4" t="inlineStr">
        <is>
          <t>number_of_payments</t>
        </is>
      </c>
      <c r="B53" s="12">
        <f>COUNTIF(COB_CA_Schedule!$O$5:$O$524,TRUE)</f>
        <v/>
      </c>
    </row>
    <row r="54">
      <c r="A54" s="4" t="inlineStr">
        <is>
          <t>final_payment_date (last row actually generated, eq. 7)</t>
        </is>
      </c>
      <c r="B54" s="15">
        <f>INDEX(COB_CA_Schedule!$B$5:$B$524,B53)</f>
        <v/>
      </c>
    </row>
    <row r="55">
      <c r="A55" s="4" t="inlineStr">
        <is>
          <t>Final closing_balance (may be nonzero -- next flow's loan_amount input)</t>
        </is>
      </c>
      <c r="B55" s="14">
        <f>INDEX(COB_CA_Schedule!$N$5:$N$524,B53)</f>
        <v/>
      </c>
    </row>
    <row r="56">
      <c r="A56" s="4" t="inlineStr">
        <is>
          <t>term_days (informational -- same day-count basis as T, doc 007 finding #7)</t>
        </is>
      </c>
      <c r="B56" s="12">
        <f>B54-B46</f>
        <v/>
      </c>
    </row>
    <row r="57">
      <c r="A57" s="4" t="inlineStr">
        <is>
          <t>T = term_days / 365 (eq. 7)</t>
        </is>
      </c>
      <c r="B57" s="16">
        <f>B56/365</f>
        <v/>
      </c>
    </row>
    <row r="58">
      <c r="A58" s="4" t="inlineStr">
        <is>
          <t>P: average of each counted row's opening balance (eq. 7)</t>
        </is>
      </c>
      <c r="B58" s="14">
        <f>IF(B53=0,0,SUMPRODUCT((COB_CA_Schedule!$O$5:$O$524)*(COB_CA_Schedule!$D$5:$D$524))/B53)</f>
        <v/>
      </c>
    </row>
    <row r="59">
      <c r="A59" s="4" t="inlineStr">
        <is>
          <t>total_interest (sum of interest_paid across counted rows)</t>
        </is>
      </c>
      <c r="B59" s="14">
        <f>SUMIFS(COB_CA_Schedule!$I$5:$I$524,COB_CA_Schedule!$O$5:$O$524,TRUE)</f>
        <v/>
      </c>
    </row>
    <row r="60">
      <c r="A60" s="4" t="inlineStr">
        <is>
          <t>fees_recovered (sum of fees_paid, for invariant #2's reconciliation)</t>
        </is>
      </c>
      <c r="B60" s="14">
        <f>SUMIFS(COB_CA_Schedule!$J$5:$J$524,COB_CA_Schedule!$O$5:$O$524,TRUE)</f>
        <v/>
      </c>
    </row>
    <row r="61">
      <c r="A61" s="4" t="inlineStr">
        <is>
          <t>principal_payment (sum of principal_portion across counted rows)</t>
        </is>
      </c>
      <c r="B61" s="14">
        <f>SUMIFS(COB_CA_Schedule!$K$5:$K$524,COB_CA_Schedule!$O$5:$O$524,TRUE)</f>
        <v/>
      </c>
    </row>
    <row r="62">
      <c r="A62" s="4" t="inlineStr">
        <is>
          <t>total_payment (sum of each row's recorded payment, capped on an early full payoff row)</t>
        </is>
      </c>
      <c r="B62" s="14">
        <f>SUMIFS(COB_CA_Schedule!$H$5:$H$524,COB_CA_Schedule!$O$5:$O$524,TRUE)</f>
        <v/>
      </c>
      <c r="C62" s="2" t="inlineStr">
        <is>
          <t>Invariant #2: total_payment == total_interest + fees_recovered + principal_payment exactly (within floating-point rounding).</t>
        </is>
      </c>
    </row>
    <row r="63">
      <c r="A63" s="4" t="inlineStr">
        <is>
          <t>cob_amount = total_interest + ALL fees, unconditionally (eq. 8)</t>
        </is>
      </c>
      <c r="B63" s="14">
        <f>B59+B42+B43</f>
        <v/>
      </c>
    </row>
    <row r="64">
      <c r="A64" s="4" t="inlineStr">
        <is>
          <t>cob_rate_percent (eq. 7 -- HARD SHORT-CIRCUIT when fees are $0, not a T/P limit)</t>
        </is>
      </c>
      <c r="B64" s="13">
        <f>IF(B42+B43=0,B40,IF(OR(B57=0,B58=0),"n/a",B63/(B57*B58)*100))</f>
        <v/>
      </c>
      <c r="C64" s="2" t="inlineStr">
        <is>
          <t>Doc 007's 'Addendum: VBA macro source review' #1 (settled via the live macro's own source): when total_financed_fees+total_cash_fees=0, cob_rate_percent = calculated_rate DIRECTLY -- this is literal macro logic (`If finFee+nonFinFee=0 Then COBRate=aRate*100`, FCPFR s.32), not an approximation, and NO choice of T/P reproduces this value as an identity from the general C/(T*P) formula -- do not remove this branch to 'simplify.' Only when fees &gt; 0 does the general Financial Consumer Protection Framework Regulations SOR/2021-181 ss.47-48 formula apply (T plain /365 per the macro's `totalYears = termDay/365`, not leap-adjusted; P = simple unweighted average of opening balances). Unrounded per this project's rounding policy.</t>
        </is>
      </c>
    </row>
    <row r="65"/>
    <row r="66">
      <c r="A66" s="2" t="inlineStr">
        <is>
          <t>Optional: COB_Calculator_CA_macros.bas (in this folder) is STALE against this rebuild -- it hardcodes the PRIOR schedule's cell/column layout (COB_CA!B58, COB_CA!B65, an 8-column A-H schedule) which no longer matches this sheet. Treat it as legacy/unused until it is updated to match the layout below; none of the formulas on this sheet depend on it.</t>
        </is>
      </c>
    </row>
  </sheetData>
  <dataValidations count="5">
    <dataValidation sqref="B5" showDropDown="0" showInputMessage="0" showErrorMessage="0" allowBlank="0" type="list">
      <formula1>"New Mortgage/Loan,Renewal,Payment Change,Variable Rate Payment Change"</formula1>
    </dataValidation>
    <dataValidation sqref="B6" showDropDown="0" showInputMessage="0" showErrorMessage="0" allowBlank="0" type="list">
      <formula1>"mortgage,personalLoan"</formula1>
    </dataValidation>
    <dataValidation sqref="B7" showDropDown="0" showInputMessage="0" showErrorMessage="0" allowBlank="0" type="list">
      <formula1>"variable,fixed"</formula1>
    </dataValidation>
    <dataValidation sqref="B17" showDropDown="0" showInputMessage="0" showErrorMessage="0" allowBlank="0" type="list">
      <formula1>"monthly,semiMonthly,biweekly,weekly"</formula1>
    </dataValidation>
    <dataValidation sqref="C34:D35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5" customWidth="1" min="4" max="4"/>
    <col width="13" customWidth="1" min="5" max="5"/>
    <col width="14" customWidth="1" min="6" max="6"/>
    <col width="12" customWidth="1" min="7" max="7"/>
    <col width="13" customWidth="1" min="8" max="8"/>
    <col width="12" customWidth="1" min="9" max="9"/>
    <col width="11" customWidth="1" min="10" max="10"/>
    <col width="13" customWidth="1" min="11" max="11"/>
    <col width="14" customWidth="1" min="12" max="12"/>
    <col width="12" customWidth="1" min="13" max="13"/>
    <col width="15" customWidth="1" min="14" max="14"/>
    <col width="12" customWidth="1" min="15" max="15"/>
  </cols>
  <sheetData>
    <row r="1">
      <c r="A1" s="1" t="inlineStr">
        <is>
          <t>COB_CA amortization schedule (computed) -- do not edit</t>
        </is>
      </c>
    </row>
    <row r="2">
      <c r="A2" s="2" t="inlineStr">
        <is>
          <t>One row per payment_frequency period from first_payment_date, bounded to 520 rows. A row is 'counted' (column O) only if its own opening balance is still positive AND its date is on or before end_date (eq. 5, INCLUSIVE of end_date per doc 007's VBA macro source review) -- rows past that point freeze at $0/FALSE, the same self-stabilizing technique used throughout this project (see docs/new-req/005). Interest (column E) is day-count-prorated (eq. 3), matching the live macro's getRate algorithm bit-for-bit: leap-year periods are split 365/366 at the Jan-1 boundary (the segment before Jan 1 uses the PRIOR year's day-count divisor, the segment from Jan 1 onward uses the NEW year's), but this formula assumes a period never spans more than one such boundary -- true for every payment_frequency this engine supports (max ~31 days/period), but a documented simplification, not a fully general multi-year day-count routine. Values are NOT rounded to cents at each row (matching the live Alterna workbook's own full-precision behavior, confirmed in doc 007's worked vector) -- only cell display formats truncate for readability.</t>
        </is>
      </c>
    </row>
    <row r="3"/>
    <row r="4">
      <c r="A4" s="11" t="inlineStr">
        <is>
          <t>Period #</t>
        </is>
      </c>
      <c r="B4" s="11" t="inlineStr">
        <is>
          <t>Period Date</t>
        </is>
      </c>
      <c r="C4" s="11" t="inlineStr">
        <is>
          <t>Days in Period</t>
        </is>
      </c>
      <c r="D4" s="11" t="inlineStr">
        <is>
          <t>Opening Balance</t>
        </is>
      </c>
      <c r="E4" s="11" t="inlineStr">
        <is>
          <t>Period Interest</t>
        </is>
      </c>
      <c r="F4" s="11" t="inlineStr">
        <is>
          <t>Accrued Int. (Opening)</t>
        </is>
      </c>
      <c r="G4" s="11" t="inlineStr">
        <is>
          <t>Fees (Opening)</t>
        </is>
      </c>
      <c r="H4" s="11" t="inlineStr">
        <is>
          <t>Payment Amount</t>
        </is>
      </c>
      <c r="I4" s="11" t="inlineStr">
        <is>
          <t>Interest Paid</t>
        </is>
      </c>
      <c r="J4" s="11" t="inlineStr">
        <is>
          <t>Fees Paid</t>
        </is>
      </c>
      <c r="K4" s="11" t="inlineStr">
        <is>
          <t>Principal Portion</t>
        </is>
      </c>
      <c r="L4" s="11" t="inlineStr">
        <is>
          <t>Accrued Int. (Closing)</t>
        </is>
      </c>
      <c r="M4" s="11" t="inlineStr">
        <is>
          <t>Fees (Closing)</t>
        </is>
      </c>
      <c r="N4" s="11" t="inlineStr">
        <is>
          <t>Closing Balance</t>
        </is>
      </c>
      <c r="O4" s="11" t="inlineStr">
        <is>
          <t>Counted in totals?</t>
        </is>
      </c>
    </row>
    <row r="5">
      <c r="A5" s="6" t="n">
        <v>1</v>
      </c>
      <c r="B5" s="15">
        <f>IF(COB_CA!$B$38=12,DATE(YEAR(COB_CA!$B$19)+INT((MONTH(COB_CA!$B$19)-1+0)/12),MOD(MONTH(COB_CA!$B$19)-1+0,12)+1,1)+(DAY(COB_CA!$B$19)-1),IF(COB_CA!$B$38=24,COB_CA!$B$19+ROUND((0*365.25)/24,0),IF(COB_CA!$B$38=26,COB_CA!$B$19+0,COB_CA!$B$19+0)))</f>
        <v/>
      </c>
      <c r="C5" s="12">
        <f>B5-COB_CA!$B$46</f>
        <v/>
      </c>
      <c r="D5" s="14">
        <f>COB_CA!$B$44</f>
        <v/>
      </c>
      <c r="E5" s="14">
        <f>D5*COB_CA!$B$40/100*(IF(YEAR(COB_CA!$B$46)=YEAR(B5),(B5-COB_CA!$B$46)/IF(AND(MOD(YEAR(B5),4)=0,OR(MOD(YEAR(B5),100)&lt;&gt;0,MOD(YEAR(B5),400)=0)),366,365),(((DATE(YEAR(COB_CA!$B$46)+1,1,1)))-COB_CA!$B$46)/IF(AND(MOD(YEAR(COB_CA!$B$46),4)=0,OR(MOD(YEAR(COB_CA!$B$46),100)&lt;&gt;0,MOD(YEAR(COB_CA!$B$46),400)=0)),366,365)+(B5-((DATE(YEAR(COB_CA!$B$46)+1,1,1))))/IF(AND(MOD(YEAR(B5),4)=0,OR(MOD(YEAR(B5),100)&lt;&gt;0,MOD(YEAR(B5),400)=0)),366,365)))</f>
        <v/>
      </c>
      <c r="F5" s="14">
        <f>COB_CA!$B$47</f>
        <v/>
      </c>
      <c r="G5" s="14">
        <f>COB_CA!$B$48</f>
        <v/>
      </c>
      <c r="H5" s="14">
        <f>IF((((COB_CA!$B$18-I5)-J5)&gt;D5),I5+J5+K5,COB_CA!$B$18)</f>
        <v/>
      </c>
      <c r="I5" s="14">
        <f>MIN(COB_CA!$B$18,(E5+F5))</f>
        <v/>
      </c>
      <c r="J5" s="14">
        <f>MIN((COB_CA!$B$18-I5),G5)</f>
        <v/>
      </c>
      <c r="K5" s="14">
        <f>MIN(((COB_CA!$B$18-I5)-J5),D5)</f>
        <v/>
      </c>
      <c r="L5" s="14">
        <f>E5+F5-I5</f>
        <v/>
      </c>
      <c r="M5" s="14">
        <f>G5-J5</f>
        <v/>
      </c>
      <c r="N5" s="14">
        <f>D5-K5</f>
        <v/>
      </c>
      <c r="O5" s="6">
        <f>AND(D5&gt;0,B5&lt;=COB_CA!$B$20)</f>
        <v/>
      </c>
    </row>
    <row r="6">
      <c r="A6" s="6" t="n">
        <v>2</v>
      </c>
      <c r="B6" s="15">
        <f>IF(COB_CA!$B$38=12,DATE(YEAR(COB_CA!$B$19)+INT((MONTH(COB_CA!$B$19)-1+1)/12),MOD(MONTH(COB_CA!$B$19)-1+1,12)+1,1)+(DAY(COB_CA!$B$19)-1),IF(COB_CA!$B$38=24,COB_CA!$B$19+ROUND((1*365.25)/24,0),IF(COB_CA!$B$38=26,COB_CA!$B$19+14,COB_CA!$B$19+7)))</f>
        <v/>
      </c>
      <c r="C6" s="12">
        <f>B6-B5</f>
        <v/>
      </c>
      <c r="D6" s="14">
        <f>N5</f>
        <v/>
      </c>
      <c r="E6" s="14">
        <f>D6*COB_CA!$B$40/100*(IF(YEAR(B5)=YEAR(B6),(B6-B5)/IF(AND(MOD(YEAR(B6),4)=0,OR(MOD(YEAR(B6),100)&lt;&gt;0,MOD(YEAR(B6),400)=0)),366,365),(((DATE(YEAR(B5)+1,1,1)))-B5)/IF(AND(MOD(YEAR(B5),4)=0,OR(MOD(YEAR(B5),100)&lt;&gt;0,MOD(YEAR(B5),400)=0)),366,365)+(B6-((DATE(YEAR(B5)+1,1,1))))/IF(AND(MOD(YEAR(B6),4)=0,OR(MOD(YEAR(B6),100)&lt;&gt;0,MOD(YEAR(B6),400)=0)),366,365)))</f>
        <v/>
      </c>
      <c r="F6" s="14">
        <f>L5</f>
        <v/>
      </c>
      <c r="G6" s="14">
        <f>M5</f>
        <v/>
      </c>
      <c r="H6" s="14">
        <f>IF((((COB_CA!$B$18-I6)-J6)&gt;D6),I6+J6+K6,COB_CA!$B$18)</f>
        <v/>
      </c>
      <c r="I6" s="14">
        <f>MIN(COB_CA!$B$18,(E6+F6))</f>
        <v/>
      </c>
      <c r="J6" s="14">
        <f>MIN((COB_CA!$B$18-I6),G6)</f>
        <v/>
      </c>
      <c r="K6" s="14">
        <f>MIN(((COB_CA!$B$18-I6)-J6),D6)</f>
        <v/>
      </c>
      <c r="L6" s="14">
        <f>E6+F6-I6</f>
        <v/>
      </c>
      <c r="M6" s="14">
        <f>G6-J6</f>
        <v/>
      </c>
      <c r="N6" s="14">
        <f>D6-K6</f>
        <v/>
      </c>
      <c r="O6" s="6">
        <f>AND(D6&gt;0,B6&lt;=COB_CA!$B$20)</f>
        <v/>
      </c>
    </row>
    <row r="7">
      <c r="A7" s="6" t="n">
        <v>3</v>
      </c>
      <c r="B7" s="15">
        <f>IF(COB_CA!$B$38=12,DATE(YEAR(COB_CA!$B$19)+INT((MONTH(COB_CA!$B$19)-1+2)/12),MOD(MONTH(COB_CA!$B$19)-1+2,12)+1,1)+(DAY(COB_CA!$B$19)-1),IF(COB_CA!$B$38=24,COB_CA!$B$19+ROUND((2*365.25)/24,0),IF(COB_CA!$B$38=26,COB_CA!$B$19+28,COB_CA!$B$19+14)))</f>
        <v/>
      </c>
      <c r="C7" s="12">
        <f>B7-B6</f>
        <v/>
      </c>
      <c r="D7" s="14">
        <f>N6</f>
        <v/>
      </c>
      <c r="E7" s="14">
        <f>D7*COB_CA!$B$40/100*(IF(YEAR(B6)=YEAR(B7),(B7-B6)/IF(AND(MOD(YEAR(B7),4)=0,OR(MOD(YEAR(B7),100)&lt;&gt;0,MOD(YEAR(B7),400)=0)),366,365),(((DATE(YEAR(B6)+1,1,1)))-B6)/IF(AND(MOD(YEAR(B6),4)=0,OR(MOD(YEAR(B6),100)&lt;&gt;0,MOD(YEAR(B6),400)=0)),366,365)+(B7-((DATE(YEAR(B6)+1,1,1))))/IF(AND(MOD(YEAR(B7),4)=0,OR(MOD(YEAR(B7),100)&lt;&gt;0,MOD(YEAR(B7),400)=0)),366,365)))</f>
        <v/>
      </c>
      <c r="F7" s="14">
        <f>L6</f>
        <v/>
      </c>
      <c r="G7" s="14">
        <f>M6</f>
        <v/>
      </c>
      <c r="H7" s="14">
        <f>IF((((COB_CA!$B$18-I7)-J7)&gt;D7),I7+J7+K7,COB_CA!$B$18)</f>
        <v/>
      </c>
      <c r="I7" s="14">
        <f>MIN(COB_CA!$B$18,(E7+F7))</f>
        <v/>
      </c>
      <c r="J7" s="14">
        <f>MIN((COB_CA!$B$18-I7),G7)</f>
        <v/>
      </c>
      <c r="K7" s="14">
        <f>MIN(((COB_CA!$B$18-I7)-J7),D7)</f>
        <v/>
      </c>
      <c r="L7" s="14">
        <f>E7+F7-I7</f>
        <v/>
      </c>
      <c r="M7" s="14">
        <f>G7-J7</f>
        <v/>
      </c>
      <c r="N7" s="14">
        <f>D7-K7</f>
        <v/>
      </c>
      <c r="O7" s="6">
        <f>AND(D7&gt;0,B7&lt;=COB_CA!$B$20)</f>
        <v/>
      </c>
    </row>
    <row r="8">
      <c r="A8" s="6" t="n">
        <v>4</v>
      </c>
      <c r="B8" s="15">
        <f>IF(COB_CA!$B$38=12,DATE(YEAR(COB_CA!$B$19)+INT((MONTH(COB_CA!$B$19)-1+3)/12),MOD(MONTH(COB_CA!$B$19)-1+3,12)+1,1)+(DAY(COB_CA!$B$19)-1),IF(COB_CA!$B$38=24,COB_CA!$B$19+ROUND((3*365.25)/24,0),IF(COB_CA!$B$38=26,COB_CA!$B$19+42,COB_CA!$B$19+21)))</f>
        <v/>
      </c>
      <c r="C8" s="12">
        <f>B8-B7</f>
        <v/>
      </c>
      <c r="D8" s="14">
        <f>N7</f>
        <v/>
      </c>
      <c r="E8" s="14">
        <f>D8*COB_CA!$B$40/100*(IF(YEAR(B7)=YEAR(B8),(B8-B7)/IF(AND(MOD(YEAR(B8),4)=0,OR(MOD(YEAR(B8),100)&lt;&gt;0,MOD(YEAR(B8),400)=0)),366,365),(((DATE(YEAR(B7)+1,1,1)))-B7)/IF(AND(MOD(YEAR(B7),4)=0,OR(MOD(YEAR(B7),100)&lt;&gt;0,MOD(YEAR(B7),400)=0)),366,365)+(B8-((DATE(YEAR(B7)+1,1,1))))/IF(AND(MOD(YEAR(B8),4)=0,OR(MOD(YEAR(B8),100)&lt;&gt;0,MOD(YEAR(B8),400)=0)),366,365)))</f>
        <v/>
      </c>
      <c r="F8" s="14">
        <f>L7</f>
        <v/>
      </c>
      <c r="G8" s="14">
        <f>M7</f>
        <v/>
      </c>
      <c r="H8" s="14">
        <f>IF((((COB_CA!$B$18-I8)-J8)&gt;D8),I8+J8+K8,COB_CA!$B$18)</f>
        <v/>
      </c>
      <c r="I8" s="14">
        <f>MIN(COB_CA!$B$18,(E8+F8))</f>
        <v/>
      </c>
      <c r="J8" s="14">
        <f>MIN((COB_CA!$B$18-I8),G8)</f>
        <v/>
      </c>
      <c r="K8" s="14">
        <f>MIN(((COB_CA!$B$18-I8)-J8),D8)</f>
        <v/>
      </c>
      <c r="L8" s="14">
        <f>E8+F8-I8</f>
        <v/>
      </c>
      <c r="M8" s="14">
        <f>G8-J8</f>
        <v/>
      </c>
      <c r="N8" s="14">
        <f>D8-K8</f>
        <v/>
      </c>
      <c r="O8" s="6">
        <f>AND(D8&gt;0,B8&lt;=COB_CA!$B$20)</f>
        <v/>
      </c>
    </row>
    <row r="9">
      <c r="A9" s="6" t="n">
        <v>5</v>
      </c>
      <c r="B9" s="15">
        <f>IF(COB_CA!$B$38=12,DATE(YEAR(COB_CA!$B$19)+INT((MONTH(COB_CA!$B$19)-1+4)/12),MOD(MONTH(COB_CA!$B$19)-1+4,12)+1,1)+(DAY(COB_CA!$B$19)-1),IF(COB_CA!$B$38=24,COB_CA!$B$19+ROUND((4*365.25)/24,0),IF(COB_CA!$B$38=26,COB_CA!$B$19+56,COB_CA!$B$19+28)))</f>
        <v/>
      </c>
      <c r="C9" s="12">
        <f>B9-B8</f>
        <v/>
      </c>
      <c r="D9" s="14">
        <f>N8</f>
        <v/>
      </c>
      <c r="E9" s="14">
        <f>D9*COB_CA!$B$40/100*(IF(YEAR(B8)=YEAR(B9),(B9-B8)/IF(AND(MOD(YEAR(B9),4)=0,OR(MOD(YEAR(B9),100)&lt;&gt;0,MOD(YEAR(B9),400)=0)),366,365),(((DATE(YEAR(B8)+1,1,1)))-B8)/IF(AND(MOD(YEAR(B8),4)=0,OR(MOD(YEAR(B8),100)&lt;&gt;0,MOD(YEAR(B8),400)=0)),366,365)+(B9-((DATE(YEAR(B8)+1,1,1))))/IF(AND(MOD(YEAR(B9),4)=0,OR(MOD(YEAR(B9),100)&lt;&gt;0,MOD(YEAR(B9),400)=0)),366,365)))</f>
        <v/>
      </c>
      <c r="F9" s="14">
        <f>L8</f>
        <v/>
      </c>
      <c r="G9" s="14">
        <f>M8</f>
        <v/>
      </c>
      <c r="H9" s="14">
        <f>IF((((COB_CA!$B$18-I9)-J9)&gt;D9),I9+J9+K9,COB_CA!$B$18)</f>
        <v/>
      </c>
      <c r="I9" s="14">
        <f>MIN(COB_CA!$B$18,(E9+F9))</f>
        <v/>
      </c>
      <c r="J9" s="14">
        <f>MIN((COB_CA!$B$18-I9),G9)</f>
        <v/>
      </c>
      <c r="K9" s="14">
        <f>MIN(((COB_CA!$B$18-I9)-J9),D9)</f>
        <v/>
      </c>
      <c r="L9" s="14">
        <f>E9+F9-I9</f>
        <v/>
      </c>
      <c r="M9" s="14">
        <f>G9-J9</f>
        <v/>
      </c>
      <c r="N9" s="14">
        <f>D9-K9</f>
        <v/>
      </c>
      <c r="O9" s="6">
        <f>AND(D9&gt;0,B9&lt;=COB_CA!$B$20)</f>
        <v/>
      </c>
    </row>
    <row r="10">
      <c r="A10" s="6" t="n">
        <v>6</v>
      </c>
      <c r="B10" s="15">
        <f>IF(COB_CA!$B$38=12,DATE(YEAR(COB_CA!$B$19)+INT((MONTH(COB_CA!$B$19)-1+5)/12),MOD(MONTH(COB_CA!$B$19)-1+5,12)+1,1)+(DAY(COB_CA!$B$19)-1),IF(COB_CA!$B$38=24,COB_CA!$B$19+ROUND((5*365.25)/24,0),IF(COB_CA!$B$38=26,COB_CA!$B$19+70,COB_CA!$B$19+35)))</f>
        <v/>
      </c>
      <c r="C10" s="12">
        <f>B10-B9</f>
        <v/>
      </c>
      <c r="D10" s="14">
        <f>N9</f>
        <v/>
      </c>
      <c r="E10" s="14">
        <f>D10*COB_CA!$B$40/100*(IF(YEAR(B9)=YEAR(B10),(B10-B9)/IF(AND(MOD(YEAR(B10),4)=0,OR(MOD(YEAR(B10),100)&lt;&gt;0,MOD(YEAR(B10),400)=0)),366,365),(((DATE(YEAR(B9)+1,1,1)))-B9)/IF(AND(MOD(YEAR(B9),4)=0,OR(MOD(YEAR(B9),100)&lt;&gt;0,MOD(YEAR(B9),400)=0)),366,365)+(B10-((DATE(YEAR(B9)+1,1,1))))/IF(AND(MOD(YEAR(B10),4)=0,OR(MOD(YEAR(B10),100)&lt;&gt;0,MOD(YEAR(B10),400)=0)),366,365)))</f>
        <v/>
      </c>
      <c r="F10" s="14">
        <f>L9</f>
        <v/>
      </c>
      <c r="G10" s="14">
        <f>M9</f>
        <v/>
      </c>
      <c r="H10" s="14">
        <f>IF((((COB_CA!$B$18-I10)-J10)&gt;D10),I10+J10+K10,COB_CA!$B$18)</f>
        <v/>
      </c>
      <c r="I10" s="14">
        <f>MIN(COB_CA!$B$18,(E10+F10))</f>
        <v/>
      </c>
      <c r="J10" s="14">
        <f>MIN((COB_CA!$B$18-I10),G10)</f>
        <v/>
      </c>
      <c r="K10" s="14">
        <f>MIN(((COB_CA!$B$18-I10)-J10),D10)</f>
        <v/>
      </c>
      <c r="L10" s="14">
        <f>E10+F10-I10</f>
        <v/>
      </c>
      <c r="M10" s="14">
        <f>G10-J10</f>
        <v/>
      </c>
      <c r="N10" s="14">
        <f>D10-K10</f>
        <v/>
      </c>
      <c r="O10" s="6">
        <f>AND(D10&gt;0,B10&lt;=COB_CA!$B$20)</f>
        <v/>
      </c>
    </row>
    <row r="11">
      <c r="A11" s="6" t="n">
        <v>7</v>
      </c>
      <c r="B11" s="15">
        <f>IF(COB_CA!$B$38=12,DATE(YEAR(COB_CA!$B$19)+INT((MONTH(COB_CA!$B$19)-1+6)/12),MOD(MONTH(COB_CA!$B$19)-1+6,12)+1,1)+(DAY(COB_CA!$B$19)-1),IF(COB_CA!$B$38=24,COB_CA!$B$19+ROUND((6*365.25)/24,0),IF(COB_CA!$B$38=26,COB_CA!$B$19+84,COB_CA!$B$19+42)))</f>
        <v/>
      </c>
      <c r="C11" s="12">
        <f>B11-B10</f>
        <v/>
      </c>
      <c r="D11" s="14">
        <f>N10</f>
        <v/>
      </c>
      <c r="E11" s="14">
        <f>D11*COB_CA!$B$40/100*(IF(YEAR(B10)=YEAR(B11),(B11-B10)/IF(AND(MOD(YEAR(B11),4)=0,OR(MOD(YEAR(B11),100)&lt;&gt;0,MOD(YEAR(B11),400)=0)),366,365),(((DATE(YEAR(B10)+1,1,1)))-B10)/IF(AND(MOD(YEAR(B10),4)=0,OR(MOD(YEAR(B10),100)&lt;&gt;0,MOD(YEAR(B10),400)=0)),366,365)+(B11-((DATE(YEAR(B10)+1,1,1))))/IF(AND(MOD(YEAR(B11),4)=0,OR(MOD(YEAR(B11),100)&lt;&gt;0,MOD(YEAR(B11),400)=0)),366,365)))</f>
        <v/>
      </c>
      <c r="F11" s="14">
        <f>L10</f>
        <v/>
      </c>
      <c r="G11" s="14">
        <f>M10</f>
        <v/>
      </c>
      <c r="H11" s="14">
        <f>IF((((COB_CA!$B$18-I11)-J11)&gt;D11),I11+J11+K11,COB_CA!$B$18)</f>
        <v/>
      </c>
      <c r="I11" s="14">
        <f>MIN(COB_CA!$B$18,(E11+F11))</f>
        <v/>
      </c>
      <c r="J11" s="14">
        <f>MIN((COB_CA!$B$18-I11),G11)</f>
        <v/>
      </c>
      <c r="K11" s="14">
        <f>MIN(((COB_CA!$B$18-I11)-J11),D11)</f>
        <v/>
      </c>
      <c r="L11" s="14">
        <f>E11+F11-I11</f>
        <v/>
      </c>
      <c r="M11" s="14">
        <f>G11-J11</f>
        <v/>
      </c>
      <c r="N11" s="14">
        <f>D11-K11</f>
        <v/>
      </c>
      <c r="O11" s="6">
        <f>AND(D11&gt;0,B11&lt;=COB_CA!$B$20)</f>
        <v/>
      </c>
    </row>
    <row r="12">
      <c r="A12" s="6" t="n">
        <v>8</v>
      </c>
      <c r="B12" s="15">
        <f>IF(COB_CA!$B$38=12,DATE(YEAR(COB_CA!$B$19)+INT((MONTH(COB_CA!$B$19)-1+7)/12),MOD(MONTH(COB_CA!$B$19)-1+7,12)+1,1)+(DAY(COB_CA!$B$19)-1),IF(COB_CA!$B$38=24,COB_CA!$B$19+ROUND((7*365.25)/24,0),IF(COB_CA!$B$38=26,COB_CA!$B$19+98,COB_CA!$B$19+49)))</f>
        <v/>
      </c>
      <c r="C12" s="12">
        <f>B12-B11</f>
        <v/>
      </c>
      <c r="D12" s="14">
        <f>N11</f>
        <v/>
      </c>
      <c r="E12" s="14">
        <f>D12*COB_CA!$B$40/100*(IF(YEAR(B11)=YEAR(B12),(B12-B11)/IF(AND(MOD(YEAR(B12),4)=0,OR(MOD(YEAR(B12),100)&lt;&gt;0,MOD(YEAR(B12),400)=0)),366,365),(((DATE(YEAR(B11)+1,1,1)))-B11)/IF(AND(MOD(YEAR(B11),4)=0,OR(MOD(YEAR(B11),100)&lt;&gt;0,MOD(YEAR(B11),400)=0)),366,365)+(B12-((DATE(YEAR(B11)+1,1,1))))/IF(AND(MOD(YEAR(B12),4)=0,OR(MOD(YEAR(B12),100)&lt;&gt;0,MOD(YEAR(B12),400)=0)),366,365)))</f>
        <v/>
      </c>
      <c r="F12" s="14">
        <f>L11</f>
        <v/>
      </c>
      <c r="G12" s="14">
        <f>M11</f>
        <v/>
      </c>
      <c r="H12" s="14">
        <f>IF((((COB_CA!$B$18-I12)-J12)&gt;D12),I12+J12+K12,COB_CA!$B$18)</f>
        <v/>
      </c>
      <c r="I12" s="14">
        <f>MIN(COB_CA!$B$18,(E12+F12))</f>
        <v/>
      </c>
      <c r="J12" s="14">
        <f>MIN((COB_CA!$B$18-I12),G12)</f>
        <v/>
      </c>
      <c r="K12" s="14">
        <f>MIN(((COB_CA!$B$18-I12)-J12),D12)</f>
        <v/>
      </c>
      <c r="L12" s="14">
        <f>E12+F12-I12</f>
        <v/>
      </c>
      <c r="M12" s="14">
        <f>G12-J12</f>
        <v/>
      </c>
      <c r="N12" s="14">
        <f>D12-K12</f>
        <v/>
      </c>
      <c r="O12" s="6">
        <f>AND(D12&gt;0,B12&lt;=COB_CA!$B$20)</f>
        <v/>
      </c>
    </row>
    <row r="13">
      <c r="A13" s="6" t="n">
        <v>9</v>
      </c>
      <c r="B13" s="15">
        <f>IF(COB_CA!$B$38=12,DATE(YEAR(COB_CA!$B$19)+INT((MONTH(COB_CA!$B$19)-1+8)/12),MOD(MONTH(COB_CA!$B$19)-1+8,12)+1,1)+(DAY(COB_CA!$B$19)-1),IF(COB_CA!$B$38=24,COB_CA!$B$19+ROUND((8*365.25)/24,0),IF(COB_CA!$B$38=26,COB_CA!$B$19+112,COB_CA!$B$19+56)))</f>
        <v/>
      </c>
      <c r="C13" s="12">
        <f>B13-B12</f>
        <v/>
      </c>
      <c r="D13" s="14">
        <f>N12</f>
        <v/>
      </c>
      <c r="E13" s="14">
        <f>D13*COB_CA!$B$40/100*(IF(YEAR(B12)=YEAR(B13),(B13-B12)/IF(AND(MOD(YEAR(B13),4)=0,OR(MOD(YEAR(B13),100)&lt;&gt;0,MOD(YEAR(B13),400)=0)),366,365),(((DATE(YEAR(B12)+1,1,1)))-B12)/IF(AND(MOD(YEAR(B12),4)=0,OR(MOD(YEAR(B12),100)&lt;&gt;0,MOD(YEAR(B12),400)=0)),366,365)+(B13-((DATE(YEAR(B12)+1,1,1))))/IF(AND(MOD(YEAR(B13),4)=0,OR(MOD(YEAR(B13),100)&lt;&gt;0,MOD(YEAR(B13),400)=0)),366,365)))</f>
        <v/>
      </c>
      <c r="F13" s="14">
        <f>L12</f>
        <v/>
      </c>
      <c r="G13" s="14">
        <f>M12</f>
        <v/>
      </c>
      <c r="H13" s="14">
        <f>IF((((COB_CA!$B$18-I13)-J13)&gt;D13),I13+J13+K13,COB_CA!$B$18)</f>
        <v/>
      </c>
      <c r="I13" s="14">
        <f>MIN(COB_CA!$B$18,(E13+F13))</f>
        <v/>
      </c>
      <c r="J13" s="14">
        <f>MIN((COB_CA!$B$18-I13),G13)</f>
        <v/>
      </c>
      <c r="K13" s="14">
        <f>MIN(((COB_CA!$B$18-I13)-J13),D13)</f>
        <v/>
      </c>
      <c r="L13" s="14">
        <f>E13+F13-I13</f>
        <v/>
      </c>
      <c r="M13" s="14">
        <f>G13-J13</f>
        <v/>
      </c>
      <c r="N13" s="14">
        <f>D13-K13</f>
        <v/>
      </c>
      <c r="O13" s="6">
        <f>AND(D13&gt;0,B13&lt;=COB_CA!$B$20)</f>
        <v/>
      </c>
    </row>
    <row r="14">
      <c r="A14" s="6" t="n">
        <v>10</v>
      </c>
      <c r="B14" s="15">
        <f>IF(COB_CA!$B$38=12,DATE(YEAR(COB_CA!$B$19)+INT((MONTH(COB_CA!$B$19)-1+9)/12),MOD(MONTH(COB_CA!$B$19)-1+9,12)+1,1)+(DAY(COB_CA!$B$19)-1),IF(COB_CA!$B$38=24,COB_CA!$B$19+ROUND((9*365.25)/24,0),IF(COB_CA!$B$38=26,COB_CA!$B$19+126,COB_CA!$B$19+63)))</f>
        <v/>
      </c>
      <c r="C14" s="12">
        <f>B14-B13</f>
        <v/>
      </c>
      <c r="D14" s="14">
        <f>N13</f>
        <v/>
      </c>
      <c r="E14" s="14">
        <f>D14*COB_CA!$B$40/100*(IF(YEAR(B13)=YEAR(B14),(B14-B13)/IF(AND(MOD(YEAR(B14),4)=0,OR(MOD(YEAR(B14),100)&lt;&gt;0,MOD(YEAR(B14),400)=0)),366,365),(((DATE(YEAR(B13)+1,1,1)))-B13)/IF(AND(MOD(YEAR(B13),4)=0,OR(MOD(YEAR(B13),100)&lt;&gt;0,MOD(YEAR(B13),400)=0)),366,365)+(B14-((DATE(YEAR(B13)+1,1,1))))/IF(AND(MOD(YEAR(B14),4)=0,OR(MOD(YEAR(B14),100)&lt;&gt;0,MOD(YEAR(B14),400)=0)),366,365)))</f>
        <v/>
      </c>
      <c r="F14" s="14">
        <f>L13</f>
        <v/>
      </c>
      <c r="G14" s="14">
        <f>M13</f>
        <v/>
      </c>
      <c r="H14" s="14">
        <f>IF((((COB_CA!$B$18-I14)-J14)&gt;D14),I14+J14+K14,COB_CA!$B$18)</f>
        <v/>
      </c>
      <c r="I14" s="14">
        <f>MIN(COB_CA!$B$18,(E14+F14))</f>
        <v/>
      </c>
      <c r="J14" s="14">
        <f>MIN((COB_CA!$B$18-I14),G14)</f>
        <v/>
      </c>
      <c r="K14" s="14">
        <f>MIN(((COB_CA!$B$18-I14)-J14),D14)</f>
        <v/>
      </c>
      <c r="L14" s="14">
        <f>E14+F14-I14</f>
        <v/>
      </c>
      <c r="M14" s="14">
        <f>G14-J14</f>
        <v/>
      </c>
      <c r="N14" s="14">
        <f>D14-K14</f>
        <v/>
      </c>
      <c r="O14" s="6">
        <f>AND(D14&gt;0,B14&lt;=COB_CA!$B$20)</f>
        <v/>
      </c>
    </row>
    <row r="15">
      <c r="A15" s="6" t="n">
        <v>11</v>
      </c>
      <c r="B15" s="15">
        <f>IF(COB_CA!$B$38=12,DATE(YEAR(COB_CA!$B$19)+INT((MONTH(COB_CA!$B$19)-1+10)/12),MOD(MONTH(COB_CA!$B$19)-1+10,12)+1,1)+(DAY(COB_CA!$B$19)-1),IF(COB_CA!$B$38=24,COB_CA!$B$19+ROUND((10*365.25)/24,0),IF(COB_CA!$B$38=26,COB_CA!$B$19+140,COB_CA!$B$19+70)))</f>
        <v/>
      </c>
      <c r="C15" s="12">
        <f>B15-B14</f>
        <v/>
      </c>
      <c r="D15" s="14">
        <f>N14</f>
        <v/>
      </c>
      <c r="E15" s="14">
        <f>D15*COB_CA!$B$40/100*(IF(YEAR(B14)=YEAR(B15),(B15-B14)/IF(AND(MOD(YEAR(B15),4)=0,OR(MOD(YEAR(B15),100)&lt;&gt;0,MOD(YEAR(B15),400)=0)),366,365),(((DATE(YEAR(B14)+1,1,1)))-B14)/IF(AND(MOD(YEAR(B14),4)=0,OR(MOD(YEAR(B14),100)&lt;&gt;0,MOD(YEAR(B14),400)=0)),366,365)+(B15-((DATE(YEAR(B14)+1,1,1))))/IF(AND(MOD(YEAR(B15),4)=0,OR(MOD(YEAR(B15),100)&lt;&gt;0,MOD(YEAR(B15),400)=0)),366,365)))</f>
        <v/>
      </c>
      <c r="F15" s="14">
        <f>L14</f>
        <v/>
      </c>
      <c r="G15" s="14">
        <f>M14</f>
        <v/>
      </c>
      <c r="H15" s="14">
        <f>IF((((COB_CA!$B$18-I15)-J15)&gt;D15),I15+J15+K15,COB_CA!$B$18)</f>
        <v/>
      </c>
      <c r="I15" s="14">
        <f>MIN(COB_CA!$B$18,(E15+F15))</f>
        <v/>
      </c>
      <c r="J15" s="14">
        <f>MIN((COB_CA!$B$18-I15),G15)</f>
        <v/>
      </c>
      <c r="K15" s="14">
        <f>MIN(((COB_CA!$B$18-I15)-J15),D15)</f>
        <v/>
      </c>
      <c r="L15" s="14">
        <f>E15+F15-I15</f>
        <v/>
      </c>
      <c r="M15" s="14">
        <f>G15-J15</f>
        <v/>
      </c>
      <c r="N15" s="14">
        <f>D15-K15</f>
        <v/>
      </c>
      <c r="O15" s="6">
        <f>AND(D15&gt;0,B15&lt;=COB_CA!$B$20)</f>
        <v/>
      </c>
    </row>
    <row r="16">
      <c r="A16" s="6" t="n">
        <v>12</v>
      </c>
      <c r="B16" s="15">
        <f>IF(COB_CA!$B$38=12,DATE(YEAR(COB_CA!$B$19)+INT((MONTH(COB_CA!$B$19)-1+11)/12),MOD(MONTH(COB_CA!$B$19)-1+11,12)+1,1)+(DAY(COB_CA!$B$19)-1),IF(COB_CA!$B$38=24,COB_CA!$B$19+ROUND((11*365.25)/24,0),IF(COB_CA!$B$38=26,COB_CA!$B$19+154,COB_CA!$B$19+77)))</f>
        <v/>
      </c>
      <c r="C16" s="12">
        <f>B16-B15</f>
        <v/>
      </c>
      <c r="D16" s="14">
        <f>N15</f>
        <v/>
      </c>
      <c r="E16" s="14">
        <f>D16*COB_CA!$B$40/100*(IF(YEAR(B15)=YEAR(B16),(B16-B15)/IF(AND(MOD(YEAR(B16),4)=0,OR(MOD(YEAR(B16),100)&lt;&gt;0,MOD(YEAR(B16),400)=0)),366,365),(((DATE(YEAR(B15)+1,1,1)))-B15)/IF(AND(MOD(YEAR(B15),4)=0,OR(MOD(YEAR(B15),100)&lt;&gt;0,MOD(YEAR(B15),400)=0)),366,365)+(B16-((DATE(YEAR(B15)+1,1,1))))/IF(AND(MOD(YEAR(B16),4)=0,OR(MOD(YEAR(B16),100)&lt;&gt;0,MOD(YEAR(B16),400)=0)),366,365)))</f>
        <v/>
      </c>
      <c r="F16" s="14">
        <f>L15</f>
        <v/>
      </c>
      <c r="G16" s="14">
        <f>M15</f>
        <v/>
      </c>
      <c r="H16" s="14">
        <f>IF((((COB_CA!$B$18-I16)-J16)&gt;D16),I16+J16+K16,COB_CA!$B$18)</f>
        <v/>
      </c>
      <c r="I16" s="14">
        <f>MIN(COB_CA!$B$18,(E16+F16))</f>
        <v/>
      </c>
      <c r="J16" s="14">
        <f>MIN((COB_CA!$B$18-I16),G16)</f>
        <v/>
      </c>
      <c r="K16" s="14">
        <f>MIN(((COB_CA!$B$18-I16)-J16),D16)</f>
        <v/>
      </c>
      <c r="L16" s="14">
        <f>E16+F16-I16</f>
        <v/>
      </c>
      <c r="M16" s="14">
        <f>G16-J16</f>
        <v/>
      </c>
      <c r="N16" s="14">
        <f>D16-K16</f>
        <v/>
      </c>
      <c r="O16" s="6">
        <f>AND(D16&gt;0,B16&lt;=COB_CA!$B$20)</f>
        <v/>
      </c>
    </row>
    <row r="17">
      <c r="A17" s="6" t="n">
        <v>13</v>
      </c>
      <c r="B17" s="15">
        <f>IF(COB_CA!$B$38=12,DATE(YEAR(COB_CA!$B$19)+INT((MONTH(COB_CA!$B$19)-1+12)/12),MOD(MONTH(COB_CA!$B$19)-1+12,12)+1,1)+(DAY(COB_CA!$B$19)-1),IF(COB_CA!$B$38=24,COB_CA!$B$19+ROUND((12*365.25)/24,0),IF(COB_CA!$B$38=26,COB_CA!$B$19+168,COB_CA!$B$19+84)))</f>
        <v/>
      </c>
      <c r="C17" s="12">
        <f>B17-B16</f>
        <v/>
      </c>
      <c r="D17" s="14">
        <f>N16</f>
        <v/>
      </c>
      <c r="E17" s="14">
        <f>D17*COB_CA!$B$40/100*(IF(YEAR(B16)=YEAR(B17),(B17-B16)/IF(AND(MOD(YEAR(B17),4)=0,OR(MOD(YEAR(B17),100)&lt;&gt;0,MOD(YEAR(B17),400)=0)),366,365),(((DATE(YEAR(B16)+1,1,1)))-B16)/IF(AND(MOD(YEAR(B16),4)=0,OR(MOD(YEAR(B16),100)&lt;&gt;0,MOD(YEAR(B16),400)=0)),366,365)+(B17-((DATE(YEAR(B16)+1,1,1))))/IF(AND(MOD(YEAR(B17),4)=0,OR(MOD(YEAR(B17),100)&lt;&gt;0,MOD(YEAR(B17),400)=0)),366,365)))</f>
        <v/>
      </c>
      <c r="F17" s="14">
        <f>L16</f>
        <v/>
      </c>
      <c r="G17" s="14">
        <f>M16</f>
        <v/>
      </c>
      <c r="H17" s="14">
        <f>IF((((COB_CA!$B$18-I17)-J17)&gt;D17),I17+J17+K17,COB_CA!$B$18)</f>
        <v/>
      </c>
      <c r="I17" s="14">
        <f>MIN(COB_CA!$B$18,(E17+F17))</f>
        <v/>
      </c>
      <c r="J17" s="14">
        <f>MIN((COB_CA!$B$18-I17),G17)</f>
        <v/>
      </c>
      <c r="K17" s="14">
        <f>MIN(((COB_CA!$B$18-I17)-J17),D17)</f>
        <v/>
      </c>
      <c r="L17" s="14">
        <f>E17+F17-I17</f>
        <v/>
      </c>
      <c r="M17" s="14">
        <f>G17-J17</f>
        <v/>
      </c>
      <c r="N17" s="14">
        <f>D17-K17</f>
        <v/>
      </c>
      <c r="O17" s="6">
        <f>AND(D17&gt;0,B17&lt;=COB_CA!$B$20)</f>
        <v/>
      </c>
    </row>
    <row r="18">
      <c r="A18" s="6" t="n">
        <v>14</v>
      </c>
      <c r="B18" s="15">
        <f>IF(COB_CA!$B$38=12,DATE(YEAR(COB_CA!$B$19)+INT((MONTH(COB_CA!$B$19)-1+13)/12),MOD(MONTH(COB_CA!$B$19)-1+13,12)+1,1)+(DAY(COB_CA!$B$19)-1),IF(COB_CA!$B$38=24,COB_CA!$B$19+ROUND((13*365.25)/24,0),IF(COB_CA!$B$38=26,COB_CA!$B$19+182,COB_CA!$B$19+91)))</f>
        <v/>
      </c>
      <c r="C18" s="12">
        <f>B18-B17</f>
        <v/>
      </c>
      <c r="D18" s="14">
        <f>N17</f>
        <v/>
      </c>
      <c r="E18" s="14">
        <f>D18*COB_CA!$B$40/100*(IF(YEAR(B17)=YEAR(B18),(B18-B17)/IF(AND(MOD(YEAR(B18),4)=0,OR(MOD(YEAR(B18),100)&lt;&gt;0,MOD(YEAR(B18),400)=0)),366,365),(((DATE(YEAR(B17)+1,1,1)))-B17)/IF(AND(MOD(YEAR(B17),4)=0,OR(MOD(YEAR(B17),100)&lt;&gt;0,MOD(YEAR(B17),400)=0)),366,365)+(B18-((DATE(YEAR(B17)+1,1,1))))/IF(AND(MOD(YEAR(B18),4)=0,OR(MOD(YEAR(B18),100)&lt;&gt;0,MOD(YEAR(B18),400)=0)),366,365)))</f>
        <v/>
      </c>
      <c r="F18" s="14">
        <f>L17</f>
        <v/>
      </c>
      <c r="G18" s="14">
        <f>M17</f>
        <v/>
      </c>
      <c r="H18" s="14">
        <f>IF((((COB_CA!$B$18-I18)-J18)&gt;D18),I18+J18+K18,COB_CA!$B$18)</f>
        <v/>
      </c>
      <c r="I18" s="14">
        <f>MIN(COB_CA!$B$18,(E18+F18))</f>
        <v/>
      </c>
      <c r="J18" s="14">
        <f>MIN((COB_CA!$B$18-I18),G18)</f>
        <v/>
      </c>
      <c r="K18" s="14">
        <f>MIN(((COB_CA!$B$18-I18)-J18),D18)</f>
        <v/>
      </c>
      <c r="L18" s="14">
        <f>E18+F18-I18</f>
        <v/>
      </c>
      <c r="M18" s="14">
        <f>G18-J18</f>
        <v/>
      </c>
      <c r="N18" s="14">
        <f>D18-K18</f>
        <v/>
      </c>
      <c r="O18" s="6">
        <f>AND(D18&gt;0,B18&lt;=COB_CA!$B$20)</f>
        <v/>
      </c>
    </row>
    <row r="19">
      <c r="A19" s="6" t="n">
        <v>15</v>
      </c>
      <c r="B19" s="15">
        <f>IF(COB_CA!$B$38=12,DATE(YEAR(COB_CA!$B$19)+INT((MONTH(COB_CA!$B$19)-1+14)/12),MOD(MONTH(COB_CA!$B$19)-1+14,12)+1,1)+(DAY(COB_CA!$B$19)-1),IF(COB_CA!$B$38=24,COB_CA!$B$19+ROUND((14*365.25)/24,0),IF(COB_CA!$B$38=26,COB_CA!$B$19+196,COB_CA!$B$19+98)))</f>
        <v/>
      </c>
      <c r="C19" s="12">
        <f>B19-B18</f>
        <v/>
      </c>
      <c r="D19" s="14">
        <f>N18</f>
        <v/>
      </c>
      <c r="E19" s="14">
        <f>D19*COB_CA!$B$40/100*(IF(YEAR(B18)=YEAR(B19),(B19-B18)/IF(AND(MOD(YEAR(B19),4)=0,OR(MOD(YEAR(B19),100)&lt;&gt;0,MOD(YEAR(B19),400)=0)),366,365),(((DATE(YEAR(B18)+1,1,1)))-B18)/IF(AND(MOD(YEAR(B18),4)=0,OR(MOD(YEAR(B18),100)&lt;&gt;0,MOD(YEAR(B18),400)=0)),366,365)+(B19-((DATE(YEAR(B18)+1,1,1))))/IF(AND(MOD(YEAR(B19),4)=0,OR(MOD(YEAR(B19),100)&lt;&gt;0,MOD(YEAR(B19),400)=0)),366,365)))</f>
        <v/>
      </c>
      <c r="F19" s="14">
        <f>L18</f>
        <v/>
      </c>
      <c r="G19" s="14">
        <f>M18</f>
        <v/>
      </c>
      <c r="H19" s="14">
        <f>IF((((COB_CA!$B$18-I19)-J19)&gt;D19),I19+J19+K19,COB_CA!$B$18)</f>
        <v/>
      </c>
      <c r="I19" s="14">
        <f>MIN(COB_CA!$B$18,(E19+F19))</f>
        <v/>
      </c>
      <c r="J19" s="14">
        <f>MIN((COB_CA!$B$18-I19),G19)</f>
        <v/>
      </c>
      <c r="K19" s="14">
        <f>MIN(((COB_CA!$B$18-I19)-J19),D19)</f>
        <v/>
      </c>
      <c r="L19" s="14">
        <f>E19+F19-I19</f>
        <v/>
      </c>
      <c r="M19" s="14">
        <f>G19-J19</f>
        <v/>
      </c>
      <c r="N19" s="14">
        <f>D19-K19</f>
        <v/>
      </c>
      <c r="O19" s="6">
        <f>AND(D19&gt;0,B19&lt;=COB_CA!$B$20)</f>
        <v/>
      </c>
    </row>
    <row r="20">
      <c r="A20" s="6" t="n">
        <v>16</v>
      </c>
      <c r="B20" s="15">
        <f>IF(COB_CA!$B$38=12,DATE(YEAR(COB_CA!$B$19)+INT((MONTH(COB_CA!$B$19)-1+15)/12),MOD(MONTH(COB_CA!$B$19)-1+15,12)+1,1)+(DAY(COB_CA!$B$19)-1),IF(COB_CA!$B$38=24,COB_CA!$B$19+ROUND((15*365.25)/24,0),IF(COB_CA!$B$38=26,COB_CA!$B$19+210,COB_CA!$B$19+105)))</f>
        <v/>
      </c>
      <c r="C20" s="12">
        <f>B20-B19</f>
        <v/>
      </c>
      <c r="D20" s="14">
        <f>N19</f>
        <v/>
      </c>
      <c r="E20" s="14">
        <f>D20*COB_CA!$B$40/100*(IF(YEAR(B19)=YEAR(B20),(B20-B19)/IF(AND(MOD(YEAR(B20),4)=0,OR(MOD(YEAR(B20),100)&lt;&gt;0,MOD(YEAR(B20),400)=0)),366,365),(((DATE(YEAR(B19)+1,1,1)))-B19)/IF(AND(MOD(YEAR(B19),4)=0,OR(MOD(YEAR(B19),100)&lt;&gt;0,MOD(YEAR(B19),400)=0)),366,365)+(B20-((DATE(YEAR(B19)+1,1,1))))/IF(AND(MOD(YEAR(B20),4)=0,OR(MOD(YEAR(B20),100)&lt;&gt;0,MOD(YEAR(B20),400)=0)),366,365)))</f>
        <v/>
      </c>
      <c r="F20" s="14">
        <f>L19</f>
        <v/>
      </c>
      <c r="G20" s="14">
        <f>M19</f>
        <v/>
      </c>
      <c r="H20" s="14">
        <f>IF((((COB_CA!$B$18-I20)-J20)&gt;D20),I20+J20+K20,COB_CA!$B$18)</f>
        <v/>
      </c>
      <c r="I20" s="14">
        <f>MIN(COB_CA!$B$18,(E20+F20))</f>
        <v/>
      </c>
      <c r="J20" s="14">
        <f>MIN((COB_CA!$B$18-I20),G20)</f>
        <v/>
      </c>
      <c r="K20" s="14">
        <f>MIN(((COB_CA!$B$18-I20)-J20),D20)</f>
        <v/>
      </c>
      <c r="L20" s="14">
        <f>E20+F20-I20</f>
        <v/>
      </c>
      <c r="M20" s="14">
        <f>G20-J20</f>
        <v/>
      </c>
      <c r="N20" s="14">
        <f>D20-K20</f>
        <v/>
      </c>
      <c r="O20" s="6">
        <f>AND(D20&gt;0,B20&lt;=COB_CA!$B$20)</f>
        <v/>
      </c>
    </row>
    <row r="21">
      <c r="A21" s="6" t="n">
        <v>17</v>
      </c>
      <c r="B21" s="15">
        <f>IF(COB_CA!$B$38=12,DATE(YEAR(COB_CA!$B$19)+INT((MONTH(COB_CA!$B$19)-1+16)/12),MOD(MONTH(COB_CA!$B$19)-1+16,12)+1,1)+(DAY(COB_CA!$B$19)-1),IF(COB_CA!$B$38=24,COB_CA!$B$19+ROUND((16*365.25)/24,0),IF(COB_CA!$B$38=26,COB_CA!$B$19+224,COB_CA!$B$19+112)))</f>
        <v/>
      </c>
      <c r="C21" s="12">
        <f>B21-B20</f>
        <v/>
      </c>
      <c r="D21" s="14">
        <f>N20</f>
        <v/>
      </c>
      <c r="E21" s="14">
        <f>D21*COB_CA!$B$40/100*(IF(YEAR(B20)=YEAR(B21),(B21-B20)/IF(AND(MOD(YEAR(B21),4)=0,OR(MOD(YEAR(B21),100)&lt;&gt;0,MOD(YEAR(B21),400)=0)),366,365),(((DATE(YEAR(B20)+1,1,1)))-B20)/IF(AND(MOD(YEAR(B20),4)=0,OR(MOD(YEAR(B20),100)&lt;&gt;0,MOD(YEAR(B20),400)=0)),366,365)+(B21-((DATE(YEAR(B20)+1,1,1))))/IF(AND(MOD(YEAR(B21),4)=0,OR(MOD(YEAR(B21),100)&lt;&gt;0,MOD(YEAR(B21),400)=0)),366,365)))</f>
        <v/>
      </c>
      <c r="F21" s="14">
        <f>L20</f>
        <v/>
      </c>
      <c r="G21" s="14">
        <f>M20</f>
        <v/>
      </c>
      <c r="H21" s="14">
        <f>IF((((COB_CA!$B$18-I21)-J21)&gt;D21),I21+J21+K21,COB_CA!$B$18)</f>
        <v/>
      </c>
      <c r="I21" s="14">
        <f>MIN(COB_CA!$B$18,(E21+F21))</f>
        <v/>
      </c>
      <c r="J21" s="14">
        <f>MIN((COB_CA!$B$18-I21),G21)</f>
        <v/>
      </c>
      <c r="K21" s="14">
        <f>MIN(((COB_CA!$B$18-I21)-J21),D21)</f>
        <v/>
      </c>
      <c r="L21" s="14">
        <f>E21+F21-I21</f>
        <v/>
      </c>
      <c r="M21" s="14">
        <f>G21-J21</f>
        <v/>
      </c>
      <c r="N21" s="14">
        <f>D21-K21</f>
        <v/>
      </c>
      <c r="O21" s="6">
        <f>AND(D21&gt;0,B21&lt;=COB_CA!$B$20)</f>
        <v/>
      </c>
    </row>
    <row r="22">
      <c r="A22" s="6" t="n">
        <v>18</v>
      </c>
      <c r="B22" s="15">
        <f>IF(COB_CA!$B$38=12,DATE(YEAR(COB_CA!$B$19)+INT((MONTH(COB_CA!$B$19)-1+17)/12),MOD(MONTH(COB_CA!$B$19)-1+17,12)+1,1)+(DAY(COB_CA!$B$19)-1),IF(COB_CA!$B$38=24,COB_CA!$B$19+ROUND((17*365.25)/24,0),IF(COB_CA!$B$38=26,COB_CA!$B$19+238,COB_CA!$B$19+119)))</f>
        <v/>
      </c>
      <c r="C22" s="12">
        <f>B22-B21</f>
        <v/>
      </c>
      <c r="D22" s="14">
        <f>N21</f>
        <v/>
      </c>
      <c r="E22" s="14">
        <f>D22*COB_CA!$B$40/100*(IF(YEAR(B21)=YEAR(B22),(B22-B21)/IF(AND(MOD(YEAR(B22),4)=0,OR(MOD(YEAR(B22),100)&lt;&gt;0,MOD(YEAR(B22),400)=0)),366,365),(((DATE(YEAR(B21)+1,1,1)))-B21)/IF(AND(MOD(YEAR(B21),4)=0,OR(MOD(YEAR(B21),100)&lt;&gt;0,MOD(YEAR(B21),400)=0)),366,365)+(B22-((DATE(YEAR(B21)+1,1,1))))/IF(AND(MOD(YEAR(B22),4)=0,OR(MOD(YEAR(B22),100)&lt;&gt;0,MOD(YEAR(B22),400)=0)),366,365)))</f>
        <v/>
      </c>
      <c r="F22" s="14">
        <f>L21</f>
        <v/>
      </c>
      <c r="G22" s="14">
        <f>M21</f>
        <v/>
      </c>
      <c r="H22" s="14">
        <f>IF((((COB_CA!$B$18-I22)-J22)&gt;D22),I22+J22+K22,COB_CA!$B$18)</f>
        <v/>
      </c>
      <c r="I22" s="14">
        <f>MIN(COB_CA!$B$18,(E22+F22))</f>
        <v/>
      </c>
      <c r="J22" s="14">
        <f>MIN((COB_CA!$B$18-I22),G22)</f>
        <v/>
      </c>
      <c r="K22" s="14">
        <f>MIN(((COB_CA!$B$18-I22)-J22),D22)</f>
        <v/>
      </c>
      <c r="L22" s="14">
        <f>E22+F22-I22</f>
        <v/>
      </c>
      <c r="M22" s="14">
        <f>G22-J22</f>
        <v/>
      </c>
      <c r="N22" s="14">
        <f>D22-K22</f>
        <v/>
      </c>
      <c r="O22" s="6">
        <f>AND(D22&gt;0,B22&lt;=COB_CA!$B$20)</f>
        <v/>
      </c>
    </row>
    <row r="23">
      <c r="A23" s="6" t="n">
        <v>19</v>
      </c>
      <c r="B23" s="15">
        <f>IF(COB_CA!$B$38=12,DATE(YEAR(COB_CA!$B$19)+INT((MONTH(COB_CA!$B$19)-1+18)/12),MOD(MONTH(COB_CA!$B$19)-1+18,12)+1,1)+(DAY(COB_CA!$B$19)-1),IF(COB_CA!$B$38=24,COB_CA!$B$19+ROUND((18*365.25)/24,0),IF(COB_CA!$B$38=26,COB_CA!$B$19+252,COB_CA!$B$19+126)))</f>
        <v/>
      </c>
      <c r="C23" s="12">
        <f>B23-B22</f>
        <v/>
      </c>
      <c r="D23" s="14">
        <f>N22</f>
        <v/>
      </c>
      <c r="E23" s="14">
        <f>D23*COB_CA!$B$40/100*(IF(YEAR(B22)=YEAR(B23),(B23-B22)/IF(AND(MOD(YEAR(B23),4)=0,OR(MOD(YEAR(B23),100)&lt;&gt;0,MOD(YEAR(B23),400)=0)),366,365),(((DATE(YEAR(B22)+1,1,1)))-B22)/IF(AND(MOD(YEAR(B22),4)=0,OR(MOD(YEAR(B22),100)&lt;&gt;0,MOD(YEAR(B22),400)=0)),366,365)+(B23-((DATE(YEAR(B22)+1,1,1))))/IF(AND(MOD(YEAR(B23),4)=0,OR(MOD(YEAR(B23),100)&lt;&gt;0,MOD(YEAR(B23),400)=0)),366,365)))</f>
        <v/>
      </c>
      <c r="F23" s="14">
        <f>L22</f>
        <v/>
      </c>
      <c r="G23" s="14">
        <f>M22</f>
        <v/>
      </c>
      <c r="H23" s="14">
        <f>IF((((COB_CA!$B$18-I23)-J23)&gt;D23),I23+J23+K23,COB_CA!$B$18)</f>
        <v/>
      </c>
      <c r="I23" s="14">
        <f>MIN(COB_CA!$B$18,(E23+F23))</f>
        <v/>
      </c>
      <c r="J23" s="14">
        <f>MIN((COB_CA!$B$18-I23),G23)</f>
        <v/>
      </c>
      <c r="K23" s="14">
        <f>MIN(((COB_CA!$B$18-I23)-J23),D23)</f>
        <v/>
      </c>
      <c r="L23" s="14">
        <f>E23+F23-I23</f>
        <v/>
      </c>
      <c r="M23" s="14">
        <f>G23-J23</f>
        <v/>
      </c>
      <c r="N23" s="14">
        <f>D23-K23</f>
        <v/>
      </c>
      <c r="O23" s="6">
        <f>AND(D23&gt;0,B23&lt;=COB_CA!$B$20)</f>
        <v/>
      </c>
    </row>
    <row r="24">
      <c r="A24" s="6" t="n">
        <v>20</v>
      </c>
      <c r="B24" s="15">
        <f>IF(COB_CA!$B$38=12,DATE(YEAR(COB_CA!$B$19)+INT((MONTH(COB_CA!$B$19)-1+19)/12),MOD(MONTH(COB_CA!$B$19)-1+19,12)+1,1)+(DAY(COB_CA!$B$19)-1),IF(COB_CA!$B$38=24,COB_CA!$B$19+ROUND((19*365.25)/24,0),IF(COB_CA!$B$38=26,COB_CA!$B$19+266,COB_CA!$B$19+133)))</f>
        <v/>
      </c>
      <c r="C24" s="12">
        <f>B24-B23</f>
        <v/>
      </c>
      <c r="D24" s="14">
        <f>N23</f>
        <v/>
      </c>
      <c r="E24" s="14">
        <f>D24*COB_CA!$B$40/100*(IF(YEAR(B23)=YEAR(B24),(B24-B23)/IF(AND(MOD(YEAR(B24),4)=0,OR(MOD(YEAR(B24),100)&lt;&gt;0,MOD(YEAR(B24),400)=0)),366,365),(((DATE(YEAR(B23)+1,1,1)))-B23)/IF(AND(MOD(YEAR(B23),4)=0,OR(MOD(YEAR(B23),100)&lt;&gt;0,MOD(YEAR(B23),400)=0)),366,365)+(B24-((DATE(YEAR(B23)+1,1,1))))/IF(AND(MOD(YEAR(B24),4)=0,OR(MOD(YEAR(B24),100)&lt;&gt;0,MOD(YEAR(B24),400)=0)),366,365)))</f>
        <v/>
      </c>
      <c r="F24" s="14">
        <f>L23</f>
        <v/>
      </c>
      <c r="G24" s="14">
        <f>M23</f>
        <v/>
      </c>
      <c r="H24" s="14">
        <f>IF((((COB_CA!$B$18-I24)-J24)&gt;D24),I24+J24+K24,COB_CA!$B$18)</f>
        <v/>
      </c>
      <c r="I24" s="14">
        <f>MIN(COB_CA!$B$18,(E24+F24))</f>
        <v/>
      </c>
      <c r="J24" s="14">
        <f>MIN((COB_CA!$B$18-I24),G24)</f>
        <v/>
      </c>
      <c r="K24" s="14">
        <f>MIN(((COB_CA!$B$18-I24)-J24),D24)</f>
        <v/>
      </c>
      <c r="L24" s="14">
        <f>E24+F24-I24</f>
        <v/>
      </c>
      <c r="M24" s="14">
        <f>G24-J24</f>
        <v/>
      </c>
      <c r="N24" s="14">
        <f>D24-K24</f>
        <v/>
      </c>
      <c r="O24" s="6">
        <f>AND(D24&gt;0,B24&lt;=COB_CA!$B$20)</f>
        <v/>
      </c>
    </row>
    <row r="25">
      <c r="A25" s="6" t="n">
        <v>21</v>
      </c>
      <c r="B25" s="15">
        <f>IF(COB_CA!$B$38=12,DATE(YEAR(COB_CA!$B$19)+INT((MONTH(COB_CA!$B$19)-1+20)/12),MOD(MONTH(COB_CA!$B$19)-1+20,12)+1,1)+(DAY(COB_CA!$B$19)-1),IF(COB_CA!$B$38=24,COB_CA!$B$19+ROUND((20*365.25)/24,0),IF(COB_CA!$B$38=26,COB_CA!$B$19+280,COB_CA!$B$19+140)))</f>
        <v/>
      </c>
      <c r="C25" s="12">
        <f>B25-B24</f>
        <v/>
      </c>
      <c r="D25" s="14">
        <f>N24</f>
        <v/>
      </c>
      <c r="E25" s="14">
        <f>D25*COB_CA!$B$40/100*(IF(YEAR(B24)=YEAR(B25),(B25-B24)/IF(AND(MOD(YEAR(B25),4)=0,OR(MOD(YEAR(B25),100)&lt;&gt;0,MOD(YEAR(B25),400)=0)),366,365),(((DATE(YEAR(B24)+1,1,1)))-B24)/IF(AND(MOD(YEAR(B24),4)=0,OR(MOD(YEAR(B24),100)&lt;&gt;0,MOD(YEAR(B24),400)=0)),366,365)+(B25-((DATE(YEAR(B24)+1,1,1))))/IF(AND(MOD(YEAR(B25),4)=0,OR(MOD(YEAR(B25),100)&lt;&gt;0,MOD(YEAR(B25),400)=0)),366,365)))</f>
        <v/>
      </c>
      <c r="F25" s="14">
        <f>L24</f>
        <v/>
      </c>
      <c r="G25" s="14">
        <f>M24</f>
        <v/>
      </c>
      <c r="H25" s="14">
        <f>IF((((COB_CA!$B$18-I25)-J25)&gt;D25),I25+J25+K25,COB_CA!$B$18)</f>
        <v/>
      </c>
      <c r="I25" s="14">
        <f>MIN(COB_CA!$B$18,(E25+F25))</f>
        <v/>
      </c>
      <c r="J25" s="14">
        <f>MIN((COB_CA!$B$18-I25),G25)</f>
        <v/>
      </c>
      <c r="K25" s="14">
        <f>MIN(((COB_CA!$B$18-I25)-J25),D25)</f>
        <v/>
      </c>
      <c r="L25" s="14">
        <f>E25+F25-I25</f>
        <v/>
      </c>
      <c r="M25" s="14">
        <f>G25-J25</f>
        <v/>
      </c>
      <c r="N25" s="14">
        <f>D25-K25</f>
        <v/>
      </c>
      <c r="O25" s="6">
        <f>AND(D25&gt;0,B25&lt;=COB_CA!$B$20)</f>
        <v/>
      </c>
    </row>
    <row r="26">
      <c r="A26" s="6" t="n">
        <v>22</v>
      </c>
      <c r="B26" s="15">
        <f>IF(COB_CA!$B$38=12,DATE(YEAR(COB_CA!$B$19)+INT((MONTH(COB_CA!$B$19)-1+21)/12),MOD(MONTH(COB_CA!$B$19)-1+21,12)+1,1)+(DAY(COB_CA!$B$19)-1),IF(COB_CA!$B$38=24,COB_CA!$B$19+ROUND((21*365.25)/24,0),IF(COB_CA!$B$38=26,COB_CA!$B$19+294,COB_CA!$B$19+147)))</f>
        <v/>
      </c>
      <c r="C26" s="12">
        <f>B26-B25</f>
        <v/>
      </c>
      <c r="D26" s="14">
        <f>N25</f>
        <v/>
      </c>
      <c r="E26" s="14">
        <f>D26*COB_CA!$B$40/100*(IF(YEAR(B25)=YEAR(B26),(B26-B25)/IF(AND(MOD(YEAR(B26),4)=0,OR(MOD(YEAR(B26),100)&lt;&gt;0,MOD(YEAR(B26),400)=0)),366,365),(((DATE(YEAR(B25)+1,1,1)))-B25)/IF(AND(MOD(YEAR(B25),4)=0,OR(MOD(YEAR(B25),100)&lt;&gt;0,MOD(YEAR(B25),400)=0)),366,365)+(B26-((DATE(YEAR(B25)+1,1,1))))/IF(AND(MOD(YEAR(B26),4)=0,OR(MOD(YEAR(B26),100)&lt;&gt;0,MOD(YEAR(B26),400)=0)),366,365)))</f>
        <v/>
      </c>
      <c r="F26" s="14">
        <f>L25</f>
        <v/>
      </c>
      <c r="G26" s="14">
        <f>M25</f>
        <v/>
      </c>
      <c r="H26" s="14">
        <f>IF((((COB_CA!$B$18-I26)-J26)&gt;D26),I26+J26+K26,COB_CA!$B$18)</f>
        <v/>
      </c>
      <c r="I26" s="14">
        <f>MIN(COB_CA!$B$18,(E26+F26))</f>
        <v/>
      </c>
      <c r="J26" s="14">
        <f>MIN((COB_CA!$B$18-I26),G26)</f>
        <v/>
      </c>
      <c r="K26" s="14">
        <f>MIN(((COB_CA!$B$18-I26)-J26),D26)</f>
        <v/>
      </c>
      <c r="L26" s="14">
        <f>E26+F26-I26</f>
        <v/>
      </c>
      <c r="M26" s="14">
        <f>G26-J26</f>
        <v/>
      </c>
      <c r="N26" s="14">
        <f>D26-K26</f>
        <v/>
      </c>
      <c r="O26" s="6">
        <f>AND(D26&gt;0,B26&lt;=COB_CA!$B$20)</f>
        <v/>
      </c>
    </row>
    <row r="27">
      <c r="A27" s="6" t="n">
        <v>23</v>
      </c>
      <c r="B27" s="15">
        <f>IF(COB_CA!$B$38=12,DATE(YEAR(COB_CA!$B$19)+INT((MONTH(COB_CA!$B$19)-1+22)/12),MOD(MONTH(COB_CA!$B$19)-1+22,12)+1,1)+(DAY(COB_CA!$B$19)-1),IF(COB_CA!$B$38=24,COB_CA!$B$19+ROUND((22*365.25)/24,0),IF(COB_CA!$B$38=26,COB_CA!$B$19+308,COB_CA!$B$19+154)))</f>
        <v/>
      </c>
      <c r="C27" s="12">
        <f>B27-B26</f>
        <v/>
      </c>
      <c r="D27" s="14">
        <f>N26</f>
        <v/>
      </c>
      <c r="E27" s="14">
        <f>D27*COB_CA!$B$40/100*(IF(YEAR(B26)=YEAR(B27),(B27-B26)/IF(AND(MOD(YEAR(B27),4)=0,OR(MOD(YEAR(B27),100)&lt;&gt;0,MOD(YEAR(B27),400)=0)),366,365),(((DATE(YEAR(B26)+1,1,1)))-B26)/IF(AND(MOD(YEAR(B26),4)=0,OR(MOD(YEAR(B26),100)&lt;&gt;0,MOD(YEAR(B26),400)=0)),366,365)+(B27-((DATE(YEAR(B26)+1,1,1))))/IF(AND(MOD(YEAR(B27),4)=0,OR(MOD(YEAR(B27),100)&lt;&gt;0,MOD(YEAR(B27),400)=0)),366,365)))</f>
        <v/>
      </c>
      <c r="F27" s="14">
        <f>L26</f>
        <v/>
      </c>
      <c r="G27" s="14">
        <f>M26</f>
        <v/>
      </c>
      <c r="H27" s="14">
        <f>IF((((COB_CA!$B$18-I27)-J27)&gt;D27),I27+J27+K27,COB_CA!$B$18)</f>
        <v/>
      </c>
      <c r="I27" s="14">
        <f>MIN(COB_CA!$B$18,(E27+F27))</f>
        <v/>
      </c>
      <c r="J27" s="14">
        <f>MIN((COB_CA!$B$18-I27),G27)</f>
        <v/>
      </c>
      <c r="K27" s="14">
        <f>MIN(((COB_CA!$B$18-I27)-J27),D27)</f>
        <v/>
      </c>
      <c r="L27" s="14">
        <f>E27+F27-I27</f>
        <v/>
      </c>
      <c r="M27" s="14">
        <f>G27-J27</f>
        <v/>
      </c>
      <c r="N27" s="14">
        <f>D27-K27</f>
        <v/>
      </c>
      <c r="O27" s="6">
        <f>AND(D27&gt;0,B27&lt;=COB_CA!$B$20)</f>
        <v/>
      </c>
    </row>
    <row r="28">
      <c r="A28" s="6" t="n">
        <v>24</v>
      </c>
      <c r="B28" s="15">
        <f>IF(COB_CA!$B$38=12,DATE(YEAR(COB_CA!$B$19)+INT((MONTH(COB_CA!$B$19)-1+23)/12),MOD(MONTH(COB_CA!$B$19)-1+23,12)+1,1)+(DAY(COB_CA!$B$19)-1),IF(COB_CA!$B$38=24,COB_CA!$B$19+ROUND((23*365.25)/24,0),IF(COB_CA!$B$38=26,COB_CA!$B$19+322,COB_CA!$B$19+161)))</f>
        <v/>
      </c>
      <c r="C28" s="12">
        <f>B28-B27</f>
        <v/>
      </c>
      <c r="D28" s="14">
        <f>N27</f>
        <v/>
      </c>
      <c r="E28" s="14">
        <f>D28*COB_CA!$B$40/100*(IF(YEAR(B27)=YEAR(B28),(B28-B27)/IF(AND(MOD(YEAR(B28),4)=0,OR(MOD(YEAR(B28),100)&lt;&gt;0,MOD(YEAR(B28),400)=0)),366,365),(((DATE(YEAR(B27)+1,1,1)))-B27)/IF(AND(MOD(YEAR(B27),4)=0,OR(MOD(YEAR(B27),100)&lt;&gt;0,MOD(YEAR(B27),400)=0)),366,365)+(B28-((DATE(YEAR(B27)+1,1,1))))/IF(AND(MOD(YEAR(B28),4)=0,OR(MOD(YEAR(B28),100)&lt;&gt;0,MOD(YEAR(B28),400)=0)),366,365)))</f>
        <v/>
      </c>
      <c r="F28" s="14">
        <f>L27</f>
        <v/>
      </c>
      <c r="G28" s="14">
        <f>M27</f>
        <v/>
      </c>
      <c r="H28" s="14">
        <f>IF((((COB_CA!$B$18-I28)-J28)&gt;D28),I28+J28+K28,COB_CA!$B$18)</f>
        <v/>
      </c>
      <c r="I28" s="14">
        <f>MIN(COB_CA!$B$18,(E28+F28))</f>
        <v/>
      </c>
      <c r="J28" s="14">
        <f>MIN((COB_CA!$B$18-I28),G28)</f>
        <v/>
      </c>
      <c r="K28" s="14">
        <f>MIN(((COB_CA!$B$18-I28)-J28),D28)</f>
        <v/>
      </c>
      <c r="L28" s="14">
        <f>E28+F28-I28</f>
        <v/>
      </c>
      <c r="M28" s="14">
        <f>G28-J28</f>
        <v/>
      </c>
      <c r="N28" s="14">
        <f>D28-K28</f>
        <v/>
      </c>
      <c r="O28" s="6">
        <f>AND(D28&gt;0,B28&lt;=COB_CA!$B$20)</f>
        <v/>
      </c>
    </row>
    <row r="29">
      <c r="A29" s="6" t="n">
        <v>25</v>
      </c>
      <c r="B29" s="15">
        <f>IF(COB_CA!$B$38=12,DATE(YEAR(COB_CA!$B$19)+INT((MONTH(COB_CA!$B$19)-1+24)/12),MOD(MONTH(COB_CA!$B$19)-1+24,12)+1,1)+(DAY(COB_CA!$B$19)-1),IF(COB_CA!$B$38=24,COB_CA!$B$19+ROUND((24*365.25)/24,0),IF(COB_CA!$B$38=26,COB_CA!$B$19+336,COB_CA!$B$19+168)))</f>
        <v/>
      </c>
      <c r="C29" s="12">
        <f>B29-B28</f>
        <v/>
      </c>
      <c r="D29" s="14">
        <f>N28</f>
        <v/>
      </c>
      <c r="E29" s="14">
        <f>D29*COB_CA!$B$40/100*(IF(YEAR(B28)=YEAR(B29),(B29-B28)/IF(AND(MOD(YEAR(B29),4)=0,OR(MOD(YEAR(B29),100)&lt;&gt;0,MOD(YEAR(B29),400)=0)),366,365),(((DATE(YEAR(B28)+1,1,1)))-B28)/IF(AND(MOD(YEAR(B28),4)=0,OR(MOD(YEAR(B28),100)&lt;&gt;0,MOD(YEAR(B28),400)=0)),366,365)+(B29-((DATE(YEAR(B28)+1,1,1))))/IF(AND(MOD(YEAR(B29),4)=0,OR(MOD(YEAR(B29),100)&lt;&gt;0,MOD(YEAR(B29),400)=0)),366,365)))</f>
        <v/>
      </c>
      <c r="F29" s="14">
        <f>L28</f>
        <v/>
      </c>
      <c r="G29" s="14">
        <f>M28</f>
        <v/>
      </c>
      <c r="H29" s="14">
        <f>IF((((COB_CA!$B$18-I29)-J29)&gt;D29),I29+J29+K29,COB_CA!$B$18)</f>
        <v/>
      </c>
      <c r="I29" s="14">
        <f>MIN(COB_CA!$B$18,(E29+F29))</f>
        <v/>
      </c>
      <c r="J29" s="14">
        <f>MIN((COB_CA!$B$18-I29),G29)</f>
        <v/>
      </c>
      <c r="K29" s="14">
        <f>MIN(((COB_CA!$B$18-I29)-J29),D29)</f>
        <v/>
      </c>
      <c r="L29" s="14">
        <f>E29+F29-I29</f>
        <v/>
      </c>
      <c r="M29" s="14">
        <f>G29-J29</f>
        <v/>
      </c>
      <c r="N29" s="14">
        <f>D29-K29</f>
        <v/>
      </c>
      <c r="O29" s="6">
        <f>AND(D29&gt;0,B29&lt;=COB_CA!$B$20)</f>
        <v/>
      </c>
    </row>
    <row r="30">
      <c r="A30" s="6" t="n">
        <v>26</v>
      </c>
      <c r="B30" s="15">
        <f>IF(COB_CA!$B$38=12,DATE(YEAR(COB_CA!$B$19)+INT((MONTH(COB_CA!$B$19)-1+25)/12),MOD(MONTH(COB_CA!$B$19)-1+25,12)+1,1)+(DAY(COB_CA!$B$19)-1),IF(COB_CA!$B$38=24,COB_CA!$B$19+ROUND((25*365.25)/24,0),IF(COB_CA!$B$38=26,COB_CA!$B$19+350,COB_CA!$B$19+175)))</f>
        <v/>
      </c>
      <c r="C30" s="12">
        <f>B30-B29</f>
        <v/>
      </c>
      <c r="D30" s="14">
        <f>N29</f>
        <v/>
      </c>
      <c r="E30" s="14">
        <f>D30*COB_CA!$B$40/100*(IF(YEAR(B29)=YEAR(B30),(B30-B29)/IF(AND(MOD(YEAR(B30),4)=0,OR(MOD(YEAR(B30),100)&lt;&gt;0,MOD(YEAR(B30),400)=0)),366,365),(((DATE(YEAR(B29)+1,1,1)))-B29)/IF(AND(MOD(YEAR(B29),4)=0,OR(MOD(YEAR(B29),100)&lt;&gt;0,MOD(YEAR(B29),400)=0)),366,365)+(B30-((DATE(YEAR(B29)+1,1,1))))/IF(AND(MOD(YEAR(B30),4)=0,OR(MOD(YEAR(B30),100)&lt;&gt;0,MOD(YEAR(B30),400)=0)),366,365)))</f>
        <v/>
      </c>
      <c r="F30" s="14">
        <f>L29</f>
        <v/>
      </c>
      <c r="G30" s="14">
        <f>M29</f>
        <v/>
      </c>
      <c r="H30" s="14">
        <f>IF((((COB_CA!$B$18-I30)-J30)&gt;D30),I30+J30+K30,COB_CA!$B$18)</f>
        <v/>
      </c>
      <c r="I30" s="14">
        <f>MIN(COB_CA!$B$18,(E30+F30))</f>
        <v/>
      </c>
      <c r="J30" s="14">
        <f>MIN((COB_CA!$B$18-I30),G30)</f>
        <v/>
      </c>
      <c r="K30" s="14">
        <f>MIN(((COB_CA!$B$18-I30)-J30),D30)</f>
        <v/>
      </c>
      <c r="L30" s="14">
        <f>E30+F30-I30</f>
        <v/>
      </c>
      <c r="M30" s="14">
        <f>G30-J30</f>
        <v/>
      </c>
      <c r="N30" s="14">
        <f>D30-K30</f>
        <v/>
      </c>
      <c r="O30" s="6">
        <f>AND(D30&gt;0,B30&lt;=COB_CA!$B$20)</f>
        <v/>
      </c>
    </row>
    <row r="31">
      <c r="A31" s="6" t="n">
        <v>27</v>
      </c>
      <c r="B31" s="15">
        <f>IF(COB_CA!$B$38=12,DATE(YEAR(COB_CA!$B$19)+INT((MONTH(COB_CA!$B$19)-1+26)/12),MOD(MONTH(COB_CA!$B$19)-1+26,12)+1,1)+(DAY(COB_CA!$B$19)-1),IF(COB_CA!$B$38=24,COB_CA!$B$19+ROUND((26*365.25)/24,0),IF(COB_CA!$B$38=26,COB_CA!$B$19+364,COB_CA!$B$19+182)))</f>
        <v/>
      </c>
      <c r="C31" s="12">
        <f>B31-B30</f>
        <v/>
      </c>
      <c r="D31" s="14">
        <f>N30</f>
        <v/>
      </c>
      <c r="E31" s="14">
        <f>D31*COB_CA!$B$40/100*(IF(YEAR(B30)=YEAR(B31),(B31-B30)/IF(AND(MOD(YEAR(B31),4)=0,OR(MOD(YEAR(B31),100)&lt;&gt;0,MOD(YEAR(B31),400)=0)),366,365),(((DATE(YEAR(B30)+1,1,1)))-B30)/IF(AND(MOD(YEAR(B30),4)=0,OR(MOD(YEAR(B30),100)&lt;&gt;0,MOD(YEAR(B30),400)=0)),366,365)+(B31-((DATE(YEAR(B30)+1,1,1))))/IF(AND(MOD(YEAR(B31),4)=0,OR(MOD(YEAR(B31),100)&lt;&gt;0,MOD(YEAR(B31),400)=0)),366,365)))</f>
        <v/>
      </c>
      <c r="F31" s="14">
        <f>L30</f>
        <v/>
      </c>
      <c r="G31" s="14">
        <f>M30</f>
        <v/>
      </c>
      <c r="H31" s="14">
        <f>IF((((COB_CA!$B$18-I31)-J31)&gt;D31),I31+J31+K31,COB_CA!$B$18)</f>
        <v/>
      </c>
      <c r="I31" s="14">
        <f>MIN(COB_CA!$B$18,(E31+F31))</f>
        <v/>
      </c>
      <c r="J31" s="14">
        <f>MIN((COB_CA!$B$18-I31),G31)</f>
        <v/>
      </c>
      <c r="K31" s="14">
        <f>MIN(((COB_CA!$B$18-I31)-J31),D31)</f>
        <v/>
      </c>
      <c r="L31" s="14">
        <f>E31+F31-I31</f>
        <v/>
      </c>
      <c r="M31" s="14">
        <f>G31-J31</f>
        <v/>
      </c>
      <c r="N31" s="14">
        <f>D31-K31</f>
        <v/>
      </c>
      <c r="O31" s="6">
        <f>AND(D31&gt;0,B31&lt;=COB_CA!$B$20)</f>
        <v/>
      </c>
    </row>
    <row r="32">
      <c r="A32" s="6" t="n">
        <v>28</v>
      </c>
      <c r="B32" s="15">
        <f>IF(COB_CA!$B$38=12,DATE(YEAR(COB_CA!$B$19)+INT((MONTH(COB_CA!$B$19)-1+27)/12),MOD(MONTH(COB_CA!$B$19)-1+27,12)+1,1)+(DAY(COB_CA!$B$19)-1),IF(COB_CA!$B$38=24,COB_CA!$B$19+ROUND((27*365.25)/24,0),IF(COB_CA!$B$38=26,COB_CA!$B$19+378,COB_CA!$B$19+189)))</f>
        <v/>
      </c>
      <c r="C32" s="12">
        <f>B32-B31</f>
        <v/>
      </c>
      <c r="D32" s="14">
        <f>N31</f>
        <v/>
      </c>
      <c r="E32" s="14">
        <f>D32*COB_CA!$B$40/100*(IF(YEAR(B31)=YEAR(B32),(B32-B31)/IF(AND(MOD(YEAR(B32),4)=0,OR(MOD(YEAR(B32),100)&lt;&gt;0,MOD(YEAR(B32),400)=0)),366,365),(((DATE(YEAR(B31)+1,1,1)))-B31)/IF(AND(MOD(YEAR(B31),4)=0,OR(MOD(YEAR(B31),100)&lt;&gt;0,MOD(YEAR(B31),400)=0)),366,365)+(B32-((DATE(YEAR(B31)+1,1,1))))/IF(AND(MOD(YEAR(B32),4)=0,OR(MOD(YEAR(B32),100)&lt;&gt;0,MOD(YEAR(B32),400)=0)),366,365)))</f>
        <v/>
      </c>
      <c r="F32" s="14">
        <f>L31</f>
        <v/>
      </c>
      <c r="G32" s="14">
        <f>M31</f>
        <v/>
      </c>
      <c r="H32" s="14">
        <f>IF((((COB_CA!$B$18-I32)-J32)&gt;D32),I32+J32+K32,COB_CA!$B$18)</f>
        <v/>
      </c>
      <c r="I32" s="14">
        <f>MIN(COB_CA!$B$18,(E32+F32))</f>
        <v/>
      </c>
      <c r="J32" s="14">
        <f>MIN((COB_CA!$B$18-I32),G32)</f>
        <v/>
      </c>
      <c r="K32" s="14">
        <f>MIN(((COB_CA!$B$18-I32)-J32),D32)</f>
        <v/>
      </c>
      <c r="L32" s="14">
        <f>E32+F32-I32</f>
        <v/>
      </c>
      <c r="M32" s="14">
        <f>G32-J32</f>
        <v/>
      </c>
      <c r="N32" s="14">
        <f>D32-K32</f>
        <v/>
      </c>
      <c r="O32" s="6">
        <f>AND(D32&gt;0,B32&lt;=COB_CA!$B$20)</f>
        <v/>
      </c>
    </row>
    <row r="33">
      <c r="A33" s="6" t="n">
        <v>29</v>
      </c>
      <c r="B33" s="15">
        <f>IF(COB_CA!$B$38=12,DATE(YEAR(COB_CA!$B$19)+INT((MONTH(COB_CA!$B$19)-1+28)/12),MOD(MONTH(COB_CA!$B$19)-1+28,12)+1,1)+(DAY(COB_CA!$B$19)-1),IF(COB_CA!$B$38=24,COB_CA!$B$19+ROUND((28*365.25)/24,0),IF(COB_CA!$B$38=26,COB_CA!$B$19+392,COB_CA!$B$19+196)))</f>
        <v/>
      </c>
      <c r="C33" s="12">
        <f>B33-B32</f>
        <v/>
      </c>
      <c r="D33" s="14">
        <f>N32</f>
        <v/>
      </c>
      <c r="E33" s="14">
        <f>D33*COB_CA!$B$40/100*(IF(YEAR(B32)=YEAR(B33),(B33-B32)/IF(AND(MOD(YEAR(B33),4)=0,OR(MOD(YEAR(B33),100)&lt;&gt;0,MOD(YEAR(B33),400)=0)),366,365),(((DATE(YEAR(B32)+1,1,1)))-B32)/IF(AND(MOD(YEAR(B32),4)=0,OR(MOD(YEAR(B32),100)&lt;&gt;0,MOD(YEAR(B32),400)=0)),366,365)+(B33-((DATE(YEAR(B32)+1,1,1))))/IF(AND(MOD(YEAR(B33),4)=0,OR(MOD(YEAR(B33),100)&lt;&gt;0,MOD(YEAR(B33),400)=0)),366,365)))</f>
        <v/>
      </c>
      <c r="F33" s="14">
        <f>L32</f>
        <v/>
      </c>
      <c r="G33" s="14">
        <f>M32</f>
        <v/>
      </c>
      <c r="H33" s="14">
        <f>IF((((COB_CA!$B$18-I33)-J33)&gt;D33),I33+J33+K33,COB_CA!$B$18)</f>
        <v/>
      </c>
      <c r="I33" s="14">
        <f>MIN(COB_CA!$B$18,(E33+F33))</f>
        <v/>
      </c>
      <c r="J33" s="14">
        <f>MIN((COB_CA!$B$18-I33),G33)</f>
        <v/>
      </c>
      <c r="K33" s="14">
        <f>MIN(((COB_CA!$B$18-I33)-J33),D33)</f>
        <v/>
      </c>
      <c r="L33" s="14">
        <f>E33+F33-I33</f>
        <v/>
      </c>
      <c r="M33" s="14">
        <f>G33-J33</f>
        <v/>
      </c>
      <c r="N33" s="14">
        <f>D33-K33</f>
        <v/>
      </c>
      <c r="O33" s="6">
        <f>AND(D33&gt;0,B33&lt;=COB_CA!$B$20)</f>
        <v/>
      </c>
    </row>
    <row r="34">
      <c r="A34" s="6" t="n">
        <v>30</v>
      </c>
      <c r="B34" s="15">
        <f>IF(COB_CA!$B$38=12,DATE(YEAR(COB_CA!$B$19)+INT((MONTH(COB_CA!$B$19)-1+29)/12),MOD(MONTH(COB_CA!$B$19)-1+29,12)+1,1)+(DAY(COB_CA!$B$19)-1),IF(COB_CA!$B$38=24,COB_CA!$B$19+ROUND((29*365.25)/24,0),IF(COB_CA!$B$38=26,COB_CA!$B$19+406,COB_CA!$B$19+203)))</f>
        <v/>
      </c>
      <c r="C34" s="12">
        <f>B34-B33</f>
        <v/>
      </c>
      <c r="D34" s="14">
        <f>N33</f>
        <v/>
      </c>
      <c r="E34" s="14">
        <f>D34*COB_CA!$B$40/100*(IF(YEAR(B33)=YEAR(B34),(B34-B33)/IF(AND(MOD(YEAR(B34),4)=0,OR(MOD(YEAR(B34),100)&lt;&gt;0,MOD(YEAR(B34),400)=0)),366,365),(((DATE(YEAR(B33)+1,1,1)))-B33)/IF(AND(MOD(YEAR(B33),4)=0,OR(MOD(YEAR(B33),100)&lt;&gt;0,MOD(YEAR(B33),400)=0)),366,365)+(B34-((DATE(YEAR(B33)+1,1,1))))/IF(AND(MOD(YEAR(B34),4)=0,OR(MOD(YEAR(B34),100)&lt;&gt;0,MOD(YEAR(B34),400)=0)),366,365)))</f>
        <v/>
      </c>
      <c r="F34" s="14">
        <f>L33</f>
        <v/>
      </c>
      <c r="G34" s="14">
        <f>M33</f>
        <v/>
      </c>
      <c r="H34" s="14">
        <f>IF((((COB_CA!$B$18-I34)-J34)&gt;D34),I34+J34+K34,COB_CA!$B$18)</f>
        <v/>
      </c>
      <c r="I34" s="14">
        <f>MIN(COB_CA!$B$18,(E34+F34))</f>
        <v/>
      </c>
      <c r="J34" s="14">
        <f>MIN((COB_CA!$B$18-I34),G34)</f>
        <v/>
      </c>
      <c r="K34" s="14">
        <f>MIN(((COB_CA!$B$18-I34)-J34),D34)</f>
        <v/>
      </c>
      <c r="L34" s="14">
        <f>E34+F34-I34</f>
        <v/>
      </c>
      <c r="M34" s="14">
        <f>G34-J34</f>
        <v/>
      </c>
      <c r="N34" s="14">
        <f>D34-K34</f>
        <v/>
      </c>
      <c r="O34" s="6">
        <f>AND(D34&gt;0,B34&lt;=COB_CA!$B$20)</f>
        <v/>
      </c>
    </row>
    <row r="35">
      <c r="A35" s="6" t="n">
        <v>31</v>
      </c>
      <c r="B35" s="15">
        <f>IF(COB_CA!$B$38=12,DATE(YEAR(COB_CA!$B$19)+INT((MONTH(COB_CA!$B$19)-1+30)/12),MOD(MONTH(COB_CA!$B$19)-1+30,12)+1,1)+(DAY(COB_CA!$B$19)-1),IF(COB_CA!$B$38=24,COB_CA!$B$19+ROUND((30*365.25)/24,0),IF(COB_CA!$B$38=26,COB_CA!$B$19+420,COB_CA!$B$19+210)))</f>
        <v/>
      </c>
      <c r="C35" s="12">
        <f>B35-B34</f>
        <v/>
      </c>
      <c r="D35" s="14">
        <f>N34</f>
        <v/>
      </c>
      <c r="E35" s="14">
        <f>D35*COB_CA!$B$40/100*(IF(YEAR(B34)=YEAR(B35),(B35-B34)/IF(AND(MOD(YEAR(B35),4)=0,OR(MOD(YEAR(B35),100)&lt;&gt;0,MOD(YEAR(B35),400)=0)),366,365),(((DATE(YEAR(B34)+1,1,1)))-B34)/IF(AND(MOD(YEAR(B34),4)=0,OR(MOD(YEAR(B34),100)&lt;&gt;0,MOD(YEAR(B34),400)=0)),366,365)+(B35-((DATE(YEAR(B34)+1,1,1))))/IF(AND(MOD(YEAR(B35),4)=0,OR(MOD(YEAR(B35),100)&lt;&gt;0,MOD(YEAR(B35),400)=0)),366,365)))</f>
        <v/>
      </c>
      <c r="F35" s="14">
        <f>L34</f>
        <v/>
      </c>
      <c r="G35" s="14">
        <f>M34</f>
        <v/>
      </c>
      <c r="H35" s="14">
        <f>IF((((COB_CA!$B$18-I35)-J35)&gt;D35),I35+J35+K35,COB_CA!$B$18)</f>
        <v/>
      </c>
      <c r="I35" s="14">
        <f>MIN(COB_CA!$B$18,(E35+F35))</f>
        <v/>
      </c>
      <c r="J35" s="14">
        <f>MIN((COB_CA!$B$18-I35),G35)</f>
        <v/>
      </c>
      <c r="K35" s="14">
        <f>MIN(((COB_CA!$B$18-I35)-J35),D35)</f>
        <v/>
      </c>
      <c r="L35" s="14">
        <f>E35+F35-I35</f>
        <v/>
      </c>
      <c r="M35" s="14">
        <f>G35-J35</f>
        <v/>
      </c>
      <c r="N35" s="14">
        <f>D35-K35</f>
        <v/>
      </c>
      <c r="O35" s="6">
        <f>AND(D35&gt;0,B35&lt;=COB_CA!$B$20)</f>
        <v/>
      </c>
    </row>
    <row r="36">
      <c r="A36" s="6" t="n">
        <v>32</v>
      </c>
      <c r="B36" s="15">
        <f>IF(COB_CA!$B$38=12,DATE(YEAR(COB_CA!$B$19)+INT((MONTH(COB_CA!$B$19)-1+31)/12),MOD(MONTH(COB_CA!$B$19)-1+31,12)+1,1)+(DAY(COB_CA!$B$19)-1),IF(COB_CA!$B$38=24,COB_CA!$B$19+ROUND((31*365.25)/24,0),IF(COB_CA!$B$38=26,COB_CA!$B$19+434,COB_CA!$B$19+217)))</f>
        <v/>
      </c>
      <c r="C36" s="12">
        <f>B36-B35</f>
        <v/>
      </c>
      <c r="D36" s="14">
        <f>N35</f>
        <v/>
      </c>
      <c r="E36" s="14">
        <f>D36*COB_CA!$B$40/100*(IF(YEAR(B35)=YEAR(B36),(B36-B35)/IF(AND(MOD(YEAR(B36),4)=0,OR(MOD(YEAR(B36),100)&lt;&gt;0,MOD(YEAR(B36),400)=0)),366,365),(((DATE(YEAR(B35)+1,1,1)))-B35)/IF(AND(MOD(YEAR(B35),4)=0,OR(MOD(YEAR(B35),100)&lt;&gt;0,MOD(YEAR(B35),400)=0)),366,365)+(B36-((DATE(YEAR(B35)+1,1,1))))/IF(AND(MOD(YEAR(B36),4)=0,OR(MOD(YEAR(B36),100)&lt;&gt;0,MOD(YEAR(B36),400)=0)),366,365)))</f>
        <v/>
      </c>
      <c r="F36" s="14">
        <f>L35</f>
        <v/>
      </c>
      <c r="G36" s="14">
        <f>M35</f>
        <v/>
      </c>
      <c r="H36" s="14">
        <f>IF((((COB_CA!$B$18-I36)-J36)&gt;D36),I36+J36+K36,COB_CA!$B$18)</f>
        <v/>
      </c>
      <c r="I36" s="14">
        <f>MIN(COB_CA!$B$18,(E36+F36))</f>
        <v/>
      </c>
      <c r="J36" s="14">
        <f>MIN((COB_CA!$B$18-I36),G36)</f>
        <v/>
      </c>
      <c r="K36" s="14">
        <f>MIN(((COB_CA!$B$18-I36)-J36),D36)</f>
        <v/>
      </c>
      <c r="L36" s="14">
        <f>E36+F36-I36</f>
        <v/>
      </c>
      <c r="M36" s="14">
        <f>G36-J36</f>
        <v/>
      </c>
      <c r="N36" s="14">
        <f>D36-K36</f>
        <v/>
      </c>
      <c r="O36" s="6">
        <f>AND(D36&gt;0,B36&lt;=COB_CA!$B$20)</f>
        <v/>
      </c>
    </row>
    <row r="37">
      <c r="A37" s="6" t="n">
        <v>33</v>
      </c>
      <c r="B37" s="15">
        <f>IF(COB_CA!$B$38=12,DATE(YEAR(COB_CA!$B$19)+INT((MONTH(COB_CA!$B$19)-1+32)/12),MOD(MONTH(COB_CA!$B$19)-1+32,12)+1,1)+(DAY(COB_CA!$B$19)-1),IF(COB_CA!$B$38=24,COB_CA!$B$19+ROUND((32*365.25)/24,0),IF(COB_CA!$B$38=26,COB_CA!$B$19+448,COB_CA!$B$19+224)))</f>
        <v/>
      </c>
      <c r="C37" s="12">
        <f>B37-B36</f>
        <v/>
      </c>
      <c r="D37" s="14">
        <f>N36</f>
        <v/>
      </c>
      <c r="E37" s="14">
        <f>D37*COB_CA!$B$40/100*(IF(YEAR(B36)=YEAR(B37),(B37-B36)/IF(AND(MOD(YEAR(B37),4)=0,OR(MOD(YEAR(B37),100)&lt;&gt;0,MOD(YEAR(B37),400)=0)),366,365),(((DATE(YEAR(B36)+1,1,1)))-B36)/IF(AND(MOD(YEAR(B36),4)=0,OR(MOD(YEAR(B36),100)&lt;&gt;0,MOD(YEAR(B36),400)=0)),366,365)+(B37-((DATE(YEAR(B36)+1,1,1))))/IF(AND(MOD(YEAR(B37),4)=0,OR(MOD(YEAR(B37),100)&lt;&gt;0,MOD(YEAR(B37),400)=0)),366,365)))</f>
        <v/>
      </c>
      <c r="F37" s="14">
        <f>L36</f>
        <v/>
      </c>
      <c r="G37" s="14">
        <f>M36</f>
        <v/>
      </c>
      <c r="H37" s="14">
        <f>IF((((COB_CA!$B$18-I37)-J37)&gt;D37),I37+J37+K37,COB_CA!$B$18)</f>
        <v/>
      </c>
      <c r="I37" s="14">
        <f>MIN(COB_CA!$B$18,(E37+F37))</f>
        <v/>
      </c>
      <c r="J37" s="14">
        <f>MIN((COB_CA!$B$18-I37),G37)</f>
        <v/>
      </c>
      <c r="K37" s="14">
        <f>MIN(((COB_CA!$B$18-I37)-J37),D37)</f>
        <v/>
      </c>
      <c r="L37" s="14">
        <f>E37+F37-I37</f>
        <v/>
      </c>
      <c r="M37" s="14">
        <f>G37-J37</f>
        <v/>
      </c>
      <c r="N37" s="14">
        <f>D37-K37</f>
        <v/>
      </c>
      <c r="O37" s="6">
        <f>AND(D37&gt;0,B37&lt;=COB_CA!$B$20)</f>
        <v/>
      </c>
    </row>
    <row r="38">
      <c r="A38" s="6" t="n">
        <v>34</v>
      </c>
      <c r="B38" s="15">
        <f>IF(COB_CA!$B$38=12,DATE(YEAR(COB_CA!$B$19)+INT((MONTH(COB_CA!$B$19)-1+33)/12),MOD(MONTH(COB_CA!$B$19)-1+33,12)+1,1)+(DAY(COB_CA!$B$19)-1),IF(COB_CA!$B$38=24,COB_CA!$B$19+ROUND((33*365.25)/24,0),IF(COB_CA!$B$38=26,COB_CA!$B$19+462,COB_CA!$B$19+231)))</f>
        <v/>
      </c>
      <c r="C38" s="12">
        <f>B38-B37</f>
        <v/>
      </c>
      <c r="D38" s="14">
        <f>N37</f>
        <v/>
      </c>
      <c r="E38" s="14">
        <f>D38*COB_CA!$B$40/100*(IF(YEAR(B37)=YEAR(B38),(B38-B37)/IF(AND(MOD(YEAR(B38),4)=0,OR(MOD(YEAR(B38),100)&lt;&gt;0,MOD(YEAR(B38),400)=0)),366,365),(((DATE(YEAR(B37)+1,1,1)))-B37)/IF(AND(MOD(YEAR(B37),4)=0,OR(MOD(YEAR(B37),100)&lt;&gt;0,MOD(YEAR(B37),400)=0)),366,365)+(B38-((DATE(YEAR(B37)+1,1,1))))/IF(AND(MOD(YEAR(B38),4)=0,OR(MOD(YEAR(B38),100)&lt;&gt;0,MOD(YEAR(B38),400)=0)),366,365)))</f>
        <v/>
      </c>
      <c r="F38" s="14">
        <f>L37</f>
        <v/>
      </c>
      <c r="G38" s="14">
        <f>M37</f>
        <v/>
      </c>
      <c r="H38" s="14">
        <f>IF((((COB_CA!$B$18-I38)-J38)&gt;D38),I38+J38+K38,COB_CA!$B$18)</f>
        <v/>
      </c>
      <c r="I38" s="14">
        <f>MIN(COB_CA!$B$18,(E38+F38))</f>
        <v/>
      </c>
      <c r="J38" s="14">
        <f>MIN((COB_CA!$B$18-I38),G38)</f>
        <v/>
      </c>
      <c r="K38" s="14">
        <f>MIN(((COB_CA!$B$18-I38)-J38),D38)</f>
        <v/>
      </c>
      <c r="L38" s="14">
        <f>E38+F38-I38</f>
        <v/>
      </c>
      <c r="M38" s="14">
        <f>G38-J38</f>
        <v/>
      </c>
      <c r="N38" s="14">
        <f>D38-K38</f>
        <v/>
      </c>
      <c r="O38" s="6">
        <f>AND(D38&gt;0,B38&lt;=COB_CA!$B$20)</f>
        <v/>
      </c>
    </row>
    <row r="39">
      <c r="A39" s="6" t="n">
        <v>35</v>
      </c>
      <c r="B39" s="15">
        <f>IF(COB_CA!$B$38=12,DATE(YEAR(COB_CA!$B$19)+INT((MONTH(COB_CA!$B$19)-1+34)/12),MOD(MONTH(COB_CA!$B$19)-1+34,12)+1,1)+(DAY(COB_CA!$B$19)-1),IF(COB_CA!$B$38=24,COB_CA!$B$19+ROUND((34*365.25)/24,0),IF(COB_CA!$B$38=26,COB_CA!$B$19+476,COB_CA!$B$19+238)))</f>
        <v/>
      </c>
      <c r="C39" s="12">
        <f>B39-B38</f>
        <v/>
      </c>
      <c r="D39" s="14">
        <f>N38</f>
        <v/>
      </c>
      <c r="E39" s="14">
        <f>D39*COB_CA!$B$40/100*(IF(YEAR(B38)=YEAR(B39),(B39-B38)/IF(AND(MOD(YEAR(B39),4)=0,OR(MOD(YEAR(B39),100)&lt;&gt;0,MOD(YEAR(B39),400)=0)),366,365),(((DATE(YEAR(B38)+1,1,1)))-B38)/IF(AND(MOD(YEAR(B38),4)=0,OR(MOD(YEAR(B38),100)&lt;&gt;0,MOD(YEAR(B38),400)=0)),366,365)+(B39-((DATE(YEAR(B38)+1,1,1))))/IF(AND(MOD(YEAR(B39),4)=0,OR(MOD(YEAR(B39),100)&lt;&gt;0,MOD(YEAR(B39),400)=0)),366,365)))</f>
        <v/>
      </c>
      <c r="F39" s="14">
        <f>L38</f>
        <v/>
      </c>
      <c r="G39" s="14">
        <f>M38</f>
        <v/>
      </c>
      <c r="H39" s="14">
        <f>IF((((COB_CA!$B$18-I39)-J39)&gt;D39),I39+J39+K39,COB_CA!$B$18)</f>
        <v/>
      </c>
      <c r="I39" s="14">
        <f>MIN(COB_CA!$B$18,(E39+F39))</f>
        <v/>
      </c>
      <c r="J39" s="14">
        <f>MIN((COB_CA!$B$18-I39),G39)</f>
        <v/>
      </c>
      <c r="K39" s="14">
        <f>MIN(((COB_CA!$B$18-I39)-J39),D39)</f>
        <v/>
      </c>
      <c r="L39" s="14">
        <f>E39+F39-I39</f>
        <v/>
      </c>
      <c r="M39" s="14">
        <f>G39-J39</f>
        <v/>
      </c>
      <c r="N39" s="14">
        <f>D39-K39</f>
        <v/>
      </c>
      <c r="O39" s="6">
        <f>AND(D39&gt;0,B39&lt;=COB_CA!$B$20)</f>
        <v/>
      </c>
    </row>
    <row r="40">
      <c r="A40" s="6" t="n">
        <v>36</v>
      </c>
      <c r="B40" s="15">
        <f>IF(COB_CA!$B$38=12,DATE(YEAR(COB_CA!$B$19)+INT((MONTH(COB_CA!$B$19)-1+35)/12),MOD(MONTH(COB_CA!$B$19)-1+35,12)+1,1)+(DAY(COB_CA!$B$19)-1),IF(COB_CA!$B$38=24,COB_CA!$B$19+ROUND((35*365.25)/24,0),IF(COB_CA!$B$38=26,COB_CA!$B$19+490,COB_CA!$B$19+245)))</f>
        <v/>
      </c>
      <c r="C40" s="12">
        <f>B40-B39</f>
        <v/>
      </c>
      <c r="D40" s="14">
        <f>N39</f>
        <v/>
      </c>
      <c r="E40" s="14">
        <f>D40*COB_CA!$B$40/100*(IF(YEAR(B39)=YEAR(B40),(B40-B39)/IF(AND(MOD(YEAR(B40),4)=0,OR(MOD(YEAR(B40),100)&lt;&gt;0,MOD(YEAR(B40),400)=0)),366,365),(((DATE(YEAR(B39)+1,1,1)))-B39)/IF(AND(MOD(YEAR(B39),4)=0,OR(MOD(YEAR(B39),100)&lt;&gt;0,MOD(YEAR(B39),400)=0)),366,365)+(B40-((DATE(YEAR(B39)+1,1,1))))/IF(AND(MOD(YEAR(B40),4)=0,OR(MOD(YEAR(B40),100)&lt;&gt;0,MOD(YEAR(B40),400)=0)),366,365)))</f>
        <v/>
      </c>
      <c r="F40" s="14">
        <f>L39</f>
        <v/>
      </c>
      <c r="G40" s="14">
        <f>M39</f>
        <v/>
      </c>
      <c r="H40" s="14">
        <f>IF((((COB_CA!$B$18-I40)-J40)&gt;D40),I40+J40+K40,COB_CA!$B$18)</f>
        <v/>
      </c>
      <c r="I40" s="14">
        <f>MIN(COB_CA!$B$18,(E40+F40))</f>
        <v/>
      </c>
      <c r="J40" s="14">
        <f>MIN((COB_CA!$B$18-I40),G40)</f>
        <v/>
      </c>
      <c r="K40" s="14">
        <f>MIN(((COB_CA!$B$18-I40)-J40),D40)</f>
        <v/>
      </c>
      <c r="L40" s="14">
        <f>E40+F40-I40</f>
        <v/>
      </c>
      <c r="M40" s="14">
        <f>G40-J40</f>
        <v/>
      </c>
      <c r="N40" s="14">
        <f>D40-K40</f>
        <v/>
      </c>
      <c r="O40" s="6">
        <f>AND(D40&gt;0,B40&lt;=COB_CA!$B$20)</f>
        <v/>
      </c>
    </row>
    <row r="41">
      <c r="A41" s="6" t="n">
        <v>37</v>
      </c>
      <c r="B41" s="15">
        <f>IF(COB_CA!$B$38=12,DATE(YEAR(COB_CA!$B$19)+INT((MONTH(COB_CA!$B$19)-1+36)/12),MOD(MONTH(COB_CA!$B$19)-1+36,12)+1,1)+(DAY(COB_CA!$B$19)-1),IF(COB_CA!$B$38=24,COB_CA!$B$19+ROUND((36*365.25)/24,0),IF(COB_CA!$B$38=26,COB_CA!$B$19+504,COB_CA!$B$19+252)))</f>
        <v/>
      </c>
      <c r="C41" s="12">
        <f>B41-B40</f>
        <v/>
      </c>
      <c r="D41" s="14">
        <f>N40</f>
        <v/>
      </c>
      <c r="E41" s="14">
        <f>D41*COB_CA!$B$40/100*(IF(YEAR(B40)=YEAR(B41),(B41-B40)/IF(AND(MOD(YEAR(B41),4)=0,OR(MOD(YEAR(B41),100)&lt;&gt;0,MOD(YEAR(B41),400)=0)),366,365),(((DATE(YEAR(B40)+1,1,1)))-B40)/IF(AND(MOD(YEAR(B40),4)=0,OR(MOD(YEAR(B40),100)&lt;&gt;0,MOD(YEAR(B40),400)=0)),366,365)+(B41-((DATE(YEAR(B40)+1,1,1))))/IF(AND(MOD(YEAR(B41),4)=0,OR(MOD(YEAR(B41),100)&lt;&gt;0,MOD(YEAR(B41),400)=0)),366,365)))</f>
        <v/>
      </c>
      <c r="F41" s="14">
        <f>L40</f>
        <v/>
      </c>
      <c r="G41" s="14">
        <f>M40</f>
        <v/>
      </c>
      <c r="H41" s="14">
        <f>IF((((COB_CA!$B$18-I41)-J41)&gt;D41),I41+J41+K41,COB_CA!$B$18)</f>
        <v/>
      </c>
      <c r="I41" s="14">
        <f>MIN(COB_CA!$B$18,(E41+F41))</f>
        <v/>
      </c>
      <c r="J41" s="14">
        <f>MIN((COB_CA!$B$18-I41),G41)</f>
        <v/>
      </c>
      <c r="K41" s="14">
        <f>MIN(((COB_CA!$B$18-I41)-J41),D41)</f>
        <v/>
      </c>
      <c r="L41" s="14">
        <f>E41+F41-I41</f>
        <v/>
      </c>
      <c r="M41" s="14">
        <f>G41-J41</f>
        <v/>
      </c>
      <c r="N41" s="14">
        <f>D41-K41</f>
        <v/>
      </c>
      <c r="O41" s="6">
        <f>AND(D41&gt;0,B41&lt;=COB_CA!$B$20)</f>
        <v/>
      </c>
    </row>
    <row r="42">
      <c r="A42" s="6" t="n">
        <v>38</v>
      </c>
      <c r="B42" s="15">
        <f>IF(COB_CA!$B$38=12,DATE(YEAR(COB_CA!$B$19)+INT((MONTH(COB_CA!$B$19)-1+37)/12),MOD(MONTH(COB_CA!$B$19)-1+37,12)+1,1)+(DAY(COB_CA!$B$19)-1),IF(COB_CA!$B$38=24,COB_CA!$B$19+ROUND((37*365.25)/24,0),IF(COB_CA!$B$38=26,COB_CA!$B$19+518,COB_CA!$B$19+259)))</f>
        <v/>
      </c>
      <c r="C42" s="12">
        <f>B42-B41</f>
        <v/>
      </c>
      <c r="D42" s="14">
        <f>N41</f>
        <v/>
      </c>
      <c r="E42" s="14">
        <f>D42*COB_CA!$B$40/100*(IF(YEAR(B41)=YEAR(B42),(B42-B41)/IF(AND(MOD(YEAR(B42),4)=0,OR(MOD(YEAR(B42),100)&lt;&gt;0,MOD(YEAR(B42),400)=0)),366,365),(((DATE(YEAR(B41)+1,1,1)))-B41)/IF(AND(MOD(YEAR(B41),4)=0,OR(MOD(YEAR(B41),100)&lt;&gt;0,MOD(YEAR(B41),400)=0)),366,365)+(B42-((DATE(YEAR(B41)+1,1,1))))/IF(AND(MOD(YEAR(B42),4)=0,OR(MOD(YEAR(B42),100)&lt;&gt;0,MOD(YEAR(B42),400)=0)),366,365)))</f>
        <v/>
      </c>
      <c r="F42" s="14">
        <f>L41</f>
        <v/>
      </c>
      <c r="G42" s="14">
        <f>M41</f>
        <v/>
      </c>
      <c r="H42" s="14">
        <f>IF((((COB_CA!$B$18-I42)-J42)&gt;D42),I42+J42+K42,COB_CA!$B$18)</f>
        <v/>
      </c>
      <c r="I42" s="14">
        <f>MIN(COB_CA!$B$18,(E42+F42))</f>
        <v/>
      </c>
      <c r="J42" s="14">
        <f>MIN((COB_CA!$B$18-I42),G42)</f>
        <v/>
      </c>
      <c r="K42" s="14">
        <f>MIN(((COB_CA!$B$18-I42)-J42),D42)</f>
        <v/>
      </c>
      <c r="L42" s="14">
        <f>E42+F42-I42</f>
        <v/>
      </c>
      <c r="M42" s="14">
        <f>G42-J42</f>
        <v/>
      </c>
      <c r="N42" s="14">
        <f>D42-K42</f>
        <v/>
      </c>
      <c r="O42" s="6">
        <f>AND(D42&gt;0,B42&lt;=COB_CA!$B$20)</f>
        <v/>
      </c>
    </row>
    <row r="43">
      <c r="A43" s="6" t="n">
        <v>39</v>
      </c>
      <c r="B43" s="15">
        <f>IF(COB_CA!$B$38=12,DATE(YEAR(COB_CA!$B$19)+INT((MONTH(COB_CA!$B$19)-1+38)/12),MOD(MONTH(COB_CA!$B$19)-1+38,12)+1,1)+(DAY(COB_CA!$B$19)-1),IF(COB_CA!$B$38=24,COB_CA!$B$19+ROUND((38*365.25)/24,0),IF(COB_CA!$B$38=26,COB_CA!$B$19+532,COB_CA!$B$19+266)))</f>
        <v/>
      </c>
      <c r="C43" s="12">
        <f>B43-B42</f>
        <v/>
      </c>
      <c r="D43" s="14">
        <f>N42</f>
        <v/>
      </c>
      <c r="E43" s="14">
        <f>D43*COB_CA!$B$40/100*(IF(YEAR(B42)=YEAR(B43),(B43-B42)/IF(AND(MOD(YEAR(B43),4)=0,OR(MOD(YEAR(B43),100)&lt;&gt;0,MOD(YEAR(B43),400)=0)),366,365),(((DATE(YEAR(B42)+1,1,1)))-B42)/IF(AND(MOD(YEAR(B42),4)=0,OR(MOD(YEAR(B42),100)&lt;&gt;0,MOD(YEAR(B42),400)=0)),366,365)+(B43-((DATE(YEAR(B42)+1,1,1))))/IF(AND(MOD(YEAR(B43),4)=0,OR(MOD(YEAR(B43),100)&lt;&gt;0,MOD(YEAR(B43),400)=0)),366,365)))</f>
        <v/>
      </c>
      <c r="F43" s="14">
        <f>L42</f>
        <v/>
      </c>
      <c r="G43" s="14">
        <f>M42</f>
        <v/>
      </c>
      <c r="H43" s="14">
        <f>IF((((COB_CA!$B$18-I43)-J43)&gt;D43),I43+J43+K43,COB_CA!$B$18)</f>
        <v/>
      </c>
      <c r="I43" s="14">
        <f>MIN(COB_CA!$B$18,(E43+F43))</f>
        <v/>
      </c>
      <c r="J43" s="14">
        <f>MIN((COB_CA!$B$18-I43),G43)</f>
        <v/>
      </c>
      <c r="K43" s="14">
        <f>MIN(((COB_CA!$B$18-I43)-J43),D43)</f>
        <v/>
      </c>
      <c r="L43" s="14">
        <f>E43+F43-I43</f>
        <v/>
      </c>
      <c r="M43" s="14">
        <f>G43-J43</f>
        <v/>
      </c>
      <c r="N43" s="14">
        <f>D43-K43</f>
        <v/>
      </c>
      <c r="O43" s="6">
        <f>AND(D43&gt;0,B43&lt;=COB_CA!$B$20)</f>
        <v/>
      </c>
    </row>
    <row r="44">
      <c r="A44" s="6" t="n">
        <v>40</v>
      </c>
      <c r="B44" s="15">
        <f>IF(COB_CA!$B$38=12,DATE(YEAR(COB_CA!$B$19)+INT((MONTH(COB_CA!$B$19)-1+39)/12),MOD(MONTH(COB_CA!$B$19)-1+39,12)+1,1)+(DAY(COB_CA!$B$19)-1),IF(COB_CA!$B$38=24,COB_CA!$B$19+ROUND((39*365.25)/24,0),IF(COB_CA!$B$38=26,COB_CA!$B$19+546,COB_CA!$B$19+273)))</f>
        <v/>
      </c>
      <c r="C44" s="12">
        <f>B44-B43</f>
        <v/>
      </c>
      <c r="D44" s="14">
        <f>N43</f>
        <v/>
      </c>
      <c r="E44" s="14">
        <f>D44*COB_CA!$B$40/100*(IF(YEAR(B43)=YEAR(B44),(B44-B43)/IF(AND(MOD(YEAR(B44),4)=0,OR(MOD(YEAR(B44),100)&lt;&gt;0,MOD(YEAR(B44),400)=0)),366,365),(((DATE(YEAR(B43)+1,1,1)))-B43)/IF(AND(MOD(YEAR(B43),4)=0,OR(MOD(YEAR(B43),100)&lt;&gt;0,MOD(YEAR(B43),400)=0)),366,365)+(B44-((DATE(YEAR(B43)+1,1,1))))/IF(AND(MOD(YEAR(B44),4)=0,OR(MOD(YEAR(B44),100)&lt;&gt;0,MOD(YEAR(B44),400)=0)),366,365)))</f>
        <v/>
      </c>
      <c r="F44" s="14">
        <f>L43</f>
        <v/>
      </c>
      <c r="G44" s="14">
        <f>M43</f>
        <v/>
      </c>
      <c r="H44" s="14">
        <f>IF((((COB_CA!$B$18-I44)-J44)&gt;D44),I44+J44+K44,COB_CA!$B$18)</f>
        <v/>
      </c>
      <c r="I44" s="14">
        <f>MIN(COB_CA!$B$18,(E44+F44))</f>
        <v/>
      </c>
      <c r="J44" s="14">
        <f>MIN((COB_CA!$B$18-I44),G44)</f>
        <v/>
      </c>
      <c r="K44" s="14">
        <f>MIN(((COB_CA!$B$18-I44)-J44),D44)</f>
        <v/>
      </c>
      <c r="L44" s="14">
        <f>E44+F44-I44</f>
        <v/>
      </c>
      <c r="M44" s="14">
        <f>G44-J44</f>
        <v/>
      </c>
      <c r="N44" s="14">
        <f>D44-K44</f>
        <v/>
      </c>
      <c r="O44" s="6">
        <f>AND(D44&gt;0,B44&lt;=COB_CA!$B$20)</f>
        <v/>
      </c>
    </row>
    <row r="45">
      <c r="A45" s="6" t="n">
        <v>41</v>
      </c>
      <c r="B45" s="15">
        <f>IF(COB_CA!$B$38=12,DATE(YEAR(COB_CA!$B$19)+INT((MONTH(COB_CA!$B$19)-1+40)/12),MOD(MONTH(COB_CA!$B$19)-1+40,12)+1,1)+(DAY(COB_CA!$B$19)-1),IF(COB_CA!$B$38=24,COB_CA!$B$19+ROUND((40*365.25)/24,0),IF(COB_CA!$B$38=26,COB_CA!$B$19+560,COB_CA!$B$19+280)))</f>
        <v/>
      </c>
      <c r="C45" s="12">
        <f>B45-B44</f>
        <v/>
      </c>
      <c r="D45" s="14">
        <f>N44</f>
        <v/>
      </c>
      <c r="E45" s="14">
        <f>D45*COB_CA!$B$40/100*(IF(YEAR(B44)=YEAR(B45),(B45-B44)/IF(AND(MOD(YEAR(B45),4)=0,OR(MOD(YEAR(B45),100)&lt;&gt;0,MOD(YEAR(B45),400)=0)),366,365),(((DATE(YEAR(B44)+1,1,1)))-B44)/IF(AND(MOD(YEAR(B44),4)=0,OR(MOD(YEAR(B44),100)&lt;&gt;0,MOD(YEAR(B44),400)=0)),366,365)+(B45-((DATE(YEAR(B44)+1,1,1))))/IF(AND(MOD(YEAR(B45),4)=0,OR(MOD(YEAR(B45),100)&lt;&gt;0,MOD(YEAR(B45),400)=0)),366,365)))</f>
        <v/>
      </c>
      <c r="F45" s="14">
        <f>L44</f>
        <v/>
      </c>
      <c r="G45" s="14">
        <f>M44</f>
        <v/>
      </c>
      <c r="H45" s="14">
        <f>IF((((COB_CA!$B$18-I45)-J45)&gt;D45),I45+J45+K45,COB_CA!$B$18)</f>
        <v/>
      </c>
      <c r="I45" s="14">
        <f>MIN(COB_CA!$B$18,(E45+F45))</f>
        <v/>
      </c>
      <c r="J45" s="14">
        <f>MIN((COB_CA!$B$18-I45),G45)</f>
        <v/>
      </c>
      <c r="K45" s="14">
        <f>MIN(((COB_CA!$B$18-I45)-J45),D45)</f>
        <v/>
      </c>
      <c r="L45" s="14">
        <f>E45+F45-I45</f>
        <v/>
      </c>
      <c r="M45" s="14">
        <f>G45-J45</f>
        <v/>
      </c>
      <c r="N45" s="14">
        <f>D45-K45</f>
        <v/>
      </c>
      <c r="O45" s="6">
        <f>AND(D45&gt;0,B45&lt;=COB_CA!$B$20)</f>
        <v/>
      </c>
    </row>
    <row r="46">
      <c r="A46" s="6" t="n">
        <v>42</v>
      </c>
      <c r="B46" s="15">
        <f>IF(COB_CA!$B$38=12,DATE(YEAR(COB_CA!$B$19)+INT((MONTH(COB_CA!$B$19)-1+41)/12),MOD(MONTH(COB_CA!$B$19)-1+41,12)+1,1)+(DAY(COB_CA!$B$19)-1),IF(COB_CA!$B$38=24,COB_CA!$B$19+ROUND((41*365.25)/24,0),IF(COB_CA!$B$38=26,COB_CA!$B$19+574,COB_CA!$B$19+287)))</f>
        <v/>
      </c>
      <c r="C46" s="12">
        <f>B46-B45</f>
        <v/>
      </c>
      <c r="D46" s="14">
        <f>N45</f>
        <v/>
      </c>
      <c r="E46" s="14">
        <f>D46*COB_CA!$B$40/100*(IF(YEAR(B45)=YEAR(B46),(B46-B45)/IF(AND(MOD(YEAR(B46),4)=0,OR(MOD(YEAR(B46),100)&lt;&gt;0,MOD(YEAR(B46),400)=0)),366,365),(((DATE(YEAR(B45)+1,1,1)))-B45)/IF(AND(MOD(YEAR(B45),4)=0,OR(MOD(YEAR(B45),100)&lt;&gt;0,MOD(YEAR(B45),400)=0)),366,365)+(B46-((DATE(YEAR(B45)+1,1,1))))/IF(AND(MOD(YEAR(B46),4)=0,OR(MOD(YEAR(B46),100)&lt;&gt;0,MOD(YEAR(B46),400)=0)),366,365)))</f>
        <v/>
      </c>
      <c r="F46" s="14">
        <f>L45</f>
        <v/>
      </c>
      <c r="G46" s="14">
        <f>M45</f>
        <v/>
      </c>
      <c r="H46" s="14">
        <f>IF((((COB_CA!$B$18-I46)-J46)&gt;D46),I46+J46+K46,COB_CA!$B$18)</f>
        <v/>
      </c>
      <c r="I46" s="14">
        <f>MIN(COB_CA!$B$18,(E46+F46))</f>
        <v/>
      </c>
      <c r="J46" s="14">
        <f>MIN((COB_CA!$B$18-I46),G46)</f>
        <v/>
      </c>
      <c r="K46" s="14">
        <f>MIN(((COB_CA!$B$18-I46)-J46),D46)</f>
        <v/>
      </c>
      <c r="L46" s="14">
        <f>E46+F46-I46</f>
        <v/>
      </c>
      <c r="M46" s="14">
        <f>G46-J46</f>
        <v/>
      </c>
      <c r="N46" s="14">
        <f>D46-K46</f>
        <v/>
      </c>
      <c r="O46" s="6">
        <f>AND(D46&gt;0,B46&lt;=COB_CA!$B$20)</f>
        <v/>
      </c>
    </row>
    <row r="47">
      <c r="A47" s="6" t="n">
        <v>43</v>
      </c>
      <c r="B47" s="15">
        <f>IF(COB_CA!$B$38=12,DATE(YEAR(COB_CA!$B$19)+INT((MONTH(COB_CA!$B$19)-1+42)/12),MOD(MONTH(COB_CA!$B$19)-1+42,12)+1,1)+(DAY(COB_CA!$B$19)-1),IF(COB_CA!$B$38=24,COB_CA!$B$19+ROUND((42*365.25)/24,0),IF(COB_CA!$B$38=26,COB_CA!$B$19+588,COB_CA!$B$19+294)))</f>
        <v/>
      </c>
      <c r="C47" s="12">
        <f>B47-B46</f>
        <v/>
      </c>
      <c r="D47" s="14">
        <f>N46</f>
        <v/>
      </c>
      <c r="E47" s="14">
        <f>D47*COB_CA!$B$40/100*(IF(YEAR(B46)=YEAR(B47),(B47-B46)/IF(AND(MOD(YEAR(B47),4)=0,OR(MOD(YEAR(B47),100)&lt;&gt;0,MOD(YEAR(B47),400)=0)),366,365),(((DATE(YEAR(B46)+1,1,1)))-B46)/IF(AND(MOD(YEAR(B46),4)=0,OR(MOD(YEAR(B46),100)&lt;&gt;0,MOD(YEAR(B46),400)=0)),366,365)+(B47-((DATE(YEAR(B46)+1,1,1))))/IF(AND(MOD(YEAR(B47),4)=0,OR(MOD(YEAR(B47),100)&lt;&gt;0,MOD(YEAR(B47),400)=0)),366,365)))</f>
        <v/>
      </c>
      <c r="F47" s="14">
        <f>L46</f>
        <v/>
      </c>
      <c r="G47" s="14">
        <f>M46</f>
        <v/>
      </c>
      <c r="H47" s="14">
        <f>IF((((COB_CA!$B$18-I47)-J47)&gt;D47),I47+J47+K47,COB_CA!$B$18)</f>
        <v/>
      </c>
      <c r="I47" s="14">
        <f>MIN(COB_CA!$B$18,(E47+F47))</f>
        <v/>
      </c>
      <c r="J47" s="14">
        <f>MIN((COB_CA!$B$18-I47),G47)</f>
        <v/>
      </c>
      <c r="K47" s="14">
        <f>MIN(((COB_CA!$B$18-I47)-J47),D47)</f>
        <v/>
      </c>
      <c r="L47" s="14">
        <f>E47+F47-I47</f>
        <v/>
      </c>
      <c r="M47" s="14">
        <f>G47-J47</f>
        <v/>
      </c>
      <c r="N47" s="14">
        <f>D47-K47</f>
        <v/>
      </c>
      <c r="O47" s="6">
        <f>AND(D47&gt;0,B47&lt;=COB_CA!$B$20)</f>
        <v/>
      </c>
    </row>
    <row r="48">
      <c r="A48" s="6" t="n">
        <v>44</v>
      </c>
      <c r="B48" s="15">
        <f>IF(COB_CA!$B$38=12,DATE(YEAR(COB_CA!$B$19)+INT((MONTH(COB_CA!$B$19)-1+43)/12),MOD(MONTH(COB_CA!$B$19)-1+43,12)+1,1)+(DAY(COB_CA!$B$19)-1),IF(COB_CA!$B$38=24,COB_CA!$B$19+ROUND((43*365.25)/24,0),IF(COB_CA!$B$38=26,COB_CA!$B$19+602,COB_CA!$B$19+301)))</f>
        <v/>
      </c>
      <c r="C48" s="12">
        <f>B48-B47</f>
        <v/>
      </c>
      <c r="D48" s="14">
        <f>N47</f>
        <v/>
      </c>
      <c r="E48" s="14">
        <f>D48*COB_CA!$B$40/100*(IF(YEAR(B47)=YEAR(B48),(B48-B47)/IF(AND(MOD(YEAR(B48),4)=0,OR(MOD(YEAR(B48),100)&lt;&gt;0,MOD(YEAR(B48),400)=0)),366,365),(((DATE(YEAR(B47)+1,1,1)))-B47)/IF(AND(MOD(YEAR(B47),4)=0,OR(MOD(YEAR(B47),100)&lt;&gt;0,MOD(YEAR(B47),400)=0)),366,365)+(B48-((DATE(YEAR(B47)+1,1,1))))/IF(AND(MOD(YEAR(B48),4)=0,OR(MOD(YEAR(B48),100)&lt;&gt;0,MOD(YEAR(B48),400)=0)),366,365)))</f>
        <v/>
      </c>
      <c r="F48" s="14">
        <f>L47</f>
        <v/>
      </c>
      <c r="G48" s="14">
        <f>M47</f>
        <v/>
      </c>
      <c r="H48" s="14">
        <f>IF((((COB_CA!$B$18-I48)-J48)&gt;D48),I48+J48+K48,COB_CA!$B$18)</f>
        <v/>
      </c>
      <c r="I48" s="14">
        <f>MIN(COB_CA!$B$18,(E48+F48))</f>
        <v/>
      </c>
      <c r="J48" s="14">
        <f>MIN((COB_CA!$B$18-I48),G48)</f>
        <v/>
      </c>
      <c r="K48" s="14">
        <f>MIN(((COB_CA!$B$18-I48)-J48),D48)</f>
        <v/>
      </c>
      <c r="L48" s="14">
        <f>E48+F48-I48</f>
        <v/>
      </c>
      <c r="M48" s="14">
        <f>G48-J48</f>
        <v/>
      </c>
      <c r="N48" s="14">
        <f>D48-K48</f>
        <v/>
      </c>
      <c r="O48" s="6">
        <f>AND(D48&gt;0,B48&lt;=COB_CA!$B$20)</f>
        <v/>
      </c>
    </row>
    <row r="49">
      <c r="A49" s="6" t="n">
        <v>45</v>
      </c>
      <c r="B49" s="15">
        <f>IF(COB_CA!$B$38=12,DATE(YEAR(COB_CA!$B$19)+INT((MONTH(COB_CA!$B$19)-1+44)/12),MOD(MONTH(COB_CA!$B$19)-1+44,12)+1,1)+(DAY(COB_CA!$B$19)-1),IF(COB_CA!$B$38=24,COB_CA!$B$19+ROUND((44*365.25)/24,0),IF(COB_CA!$B$38=26,COB_CA!$B$19+616,COB_CA!$B$19+308)))</f>
        <v/>
      </c>
      <c r="C49" s="12">
        <f>B49-B48</f>
        <v/>
      </c>
      <c r="D49" s="14">
        <f>N48</f>
        <v/>
      </c>
      <c r="E49" s="14">
        <f>D49*COB_CA!$B$40/100*(IF(YEAR(B48)=YEAR(B49),(B49-B48)/IF(AND(MOD(YEAR(B49),4)=0,OR(MOD(YEAR(B49),100)&lt;&gt;0,MOD(YEAR(B49),400)=0)),366,365),(((DATE(YEAR(B48)+1,1,1)))-B48)/IF(AND(MOD(YEAR(B48),4)=0,OR(MOD(YEAR(B48),100)&lt;&gt;0,MOD(YEAR(B48),400)=0)),366,365)+(B49-((DATE(YEAR(B48)+1,1,1))))/IF(AND(MOD(YEAR(B49),4)=0,OR(MOD(YEAR(B49),100)&lt;&gt;0,MOD(YEAR(B49),400)=0)),366,365)))</f>
        <v/>
      </c>
      <c r="F49" s="14">
        <f>L48</f>
        <v/>
      </c>
      <c r="G49" s="14">
        <f>M48</f>
        <v/>
      </c>
      <c r="H49" s="14">
        <f>IF((((COB_CA!$B$18-I49)-J49)&gt;D49),I49+J49+K49,COB_CA!$B$18)</f>
        <v/>
      </c>
      <c r="I49" s="14">
        <f>MIN(COB_CA!$B$18,(E49+F49))</f>
        <v/>
      </c>
      <c r="J49" s="14">
        <f>MIN((COB_CA!$B$18-I49),G49)</f>
        <v/>
      </c>
      <c r="K49" s="14">
        <f>MIN(((COB_CA!$B$18-I49)-J49),D49)</f>
        <v/>
      </c>
      <c r="L49" s="14">
        <f>E49+F49-I49</f>
        <v/>
      </c>
      <c r="M49" s="14">
        <f>G49-J49</f>
        <v/>
      </c>
      <c r="N49" s="14">
        <f>D49-K49</f>
        <v/>
      </c>
      <c r="O49" s="6">
        <f>AND(D49&gt;0,B49&lt;=COB_CA!$B$20)</f>
        <v/>
      </c>
    </row>
    <row r="50">
      <c r="A50" s="6" t="n">
        <v>46</v>
      </c>
      <c r="B50" s="15">
        <f>IF(COB_CA!$B$38=12,DATE(YEAR(COB_CA!$B$19)+INT((MONTH(COB_CA!$B$19)-1+45)/12),MOD(MONTH(COB_CA!$B$19)-1+45,12)+1,1)+(DAY(COB_CA!$B$19)-1),IF(COB_CA!$B$38=24,COB_CA!$B$19+ROUND((45*365.25)/24,0),IF(COB_CA!$B$38=26,COB_CA!$B$19+630,COB_CA!$B$19+315)))</f>
        <v/>
      </c>
      <c r="C50" s="12">
        <f>B50-B49</f>
        <v/>
      </c>
      <c r="D50" s="14">
        <f>N49</f>
        <v/>
      </c>
      <c r="E50" s="14">
        <f>D50*COB_CA!$B$40/100*(IF(YEAR(B49)=YEAR(B50),(B50-B49)/IF(AND(MOD(YEAR(B50),4)=0,OR(MOD(YEAR(B50),100)&lt;&gt;0,MOD(YEAR(B50),400)=0)),366,365),(((DATE(YEAR(B49)+1,1,1)))-B49)/IF(AND(MOD(YEAR(B49),4)=0,OR(MOD(YEAR(B49),100)&lt;&gt;0,MOD(YEAR(B49),400)=0)),366,365)+(B50-((DATE(YEAR(B49)+1,1,1))))/IF(AND(MOD(YEAR(B50),4)=0,OR(MOD(YEAR(B50),100)&lt;&gt;0,MOD(YEAR(B50),400)=0)),366,365)))</f>
        <v/>
      </c>
      <c r="F50" s="14">
        <f>L49</f>
        <v/>
      </c>
      <c r="G50" s="14">
        <f>M49</f>
        <v/>
      </c>
      <c r="H50" s="14">
        <f>IF((((COB_CA!$B$18-I50)-J50)&gt;D50),I50+J50+K50,COB_CA!$B$18)</f>
        <v/>
      </c>
      <c r="I50" s="14">
        <f>MIN(COB_CA!$B$18,(E50+F50))</f>
        <v/>
      </c>
      <c r="J50" s="14">
        <f>MIN((COB_CA!$B$18-I50),G50)</f>
        <v/>
      </c>
      <c r="K50" s="14">
        <f>MIN(((COB_CA!$B$18-I50)-J50),D50)</f>
        <v/>
      </c>
      <c r="L50" s="14">
        <f>E50+F50-I50</f>
        <v/>
      </c>
      <c r="M50" s="14">
        <f>G50-J50</f>
        <v/>
      </c>
      <c r="N50" s="14">
        <f>D50-K50</f>
        <v/>
      </c>
      <c r="O50" s="6">
        <f>AND(D50&gt;0,B50&lt;=COB_CA!$B$20)</f>
        <v/>
      </c>
    </row>
    <row r="51">
      <c r="A51" s="6" t="n">
        <v>47</v>
      </c>
      <c r="B51" s="15">
        <f>IF(COB_CA!$B$38=12,DATE(YEAR(COB_CA!$B$19)+INT((MONTH(COB_CA!$B$19)-1+46)/12),MOD(MONTH(COB_CA!$B$19)-1+46,12)+1,1)+(DAY(COB_CA!$B$19)-1),IF(COB_CA!$B$38=24,COB_CA!$B$19+ROUND((46*365.25)/24,0),IF(COB_CA!$B$38=26,COB_CA!$B$19+644,COB_CA!$B$19+322)))</f>
        <v/>
      </c>
      <c r="C51" s="12">
        <f>B51-B50</f>
        <v/>
      </c>
      <c r="D51" s="14">
        <f>N50</f>
        <v/>
      </c>
      <c r="E51" s="14">
        <f>D51*COB_CA!$B$40/100*(IF(YEAR(B50)=YEAR(B51),(B51-B50)/IF(AND(MOD(YEAR(B51),4)=0,OR(MOD(YEAR(B51),100)&lt;&gt;0,MOD(YEAR(B51),400)=0)),366,365),(((DATE(YEAR(B50)+1,1,1)))-B50)/IF(AND(MOD(YEAR(B50),4)=0,OR(MOD(YEAR(B50),100)&lt;&gt;0,MOD(YEAR(B50),400)=0)),366,365)+(B51-((DATE(YEAR(B50)+1,1,1))))/IF(AND(MOD(YEAR(B51),4)=0,OR(MOD(YEAR(B51),100)&lt;&gt;0,MOD(YEAR(B51),400)=0)),366,365)))</f>
        <v/>
      </c>
      <c r="F51" s="14">
        <f>L50</f>
        <v/>
      </c>
      <c r="G51" s="14">
        <f>M50</f>
        <v/>
      </c>
      <c r="H51" s="14">
        <f>IF((((COB_CA!$B$18-I51)-J51)&gt;D51),I51+J51+K51,COB_CA!$B$18)</f>
        <v/>
      </c>
      <c r="I51" s="14">
        <f>MIN(COB_CA!$B$18,(E51+F51))</f>
        <v/>
      </c>
      <c r="J51" s="14">
        <f>MIN((COB_CA!$B$18-I51),G51)</f>
        <v/>
      </c>
      <c r="K51" s="14">
        <f>MIN(((COB_CA!$B$18-I51)-J51),D51)</f>
        <v/>
      </c>
      <c r="L51" s="14">
        <f>E51+F51-I51</f>
        <v/>
      </c>
      <c r="M51" s="14">
        <f>G51-J51</f>
        <v/>
      </c>
      <c r="N51" s="14">
        <f>D51-K51</f>
        <v/>
      </c>
      <c r="O51" s="6">
        <f>AND(D51&gt;0,B51&lt;=COB_CA!$B$20)</f>
        <v/>
      </c>
    </row>
    <row r="52">
      <c r="A52" s="6" t="n">
        <v>48</v>
      </c>
      <c r="B52" s="15">
        <f>IF(COB_CA!$B$38=12,DATE(YEAR(COB_CA!$B$19)+INT((MONTH(COB_CA!$B$19)-1+47)/12),MOD(MONTH(COB_CA!$B$19)-1+47,12)+1,1)+(DAY(COB_CA!$B$19)-1),IF(COB_CA!$B$38=24,COB_CA!$B$19+ROUND((47*365.25)/24,0),IF(COB_CA!$B$38=26,COB_CA!$B$19+658,COB_CA!$B$19+329)))</f>
        <v/>
      </c>
      <c r="C52" s="12">
        <f>B52-B51</f>
        <v/>
      </c>
      <c r="D52" s="14">
        <f>N51</f>
        <v/>
      </c>
      <c r="E52" s="14">
        <f>D52*COB_CA!$B$40/100*(IF(YEAR(B51)=YEAR(B52),(B52-B51)/IF(AND(MOD(YEAR(B52),4)=0,OR(MOD(YEAR(B52),100)&lt;&gt;0,MOD(YEAR(B52),400)=0)),366,365),(((DATE(YEAR(B51)+1,1,1)))-B51)/IF(AND(MOD(YEAR(B51),4)=0,OR(MOD(YEAR(B51),100)&lt;&gt;0,MOD(YEAR(B51),400)=0)),366,365)+(B52-((DATE(YEAR(B51)+1,1,1))))/IF(AND(MOD(YEAR(B52),4)=0,OR(MOD(YEAR(B52),100)&lt;&gt;0,MOD(YEAR(B52),400)=0)),366,365)))</f>
        <v/>
      </c>
      <c r="F52" s="14">
        <f>L51</f>
        <v/>
      </c>
      <c r="G52" s="14">
        <f>M51</f>
        <v/>
      </c>
      <c r="H52" s="14">
        <f>IF((((COB_CA!$B$18-I52)-J52)&gt;D52),I52+J52+K52,COB_CA!$B$18)</f>
        <v/>
      </c>
      <c r="I52" s="14">
        <f>MIN(COB_CA!$B$18,(E52+F52))</f>
        <v/>
      </c>
      <c r="J52" s="14">
        <f>MIN((COB_CA!$B$18-I52),G52)</f>
        <v/>
      </c>
      <c r="K52" s="14">
        <f>MIN(((COB_CA!$B$18-I52)-J52),D52)</f>
        <v/>
      </c>
      <c r="L52" s="14">
        <f>E52+F52-I52</f>
        <v/>
      </c>
      <c r="M52" s="14">
        <f>G52-J52</f>
        <v/>
      </c>
      <c r="N52" s="14">
        <f>D52-K52</f>
        <v/>
      </c>
      <c r="O52" s="6">
        <f>AND(D52&gt;0,B52&lt;=COB_CA!$B$20)</f>
        <v/>
      </c>
    </row>
    <row r="53">
      <c r="A53" s="6" t="n">
        <v>49</v>
      </c>
      <c r="B53" s="15">
        <f>IF(COB_CA!$B$38=12,DATE(YEAR(COB_CA!$B$19)+INT((MONTH(COB_CA!$B$19)-1+48)/12),MOD(MONTH(COB_CA!$B$19)-1+48,12)+1,1)+(DAY(COB_CA!$B$19)-1),IF(COB_CA!$B$38=24,COB_CA!$B$19+ROUND((48*365.25)/24,0),IF(COB_CA!$B$38=26,COB_CA!$B$19+672,COB_CA!$B$19+336)))</f>
        <v/>
      </c>
      <c r="C53" s="12">
        <f>B53-B52</f>
        <v/>
      </c>
      <c r="D53" s="14">
        <f>N52</f>
        <v/>
      </c>
      <c r="E53" s="14">
        <f>D53*COB_CA!$B$40/100*(IF(YEAR(B52)=YEAR(B53),(B53-B52)/IF(AND(MOD(YEAR(B53),4)=0,OR(MOD(YEAR(B53),100)&lt;&gt;0,MOD(YEAR(B53),400)=0)),366,365),(((DATE(YEAR(B52)+1,1,1)))-B52)/IF(AND(MOD(YEAR(B52),4)=0,OR(MOD(YEAR(B52),100)&lt;&gt;0,MOD(YEAR(B52),400)=0)),366,365)+(B53-((DATE(YEAR(B52)+1,1,1))))/IF(AND(MOD(YEAR(B53),4)=0,OR(MOD(YEAR(B53),100)&lt;&gt;0,MOD(YEAR(B53),400)=0)),366,365)))</f>
        <v/>
      </c>
      <c r="F53" s="14">
        <f>L52</f>
        <v/>
      </c>
      <c r="G53" s="14">
        <f>M52</f>
        <v/>
      </c>
      <c r="H53" s="14">
        <f>IF((((COB_CA!$B$18-I53)-J53)&gt;D53),I53+J53+K53,COB_CA!$B$18)</f>
        <v/>
      </c>
      <c r="I53" s="14">
        <f>MIN(COB_CA!$B$18,(E53+F53))</f>
        <v/>
      </c>
      <c r="J53" s="14">
        <f>MIN((COB_CA!$B$18-I53),G53)</f>
        <v/>
      </c>
      <c r="K53" s="14">
        <f>MIN(((COB_CA!$B$18-I53)-J53),D53)</f>
        <v/>
      </c>
      <c r="L53" s="14">
        <f>E53+F53-I53</f>
        <v/>
      </c>
      <c r="M53" s="14">
        <f>G53-J53</f>
        <v/>
      </c>
      <c r="N53" s="14">
        <f>D53-K53</f>
        <v/>
      </c>
      <c r="O53" s="6">
        <f>AND(D53&gt;0,B53&lt;=COB_CA!$B$20)</f>
        <v/>
      </c>
    </row>
    <row r="54">
      <c r="A54" s="6" t="n">
        <v>50</v>
      </c>
      <c r="B54" s="15">
        <f>IF(COB_CA!$B$38=12,DATE(YEAR(COB_CA!$B$19)+INT((MONTH(COB_CA!$B$19)-1+49)/12),MOD(MONTH(COB_CA!$B$19)-1+49,12)+1,1)+(DAY(COB_CA!$B$19)-1),IF(COB_CA!$B$38=24,COB_CA!$B$19+ROUND((49*365.25)/24,0),IF(COB_CA!$B$38=26,COB_CA!$B$19+686,COB_CA!$B$19+343)))</f>
        <v/>
      </c>
      <c r="C54" s="12">
        <f>B54-B53</f>
        <v/>
      </c>
      <c r="D54" s="14">
        <f>N53</f>
        <v/>
      </c>
      <c r="E54" s="14">
        <f>D54*COB_CA!$B$40/100*(IF(YEAR(B53)=YEAR(B54),(B54-B53)/IF(AND(MOD(YEAR(B54),4)=0,OR(MOD(YEAR(B54),100)&lt;&gt;0,MOD(YEAR(B54),400)=0)),366,365),(((DATE(YEAR(B53)+1,1,1)))-B53)/IF(AND(MOD(YEAR(B53),4)=0,OR(MOD(YEAR(B53),100)&lt;&gt;0,MOD(YEAR(B53),400)=0)),366,365)+(B54-((DATE(YEAR(B53)+1,1,1))))/IF(AND(MOD(YEAR(B54),4)=0,OR(MOD(YEAR(B54),100)&lt;&gt;0,MOD(YEAR(B54),400)=0)),366,365)))</f>
        <v/>
      </c>
      <c r="F54" s="14">
        <f>L53</f>
        <v/>
      </c>
      <c r="G54" s="14">
        <f>M53</f>
        <v/>
      </c>
      <c r="H54" s="14">
        <f>IF((((COB_CA!$B$18-I54)-J54)&gt;D54),I54+J54+K54,COB_CA!$B$18)</f>
        <v/>
      </c>
      <c r="I54" s="14">
        <f>MIN(COB_CA!$B$18,(E54+F54))</f>
        <v/>
      </c>
      <c r="J54" s="14">
        <f>MIN((COB_CA!$B$18-I54),G54)</f>
        <v/>
      </c>
      <c r="K54" s="14">
        <f>MIN(((COB_CA!$B$18-I54)-J54),D54)</f>
        <v/>
      </c>
      <c r="L54" s="14">
        <f>E54+F54-I54</f>
        <v/>
      </c>
      <c r="M54" s="14">
        <f>G54-J54</f>
        <v/>
      </c>
      <c r="N54" s="14">
        <f>D54-K54</f>
        <v/>
      </c>
      <c r="O54" s="6">
        <f>AND(D54&gt;0,B54&lt;=COB_CA!$B$20)</f>
        <v/>
      </c>
    </row>
    <row r="55">
      <c r="A55" s="6" t="n">
        <v>51</v>
      </c>
      <c r="B55" s="15">
        <f>IF(COB_CA!$B$38=12,DATE(YEAR(COB_CA!$B$19)+INT((MONTH(COB_CA!$B$19)-1+50)/12),MOD(MONTH(COB_CA!$B$19)-1+50,12)+1,1)+(DAY(COB_CA!$B$19)-1),IF(COB_CA!$B$38=24,COB_CA!$B$19+ROUND((50*365.25)/24,0),IF(COB_CA!$B$38=26,COB_CA!$B$19+700,COB_CA!$B$19+350)))</f>
        <v/>
      </c>
      <c r="C55" s="12">
        <f>B55-B54</f>
        <v/>
      </c>
      <c r="D55" s="14">
        <f>N54</f>
        <v/>
      </c>
      <c r="E55" s="14">
        <f>D55*COB_CA!$B$40/100*(IF(YEAR(B54)=YEAR(B55),(B55-B54)/IF(AND(MOD(YEAR(B55),4)=0,OR(MOD(YEAR(B55),100)&lt;&gt;0,MOD(YEAR(B55),400)=0)),366,365),(((DATE(YEAR(B54)+1,1,1)))-B54)/IF(AND(MOD(YEAR(B54),4)=0,OR(MOD(YEAR(B54),100)&lt;&gt;0,MOD(YEAR(B54),400)=0)),366,365)+(B55-((DATE(YEAR(B54)+1,1,1))))/IF(AND(MOD(YEAR(B55),4)=0,OR(MOD(YEAR(B55),100)&lt;&gt;0,MOD(YEAR(B55),400)=0)),366,365)))</f>
        <v/>
      </c>
      <c r="F55" s="14">
        <f>L54</f>
        <v/>
      </c>
      <c r="G55" s="14">
        <f>M54</f>
        <v/>
      </c>
      <c r="H55" s="14">
        <f>IF((((COB_CA!$B$18-I55)-J55)&gt;D55),I55+J55+K55,COB_CA!$B$18)</f>
        <v/>
      </c>
      <c r="I55" s="14">
        <f>MIN(COB_CA!$B$18,(E55+F55))</f>
        <v/>
      </c>
      <c r="J55" s="14">
        <f>MIN((COB_CA!$B$18-I55),G55)</f>
        <v/>
      </c>
      <c r="K55" s="14">
        <f>MIN(((COB_CA!$B$18-I55)-J55),D55)</f>
        <v/>
      </c>
      <c r="L55" s="14">
        <f>E55+F55-I55</f>
        <v/>
      </c>
      <c r="M55" s="14">
        <f>G55-J55</f>
        <v/>
      </c>
      <c r="N55" s="14">
        <f>D55-K55</f>
        <v/>
      </c>
      <c r="O55" s="6">
        <f>AND(D55&gt;0,B55&lt;=COB_CA!$B$20)</f>
        <v/>
      </c>
    </row>
    <row r="56">
      <c r="A56" s="6" t="n">
        <v>52</v>
      </c>
      <c r="B56" s="15">
        <f>IF(COB_CA!$B$38=12,DATE(YEAR(COB_CA!$B$19)+INT((MONTH(COB_CA!$B$19)-1+51)/12),MOD(MONTH(COB_CA!$B$19)-1+51,12)+1,1)+(DAY(COB_CA!$B$19)-1),IF(COB_CA!$B$38=24,COB_CA!$B$19+ROUND((51*365.25)/24,0),IF(COB_CA!$B$38=26,COB_CA!$B$19+714,COB_CA!$B$19+357)))</f>
        <v/>
      </c>
      <c r="C56" s="12">
        <f>B56-B55</f>
        <v/>
      </c>
      <c r="D56" s="14">
        <f>N55</f>
        <v/>
      </c>
      <c r="E56" s="14">
        <f>D56*COB_CA!$B$40/100*(IF(YEAR(B55)=YEAR(B56),(B56-B55)/IF(AND(MOD(YEAR(B56),4)=0,OR(MOD(YEAR(B56),100)&lt;&gt;0,MOD(YEAR(B56),400)=0)),366,365),(((DATE(YEAR(B55)+1,1,1)))-B55)/IF(AND(MOD(YEAR(B55),4)=0,OR(MOD(YEAR(B55),100)&lt;&gt;0,MOD(YEAR(B55),400)=0)),366,365)+(B56-((DATE(YEAR(B55)+1,1,1))))/IF(AND(MOD(YEAR(B56),4)=0,OR(MOD(YEAR(B56),100)&lt;&gt;0,MOD(YEAR(B56),400)=0)),366,365)))</f>
        <v/>
      </c>
      <c r="F56" s="14">
        <f>L55</f>
        <v/>
      </c>
      <c r="G56" s="14">
        <f>M55</f>
        <v/>
      </c>
      <c r="H56" s="14">
        <f>IF((((COB_CA!$B$18-I56)-J56)&gt;D56),I56+J56+K56,COB_CA!$B$18)</f>
        <v/>
      </c>
      <c r="I56" s="14">
        <f>MIN(COB_CA!$B$18,(E56+F56))</f>
        <v/>
      </c>
      <c r="J56" s="14">
        <f>MIN((COB_CA!$B$18-I56),G56)</f>
        <v/>
      </c>
      <c r="K56" s="14">
        <f>MIN(((COB_CA!$B$18-I56)-J56),D56)</f>
        <v/>
      </c>
      <c r="L56" s="14">
        <f>E56+F56-I56</f>
        <v/>
      </c>
      <c r="M56" s="14">
        <f>G56-J56</f>
        <v/>
      </c>
      <c r="N56" s="14">
        <f>D56-K56</f>
        <v/>
      </c>
      <c r="O56" s="6">
        <f>AND(D56&gt;0,B56&lt;=COB_CA!$B$20)</f>
        <v/>
      </c>
    </row>
    <row r="57">
      <c r="A57" s="6" t="n">
        <v>53</v>
      </c>
      <c r="B57" s="15">
        <f>IF(COB_CA!$B$38=12,DATE(YEAR(COB_CA!$B$19)+INT((MONTH(COB_CA!$B$19)-1+52)/12),MOD(MONTH(COB_CA!$B$19)-1+52,12)+1,1)+(DAY(COB_CA!$B$19)-1),IF(COB_CA!$B$38=24,COB_CA!$B$19+ROUND((52*365.25)/24,0),IF(COB_CA!$B$38=26,COB_CA!$B$19+728,COB_CA!$B$19+364)))</f>
        <v/>
      </c>
      <c r="C57" s="12">
        <f>B57-B56</f>
        <v/>
      </c>
      <c r="D57" s="14">
        <f>N56</f>
        <v/>
      </c>
      <c r="E57" s="14">
        <f>D57*COB_CA!$B$40/100*(IF(YEAR(B56)=YEAR(B57),(B57-B56)/IF(AND(MOD(YEAR(B57),4)=0,OR(MOD(YEAR(B57),100)&lt;&gt;0,MOD(YEAR(B57),400)=0)),366,365),(((DATE(YEAR(B56)+1,1,1)))-B56)/IF(AND(MOD(YEAR(B56),4)=0,OR(MOD(YEAR(B56),100)&lt;&gt;0,MOD(YEAR(B56),400)=0)),366,365)+(B57-((DATE(YEAR(B56)+1,1,1))))/IF(AND(MOD(YEAR(B57),4)=0,OR(MOD(YEAR(B57),100)&lt;&gt;0,MOD(YEAR(B57),400)=0)),366,365)))</f>
        <v/>
      </c>
      <c r="F57" s="14">
        <f>L56</f>
        <v/>
      </c>
      <c r="G57" s="14">
        <f>M56</f>
        <v/>
      </c>
      <c r="H57" s="14">
        <f>IF((((COB_CA!$B$18-I57)-J57)&gt;D57),I57+J57+K57,COB_CA!$B$18)</f>
        <v/>
      </c>
      <c r="I57" s="14">
        <f>MIN(COB_CA!$B$18,(E57+F57))</f>
        <v/>
      </c>
      <c r="J57" s="14">
        <f>MIN((COB_CA!$B$18-I57),G57)</f>
        <v/>
      </c>
      <c r="K57" s="14">
        <f>MIN(((COB_CA!$B$18-I57)-J57),D57)</f>
        <v/>
      </c>
      <c r="L57" s="14">
        <f>E57+F57-I57</f>
        <v/>
      </c>
      <c r="M57" s="14">
        <f>G57-J57</f>
        <v/>
      </c>
      <c r="N57" s="14">
        <f>D57-K57</f>
        <v/>
      </c>
      <c r="O57" s="6">
        <f>AND(D57&gt;0,B57&lt;=COB_CA!$B$20)</f>
        <v/>
      </c>
    </row>
    <row r="58">
      <c r="A58" s="6" t="n">
        <v>54</v>
      </c>
      <c r="B58" s="15">
        <f>IF(COB_CA!$B$38=12,DATE(YEAR(COB_CA!$B$19)+INT((MONTH(COB_CA!$B$19)-1+53)/12),MOD(MONTH(COB_CA!$B$19)-1+53,12)+1,1)+(DAY(COB_CA!$B$19)-1),IF(COB_CA!$B$38=24,COB_CA!$B$19+ROUND((53*365.25)/24,0),IF(COB_CA!$B$38=26,COB_CA!$B$19+742,COB_CA!$B$19+371)))</f>
        <v/>
      </c>
      <c r="C58" s="12">
        <f>B58-B57</f>
        <v/>
      </c>
      <c r="D58" s="14">
        <f>N57</f>
        <v/>
      </c>
      <c r="E58" s="14">
        <f>D58*COB_CA!$B$40/100*(IF(YEAR(B57)=YEAR(B58),(B58-B57)/IF(AND(MOD(YEAR(B58),4)=0,OR(MOD(YEAR(B58),100)&lt;&gt;0,MOD(YEAR(B58),400)=0)),366,365),(((DATE(YEAR(B57)+1,1,1)))-B57)/IF(AND(MOD(YEAR(B57),4)=0,OR(MOD(YEAR(B57),100)&lt;&gt;0,MOD(YEAR(B57),400)=0)),366,365)+(B58-((DATE(YEAR(B57)+1,1,1))))/IF(AND(MOD(YEAR(B58),4)=0,OR(MOD(YEAR(B58),100)&lt;&gt;0,MOD(YEAR(B58),400)=0)),366,365)))</f>
        <v/>
      </c>
      <c r="F58" s="14">
        <f>L57</f>
        <v/>
      </c>
      <c r="G58" s="14">
        <f>M57</f>
        <v/>
      </c>
      <c r="H58" s="14">
        <f>IF((((COB_CA!$B$18-I58)-J58)&gt;D58),I58+J58+K58,COB_CA!$B$18)</f>
        <v/>
      </c>
      <c r="I58" s="14">
        <f>MIN(COB_CA!$B$18,(E58+F58))</f>
        <v/>
      </c>
      <c r="J58" s="14">
        <f>MIN((COB_CA!$B$18-I58),G58)</f>
        <v/>
      </c>
      <c r="K58" s="14">
        <f>MIN(((COB_CA!$B$18-I58)-J58),D58)</f>
        <v/>
      </c>
      <c r="L58" s="14">
        <f>E58+F58-I58</f>
        <v/>
      </c>
      <c r="M58" s="14">
        <f>G58-J58</f>
        <v/>
      </c>
      <c r="N58" s="14">
        <f>D58-K58</f>
        <v/>
      </c>
      <c r="O58" s="6">
        <f>AND(D58&gt;0,B58&lt;=COB_CA!$B$20)</f>
        <v/>
      </c>
    </row>
    <row r="59">
      <c r="A59" s="6" t="n">
        <v>55</v>
      </c>
      <c r="B59" s="15">
        <f>IF(COB_CA!$B$38=12,DATE(YEAR(COB_CA!$B$19)+INT((MONTH(COB_CA!$B$19)-1+54)/12),MOD(MONTH(COB_CA!$B$19)-1+54,12)+1,1)+(DAY(COB_CA!$B$19)-1),IF(COB_CA!$B$38=24,COB_CA!$B$19+ROUND((54*365.25)/24,0),IF(COB_CA!$B$38=26,COB_CA!$B$19+756,COB_CA!$B$19+378)))</f>
        <v/>
      </c>
      <c r="C59" s="12">
        <f>B59-B58</f>
        <v/>
      </c>
      <c r="D59" s="14">
        <f>N58</f>
        <v/>
      </c>
      <c r="E59" s="14">
        <f>D59*COB_CA!$B$40/100*(IF(YEAR(B58)=YEAR(B59),(B59-B58)/IF(AND(MOD(YEAR(B59),4)=0,OR(MOD(YEAR(B59),100)&lt;&gt;0,MOD(YEAR(B59),400)=0)),366,365),(((DATE(YEAR(B58)+1,1,1)))-B58)/IF(AND(MOD(YEAR(B58),4)=0,OR(MOD(YEAR(B58),100)&lt;&gt;0,MOD(YEAR(B58),400)=0)),366,365)+(B59-((DATE(YEAR(B58)+1,1,1))))/IF(AND(MOD(YEAR(B59),4)=0,OR(MOD(YEAR(B59),100)&lt;&gt;0,MOD(YEAR(B59),400)=0)),366,365)))</f>
        <v/>
      </c>
      <c r="F59" s="14">
        <f>L58</f>
        <v/>
      </c>
      <c r="G59" s="14">
        <f>M58</f>
        <v/>
      </c>
      <c r="H59" s="14">
        <f>IF((((COB_CA!$B$18-I59)-J59)&gt;D59),I59+J59+K59,COB_CA!$B$18)</f>
        <v/>
      </c>
      <c r="I59" s="14">
        <f>MIN(COB_CA!$B$18,(E59+F59))</f>
        <v/>
      </c>
      <c r="J59" s="14">
        <f>MIN((COB_CA!$B$18-I59),G59)</f>
        <v/>
      </c>
      <c r="K59" s="14">
        <f>MIN(((COB_CA!$B$18-I59)-J59),D59)</f>
        <v/>
      </c>
      <c r="L59" s="14">
        <f>E59+F59-I59</f>
        <v/>
      </c>
      <c r="M59" s="14">
        <f>G59-J59</f>
        <v/>
      </c>
      <c r="N59" s="14">
        <f>D59-K59</f>
        <v/>
      </c>
      <c r="O59" s="6">
        <f>AND(D59&gt;0,B59&lt;=COB_CA!$B$20)</f>
        <v/>
      </c>
    </row>
    <row r="60">
      <c r="A60" s="6" t="n">
        <v>56</v>
      </c>
      <c r="B60" s="15">
        <f>IF(COB_CA!$B$38=12,DATE(YEAR(COB_CA!$B$19)+INT((MONTH(COB_CA!$B$19)-1+55)/12),MOD(MONTH(COB_CA!$B$19)-1+55,12)+1,1)+(DAY(COB_CA!$B$19)-1),IF(COB_CA!$B$38=24,COB_CA!$B$19+ROUND((55*365.25)/24,0),IF(COB_CA!$B$38=26,COB_CA!$B$19+770,COB_CA!$B$19+385)))</f>
        <v/>
      </c>
      <c r="C60" s="12">
        <f>B60-B59</f>
        <v/>
      </c>
      <c r="D60" s="14">
        <f>N59</f>
        <v/>
      </c>
      <c r="E60" s="14">
        <f>D60*COB_CA!$B$40/100*(IF(YEAR(B59)=YEAR(B60),(B60-B59)/IF(AND(MOD(YEAR(B60),4)=0,OR(MOD(YEAR(B60),100)&lt;&gt;0,MOD(YEAR(B60),400)=0)),366,365),(((DATE(YEAR(B59)+1,1,1)))-B59)/IF(AND(MOD(YEAR(B59),4)=0,OR(MOD(YEAR(B59),100)&lt;&gt;0,MOD(YEAR(B59),400)=0)),366,365)+(B60-((DATE(YEAR(B59)+1,1,1))))/IF(AND(MOD(YEAR(B60),4)=0,OR(MOD(YEAR(B60),100)&lt;&gt;0,MOD(YEAR(B60),400)=0)),366,365)))</f>
        <v/>
      </c>
      <c r="F60" s="14">
        <f>L59</f>
        <v/>
      </c>
      <c r="G60" s="14">
        <f>M59</f>
        <v/>
      </c>
      <c r="H60" s="14">
        <f>IF((((COB_CA!$B$18-I60)-J60)&gt;D60),I60+J60+K60,COB_CA!$B$18)</f>
        <v/>
      </c>
      <c r="I60" s="14">
        <f>MIN(COB_CA!$B$18,(E60+F60))</f>
        <v/>
      </c>
      <c r="J60" s="14">
        <f>MIN((COB_CA!$B$18-I60),G60)</f>
        <v/>
      </c>
      <c r="K60" s="14">
        <f>MIN(((COB_CA!$B$18-I60)-J60),D60)</f>
        <v/>
      </c>
      <c r="L60" s="14">
        <f>E60+F60-I60</f>
        <v/>
      </c>
      <c r="M60" s="14">
        <f>G60-J60</f>
        <v/>
      </c>
      <c r="N60" s="14">
        <f>D60-K60</f>
        <v/>
      </c>
      <c r="O60" s="6">
        <f>AND(D60&gt;0,B60&lt;=COB_CA!$B$20)</f>
        <v/>
      </c>
    </row>
    <row r="61">
      <c r="A61" s="6" t="n">
        <v>57</v>
      </c>
      <c r="B61" s="15">
        <f>IF(COB_CA!$B$38=12,DATE(YEAR(COB_CA!$B$19)+INT((MONTH(COB_CA!$B$19)-1+56)/12),MOD(MONTH(COB_CA!$B$19)-1+56,12)+1,1)+(DAY(COB_CA!$B$19)-1),IF(COB_CA!$B$38=24,COB_CA!$B$19+ROUND((56*365.25)/24,0),IF(COB_CA!$B$38=26,COB_CA!$B$19+784,COB_CA!$B$19+392)))</f>
        <v/>
      </c>
      <c r="C61" s="12">
        <f>B61-B60</f>
        <v/>
      </c>
      <c r="D61" s="14">
        <f>N60</f>
        <v/>
      </c>
      <c r="E61" s="14">
        <f>D61*COB_CA!$B$40/100*(IF(YEAR(B60)=YEAR(B61),(B61-B60)/IF(AND(MOD(YEAR(B61),4)=0,OR(MOD(YEAR(B61),100)&lt;&gt;0,MOD(YEAR(B61),400)=0)),366,365),(((DATE(YEAR(B60)+1,1,1)))-B60)/IF(AND(MOD(YEAR(B60),4)=0,OR(MOD(YEAR(B60),100)&lt;&gt;0,MOD(YEAR(B60),400)=0)),366,365)+(B61-((DATE(YEAR(B60)+1,1,1))))/IF(AND(MOD(YEAR(B61),4)=0,OR(MOD(YEAR(B61),100)&lt;&gt;0,MOD(YEAR(B61),400)=0)),366,365)))</f>
        <v/>
      </c>
      <c r="F61" s="14">
        <f>L60</f>
        <v/>
      </c>
      <c r="G61" s="14">
        <f>M60</f>
        <v/>
      </c>
      <c r="H61" s="14">
        <f>IF((((COB_CA!$B$18-I61)-J61)&gt;D61),I61+J61+K61,COB_CA!$B$18)</f>
        <v/>
      </c>
      <c r="I61" s="14">
        <f>MIN(COB_CA!$B$18,(E61+F61))</f>
        <v/>
      </c>
      <c r="J61" s="14">
        <f>MIN((COB_CA!$B$18-I61),G61)</f>
        <v/>
      </c>
      <c r="K61" s="14">
        <f>MIN(((COB_CA!$B$18-I61)-J61),D61)</f>
        <v/>
      </c>
      <c r="L61" s="14">
        <f>E61+F61-I61</f>
        <v/>
      </c>
      <c r="M61" s="14">
        <f>G61-J61</f>
        <v/>
      </c>
      <c r="N61" s="14">
        <f>D61-K61</f>
        <v/>
      </c>
      <c r="O61" s="6">
        <f>AND(D61&gt;0,B61&lt;=COB_CA!$B$20)</f>
        <v/>
      </c>
    </row>
    <row r="62">
      <c r="A62" s="6" t="n">
        <v>58</v>
      </c>
      <c r="B62" s="15">
        <f>IF(COB_CA!$B$38=12,DATE(YEAR(COB_CA!$B$19)+INT((MONTH(COB_CA!$B$19)-1+57)/12),MOD(MONTH(COB_CA!$B$19)-1+57,12)+1,1)+(DAY(COB_CA!$B$19)-1),IF(COB_CA!$B$38=24,COB_CA!$B$19+ROUND((57*365.25)/24,0),IF(COB_CA!$B$38=26,COB_CA!$B$19+798,COB_CA!$B$19+399)))</f>
        <v/>
      </c>
      <c r="C62" s="12">
        <f>B62-B61</f>
        <v/>
      </c>
      <c r="D62" s="14">
        <f>N61</f>
        <v/>
      </c>
      <c r="E62" s="14">
        <f>D62*COB_CA!$B$40/100*(IF(YEAR(B61)=YEAR(B62),(B62-B61)/IF(AND(MOD(YEAR(B62),4)=0,OR(MOD(YEAR(B62),100)&lt;&gt;0,MOD(YEAR(B62),400)=0)),366,365),(((DATE(YEAR(B61)+1,1,1)))-B61)/IF(AND(MOD(YEAR(B61),4)=0,OR(MOD(YEAR(B61),100)&lt;&gt;0,MOD(YEAR(B61),400)=0)),366,365)+(B62-((DATE(YEAR(B61)+1,1,1))))/IF(AND(MOD(YEAR(B62),4)=0,OR(MOD(YEAR(B62),100)&lt;&gt;0,MOD(YEAR(B62),400)=0)),366,365)))</f>
        <v/>
      </c>
      <c r="F62" s="14">
        <f>L61</f>
        <v/>
      </c>
      <c r="G62" s="14">
        <f>M61</f>
        <v/>
      </c>
      <c r="H62" s="14">
        <f>IF((((COB_CA!$B$18-I62)-J62)&gt;D62),I62+J62+K62,COB_CA!$B$18)</f>
        <v/>
      </c>
      <c r="I62" s="14">
        <f>MIN(COB_CA!$B$18,(E62+F62))</f>
        <v/>
      </c>
      <c r="J62" s="14">
        <f>MIN((COB_CA!$B$18-I62),G62)</f>
        <v/>
      </c>
      <c r="K62" s="14">
        <f>MIN(((COB_CA!$B$18-I62)-J62),D62)</f>
        <v/>
      </c>
      <c r="L62" s="14">
        <f>E62+F62-I62</f>
        <v/>
      </c>
      <c r="M62" s="14">
        <f>G62-J62</f>
        <v/>
      </c>
      <c r="N62" s="14">
        <f>D62-K62</f>
        <v/>
      </c>
      <c r="O62" s="6">
        <f>AND(D62&gt;0,B62&lt;=COB_CA!$B$20)</f>
        <v/>
      </c>
    </row>
    <row r="63">
      <c r="A63" s="6" t="n">
        <v>59</v>
      </c>
      <c r="B63" s="15">
        <f>IF(COB_CA!$B$38=12,DATE(YEAR(COB_CA!$B$19)+INT((MONTH(COB_CA!$B$19)-1+58)/12),MOD(MONTH(COB_CA!$B$19)-1+58,12)+1,1)+(DAY(COB_CA!$B$19)-1),IF(COB_CA!$B$38=24,COB_CA!$B$19+ROUND((58*365.25)/24,0),IF(COB_CA!$B$38=26,COB_CA!$B$19+812,COB_CA!$B$19+406)))</f>
        <v/>
      </c>
      <c r="C63" s="12">
        <f>B63-B62</f>
        <v/>
      </c>
      <c r="D63" s="14">
        <f>N62</f>
        <v/>
      </c>
      <c r="E63" s="14">
        <f>D63*COB_CA!$B$40/100*(IF(YEAR(B62)=YEAR(B63),(B63-B62)/IF(AND(MOD(YEAR(B63),4)=0,OR(MOD(YEAR(B63),100)&lt;&gt;0,MOD(YEAR(B63),400)=0)),366,365),(((DATE(YEAR(B62)+1,1,1)))-B62)/IF(AND(MOD(YEAR(B62),4)=0,OR(MOD(YEAR(B62),100)&lt;&gt;0,MOD(YEAR(B62),400)=0)),366,365)+(B63-((DATE(YEAR(B62)+1,1,1))))/IF(AND(MOD(YEAR(B63),4)=0,OR(MOD(YEAR(B63),100)&lt;&gt;0,MOD(YEAR(B63),400)=0)),366,365)))</f>
        <v/>
      </c>
      <c r="F63" s="14">
        <f>L62</f>
        <v/>
      </c>
      <c r="G63" s="14">
        <f>M62</f>
        <v/>
      </c>
      <c r="H63" s="14">
        <f>IF((((COB_CA!$B$18-I63)-J63)&gt;D63),I63+J63+K63,COB_CA!$B$18)</f>
        <v/>
      </c>
      <c r="I63" s="14">
        <f>MIN(COB_CA!$B$18,(E63+F63))</f>
        <v/>
      </c>
      <c r="J63" s="14">
        <f>MIN((COB_CA!$B$18-I63),G63)</f>
        <v/>
      </c>
      <c r="K63" s="14">
        <f>MIN(((COB_CA!$B$18-I63)-J63),D63)</f>
        <v/>
      </c>
      <c r="L63" s="14">
        <f>E63+F63-I63</f>
        <v/>
      </c>
      <c r="M63" s="14">
        <f>G63-J63</f>
        <v/>
      </c>
      <c r="N63" s="14">
        <f>D63-K63</f>
        <v/>
      </c>
      <c r="O63" s="6">
        <f>AND(D63&gt;0,B63&lt;=COB_CA!$B$20)</f>
        <v/>
      </c>
    </row>
    <row r="64">
      <c r="A64" s="6" t="n">
        <v>60</v>
      </c>
      <c r="B64" s="15">
        <f>IF(COB_CA!$B$38=12,DATE(YEAR(COB_CA!$B$19)+INT((MONTH(COB_CA!$B$19)-1+59)/12),MOD(MONTH(COB_CA!$B$19)-1+59,12)+1,1)+(DAY(COB_CA!$B$19)-1),IF(COB_CA!$B$38=24,COB_CA!$B$19+ROUND((59*365.25)/24,0),IF(COB_CA!$B$38=26,COB_CA!$B$19+826,COB_CA!$B$19+413)))</f>
        <v/>
      </c>
      <c r="C64" s="12">
        <f>B64-B63</f>
        <v/>
      </c>
      <c r="D64" s="14">
        <f>N63</f>
        <v/>
      </c>
      <c r="E64" s="14">
        <f>D64*COB_CA!$B$40/100*(IF(YEAR(B63)=YEAR(B64),(B64-B63)/IF(AND(MOD(YEAR(B64),4)=0,OR(MOD(YEAR(B64),100)&lt;&gt;0,MOD(YEAR(B64),400)=0)),366,365),(((DATE(YEAR(B63)+1,1,1)))-B63)/IF(AND(MOD(YEAR(B63),4)=0,OR(MOD(YEAR(B63),100)&lt;&gt;0,MOD(YEAR(B63),400)=0)),366,365)+(B64-((DATE(YEAR(B63)+1,1,1))))/IF(AND(MOD(YEAR(B64),4)=0,OR(MOD(YEAR(B64),100)&lt;&gt;0,MOD(YEAR(B64),400)=0)),366,365)))</f>
        <v/>
      </c>
      <c r="F64" s="14">
        <f>L63</f>
        <v/>
      </c>
      <c r="G64" s="14">
        <f>M63</f>
        <v/>
      </c>
      <c r="H64" s="14">
        <f>IF((((COB_CA!$B$18-I64)-J64)&gt;D64),I64+J64+K64,COB_CA!$B$18)</f>
        <v/>
      </c>
      <c r="I64" s="14">
        <f>MIN(COB_CA!$B$18,(E64+F64))</f>
        <v/>
      </c>
      <c r="J64" s="14">
        <f>MIN((COB_CA!$B$18-I64),G64)</f>
        <v/>
      </c>
      <c r="K64" s="14">
        <f>MIN(((COB_CA!$B$18-I64)-J64),D64)</f>
        <v/>
      </c>
      <c r="L64" s="14">
        <f>E64+F64-I64</f>
        <v/>
      </c>
      <c r="M64" s="14">
        <f>G64-J64</f>
        <v/>
      </c>
      <c r="N64" s="14">
        <f>D64-K64</f>
        <v/>
      </c>
      <c r="O64" s="6">
        <f>AND(D64&gt;0,B64&lt;=COB_CA!$B$20)</f>
        <v/>
      </c>
    </row>
    <row r="65">
      <c r="A65" s="6" t="n">
        <v>61</v>
      </c>
      <c r="B65" s="15">
        <f>IF(COB_CA!$B$38=12,DATE(YEAR(COB_CA!$B$19)+INT((MONTH(COB_CA!$B$19)-1+60)/12),MOD(MONTH(COB_CA!$B$19)-1+60,12)+1,1)+(DAY(COB_CA!$B$19)-1),IF(COB_CA!$B$38=24,COB_CA!$B$19+ROUND((60*365.25)/24,0),IF(COB_CA!$B$38=26,COB_CA!$B$19+840,COB_CA!$B$19+420)))</f>
        <v/>
      </c>
      <c r="C65" s="12">
        <f>B65-B64</f>
        <v/>
      </c>
      <c r="D65" s="14">
        <f>N64</f>
        <v/>
      </c>
      <c r="E65" s="14">
        <f>D65*COB_CA!$B$40/100*(IF(YEAR(B64)=YEAR(B65),(B65-B64)/IF(AND(MOD(YEAR(B65),4)=0,OR(MOD(YEAR(B65),100)&lt;&gt;0,MOD(YEAR(B65),400)=0)),366,365),(((DATE(YEAR(B64)+1,1,1)))-B64)/IF(AND(MOD(YEAR(B64),4)=0,OR(MOD(YEAR(B64),100)&lt;&gt;0,MOD(YEAR(B64),400)=0)),366,365)+(B65-((DATE(YEAR(B64)+1,1,1))))/IF(AND(MOD(YEAR(B65),4)=0,OR(MOD(YEAR(B65),100)&lt;&gt;0,MOD(YEAR(B65),400)=0)),366,365)))</f>
        <v/>
      </c>
      <c r="F65" s="14">
        <f>L64</f>
        <v/>
      </c>
      <c r="G65" s="14">
        <f>M64</f>
        <v/>
      </c>
      <c r="H65" s="14">
        <f>IF((((COB_CA!$B$18-I65)-J65)&gt;D65),I65+J65+K65,COB_CA!$B$18)</f>
        <v/>
      </c>
      <c r="I65" s="14">
        <f>MIN(COB_CA!$B$18,(E65+F65))</f>
        <v/>
      </c>
      <c r="J65" s="14">
        <f>MIN((COB_CA!$B$18-I65),G65)</f>
        <v/>
      </c>
      <c r="K65" s="14">
        <f>MIN(((COB_CA!$B$18-I65)-J65),D65)</f>
        <v/>
      </c>
      <c r="L65" s="14">
        <f>E65+F65-I65</f>
        <v/>
      </c>
      <c r="M65" s="14">
        <f>G65-J65</f>
        <v/>
      </c>
      <c r="N65" s="14">
        <f>D65-K65</f>
        <v/>
      </c>
      <c r="O65" s="6">
        <f>AND(D65&gt;0,B65&lt;=COB_CA!$B$20)</f>
        <v/>
      </c>
    </row>
    <row r="66">
      <c r="A66" s="6" t="n">
        <v>62</v>
      </c>
      <c r="B66" s="15">
        <f>IF(COB_CA!$B$38=12,DATE(YEAR(COB_CA!$B$19)+INT((MONTH(COB_CA!$B$19)-1+61)/12),MOD(MONTH(COB_CA!$B$19)-1+61,12)+1,1)+(DAY(COB_CA!$B$19)-1),IF(COB_CA!$B$38=24,COB_CA!$B$19+ROUND((61*365.25)/24,0),IF(COB_CA!$B$38=26,COB_CA!$B$19+854,COB_CA!$B$19+427)))</f>
        <v/>
      </c>
      <c r="C66" s="12">
        <f>B66-B65</f>
        <v/>
      </c>
      <c r="D66" s="14">
        <f>N65</f>
        <v/>
      </c>
      <c r="E66" s="14">
        <f>D66*COB_CA!$B$40/100*(IF(YEAR(B65)=YEAR(B66),(B66-B65)/IF(AND(MOD(YEAR(B66),4)=0,OR(MOD(YEAR(B66),100)&lt;&gt;0,MOD(YEAR(B66),400)=0)),366,365),(((DATE(YEAR(B65)+1,1,1)))-B65)/IF(AND(MOD(YEAR(B65),4)=0,OR(MOD(YEAR(B65),100)&lt;&gt;0,MOD(YEAR(B65),400)=0)),366,365)+(B66-((DATE(YEAR(B65)+1,1,1))))/IF(AND(MOD(YEAR(B66),4)=0,OR(MOD(YEAR(B66),100)&lt;&gt;0,MOD(YEAR(B66),400)=0)),366,365)))</f>
        <v/>
      </c>
      <c r="F66" s="14">
        <f>L65</f>
        <v/>
      </c>
      <c r="G66" s="14">
        <f>M65</f>
        <v/>
      </c>
      <c r="H66" s="14">
        <f>IF((((COB_CA!$B$18-I66)-J66)&gt;D66),I66+J66+K66,COB_CA!$B$18)</f>
        <v/>
      </c>
      <c r="I66" s="14">
        <f>MIN(COB_CA!$B$18,(E66+F66))</f>
        <v/>
      </c>
      <c r="J66" s="14">
        <f>MIN((COB_CA!$B$18-I66),G66)</f>
        <v/>
      </c>
      <c r="K66" s="14">
        <f>MIN(((COB_CA!$B$18-I66)-J66),D66)</f>
        <v/>
      </c>
      <c r="L66" s="14">
        <f>E66+F66-I66</f>
        <v/>
      </c>
      <c r="M66" s="14">
        <f>G66-J66</f>
        <v/>
      </c>
      <c r="N66" s="14">
        <f>D66-K66</f>
        <v/>
      </c>
      <c r="O66" s="6">
        <f>AND(D66&gt;0,B66&lt;=COB_CA!$B$20)</f>
        <v/>
      </c>
    </row>
    <row r="67">
      <c r="A67" s="6" t="n">
        <v>63</v>
      </c>
      <c r="B67" s="15">
        <f>IF(COB_CA!$B$38=12,DATE(YEAR(COB_CA!$B$19)+INT((MONTH(COB_CA!$B$19)-1+62)/12),MOD(MONTH(COB_CA!$B$19)-1+62,12)+1,1)+(DAY(COB_CA!$B$19)-1),IF(COB_CA!$B$38=24,COB_CA!$B$19+ROUND((62*365.25)/24,0),IF(COB_CA!$B$38=26,COB_CA!$B$19+868,COB_CA!$B$19+434)))</f>
        <v/>
      </c>
      <c r="C67" s="12">
        <f>B67-B66</f>
        <v/>
      </c>
      <c r="D67" s="14">
        <f>N66</f>
        <v/>
      </c>
      <c r="E67" s="14">
        <f>D67*COB_CA!$B$40/100*(IF(YEAR(B66)=YEAR(B67),(B67-B66)/IF(AND(MOD(YEAR(B67),4)=0,OR(MOD(YEAR(B67),100)&lt;&gt;0,MOD(YEAR(B67),400)=0)),366,365),(((DATE(YEAR(B66)+1,1,1)))-B66)/IF(AND(MOD(YEAR(B66),4)=0,OR(MOD(YEAR(B66),100)&lt;&gt;0,MOD(YEAR(B66),400)=0)),366,365)+(B67-((DATE(YEAR(B66)+1,1,1))))/IF(AND(MOD(YEAR(B67),4)=0,OR(MOD(YEAR(B67),100)&lt;&gt;0,MOD(YEAR(B67),400)=0)),366,365)))</f>
        <v/>
      </c>
      <c r="F67" s="14">
        <f>L66</f>
        <v/>
      </c>
      <c r="G67" s="14">
        <f>M66</f>
        <v/>
      </c>
      <c r="H67" s="14">
        <f>IF((((COB_CA!$B$18-I67)-J67)&gt;D67),I67+J67+K67,COB_CA!$B$18)</f>
        <v/>
      </c>
      <c r="I67" s="14">
        <f>MIN(COB_CA!$B$18,(E67+F67))</f>
        <v/>
      </c>
      <c r="J67" s="14">
        <f>MIN((COB_CA!$B$18-I67),G67)</f>
        <v/>
      </c>
      <c r="K67" s="14">
        <f>MIN(((COB_CA!$B$18-I67)-J67),D67)</f>
        <v/>
      </c>
      <c r="L67" s="14">
        <f>E67+F67-I67</f>
        <v/>
      </c>
      <c r="M67" s="14">
        <f>G67-J67</f>
        <v/>
      </c>
      <c r="N67" s="14">
        <f>D67-K67</f>
        <v/>
      </c>
      <c r="O67" s="6">
        <f>AND(D67&gt;0,B67&lt;=COB_CA!$B$20)</f>
        <v/>
      </c>
    </row>
    <row r="68">
      <c r="A68" s="6" t="n">
        <v>64</v>
      </c>
      <c r="B68" s="15">
        <f>IF(COB_CA!$B$38=12,DATE(YEAR(COB_CA!$B$19)+INT((MONTH(COB_CA!$B$19)-1+63)/12),MOD(MONTH(COB_CA!$B$19)-1+63,12)+1,1)+(DAY(COB_CA!$B$19)-1),IF(COB_CA!$B$38=24,COB_CA!$B$19+ROUND((63*365.25)/24,0),IF(COB_CA!$B$38=26,COB_CA!$B$19+882,COB_CA!$B$19+441)))</f>
        <v/>
      </c>
      <c r="C68" s="12">
        <f>B68-B67</f>
        <v/>
      </c>
      <c r="D68" s="14">
        <f>N67</f>
        <v/>
      </c>
      <c r="E68" s="14">
        <f>D68*COB_CA!$B$40/100*(IF(YEAR(B67)=YEAR(B68),(B68-B67)/IF(AND(MOD(YEAR(B68),4)=0,OR(MOD(YEAR(B68),100)&lt;&gt;0,MOD(YEAR(B68),400)=0)),366,365),(((DATE(YEAR(B67)+1,1,1)))-B67)/IF(AND(MOD(YEAR(B67),4)=0,OR(MOD(YEAR(B67),100)&lt;&gt;0,MOD(YEAR(B67),400)=0)),366,365)+(B68-((DATE(YEAR(B67)+1,1,1))))/IF(AND(MOD(YEAR(B68),4)=0,OR(MOD(YEAR(B68),100)&lt;&gt;0,MOD(YEAR(B68),400)=0)),366,365)))</f>
        <v/>
      </c>
      <c r="F68" s="14">
        <f>L67</f>
        <v/>
      </c>
      <c r="G68" s="14">
        <f>M67</f>
        <v/>
      </c>
      <c r="H68" s="14">
        <f>IF((((COB_CA!$B$18-I68)-J68)&gt;D68),I68+J68+K68,COB_CA!$B$18)</f>
        <v/>
      </c>
      <c r="I68" s="14">
        <f>MIN(COB_CA!$B$18,(E68+F68))</f>
        <v/>
      </c>
      <c r="J68" s="14">
        <f>MIN((COB_CA!$B$18-I68),G68)</f>
        <v/>
      </c>
      <c r="K68" s="14">
        <f>MIN(((COB_CA!$B$18-I68)-J68),D68)</f>
        <v/>
      </c>
      <c r="L68" s="14">
        <f>E68+F68-I68</f>
        <v/>
      </c>
      <c r="M68" s="14">
        <f>G68-J68</f>
        <v/>
      </c>
      <c r="N68" s="14">
        <f>D68-K68</f>
        <v/>
      </c>
      <c r="O68" s="6">
        <f>AND(D68&gt;0,B68&lt;=COB_CA!$B$20)</f>
        <v/>
      </c>
    </row>
    <row r="69">
      <c r="A69" s="6" t="n">
        <v>65</v>
      </c>
      <c r="B69" s="15">
        <f>IF(COB_CA!$B$38=12,DATE(YEAR(COB_CA!$B$19)+INT((MONTH(COB_CA!$B$19)-1+64)/12),MOD(MONTH(COB_CA!$B$19)-1+64,12)+1,1)+(DAY(COB_CA!$B$19)-1),IF(COB_CA!$B$38=24,COB_CA!$B$19+ROUND((64*365.25)/24,0),IF(COB_CA!$B$38=26,COB_CA!$B$19+896,COB_CA!$B$19+448)))</f>
        <v/>
      </c>
      <c r="C69" s="12">
        <f>B69-B68</f>
        <v/>
      </c>
      <c r="D69" s="14">
        <f>N68</f>
        <v/>
      </c>
      <c r="E69" s="14">
        <f>D69*COB_CA!$B$40/100*(IF(YEAR(B68)=YEAR(B69),(B69-B68)/IF(AND(MOD(YEAR(B69),4)=0,OR(MOD(YEAR(B69),100)&lt;&gt;0,MOD(YEAR(B69),400)=0)),366,365),(((DATE(YEAR(B68)+1,1,1)))-B68)/IF(AND(MOD(YEAR(B68),4)=0,OR(MOD(YEAR(B68),100)&lt;&gt;0,MOD(YEAR(B68),400)=0)),366,365)+(B69-((DATE(YEAR(B68)+1,1,1))))/IF(AND(MOD(YEAR(B69),4)=0,OR(MOD(YEAR(B69),100)&lt;&gt;0,MOD(YEAR(B69),400)=0)),366,365)))</f>
        <v/>
      </c>
      <c r="F69" s="14">
        <f>L68</f>
        <v/>
      </c>
      <c r="G69" s="14">
        <f>M68</f>
        <v/>
      </c>
      <c r="H69" s="14">
        <f>IF((((COB_CA!$B$18-I69)-J69)&gt;D69),I69+J69+K69,COB_CA!$B$18)</f>
        <v/>
      </c>
      <c r="I69" s="14">
        <f>MIN(COB_CA!$B$18,(E69+F69))</f>
        <v/>
      </c>
      <c r="J69" s="14">
        <f>MIN((COB_CA!$B$18-I69),G69)</f>
        <v/>
      </c>
      <c r="K69" s="14">
        <f>MIN(((COB_CA!$B$18-I69)-J69),D69)</f>
        <v/>
      </c>
      <c r="L69" s="14">
        <f>E69+F69-I69</f>
        <v/>
      </c>
      <c r="M69" s="14">
        <f>G69-J69</f>
        <v/>
      </c>
      <c r="N69" s="14">
        <f>D69-K69</f>
        <v/>
      </c>
      <c r="O69" s="6">
        <f>AND(D69&gt;0,B69&lt;=COB_CA!$B$20)</f>
        <v/>
      </c>
    </row>
    <row r="70">
      <c r="A70" s="6" t="n">
        <v>66</v>
      </c>
      <c r="B70" s="15">
        <f>IF(COB_CA!$B$38=12,DATE(YEAR(COB_CA!$B$19)+INT((MONTH(COB_CA!$B$19)-1+65)/12),MOD(MONTH(COB_CA!$B$19)-1+65,12)+1,1)+(DAY(COB_CA!$B$19)-1),IF(COB_CA!$B$38=24,COB_CA!$B$19+ROUND((65*365.25)/24,0),IF(COB_CA!$B$38=26,COB_CA!$B$19+910,COB_CA!$B$19+455)))</f>
        <v/>
      </c>
      <c r="C70" s="12">
        <f>B70-B69</f>
        <v/>
      </c>
      <c r="D70" s="14">
        <f>N69</f>
        <v/>
      </c>
      <c r="E70" s="14">
        <f>D70*COB_CA!$B$40/100*(IF(YEAR(B69)=YEAR(B70),(B70-B69)/IF(AND(MOD(YEAR(B70),4)=0,OR(MOD(YEAR(B70),100)&lt;&gt;0,MOD(YEAR(B70),400)=0)),366,365),(((DATE(YEAR(B69)+1,1,1)))-B69)/IF(AND(MOD(YEAR(B69),4)=0,OR(MOD(YEAR(B69),100)&lt;&gt;0,MOD(YEAR(B69),400)=0)),366,365)+(B70-((DATE(YEAR(B69)+1,1,1))))/IF(AND(MOD(YEAR(B70),4)=0,OR(MOD(YEAR(B70),100)&lt;&gt;0,MOD(YEAR(B70),400)=0)),366,365)))</f>
        <v/>
      </c>
      <c r="F70" s="14">
        <f>L69</f>
        <v/>
      </c>
      <c r="G70" s="14">
        <f>M69</f>
        <v/>
      </c>
      <c r="H70" s="14">
        <f>IF((((COB_CA!$B$18-I70)-J70)&gt;D70),I70+J70+K70,COB_CA!$B$18)</f>
        <v/>
      </c>
      <c r="I70" s="14">
        <f>MIN(COB_CA!$B$18,(E70+F70))</f>
        <v/>
      </c>
      <c r="J70" s="14">
        <f>MIN((COB_CA!$B$18-I70),G70)</f>
        <v/>
      </c>
      <c r="K70" s="14">
        <f>MIN(((COB_CA!$B$18-I70)-J70),D70)</f>
        <v/>
      </c>
      <c r="L70" s="14">
        <f>E70+F70-I70</f>
        <v/>
      </c>
      <c r="M70" s="14">
        <f>G70-J70</f>
        <v/>
      </c>
      <c r="N70" s="14">
        <f>D70-K70</f>
        <v/>
      </c>
      <c r="O70" s="6">
        <f>AND(D70&gt;0,B70&lt;=COB_CA!$B$20)</f>
        <v/>
      </c>
    </row>
    <row r="71">
      <c r="A71" s="6" t="n">
        <v>67</v>
      </c>
      <c r="B71" s="15">
        <f>IF(COB_CA!$B$38=12,DATE(YEAR(COB_CA!$B$19)+INT((MONTH(COB_CA!$B$19)-1+66)/12),MOD(MONTH(COB_CA!$B$19)-1+66,12)+1,1)+(DAY(COB_CA!$B$19)-1),IF(COB_CA!$B$38=24,COB_CA!$B$19+ROUND((66*365.25)/24,0),IF(COB_CA!$B$38=26,COB_CA!$B$19+924,COB_CA!$B$19+462)))</f>
        <v/>
      </c>
      <c r="C71" s="12">
        <f>B71-B70</f>
        <v/>
      </c>
      <c r="D71" s="14">
        <f>N70</f>
        <v/>
      </c>
      <c r="E71" s="14">
        <f>D71*COB_CA!$B$40/100*(IF(YEAR(B70)=YEAR(B71),(B71-B70)/IF(AND(MOD(YEAR(B71),4)=0,OR(MOD(YEAR(B71),100)&lt;&gt;0,MOD(YEAR(B71),400)=0)),366,365),(((DATE(YEAR(B70)+1,1,1)))-B70)/IF(AND(MOD(YEAR(B70),4)=0,OR(MOD(YEAR(B70),100)&lt;&gt;0,MOD(YEAR(B70),400)=0)),366,365)+(B71-((DATE(YEAR(B70)+1,1,1))))/IF(AND(MOD(YEAR(B71),4)=0,OR(MOD(YEAR(B71),100)&lt;&gt;0,MOD(YEAR(B71),400)=0)),366,365)))</f>
        <v/>
      </c>
      <c r="F71" s="14">
        <f>L70</f>
        <v/>
      </c>
      <c r="G71" s="14">
        <f>M70</f>
        <v/>
      </c>
      <c r="H71" s="14">
        <f>IF((((COB_CA!$B$18-I71)-J71)&gt;D71),I71+J71+K71,COB_CA!$B$18)</f>
        <v/>
      </c>
      <c r="I71" s="14">
        <f>MIN(COB_CA!$B$18,(E71+F71))</f>
        <v/>
      </c>
      <c r="J71" s="14">
        <f>MIN((COB_CA!$B$18-I71),G71)</f>
        <v/>
      </c>
      <c r="K71" s="14">
        <f>MIN(((COB_CA!$B$18-I71)-J71),D71)</f>
        <v/>
      </c>
      <c r="L71" s="14">
        <f>E71+F71-I71</f>
        <v/>
      </c>
      <c r="M71" s="14">
        <f>G71-J71</f>
        <v/>
      </c>
      <c r="N71" s="14">
        <f>D71-K71</f>
        <v/>
      </c>
      <c r="O71" s="6">
        <f>AND(D71&gt;0,B71&lt;=COB_CA!$B$20)</f>
        <v/>
      </c>
    </row>
    <row r="72">
      <c r="A72" s="6" t="n">
        <v>68</v>
      </c>
      <c r="B72" s="15">
        <f>IF(COB_CA!$B$38=12,DATE(YEAR(COB_CA!$B$19)+INT((MONTH(COB_CA!$B$19)-1+67)/12),MOD(MONTH(COB_CA!$B$19)-1+67,12)+1,1)+(DAY(COB_CA!$B$19)-1),IF(COB_CA!$B$38=24,COB_CA!$B$19+ROUND((67*365.25)/24,0),IF(COB_CA!$B$38=26,COB_CA!$B$19+938,COB_CA!$B$19+469)))</f>
        <v/>
      </c>
      <c r="C72" s="12">
        <f>B72-B71</f>
        <v/>
      </c>
      <c r="D72" s="14">
        <f>N71</f>
        <v/>
      </c>
      <c r="E72" s="14">
        <f>D72*COB_CA!$B$40/100*(IF(YEAR(B71)=YEAR(B72),(B72-B71)/IF(AND(MOD(YEAR(B72),4)=0,OR(MOD(YEAR(B72),100)&lt;&gt;0,MOD(YEAR(B72),400)=0)),366,365),(((DATE(YEAR(B71)+1,1,1)))-B71)/IF(AND(MOD(YEAR(B71),4)=0,OR(MOD(YEAR(B71),100)&lt;&gt;0,MOD(YEAR(B71),400)=0)),366,365)+(B72-((DATE(YEAR(B71)+1,1,1))))/IF(AND(MOD(YEAR(B72),4)=0,OR(MOD(YEAR(B72),100)&lt;&gt;0,MOD(YEAR(B72),400)=0)),366,365)))</f>
        <v/>
      </c>
      <c r="F72" s="14">
        <f>L71</f>
        <v/>
      </c>
      <c r="G72" s="14">
        <f>M71</f>
        <v/>
      </c>
      <c r="H72" s="14">
        <f>IF((((COB_CA!$B$18-I72)-J72)&gt;D72),I72+J72+K72,COB_CA!$B$18)</f>
        <v/>
      </c>
      <c r="I72" s="14">
        <f>MIN(COB_CA!$B$18,(E72+F72))</f>
        <v/>
      </c>
      <c r="J72" s="14">
        <f>MIN((COB_CA!$B$18-I72),G72)</f>
        <v/>
      </c>
      <c r="K72" s="14">
        <f>MIN(((COB_CA!$B$18-I72)-J72),D72)</f>
        <v/>
      </c>
      <c r="L72" s="14">
        <f>E72+F72-I72</f>
        <v/>
      </c>
      <c r="M72" s="14">
        <f>G72-J72</f>
        <v/>
      </c>
      <c r="N72" s="14">
        <f>D72-K72</f>
        <v/>
      </c>
      <c r="O72" s="6">
        <f>AND(D72&gt;0,B72&lt;=COB_CA!$B$20)</f>
        <v/>
      </c>
    </row>
    <row r="73">
      <c r="A73" s="6" t="n">
        <v>69</v>
      </c>
      <c r="B73" s="15">
        <f>IF(COB_CA!$B$38=12,DATE(YEAR(COB_CA!$B$19)+INT((MONTH(COB_CA!$B$19)-1+68)/12),MOD(MONTH(COB_CA!$B$19)-1+68,12)+1,1)+(DAY(COB_CA!$B$19)-1),IF(COB_CA!$B$38=24,COB_CA!$B$19+ROUND((68*365.25)/24,0),IF(COB_CA!$B$38=26,COB_CA!$B$19+952,COB_CA!$B$19+476)))</f>
        <v/>
      </c>
      <c r="C73" s="12">
        <f>B73-B72</f>
        <v/>
      </c>
      <c r="D73" s="14">
        <f>N72</f>
        <v/>
      </c>
      <c r="E73" s="14">
        <f>D73*COB_CA!$B$40/100*(IF(YEAR(B72)=YEAR(B73),(B73-B72)/IF(AND(MOD(YEAR(B73),4)=0,OR(MOD(YEAR(B73),100)&lt;&gt;0,MOD(YEAR(B73),400)=0)),366,365),(((DATE(YEAR(B72)+1,1,1)))-B72)/IF(AND(MOD(YEAR(B72),4)=0,OR(MOD(YEAR(B72),100)&lt;&gt;0,MOD(YEAR(B72),400)=0)),366,365)+(B73-((DATE(YEAR(B72)+1,1,1))))/IF(AND(MOD(YEAR(B73),4)=0,OR(MOD(YEAR(B73),100)&lt;&gt;0,MOD(YEAR(B73),400)=0)),366,365)))</f>
        <v/>
      </c>
      <c r="F73" s="14">
        <f>L72</f>
        <v/>
      </c>
      <c r="G73" s="14">
        <f>M72</f>
        <v/>
      </c>
      <c r="H73" s="14">
        <f>IF((((COB_CA!$B$18-I73)-J73)&gt;D73),I73+J73+K73,COB_CA!$B$18)</f>
        <v/>
      </c>
      <c r="I73" s="14">
        <f>MIN(COB_CA!$B$18,(E73+F73))</f>
        <v/>
      </c>
      <c r="J73" s="14">
        <f>MIN((COB_CA!$B$18-I73),G73)</f>
        <v/>
      </c>
      <c r="K73" s="14">
        <f>MIN(((COB_CA!$B$18-I73)-J73),D73)</f>
        <v/>
      </c>
      <c r="L73" s="14">
        <f>E73+F73-I73</f>
        <v/>
      </c>
      <c r="M73" s="14">
        <f>G73-J73</f>
        <v/>
      </c>
      <c r="N73" s="14">
        <f>D73-K73</f>
        <v/>
      </c>
      <c r="O73" s="6">
        <f>AND(D73&gt;0,B73&lt;=COB_CA!$B$20)</f>
        <v/>
      </c>
    </row>
    <row r="74">
      <c r="A74" s="6" t="n">
        <v>70</v>
      </c>
      <c r="B74" s="15">
        <f>IF(COB_CA!$B$38=12,DATE(YEAR(COB_CA!$B$19)+INT((MONTH(COB_CA!$B$19)-1+69)/12),MOD(MONTH(COB_CA!$B$19)-1+69,12)+1,1)+(DAY(COB_CA!$B$19)-1),IF(COB_CA!$B$38=24,COB_CA!$B$19+ROUND((69*365.25)/24,0),IF(COB_CA!$B$38=26,COB_CA!$B$19+966,COB_CA!$B$19+483)))</f>
        <v/>
      </c>
      <c r="C74" s="12">
        <f>B74-B73</f>
        <v/>
      </c>
      <c r="D74" s="14">
        <f>N73</f>
        <v/>
      </c>
      <c r="E74" s="14">
        <f>D74*COB_CA!$B$40/100*(IF(YEAR(B73)=YEAR(B74),(B74-B73)/IF(AND(MOD(YEAR(B74),4)=0,OR(MOD(YEAR(B74),100)&lt;&gt;0,MOD(YEAR(B74),400)=0)),366,365),(((DATE(YEAR(B73)+1,1,1)))-B73)/IF(AND(MOD(YEAR(B73),4)=0,OR(MOD(YEAR(B73),100)&lt;&gt;0,MOD(YEAR(B73),400)=0)),366,365)+(B74-((DATE(YEAR(B73)+1,1,1))))/IF(AND(MOD(YEAR(B74),4)=0,OR(MOD(YEAR(B74),100)&lt;&gt;0,MOD(YEAR(B74),400)=0)),366,365)))</f>
        <v/>
      </c>
      <c r="F74" s="14">
        <f>L73</f>
        <v/>
      </c>
      <c r="G74" s="14">
        <f>M73</f>
        <v/>
      </c>
      <c r="H74" s="14">
        <f>IF((((COB_CA!$B$18-I74)-J74)&gt;D74),I74+J74+K74,COB_CA!$B$18)</f>
        <v/>
      </c>
      <c r="I74" s="14">
        <f>MIN(COB_CA!$B$18,(E74+F74))</f>
        <v/>
      </c>
      <c r="J74" s="14">
        <f>MIN((COB_CA!$B$18-I74),G74)</f>
        <v/>
      </c>
      <c r="K74" s="14">
        <f>MIN(((COB_CA!$B$18-I74)-J74),D74)</f>
        <v/>
      </c>
      <c r="L74" s="14">
        <f>E74+F74-I74</f>
        <v/>
      </c>
      <c r="M74" s="14">
        <f>G74-J74</f>
        <v/>
      </c>
      <c r="N74" s="14">
        <f>D74-K74</f>
        <v/>
      </c>
      <c r="O74" s="6">
        <f>AND(D74&gt;0,B74&lt;=COB_CA!$B$20)</f>
        <v/>
      </c>
    </row>
    <row r="75">
      <c r="A75" s="6" t="n">
        <v>71</v>
      </c>
      <c r="B75" s="15">
        <f>IF(COB_CA!$B$38=12,DATE(YEAR(COB_CA!$B$19)+INT((MONTH(COB_CA!$B$19)-1+70)/12),MOD(MONTH(COB_CA!$B$19)-1+70,12)+1,1)+(DAY(COB_CA!$B$19)-1),IF(COB_CA!$B$38=24,COB_CA!$B$19+ROUND((70*365.25)/24,0),IF(COB_CA!$B$38=26,COB_CA!$B$19+980,COB_CA!$B$19+490)))</f>
        <v/>
      </c>
      <c r="C75" s="12">
        <f>B75-B74</f>
        <v/>
      </c>
      <c r="D75" s="14">
        <f>N74</f>
        <v/>
      </c>
      <c r="E75" s="14">
        <f>D75*COB_CA!$B$40/100*(IF(YEAR(B74)=YEAR(B75),(B75-B74)/IF(AND(MOD(YEAR(B75),4)=0,OR(MOD(YEAR(B75),100)&lt;&gt;0,MOD(YEAR(B75),400)=0)),366,365),(((DATE(YEAR(B74)+1,1,1)))-B74)/IF(AND(MOD(YEAR(B74),4)=0,OR(MOD(YEAR(B74),100)&lt;&gt;0,MOD(YEAR(B74),400)=0)),366,365)+(B75-((DATE(YEAR(B74)+1,1,1))))/IF(AND(MOD(YEAR(B75),4)=0,OR(MOD(YEAR(B75),100)&lt;&gt;0,MOD(YEAR(B75),400)=0)),366,365)))</f>
        <v/>
      </c>
      <c r="F75" s="14">
        <f>L74</f>
        <v/>
      </c>
      <c r="G75" s="14">
        <f>M74</f>
        <v/>
      </c>
      <c r="H75" s="14">
        <f>IF((((COB_CA!$B$18-I75)-J75)&gt;D75),I75+J75+K75,COB_CA!$B$18)</f>
        <v/>
      </c>
      <c r="I75" s="14">
        <f>MIN(COB_CA!$B$18,(E75+F75))</f>
        <v/>
      </c>
      <c r="J75" s="14">
        <f>MIN((COB_CA!$B$18-I75),G75)</f>
        <v/>
      </c>
      <c r="K75" s="14">
        <f>MIN(((COB_CA!$B$18-I75)-J75),D75)</f>
        <v/>
      </c>
      <c r="L75" s="14">
        <f>E75+F75-I75</f>
        <v/>
      </c>
      <c r="M75" s="14">
        <f>G75-J75</f>
        <v/>
      </c>
      <c r="N75" s="14">
        <f>D75-K75</f>
        <v/>
      </c>
      <c r="O75" s="6">
        <f>AND(D75&gt;0,B75&lt;=COB_CA!$B$20)</f>
        <v/>
      </c>
    </row>
    <row r="76">
      <c r="A76" s="6" t="n">
        <v>72</v>
      </c>
      <c r="B76" s="15">
        <f>IF(COB_CA!$B$38=12,DATE(YEAR(COB_CA!$B$19)+INT((MONTH(COB_CA!$B$19)-1+71)/12),MOD(MONTH(COB_CA!$B$19)-1+71,12)+1,1)+(DAY(COB_CA!$B$19)-1),IF(COB_CA!$B$38=24,COB_CA!$B$19+ROUND((71*365.25)/24,0),IF(COB_CA!$B$38=26,COB_CA!$B$19+994,COB_CA!$B$19+497)))</f>
        <v/>
      </c>
      <c r="C76" s="12">
        <f>B76-B75</f>
        <v/>
      </c>
      <c r="D76" s="14">
        <f>N75</f>
        <v/>
      </c>
      <c r="E76" s="14">
        <f>D76*COB_CA!$B$40/100*(IF(YEAR(B75)=YEAR(B76),(B76-B75)/IF(AND(MOD(YEAR(B76),4)=0,OR(MOD(YEAR(B76),100)&lt;&gt;0,MOD(YEAR(B76),400)=0)),366,365),(((DATE(YEAR(B75)+1,1,1)))-B75)/IF(AND(MOD(YEAR(B75),4)=0,OR(MOD(YEAR(B75),100)&lt;&gt;0,MOD(YEAR(B75),400)=0)),366,365)+(B76-((DATE(YEAR(B75)+1,1,1))))/IF(AND(MOD(YEAR(B76),4)=0,OR(MOD(YEAR(B76),100)&lt;&gt;0,MOD(YEAR(B76),400)=0)),366,365)))</f>
        <v/>
      </c>
      <c r="F76" s="14">
        <f>L75</f>
        <v/>
      </c>
      <c r="G76" s="14">
        <f>M75</f>
        <v/>
      </c>
      <c r="H76" s="14">
        <f>IF((((COB_CA!$B$18-I76)-J76)&gt;D76),I76+J76+K76,COB_CA!$B$18)</f>
        <v/>
      </c>
      <c r="I76" s="14">
        <f>MIN(COB_CA!$B$18,(E76+F76))</f>
        <v/>
      </c>
      <c r="J76" s="14">
        <f>MIN((COB_CA!$B$18-I76),G76)</f>
        <v/>
      </c>
      <c r="K76" s="14">
        <f>MIN(((COB_CA!$B$18-I76)-J76),D76)</f>
        <v/>
      </c>
      <c r="L76" s="14">
        <f>E76+F76-I76</f>
        <v/>
      </c>
      <c r="M76" s="14">
        <f>G76-J76</f>
        <v/>
      </c>
      <c r="N76" s="14">
        <f>D76-K76</f>
        <v/>
      </c>
      <c r="O76" s="6">
        <f>AND(D76&gt;0,B76&lt;=COB_CA!$B$20)</f>
        <v/>
      </c>
    </row>
    <row r="77">
      <c r="A77" s="6" t="n">
        <v>73</v>
      </c>
      <c r="B77" s="15">
        <f>IF(COB_CA!$B$38=12,DATE(YEAR(COB_CA!$B$19)+INT((MONTH(COB_CA!$B$19)-1+72)/12),MOD(MONTH(COB_CA!$B$19)-1+72,12)+1,1)+(DAY(COB_CA!$B$19)-1),IF(COB_CA!$B$38=24,COB_CA!$B$19+ROUND((72*365.25)/24,0),IF(COB_CA!$B$38=26,COB_CA!$B$19+1008,COB_CA!$B$19+504)))</f>
        <v/>
      </c>
      <c r="C77" s="12">
        <f>B77-B76</f>
        <v/>
      </c>
      <c r="D77" s="14">
        <f>N76</f>
        <v/>
      </c>
      <c r="E77" s="14">
        <f>D77*COB_CA!$B$40/100*(IF(YEAR(B76)=YEAR(B77),(B77-B76)/IF(AND(MOD(YEAR(B77),4)=0,OR(MOD(YEAR(B77),100)&lt;&gt;0,MOD(YEAR(B77),400)=0)),366,365),(((DATE(YEAR(B76)+1,1,1)))-B76)/IF(AND(MOD(YEAR(B76),4)=0,OR(MOD(YEAR(B76),100)&lt;&gt;0,MOD(YEAR(B76),400)=0)),366,365)+(B77-((DATE(YEAR(B76)+1,1,1))))/IF(AND(MOD(YEAR(B77),4)=0,OR(MOD(YEAR(B77),100)&lt;&gt;0,MOD(YEAR(B77),400)=0)),366,365)))</f>
        <v/>
      </c>
      <c r="F77" s="14">
        <f>L76</f>
        <v/>
      </c>
      <c r="G77" s="14">
        <f>M76</f>
        <v/>
      </c>
      <c r="H77" s="14">
        <f>IF((((COB_CA!$B$18-I77)-J77)&gt;D77),I77+J77+K77,COB_CA!$B$18)</f>
        <v/>
      </c>
      <c r="I77" s="14">
        <f>MIN(COB_CA!$B$18,(E77+F77))</f>
        <v/>
      </c>
      <c r="J77" s="14">
        <f>MIN((COB_CA!$B$18-I77),G77)</f>
        <v/>
      </c>
      <c r="K77" s="14">
        <f>MIN(((COB_CA!$B$18-I77)-J77),D77)</f>
        <v/>
      </c>
      <c r="L77" s="14">
        <f>E77+F77-I77</f>
        <v/>
      </c>
      <c r="M77" s="14">
        <f>G77-J77</f>
        <v/>
      </c>
      <c r="N77" s="14">
        <f>D77-K77</f>
        <v/>
      </c>
      <c r="O77" s="6">
        <f>AND(D77&gt;0,B77&lt;=COB_CA!$B$20)</f>
        <v/>
      </c>
    </row>
    <row r="78">
      <c r="A78" s="6" t="n">
        <v>74</v>
      </c>
      <c r="B78" s="15">
        <f>IF(COB_CA!$B$38=12,DATE(YEAR(COB_CA!$B$19)+INT((MONTH(COB_CA!$B$19)-1+73)/12),MOD(MONTH(COB_CA!$B$19)-1+73,12)+1,1)+(DAY(COB_CA!$B$19)-1),IF(COB_CA!$B$38=24,COB_CA!$B$19+ROUND((73*365.25)/24,0),IF(COB_CA!$B$38=26,COB_CA!$B$19+1022,COB_CA!$B$19+511)))</f>
        <v/>
      </c>
      <c r="C78" s="12">
        <f>B78-B77</f>
        <v/>
      </c>
      <c r="D78" s="14">
        <f>N77</f>
        <v/>
      </c>
      <c r="E78" s="14">
        <f>D78*COB_CA!$B$40/100*(IF(YEAR(B77)=YEAR(B78),(B78-B77)/IF(AND(MOD(YEAR(B78),4)=0,OR(MOD(YEAR(B78),100)&lt;&gt;0,MOD(YEAR(B78),400)=0)),366,365),(((DATE(YEAR(B77)+1,1,1)))-B77)/IF(AND(MOD(YEAR(B77),4)=0,OR(MOD(YEAR(B77),100)&lt;&gt;0,MOD(YEAR(B77),400)=0)),366,365)+(B78-((DATE(YEAR(B77)+1,1,1))))/IF(AND(MOD(YEAR(B78),4)=0,OR(MOD(YEAR(B78),100)&lt;&gt;0,MOD(YEAR(B78),400)=0)),366,365)))</f>
        <v/>
      </c>
      <c r="F78" s="14">
        <f>L77</f>
        <v/>
      </c>
      <c r="G78" s="14">
        <f>M77</f>
        <v/>
      </c>
      <c r="H78" s="14">
        <f>IF((((COB_CA!$B$18-I78)-J78)&gt;D78),I78+J78+K78,COB_CA!$B$18)</f>
        <v/>
      </c>
      <c r="I78" s="14">
        <f>MIN(COB_CA!$B$18,(E78+F78))</f>
        <v/>
      </c>
      <c r="J78" s="14">
        <f>MIN((COB_CA!$B$18-I78),G78)</f>
        <v/>
      </c>
      <c r="K78" s="14">
        <f>MIN(((COB_CA!$B$18-I78)-J78),D78)</f>
        <v/>
      </c>
      <c r="L78" s="14">
        <f>E78+F78-I78</f>
        <v/>
      </c>
      <c r="M78" s="14">
        <f>G78-J78</f>
        <v/>
      </c>
      <c r="N78" s="14">
        <f>D78-K78</f>
        <v/>
      </c>
      <c r="O78" s="6">
        <f>AND(D78&gt;0,B78&lt;=COB_CA!$B$20)</f>
        <v/>
      </c>
    </row>
    <row r="79">
      <c r="A79" s="6" t="n">
        <v>75</v>
      </c>
      <c r="B79" s="15">
        <f>IF(COB_CA!$B$38=12,DATE(YEAR(COB_CA!$B$19)+INT((MONTH(COB_CA!$B$19)-1+74)/12),MOD(MONTH(COB_CA!$B$19)-1+74,12)+1,1)+(DAY(COB_CA!$B$19)-1),IF(COB_CA!$B$38=24,COB_CA!$B$19+ROUND((74*365.25)/24,0),IF(COB_CA!$B$38=26,COB_CA!$B$19+1036,COB_CA!$B$19+518)))</f>
        <v/>
      </c>
      <c r="C79" s="12">
        <f>B79-B78</f>
        <v/>
      </c>
      <c r="D79" s="14">
        <f>N78</f>
        <v/>
      </c>
      <c r="E79" s="14">
        <f>D79*COB_CA!$B$40/100*(IF(YEAR(B78)=YEAR(B79),(B79-B78)/IF(AND(MOD(YEAR(B79),4)=0,OR(MOD(YEAR(B79),100)&lt;&gt;0,MOD(YEAR(B79),400)=0)),366,365),(((DATE(YEAR(B78)+1,1,1)))-B78)/IF(AND(MOD(YEAR(B78),4)=0,OR(MOD(YEAR(B78),100)&lt;&gt;0,MOD(YEAR(B78),400)=0)),366,365)+(B79-((DATE(YEAR(B78)+1,1,1))))/IF(AND(MOD(YEAR(B79),4)=0,OR(MOD(YEAR(B79),100)&lt;&gt;0,MOD(YEAR(B79),400)=0)),366,365)))</f>
        <v/>
      </c>
      <c r="F79" s="14">
        <f>L78</f>
        <v/>
      </c>
      <c r="G79" s="14">
        <f>M78</f>
        <v/>
      </c>
      <c r="H79" s="14">
        <f>IF((((COB_CA!$B$18-I79)-J79)&gt;D79),I79+J79+K79,COB_CA!$B$18)</f>
        <v/>
      </c>
      <c r="I79" s="14">
        <f>MIN(COB_CA!$B$18,(E79+F79))</f>
        <v/>
      </c>
      <c r="J79" s="14">
        <f>MIN((COB_CA!$B$18-I79),G79)</f>
        <v/>
      </c>
      <c r="K79" s="14">
        <f>MIN(((COB_CA!$B$18-I79)-J79),D79)</f>
        <v/>
      </c>
      <c r="L79" s="14">
        <f>E79+F79-I79</f>
        <v/>
      </c>
      <c r="M79" s="14">
        <f>G79-J79</f>
        <v/>
      </c>
      <c r="N79" s="14">
        <f>D79-K79</f>
        <v/>
      </c>
      <c r="O79" s="6">
        <f>AND(D79&gt;0,B79&lt;=COB_CA!$B$20)</f>
        <v/>
      </c>
    </row>
    <row r="80">
      <c r="A80" s="6" t="n">
        <v>76</v>
      </c>
      <c r="B80" s="15">
        <f>IF(COB_CA!$B$38=12,DATE(YEAR(COB_CA!$B$19)+INT((MONTH(COB_CA!$B$19)-1+75)/12),MOD(MONTH(COB_CA!$B$19)-1+75,12)+1,1)+(DAY(COB_CA!$B$19)-1),IF(COB_CA!$B$38=24,COB_CA!$B$19+ROUND((75*365.25)/24,0),IF(COB_CA!$B$38=26,COB_CA!$B$19+1050,COB_CA!$B$19+525)))</f>
        <v/>
      </c>
      <c r="C80" s="12">
        <f>B80-B79</f>
        <v/>
      </c>
      <c r="D80" s="14">
        <f>N79</f>
        <v/>
      </c>
      <c r="E80" s="14">
        <f>D80*COB_CA!$B$40/100*(IF(YEAR(B79)=YEAR(B80),(B80-B79)/IF(AND(MOD(YEAR(B80),4)=0,OR(MOD(YEAR(B80),100)&lt;&gt;0,MOD(YEAR(B80),400)=0)),366,365),(((DATE(YEAR(B79)+1,1,1)))-B79)/IF(AND(MOD(YEAR(B79),4)=0,OR(MOD(YEAR(B79),100)&lt;&gt;0,MOD(YEAR(B79),400)=0)),366,365)+(B80-((DATE(YEAR(B79)+1,1,1))))/IF(AND(MOD(YEAR(B80),4)=0,OR(MOD(YEAR(B80),100)&lt;&gt;0,MOD(YEAR(B80),400)=0)),366,365)))</f>
        <v/>
      </c>
      <c r="F80" s="14">
        <f>L79</f>
        <v/>
      </c>
      <c r="G80" s="14">
        <f>M79</f>
        <v/>
      </c>
      <c r="H80" s="14">
        <f>IF((((COB_CA!$B$18-I80)-J80)&gt;D80),I80+J80+K80,COB_CA!$B$18)</f>
        <v/>
      </c>
      <c r="I80" s="14">
        <f>MIN(COB_CA!$B$18,(E80+F80))</f>
        <v/>
      </c>
      <c r="J80" s="14">
        <f>MIN((COB_CA!$B$18-I80),G80)</f>
        <v/>
      </c>
      <c r="K80" s="14">
        <f>MIN(((COB_CA!$B$18-I80)-J80),D80)</f>
        <v/>
      </c>
      <c r="L80" s="14">
        <f>E80+F80-I80</f>
        <v/>
      </c>
      <c r="M80" s="14">
        <f>G80-J80</f>
        <v/>
      </c>
      <c r="N80" s="14">
        <f>D80-K80</f>
        <v/>
      </c>
      <c r="O80" s="6">
        <f>AND(D80&gt;0,B80&lt;=COB_CA!$B$20)</f>
        <v/>
      </c>
    </row>
    <row r="81">
      <c r="A81" s="6" t="n">
        <v>77</v>
      </c>
      <c r="B81" s="15">
        <f>IF(COB_CA!$B$38=12,DATE(YEAR(COB_CA!$B$19)+INT((MONTH(COB_CA!$B$19)-1+76)/12),MOD(MONTH(COB_CA!$B$19)-1+76,12)+1,1)+(DAY(COB_CA!$B$19)-1),IF(COB_CA!$B$38=24,COB_CA!$B$19+ROUND((76*365.25)/24,0),IF(COB_CA!$B$38=26,COB_CA!$B$19+1064,COB_CA!$B$19+532)))</f>
        <v/>
      </c>
      <c r="C81" s="12">
        <f>B81-B80</f>
        <v/>
      </c>
      <c r="D81" s="14">
        <f>N80</f>
        <v/>
      </c>
      <c r="E81" s="14">
        <f>D81*COB_CA!$B$40/100*(IF(YEAR(B80)=YEAR(B81),(B81-B80)/IF(AND(MOD(YEAR(B81),4)=0,OR(MOD(YEAR(B81),100)&lt;&gt;0,MOD(YEAR(B81),400)=0)),366,365),(((DATE(YEAR(B80)+1,1,1)))-B80)/IF(AND(MOD(YEAR(B80),4)=0,OR(MOD(YEAR(B80),100)&lt;&gt;0,MOD(YEAR(B80),400)=0)),366,365)+(B81-((DATE(YEAR(B80)+1,1,1))))/IF(AND(MOD(YEAR(B81),4)=0,OR(MOD(YEAR(B81),100)&lt;&gt;0,MOD(YEAR(B81),400)=0)),366,365)))</f>
        <v/>
      </c>
      <c r="F81" s="14">
        <f>L80</f>
        <v/>
      </c>
      <c r="G81" s="14">
        <f>M80</f>
        <v/>
      </c>
      <c r="H81" s="14">
        <f>IF((((COB_CA!$B$18-I81)-J81)&gt;D81),I81+J81+K81,COB_CA!$B$18)</f>
        <v/>
      </c>
      <c r="I81" s="14">
        <f>MIN(COB_CA!$B$18,(E81+F81))</f>
        <v/>
      </c>
      <c r="J81" s="14">
        <f>MIN((COB_CA!$B$18-I81),G81)</f>
        <v/>
      </c>
      <c r="K81" s="14">
        <f>MIN(((COB_CA!$B$18-I81)-J81),D81)</f>
        <v/>
      </c>
      <c r="L81" s="14">
        <f>E81+F81-I81</f>
        <v/>
      </c>
      <c r="M81" s="14">
        <f>G81-J81</f>
        <v/>
      </c>
      <c r="N81" s="14">
        <f>D81-K81</f>
        <v/>
      </c>
      <c r="O81" s="6">
        <f>AND(D81&gt;0,B81&lt;=COB_CA!$B$20)</f>
        <v/>
      </c>
    </row>
    <row r="82">
      <c r="A82" s="6" t="n">
        <v>78</v>
      </c>
      <c r="B82" s="15">
        <f>IF(COB_CA!$B$38=12,DATE(YEAR(COB_CA!$B$19)+INT((MONTH(COB_CA!$B$19)-1+77)/12),MOD(MONTH(COB_CA!$B$19)-1+77,12)+1,1)+(DAY(COB_CA!$B$19)-1),IF(COB_CA!$B$38=24,COB_CA!$B$19+ROUND((77*365.25)/24,0),IF(COB_CA!$B$38=26,COB_CA!$B$19+1078,COB_CA!$B$19+539)))</f>
        <v/>
      </c>
      <c r="C82" s="12">
        <f>B82-B81</f>
        <v/>
      </c>
      <c r="D82" s="14">
        <f>N81</f>
        <v/>
      </c>
      <c r="E82" s="14">
        <f>D82*COB_CA!$B$40/100*(IF(YEAR(B81)=YEAR(B82),(B82-B81)/IF(AND(MOD(YEAR(B82),4)=0,OR(MOD(YEAR(B82),100)&lt;&gt;0,MOD(YEAR(B82),400)=0)),366,365),(((DATE(YEAR(B81)+1,1,1)))-B81)/IF(AND(MOD(YEAR(B81),4)=0,OR(MOD(YEAR(B81),100)&lt;&gt;0,MOD(YEAR(B81),400)=0)),366,365)+(B82-((DATE(YEAR(B81)+1,1,1))))/IF(AND(MOD(YEAR(B82),4)=0,OR(MOD(YEAR(B82),100)&lt;&gt;0,MOD(YEAR(B82),400)=0)),366,365)))</f>
        <v/>
      </c>
      <c r="F82" s="14">
        <f>L81</f>
        <v/>
      </c>
      <c r="G82" s="14">
        <f>M81</f>
        <v/>
      </c>
      <c r="H82" s="14">
        <f>IF((((COB_CA!$B$18-I82)-J82)&gt;D82),I82+J82+K82,COB_CA!$B$18)</f>
        <v/>
      </c>
      <c r="I82" s="14">
        <f>MIN(COB_CA!$B$18,(E82+F82))</f>
        <v/>
      </c>
      <c r="J82" s="14">
        <f>MIN((COB_CA!$B$18-I82),G82)</f>
        <v/>
      </c>
      <c r="K82" s="14">
        <f>MIN(((COB_CA!$B$18-I82)-J82),D82)</f>
        <v/>
      </c>
      <c r="L82" s="14">
        <f>E82+F82-I82</f>
        <v/>
      </c>
      <c r="M82" s="14">
        <f>G82-J82</f>
        <v/>
      </c>
      <c r="N82" s="14">
        <f>D82-K82</f>
        <v/>
      </c>
      <c r="O82" s="6">
        <f>AND(D82&gt;0,B82&lt;=COB_CA!$B$20)</f>
        <v/>
      </c>
    </row>
    <row r="83">
      <c r="A83" s="6" t="n">
        <v>79</v>
      </c>
      <c r="B83" s="15">
        <f>IF(COB_CA!$B$38=12,DATE(YEAR(COB_CA!$B$19)+INT((MONTH(COB_CA!$B$19)-1+78)/12),MOD(MONTH(COB_CA!$B$19)-1+78,12)+1,1)+(DAY(COB_CA!$B$19)-1),IF(COB_CA!$B$38=24,COB_CA!$B$19+ROUND((78*365.25)/24,0),IF(COB_CA!$B$38=26,COB_CA!$B$19+1092,COB_CA!$B$19+546)))</f>
        <v/>
      </c>
      <c r="C83" s="12">
        <f>B83-B82</f>
        <v/>
      </c>
      <c r="D83" s="14">
        <f>N82</f>
        <v/>
      </c>
      <c r="E83" s="14">
        <f>D83*COB_CA!$B$40/100*(IF(YEAR(B82)=YEAR(B83),(B83-B82)/IF(AND(MOD(YEAR(B83),4)=0,OR(MOD(YEAR(B83),100)&lt;&gt;0,MOD(YEAR(B83),400)=0)),366,365),(((DATE(YEAR(B82)+1,1,1)))-B82)/IF(AND(MOD(YEAR(B82),4)=0,OR(MOD(YEAR(B82),100)&lt;&gt;0,MOD(YEAR(B82),400)=0)),366,365)+(B83-((DATE(YEAR(B82)+1,1,1))))/IF(AND(MOD(YEAR(B83),4)=0,OR(MOD(YEAR(B83),100)&lt;&gt;0,MOD(YEAR(B83),400)=0)),366,365)))</f>
        <v/>
      </c>
      <c r="F83" s="14">
        <f>L82</f>
        <v/>
      </c>
      <c r="G83" s="14">
        <f>M82</f>
        <v/>
      </c>
      <c r="H83" s="14">
        <f>IF((((COB_CA!$B$18-I83)-J83)&gt;D83),I83+J83+K83,COB_CA!$B$18)</f>
        <v/>
      </c>
      <c r="I83" s="14">
        <f>MIN(COB_CA!$B$18,(E83+F83))</f>
        <v/>
      </c>
      <c r="J83" s="14">
        <f>MIN((COB_CA!$B$18-I83),G83)</f>
        <v/>
      </c>
      <c r="K83" s="14">
        <f>MIN(((COB_CA!$B$18-I83)-J83),D83)</f>
        <v/>
      </c>
      <c r="L83" s="14">
        <f>E83+F83-I83</f>
        <v/>
      </c>
      <c r="M83" s="14">
        <f>G83-J83</f>
        <v/>
      </c>
      <c r="N83" s="14">
        <f>D83-K83</f>
        <v/>
      </c>
      <c r="O83" s="6">
        <f>AND(D83&gt;0,B83&lt;=COB_CA!$B$20)</f>
        <v/>
      </c>
    </row>
    <row r="84">
      <c r="A84" s="6" t="n">
        <v>80</v>
      </c>
      <c r="B84" s="15">
        <f>IF(COB_CA!$B$38=12,DATE(YEAR(COB_CA!$B$19)+INT((MONTH(COB_CA!$B$19)-1+79)/12),MOD(MONTH(COB_CA!$B$19)-1+79,12)+1,1)+(DAY(COB_CA!$B$19)-1),IF(COB_CA!$B$38=24,COB_CA!$B$19+ROUND((79*365.25)/24,0),IF(COB_CA!$B$38=26,COB_CA!$B$19+1106,COB_CA!$B$19+553)))</f>
        <v/>
      </c>
      <c r="C84" s="12">
        <f>B84-B83</f>
        <v/>
      </c>
      <c r="D84" s="14">
        <f>N83</f>
        <v/>
      </c>
      <c r="E84" s="14">
        <f>D84*COB_CA!$B$40/100*(IF(YEAR(B83)=YEAR(B84),(B84-B83)/IF(AND(MOD(YEAR(B84),4)=0,OR(MOD(YEAR(B84),100)&lt;&gt;0,MOD(YEAR(B84),400)=0)),366,365),(((DATE(YEAR(B83)+1,1,1)))-B83)/IF(AND(MOD(YEAR(B83),4)=0,OR(MOD(YEAR(B83),100)&lt;&gt;0,MOD(YEAR(B83),400)=0)),366,365)+(B84-((DATE(YEAR(B83)+1,1,1))))/IF(AND(MOD(YEAR(B84),4)=0,OR(MOD(YEAR(B84),100)&lt;&gt;0,MOD(YEAR(B84),400)=0)),366,365)))</f>
        <v/>
      </c>
      <c r="F84" s="14">
        <f>L83</f>
        <v/>
      </c>
      <c r="G84" s="14">
        <f>M83</f>
        <v/>
      </c>
      <c r="H84" s="14">
        <f>IF((((COB_CA!$B$18-I84)-J84)&gt;D84),I84+J84+K84,COB_CA!$B$18)</f>
        <v/>
      </c>
      <c r="I84" s="14">
        <f>MIN(COB_CA!$B$18,(E84+F84))</f>
        <v/>
      </c>
      <c r="J84" s="14">
        <f>MIN((COB_CA!$B$18-I84),G84)</f>
        <v/>
      </c>
      <c r="K84" s="14">
        <f>MIN(((COB_CA!$B$18-I84)-J84),D84)</f>
        <v/>
      </c>
      <c r="L84" s="14">
        <f>E84+F84-I84</f>
        <v/>
      </c>
      <c r="M84" s="14">
        <f>G84-J84</f>
        <v/>
      </c>
      <c r="N84" s="14">
        <f>D84-K84</f>
        <v/>
      </c>
      <c r="O84" s="6">
        <f>AND(D84&gt;0,B84&lt;=COB_CA!$B$20)</f>
        <v/>
      </c>
    </row>
    <row r="85">
      <c r="A85" s="6" t="n">
        <v>81</v>
      </c>
      <c r="B85" s="15">
        <f>IF(COB_CA!$B$38=12,DATE(YEAR(COB_CA!$B$19)+INT((MONTH(COB_CA!$B$19)-1+80)/12),MOD(MONTH(COB_CA!$B$19)-1+80,12)+1,1)+(DAY(COB_CA!$B$19)-1),IF(COB_CA!$B$38=24,COB_CA!$B$19+ROUND((80*365.25)/24,0),IF(COB_CA!$B$38=26,COB_CA!$B$19+1120,COB_CA!$B$19+560)))</f>
        <v/>
      </c>
      <c r="C85" s="12">
        <f>B85-B84</f>
        <v/>
      </c>
      <c r="D85" s="14">
        <f>N84</f>
        <v/>
      </c>
      <c r="E85" s="14">
        <f>D85*COB_CA!$B$40/100*(IF(YEAR(B84)=YEAR(B85),(B85-B84)/IF(AND(MOD(YEAR(B85),4)=0,OR(MOD(YEAR(B85),100)&lt;&gt;0,MOD(YEAR(B85),400)=0)),366,365),(((DATE(YEAR(B84)+1,1,1)))-B84)/IF(AND(MOD(YEAR(B84),4)=0,OR(MOD(YEAR(B84),100)&lt;&gt;0,MOD(YEAR(B84),400)=0)),366,365)+(B85-((DATE(YEAR(B84)+1,1,1))))/IF(AND(MOD(YEAR(B85),4)=0,OR(MOD(YEAR(B85),100)&lt;&gt;0,MOD(YEAR(B85),400)=0)),366,365)))</f>
        <v/>
      </c>
      <c r="F85" s="14">
        <f>L84</f>
        <v/>
      </c>
      <c r="G85" s="14">
        <f>M84</f>
        <v/>
      </c>
      <c r="H85" s="14">
        <f>IF((((COB_CA!$B$18-I85)-J85)&gt;D85),I85+J85+K85,COB_CA!$B$18)</f>
        <v/>
      </c>
      <c r="I85" s="14">
        <f>MIN(COB_CA!$B$18,(E85+F85))</f>
        <v/>
      </c>
      <c r="J85" s="14">
        <f>MIN((COB_CA!$B$18-I85),G85)</f>
        <v/>
      </c>
      <c r="K85" s="14">
        <f>MIN(((COB_CA!$B$18-I85)-J85),D85)</f>
        <v/>
      </c>
      <c r="L85" s="14">
        <f>E85+F85-I85</f>
        <v/>
      </c>
      <c r="M85" s="14">
        <f>G85-J85</f>
        <v/>
      </c>
      <c r="N85" s="14">
        <f>D85-K85</f>
        <v/>
      </c>
      <c r="O85" s="6">
        <f>AND(D85&gt;0,B85&lt;=COB_CA!$B$20)</f>
        <v/>
      </c>
    </row>
    <row r="86">
      <c r="A86" s="6" t="n">
        <v>82</v>
      </c>
      <c r="B86" s="15">
        <f>IF(COB_CA!$B$38=12,DATE(YEAR(COB_CA!$B$19)+INT((MONTH(COB_CA!$B$19)-1+81)/12),MOD(MONTH(COB_CA!$B$19)-1+81,12)+1,1)+(DAY(COB_CA!$B$19)-1),IF(COB_CA!$B$38=24,COB_CA!$B$19+ROUND((81*365.25)/24,0),IF(COB_CA!$B$38=26,COB_CA!$B$19+1134,COB_CA!$B$19+567)))</f>
        <v/>
      </c>
      <c r="C86" s="12">
        <f>B86-B85</f>
        <v/>
      </c>
      <c r="D86" s="14">
        <f>N85</f>
        <v/>
      </c>
      <c r="E86" s="14">
        <f>D86*COB_CA!$B$40/100*(IF(YEAR(B85)=YEAR(B86),(B86-B85)/IF(AND(MOD(YEAR(B86),4)=0,OR(MOD(YEAR(B86),100)&lt;&gt;0,MOD(YEAR(B86),400)=0)),366,365),(((DATE(YEAR(B85)+1,1,1)))-B85)/IF(AND(MOD(YEAR(B85),4)=0,OR(MOD(YEAR(B85),100)&lt;&gt;0,MOD(YEAR(B85),400)=0)),366,365)+(B86-((DATE(YEAR(B85)+1,1,1))))/IF(AND(MOD(YEAR(B86),4)=0,OR(MOD(YEAR(B86),100)&lt;&gt;0,MOD(YEAR(B86),400)=0)),366,365)))</f>
        <v/>
      </c>
      <c r="F86" s="14">
        <f>L85</f>
        <v/>
      </c>
      <c r="G86" s="14">
        <f>M85</f>
        <v/>
      </c>
      <c r="H86" s="14">
        <f>IF((((COB_CA!$B$18-I86)-J86)&gt;D86),I86+J86+K86,COB_CA!$B$18)</f>
        <v/>
      </c>
      <c r="I86" s="14">
        <f>MIN(COB_CA!$B$18,(E86+F86))</f>
        <v/>
      </c>
      <c r="J86" s="14">
        <f>MIN((COB_CA!$B$18-I86),G86)</f>
        <v/>
      </c>
      <c r="K86" s="14">
        <f>MIN(((COB_CA!$B$18-I86)-J86),D86)</f>
        <v/>
      </c>
      <c r="L86" s="14">
        <f>E86+F86-I86</f>
        <v/>
      </c>
      <c r="M86" s="14">
        <f>G86-J86</f>
        <v/>
      </c>
      <c r="N86" s="14">
        <f>D86-K86</f>
        <v/>
      </c>
      <c r="O86" s="6">
        <f>AND(D86&gt;0,B86&lt;=COB_CA!$B$20)</f>
        <v/>
      </c>
    </row>
    <row r="87">
      <c r="A87" s="6" t="n">
        <v>83</v>
      </c>
      <c r="B87" s="15">
        <f>IF(COB_CA!$B$38=12,DATE(YEAR(COB_CA!$B$19)+INT((MONTH(COB_CA!$B$19)-1+82)/12),MOD(MONTH(COB_CA!$B$19)-1+82,12)+1,1)+(DAY(COB_CA!$B$19)-1),IF(COB_CA!$B$38=24,COB_CA!$B$19+ROUND((82*365.25)/24,0),IF(COB_CA!$B$38=26,COB_CA!$B$19+1148,COB_CA!$B$19+574)))</f>
        <v/>
      </c>
      <c r="C87" s="12">
        <f>B87-B86</f>
        <v/>
      </c>
      <c r="D87" s="14">
        <f>N86</f>
        <v/>
      </c>
      <c r="E87" s="14">
        <f>D87*COB_CA!$B$40/100*(IF(YEAR(B86)=YEAR(B87),(B87-B86)/IF(AND(MOD(YEAR(B87),4)=0,OR(MOD(YEAR(B87),100)&lt;&gt;0,MOD(YEAR(B87),400)=0)),366,365),(((DATE(YEAR(B86)+1,1,1)))-B86)/IF(AND(MOD(YEAR(B86),4)=0,OR(MOD(YEAR(B86),100)&lt;&gt;0,MOD(YEAR(B86),400)=0)),366,365)+(B87-((DATE(YEAR(B86)+1,1,1))))/IF(AND(MOD(YEAR(B87),4)=0,OR(MOD(YEAR(B87),100)&lt;&gt;0,MOD(YEAR(B87),400)=0)),366,365)))</f>
        <v/>
      </c>
      <c r="F87" s="14">
        <f>L86</f>
        <v/>
      </c>
      <c r="G87" s="14">
        <f>M86</f>
        <v/>
      </c>
      <c r="H87" s="14">
        <f>IF((((COB_CA!$B$18-I87)-J87)&gt;D87),I87+J87+K87,COB_CA!$B$18)</f>
        <v/>
      </c>
      <c r="I87" s="14">
        <f>MIN(COB_CA!$B$18,(E87+F87))</f>
        <v/>
      </c>
      <c r="J87" s="14">
        <f>MIN((COB_CA!$B$18-I87),G87)</f>
        <v/>
      </c>
      <c r="K87" s="14">
        <f>MIN(((COB_CA!$B$18-I87)-J87),D87)</f>
        <v/>
      </c>
      <c r="L87" s="14">
        <f>E87+F87-I87</f>
        <v/>
      </c>
      <c r="M87" s="14">
        <f>G87-J87</f>
        <v/>
      </c>
      <c r="N87" s="14">
        <f>D87-K87</f>
        <v/>
      </c>
      <c r="O87" s="6">
        <f>AND(D87&gt;0,B87&lt;=COB_CA!$B$20)</f>
        <v/>
      </c>
    </row>
    <row r="88">
      <c r="A88" s="6" t="n">
        <v>84</v>
      </c>
      <c r="B88" s="15">
        <f>IF(COB_CA!$B$38=12,DATE(YEAR(COB_CA!$B$19)+INT((MONTH(COB_CA!$B$19)-1+83)/12),MOD(MONTH(COB_CA!$B$19)-1+83,12)+1,1)+(DAY(COB_CA!$B$19)-1),IF(COB_CA!$B$38=24,COB_CA!$B$19+ROUND((83*365.25)/24,0),IF(COB_CA!$B$38=26,COB_CA!$B$19+1162,COB_CA!$B$19+581)))</f>
        <v/>
      </c>
      <c r="C88" s="12">
        <f>B88-B87</f>
        <v/>
      </c>
      <c r="D88" s="14">
        <f>N87</f>
        <v/>
      </c>
      <c r="E88" s="14">
        <f>D88*COB_CA!$B$40/100*(IF(YEAR(B87)=YEAR(B88),(B88-B87)/IF(AND(MOD(YEAR(B88),4)=0,OR(MOD(YEAR(B88),100)&lt;&gt;0,MOD(YEAR(B88),400)=0)),366,365),(((DATE(YEAR(B87)+1,1,1)))-B87)/IF(AND(MOD(YEAR(B87),4)=0,OR(MOD(YEAR(B87),100)&lt;&gt;0,MOD(YEAR(B87),400)=0)),366,365)+(B88-((DATE(YEAR(B87)+1,1,1))))/IF(AND(MOD(YEAR(B88),4)=0,OR(MOD(YEAR(B88),100)&lt;&gt;0,MOD(YEAR(B88),400)=0)),366,365)))</f>
        <v/>
      </c>
      <c r="F88" s="14">
        <f>L87</f>
        <v/>
      </c>
      <c r="G88" s="14">
        <f>M87</f>
        <v/>
      </c>
      <c r="H88" s="14">
        <f>IF((((COB_CA!$B$18-I88)-J88)&gt;D88),I88+J88+K88,COB_CA!$B$18)</f>
        <v/>
      </c>
      <c r="I88" s="14">
        <f>MIN(COB_CA!$B$18,(E88+F88))</f>
        <v/>
      </c>
      <c r="J88" s="14">
        <f>MIN((COB_CA!$B$18-I88),G88)</f>
        <v/>
      </c>
      <c r="K88" s="14">
        <f>MIN(((COB_CA!$B$18-I88)-J88),D88)</f>
        <v/>
      </c>
      <c r="L88" s="14">
        <f>E88+F88-I88</f>
        <v/>
      </c>
      <c r="M88" s="14">
        <f>G88-J88</f>
        <v/>
      </c>
      <c r="N88" s="14">
        <f>D88-K88</f>
        <v/>
      </c>
      <c r="O88" s="6">
        <f>AND(D88&gt;0,B88&lt;=COB_CA!$B$20)</f>
        <v/>
      </c>
    </row>
    <row r="89">
      <c r="A89" s="6" t="n">
        <v>85</v>
      </c>
      <c r="B89" s="15">
        <f>IF(COB_CA!$B$38=12,DATE(YEAR(COB_CA!$B$19)+INT((MONTH(COB_CA!$B$19)-1+84)/12),MOD(MONTH(COB_CA!$B$19)-1+84,12)+1,1)+(DAY(COB_CA!$B$19)-1),IF(COB_CA!$B$38=24,COB_CA!$B$19+ROUND((84*365.25)/24,0),IF(COB_CA!$B$38=26,COB_CA!$B$19+1176,COB_CA!$B$19+588)))</f>
        <v/>
      </c>
      <c r="C89" s="12">
        <f>B89-B88</f>
        <v/>
      </c>
      <c r="D89" s="14">
        <f>N88</f>
        <v/>
      </c>
      <c r="E89" s="14">
        <f>D89*COB_CA!$B$40/100*(IF(YEAR(B88)=YEAR(B89),(B89-B88)/IF(AND(MOD(YEAR(B89),4)=0,OR(MOD(YEAR(B89),100)&lt;&gt;0,MOD(YEAR(B89),400)=0)),366,365),(((DATE(YEAR(B88)+1,1,1)))-B88)/IF(AND(MOD(YEAR(B88),4)=0,OR(MOD(YEAR(B88),100)&lt;&gt;0,MOD(YEAR(B88),400)=0)),366,365)+(B89-((DATE(YEAR(B88)+1,1,1))))/IF(AND(MOD(YEAR(B89),4)=0,OR(MOD(YEAR(B89),100)&lt;&gt;0,MOD(YEAR(B89),400)=0)),366,365)))</f>
        <v/>
      </c>
      <c r="F89" s="14">
        <f>L88</f>
        <v/>
      </c>
      <c r="G89" s="14">
        <f>M88</f>
        <v/>
      </c>
      <c r="H89" s="14">
        <f>IF((((COB_CA!$B$18-I89)-J89)&gt;D89),I89+J89+K89,COB_CA!$B$18)</f>
        <v/>
      </c>
      <c r="I89" s="14">
        <f>MIN(COB_CA!$B$18,(E89+F89))</f>
        <v/>
      </c>
      <c r="J89" s="14">
        <f>MIN((COB_CA!$B$18-I89),G89)</f>
        <v/>
      </c>
      <c r="K89" s="14">
        <f>MIN(((COB_CA!$B$18-I89)-J89),D89)</f>
        <v/>
      </c>
      <c r="L89" s="14">
        <f>E89+F89-I89</f>
        <v/>
      </c>
      <c r="M89" s="14">
        <f>G89-J89</f>
        <v/>
      </c>
      <c r="N89" s="14">
        <f>D89-K89</f>
        <v/>
      </c>
      <c r="O89" s="6">
        <f>AND(D89&gt;0,B89&lt;=COB_CA!$B$20)</f>
        <v/>
      </c>
    </row>
    <row r="90">
      <c r="A90" s="6" t="n">
        <v>86</v>
      </c>
      <c r="B90" s="15">
        <f>IF(COB_CA!$B$38=12,DATE(YEAR(COB_CA!$B$19)+INT((MONTH(COB_CA!$B$19)-1+85)/12),MOD(MONTH(COB_CA!$B$19)-1+85,12)+1,1)+(DAY(COB_CA!$B$19)-1),IF(COB_CA!$B$38=24,COB_CA!$B$19+ROUND((85*365.25)/24,0),IF(COB_CA!$B$38=26,COB_CA!$B$19+1190,COB_CA!$B$19+595)))</f>
        <v/>
      </c>
      <c r="C90" s="12">
        <f>B90-B89</f>
        <v/>
      </c>
      <c r="D90" s="14">
        <f>N89</f>
        <v/>
      </c>
      <c r="E90" s="14">
        <f>D90*COB_CA!$B$40/100*(IF(YEAR(B89)=YEAR(B90),(B90-B89)/IF(AND(MOD(YEAR(B90),4)=0,OR(MOD(YEAR(B90),100)&lt;&gt;0,MOD(YEAR(B90),400)=0)),366,365),(((DATE(YEAR(B89)+1,1,1)))-B89)/IF(AND(MOD(YEAR(B89),4)=0,OR(MOD(YEAR(B89),100)&lt;&gt;0,MOD(YEAR(B89),400)=0)),366,365)+(B90-((DATE(YEAR(B89)+1,1,1))))/IF(AND(MOD(YEAR(B90),4)=0,OR(MOD(YEAR(B90),100)&lt;&gt;0,MOD(YEAR(B90),400)=0)),366,365)))</f>
        <v/>
      </c>
      <c r="F90" s="14">
        <f>L89</f>
        <v/>
      </c>
      <c r="G90" s="14">
        <f>M89</f>
        <v/>
      </c>
      <c r="H90" s="14">
        <f>IF((((COB_CA!$B$18-I90)-J90)&gt;D90),I90+J90+K90,COB_CA!$B$18)</f>
        <v/>
      </c>
      <c r="I90" s="14">
        <f>MIN(COB_CA!$B$18,(E90+F90))</f>
        <v/>
      </c>
      <c r="J90" s="14">
        <f>MIN((COB_CA!$B$18-I90),G90)</f>
        <v/>
      </c>
      <c r="K90" s="14">
        <f>MIN(((COB_CA!$B$18-I90)-J90),D90)</f>
        <v/>
      </c>
      <c r="L90" s="14">
        <f>E90+F90-I90</f>
        <v/>
      </c>
      <c r="M90" s="14">
        <f>G90-J90</f>
        <v/>
      </c>
      <c r="N90" s="14">
        <f>D90-K90</f>
        <v/>
      </c>
      <c r="O90" s="6">
        <f>AND(D90&gt;0,B90&lt;=COB_CA!$B$20)</f>
        <v/>
      </c>
    </row>
    <row r="91">
      <c r="A91" s="6" t="n">
        <v>87</v>
      </c>
      <c r="B91" s="15">
        <f>IF(COB_CA!$B$38=12,DATE(YEAR(COB_CA!$B$19)+INT((MONTH(COB_CA!$B$19)-1+86)/12),MOD(MONTH(COB_CA!$B$19)-1+86,12)+1,1)+(DAY(COB_CA!$B$19)-1),IF(COB_CA!$B$38=24,COB_CA!$B$19+ROUND((86*365.25)/24,0),IF(COB_CA!$B$38=26,COB_CA!$B$19+1204,COB_CA!$B$19+602)))</f>
        <v/>
      </c>
      <c r="C91" s="12">
        <f>B91-B90</f>
        <v/>
      </c>
      <c r="D91" s="14">
        <f>N90</f>
        <v/>
      </c>
      <c r="E91" s="14">
        <f>D91*COB_CA!$B$40/100*(IF(YEAR(B90)=YEAR(B91),(B91-B90)/IF(AND(MOD(YEAR(B91),4)=0,OR(MOD(YEAR(B91),100)&lt;&gt;0,MOD(YEAR(B91),400)=0)),366,365),(((DATE(YEAR(B90)+1,1,1)))-B90)/IF(AND(MOD(YEAR(B90),4)=0,OR(MOD(YEAR(B90),100)&lt;&gt;0,MOD(YEAR(B90),400)=0)),366,365)+(B91-((DATE(YEAR(B90)+1,1,1))))/IF(AND(MOD(YEAR(B91),4)=0,OR(MOD(YEAR(B91),100)&lt;&gt;0,MOD(YEAR(B91),400)=0)),366,365)))</f>
        <v/>
      </c>
      <c r="F91" s="14">
        <f>L90</f>
        <v/>
      </c>
      <c r="G91" s="14">
        <f>M90</f>
        <v/>
      </c>
      <c r="H91" s="14">
        <f>IF((((COB_CA!$B$18-I91)-J91)&gt;D91),I91+J91+K91,COB_CA!$B$18)</f>
        <v/>
      </c>
      <c r="I91" s="14">
        <f>MIN(COB_CA!$B$18,(E91+F91))</f>
        <v/>
      </c>
      <c r="J91" s="14">
        <f>MIN((COB_CA!$B$18-I91),G91)</f>
        <v/>
      </c>
      <c r="K91" s="14">
        <f>MIN(((COB_CA!$B$18-I91)-J91),D91)</f>
        <v/>
      </c>
      <c r="L91" s="14">
        <f>E91+F91-I91</f>
        <v/>
      </c>
      <c r="M91" s="14">
        <f>G91-J91</f>
        <v/>
      </c>
      <c r="N91" s="14">
        <f>D91-K91</f>
        <v/>
      </c>
      <c r="O91" s="6">
        <f>AND(D91&gt;0,B91&lt;=COB_CA!$B$20)</f>
        <v/>
      </c>
    </row>
    <row r="92">
      <c r="A92" s="6" t="n">
        <v>88</v>
      </c>
      <c r="B92" s="15">
        <f>IF(COB_CA!$B$38=12,DATE(YEAR(COB_CA!$B$19)+INT((MONTH(COB_CA!$B$19)-1+87)/12),MOD(MONTH(COB_CA!$B$19)-1+87,12)+1,1)+(DAY(COB_CA!$B$19)-1),IF(COB_CA!$B$38=24,COB_CA!$B$19+ROUND((87*365.25)/24,0),IF(COB_CA!$B$38=26,COB_CA!$B$19+1218,COB_CA!$B$19+609)))</f>
        <v/>
      </c>
      <c r="C92" s="12">
        <f>B92-B91</f>
        <v/>
      </c>
      <c r="D92" s="14">
        <f>N91</f>
        <v/>
      </c>
      <c r="E92" s="14">
        <f>D92*COB_CA!$B$40/100*(IF(YEAR(B91)=YEAR(B92),(B92-B91)/IF(AND(MOD(YEAR(B92),4)=0,OR(MOD(YEAR(B92),100)&lt;&gt;0,MOD(YEAR(B92),400)=0)),366,365),(((DATE(YEAR(B91)+1,1,1)))-B91)/IF(AND(MOD(YEAR(B91),4)=0,OR(MOD(YEAR(B91),100)&lt;&gt;0,MOD(YEAR(B91),400)=0)),366,365)+(B92-((DATE(YEAR(B91)+1,1,1))))/IF(AND(MOD(YEAR(B92),4)=0,OR(MOD(YEAR(B92),100)&lt;&gt;0,MOD(YEAR(B92),400)=0)),366,365)))</f>
        <v/>
      </c>
      <c r="F92" s="14">
        <f>L91</f>
        <v/>
      </c>
      <c r="G92" s="14">
        <f>M91</f>
        <v/>
      </c>
      <c r="H92" s="14">
        <f>IF((((COB_CA!$B$18-I92)-J92)&gt;D92),I92+J92+K92,COB_CA!$B$18)</f>
        <v/>
      </c>
      <c r="I92" s="14">
        <f>MIN(COB_CA!$B$18,(E92+F92))</f>
        <v/>
      </c>
      <c r="J92" s="14">
        <f>MIN((COB_CA!$B$18-I92),G92)</f>
        <v/>
      </c>
      <c r="K92" s="14">
        <f>MIN(((COB_CA!$B$18-I92)-J92),D92)</f>
        <v/>
      </c>
      <c r="L92" s="14">
        <f>E92+F92-I92</f>
        <v/>
      </c>
      <c r="M92" s="14">
        <f>G92-J92</f>
        <v/>
      </c>
      <c r="N92" s="14">
        <f>D92-K92</f>
        <v/>
      </c>
      <c r="O92" s="6">
        <f>AND(D92&gt;0,B92&lt;=COB_CA!$B$20)</f>
        <v/>
      </c>
    </row>
    <row r="93">
      <c r="A93" s="6" t="n">
        <v>89</v>
      </c>
      <c r="B93" s="15">
        <f>IF(COB_CA!$B$38=12,DATE(YEAR(COB_CA!$B$19)+INT((MONTH(COB_CA!$B$19)-1+88)/12),MOD(MONTH(COB_CA!$B$19)-1+88,12)+1,1)+(DAY(COB_CA!$B$19)-1),IF(COB_CA!$B$38=24,COB_CA!$B$19+ROUND((88*365.25)/24,0),IF(COB_CA!$B$38=26,COB_CA!$B$19+1232,COB_CA!$B$19+616)))</f>
        <v/>
      </c>
      <c r="C93" s="12">
        <f>B93-B92</f>
        <v/>
      </c>
      <c r="D93" s="14">
        <f>N92</f>
        <v/>
      </c>
      <c r="E93" s="14">
        <f>D93*COB_CA!$B$40/100*(IF(YEAR(B92)=YEAR(B93),(B93-B92)/IF(AND(MOD(YEAR(B93),4)=0,OR(MOD(YEAR(B93),100)&lt;&gt;0,MOD(YEAR(B93),400)=0)),366,365),(((DATE(YEAR(B92)+1,1,1)))-B92)/IF(AND(MOD(YEAR(B92),4)=0,OR(MOD(YEAR(B92),100)&lt;&gt;0,MOD(YEAR(B92),400)=0)),366,365)+(B93-((DATE(YEAR(B92)+1,1,1))))/IF(AND(MOD(YEAR(B93),4)=0,OR(MOD(YEAR(B93),100)&lt;&gt;0,MOD(YEAR(B93),400)=0)),366,365)))</f>
        <v/>
      </c>
      <c r="F93" s="14">
        <f>L92</f>
        <v/>
      </c>
      <c r="G93" s="14">
        <f>M92</f>
        <v/>
      </c>
      <c r="H93" s="14">
        <f>IF((((COB_CA!$B$18-I93)-J93)&gt;D93),I93+J93+K93,COB_CA!$B$18)</f>
        <v/>
      </c>
      <c r="I93" s="14">
        <f>MIN(COB_CA!$B$18,(E93+F93))</f>
        <v/>
      </c>
      <c r="J93" s="14">
        <f>MIN((COB_CA!$B$18-I93),G93)</f>
        <v/>
      </c>
      <c r="K93" s="14">
        <f>MIN(((COB_CA!$B$18-I93)-J93),D93)</f>
        <v/>
      </c>
      <c r="L93" s="14">
        <f>E93+F93-I93</f>
        <v/>
      </c>
      <c r="M93" s="14">
        <f>G93-J93</f>
        <v/>
      </c>
      <c r="N93" s="14">
        <f>D93-K93</f>
        <v/>
      </c>
      <c r="O93" s="6">
        <f>AND(D93&gt;0,B93&lt;=COB_CA!$B$20)</f>
        <v/>
      </c>
    </row>
    <row r="94">
      <c r="A94" s="6" t="n">
        <v>90</v>
      </c>
      <c r="B94" s="15">
        <f>IF(COB_CA!$B$38=12,DATE(YEAR(COB_CA!$B$19)+INT((MONTH(COB_CA!$B$19)-1+89)/12),MOD(MONTH(COB_CA!$B$19)-1+89,12)+1,1)+(DAY(COB_CA!$B$19)-1),IF(COB_CA!$B$38=24,COB_CA!$B$19+ROUND((89*365.25)/24,0),IF(COB_CA!$B$38=26,COB_CA!$B$19+1246,COB_CA!$B$19+623)))</f>
        <v/>
      </c>
      <c r="C94" s="12">
        <f>B94-B93</f>
        <v/>
      </c>
      <c r="D94" s="14">
        <f>N93</f>
        <v/>
      </c>
      <c r="E94" s="14">
        <f>D94*COB_CA!$B$40/100*(IF(YEAR(B93)=YEAR(B94),(B94-B93)/IF(AND(MOD(YEAR(B94),4)=0,OR(MOD(YEAR(B94),100)&lt;&gt;0,MOD(YEAR(B94),400)=0)),366,365),(((DATE(YEAR(B93)+1,1,1)))-B93)/IF(AND(MOD(YEAR(B93),4)=0,OR(MOD(YEAR(B93),100)&lt;&gt;0,MOD(YEAR(B93),400)=0)),366,365)+(B94-((DATE(YEAR(B93)+1,1,1))))/IF(AND(MOD(YEAR(B94),4)=0,OR(MOD(YEAR(B94),100)&lt;&gt;0,MOD(YEAR(B94),400)=0)),366,365)))</f>
        <v/>
      </c>
      <c r="F94" s="14">
        <f>L93</f>
        <v/>
      </c>
      <c r="G94" s="14">
        <f>M93</f>
        <v/>
      </c>
      <c r="H94" s="14">
        <f>IF((((COB_CA!$B$18-I94)-J94)&gt;D94),I94+J94+K94,COB_CA!$B$18)</f>
        <v/>
      </c>
      <c r="I94" s="14">
        <f>MIN(COB_CA!$B$18,(E94+F94))</f>
        <v/>
      </c>
      <c r="J94" s="14">
        <f>MIN((COB_CA!$B$18-I94),G94)</f>
        <v/>
      </c>
      <c r="K94" s="14">
        <f>MIN(((COB_CA!$B$18-I94)-J94),D94)</f>
        <v/>
      </c>
      <c r="L94" s="14">
        <f>E94+F94-I94</f>
        <v/>
      </c>
      <c r="M94" s="14">
        <f>G94-J94</f>
        <v/>
      </c>
      <c r="N94" s="14">
        <f>D94-K94</f>
        <v/>
      </c>
      <c r="O94" s="6">
        <f>AND(D94&gt;0,B94&lt;=COB_CA!$B$20)</f>
        <v/>
      </c>
    </row>
    <row r="95">
      <c r="A95" s="6" t="n">
        <v>91</v>
      </c>
      <c r="B95" s="15">
        <f>IF(COB_CA!$B$38=12,DATE(YEAR(COB_CA!$B$19)+INT((MONTH(COB_CA!$B$19)-1+90)/12),MOD(MONTH(COB_CA!$B$19)-1+90,12)+1,1)+(DAY(COB_CA!$B$19)-1),IF(COB_CA!$B$38=24,COB_CA!$B$19+ROUND((90*365.25)/24,0),IF(COB_CA!$B$38=26,COB_CA!$B$19+1260,COB_CA!$B$19+630)))</f>
        <v/>
      </c>
      <c r="C95" s="12">
        <f>B95-B94</f>
        <v/>
      </c>
      <c r="D95" s="14">
        <f>N94</f>
        <v/>
      </c>
      <c r="E95" s="14">
        <f>D95*COB_CA!$B$40/100*(IF(YEAR(B94)=YEAR(B95),(B95-B94)/IF(AND(MOD(YEAR(B95),4)=0,OR(MOD(YEAR(B95),100)&lt;&gt;0,MOD(YEAR(B95),400)=0)),366,365),(((DATE(YEAR(B94)+1,1,1)))-B94)/IF(AND(MOD(YEAR(B94),4)=0,OR(MOD(YEAR(B94),100)&lt;&gt;0,MOD(YEAR(B94),400)=0)),366,365)+(B95-((DATE(YEAR(B94)+1,1,1))))/IF(AND(MOD(YEAR(B95),4)=0,OR(MOD(YEAR(B95),100)&lt;&gt;0,MOD(YEAR(B95),400)=0)),366,365)))</f>
        <v/>
      </c>
      <c r="F95" s="14">
        <f>L94</f>
        <v/>
      </c>
      <c r="G95" s="14">
        <f>M94</f>
        <v/>
      </c>
      <c r="H95" s="14">
        <f>IF((((COB_CA!$B$18-I95)-J95)&gt;D95),I95+J95+K95,COB_CA!$B$18)</f>
        <v/>
      </c>
      <c r="I95" s="14">
        <f>MIN(COB_CA!$B$18,(E95+F95))</f>
        <v/>
      </c>
      <c r="J95" s="14">
        <f>MIN((COB_CA!$B$18-I95),G95)</f>
        <v/>
      </c>
      <c r="K95" s="14">
        <f>MIN(((COB_CA!$B$18-I95)-J95),D95)</f>
        <v/>
      </c>
      <c r="L95" s="14">
        <f>E95+F95-I95</f>
        <v/>
      </c>
      <c r="M95" s="14">
        <f>G95-J95</f>
        <v/>
      </c>
      <c r="N95" s="14">
        <f>D95-K95</f>
        <v/>
      </c>
      <c r="O95" s="6">
        <f>AND(D95&gt;0,B95&lt;=COB_CA!$B$20)</f>
        <v/>
      </c>
    </row>
    <row r="96">
      <c r="A96" s="6" t="n">
        <v>92</v>
      </c>
      <c r="B96" s="15">
        <f>IF(COB_CA!$B$38=12,DATE(YEAR(COB_CA!$B$19)+INT((MONTH(COB_CA!$B$19)-1+91)/12),MOD(MONTH(COB_CA!$B$19)-1+91,12)+1,1)+(DAY(COB_CA!$B$19)-1),IF(COB_CA!$B$38=24,COB_CA!$B$19+ROUND((91*365.25)/24,0),IF(COB_CA!$B$38=26,COB_CA!$B$19+1274,COB_CA!$B$19+637)))</f>
        <v/>
      </c>
      <c r="C96" s="12">
        <f>B96-B95</f>
        <v/>
      </c>
      <c r="D96" s="14">
        <f>N95</f>
        <v/>
      </c>
      <c r="E96" s="14">
        <f>D96*COB_CA!$B$40/100*(IF(YEAR(B95)=YEAR(B96),(B96-B95)/IF(AND(MOD(YEAR(B96),4)=0,OR(MOD(YEAR(B96),100)&lt;&gt;0,MOD(YEAR(B96),400)=0)),366,365),(((DATE(YEAR(B95)+1,1,1)))-B95)/IF(AND(MOD(YEAR(B95),4)=0,OR(MOD(YEAR(B95),100)&lt;&gt;0,MOD(YEAR(B95),400)=0)),366,365)+(B96-((DATE(YEAR(B95)+1,1,1))))/IF(AND(MOD(YEAR(B96),4)=0,OR(MOD(YEAR(B96),100)&lt;&gt;0,MOD(YEAR(B96),400)=0)),366,365)))</f>
        <v/>
      </c>
      <c r="F96" s="14">
        <f>L95</f>
        <v/>
      </c>
      <c r="G96" s="14">
        <f>M95</f>
        <v/>
      </c>
      <c r="H96" s="14">
        <f>IF((((COB_CA!$B$18-I96)-J96)&gt;D96),I96+J96+K96,COB_CA!$B$18)</f>
        <v/>
      </c>
      <c r="I96" s="14">
        <f>MIN(COB_CA!$B$18,(E96+F96))</f>
        <v/>
      </c>
      <c r="J96" s="14">
        <f>MIN((COB_CA!$B$18-I96),G96)</f>
        <v/>
      </c>
      <c r="K96" s="14">
        <f>MIN(((COB_CA!$B$18-I96)-J96),D96)</f>
        <v/>
      </c>
      <c r="L96" s="14">
        <f>E96+F96-I96</f>
        <v/>
      </c>
      <c r="M96" s="14">
        <f>G96-J96</f>
        <v/>
      </c>
      <c r="N96" s="14">
        <f>D96-K96</f>
        <v/>
      </c>
      <c r="O96" s="6">
        <f>AND(D96&gt;0,B96&lt;=COB_CA!$B$20)</f>
        <v/>
      </c>
    </row>
    <row r="97">
      <c r="A97" s="6" t="n">
        <v>93</v>
      </c>
      <c r="B97" s="15">
        <f>IF(COB_CA!$B$38=12,DATE(YEAR(COB_CA!$B$19)+INT((MONTH(COB_CA!$B$19)-1+92)/12),MOD(MONTH(COB_CA!$B$19)-1+92,12)+1,1)+(DAY(COB_CA!$B$19)-1),IF(COB_CA!$B$38=24,COB_CA!$B$19+ROUND((92*365.25)/24,0),IF(COB_CA!$B$38=26,COB_CA!$B$19+1288,COB_CA!$B$19+644)))</f>
        <v/>
      </c>
      <c r="C97" s="12">
        <f>B97-B96</f>
        <v/>
      </c>
      <c r="D97" s="14">
        <f>N96</f>
        <v/>
      </c>
      <c r="E97" s="14">
        <f>D97*COB_CA!$B$40/100*(IF(YEAR(B96)=YEAR(B97),(B97-B96)/IF(AND(MOD(YEAR(B97),4)=0,OR(MOD(YEAR(B97),100)&lt;&gt;0,MOD(YEAR(B97),400)=0)),366,365),(((DATE(YEAR(B96)+1,1,1)))-B96)/IF(AND(MOD(YEAR(B96),4)=0,OR(MOD(YEAR(B96),100)&lt;&gt;0,MOD(YEAR(B96),400)=0)),366,365)+(B97-((DATE(YEAR(B96)+1,1,1))))/IF(AND(MOD(YEAR(B97),4)=0,OR(MOD(YEAR(B97),100)&lt;&gt;0,MOD(YEAR(B97),400)=0)),366,365)))</f>
        <v/>
      </c>
      <c r="F97" s="14">
        <f>L96</f>
        <v/>
      </c>
      <c r="G97" s="14">
        <f>M96</f>
        <v/>
      </c>
      <c r="H97" s="14">
        <f>IF((((COB_CA!$B$18-I97)-J97)&gt;D97),I97+J97+K97,COB_CA!$B$18)</f>
        <v/>
      </c>
      <c r="I97" s="14">
        <f>MIN(COB_CA!$B$18,(E97+F97))</f>
        <v/>
      </c>
      <c r="J97" s="14">
        <f>MIN((COB_CA!$B$18-I97),G97)</f>
        <v/>
      </c>
      <c r="K97" s="14">
        <f>MIN(((COB_CA!$B$18-I97)-J97),D97)</f>
        <v/>
      </c>
      <c r="L97" s="14">
        <f>E97+F97-I97</f>
        <v/>
      </c>
      <c r="M97" s="14">
        <f>G97-J97</f>
        <v/>
      </c>
      <c r="N97" s="14">
        <f>D97-K97</f>
        <v/>
      </c>
      <c r="O97" s="6">
        <f>AND(D97&gt;0,B97&lt;=COB_CA!$B$20)</f>
        <v/>
      </c>
    </row>
    <row r="98">
      <c r="A98" s="6" t="n">
        <v>94</v>
      </c>
      <c r="B98" s="15">
        <f>IF(COB_CA!$B$38=12,DATE(YEAR(COB_CA!$B$19)+INT((MONTH(COB_CA!$B$19)-1+93)/12),MOD(MONTH(COB_CA!$B$19)-1+93,12)+1,1)+(DAY(COB_CA!$B$19)-1),IF(COB_CA!$B$38=24,COB_CA!$B$19+ROUND((93*365.25)/24,0),IF(COB_CA!$B$38=26,COB_CA!$B$19+1302,COB_CA!$B$19+651)))</f>
        <v/>
      </c>
      <c r="C98" s="12">
        <f>B98-B97</f>
        <v/>
      </c>
      <c r="D98" s="14">
        <f>N97</f>
        <v/>
      </c>
      <c r="E98" s="14">
        <f>D98*COB_CA!$B$40/100*(IF(YEAR(B97)=YEAR(B98),(B98-B97)/IF(AND(MOD(YEAR(B98),4)=0,OR(MOD(YEAR(B98),100)&lt;&gt;0,MOD(YEAR(B98),400)=0)),366,365),(((DATE(YEAR(B97)+1,1,1)))-B97)/IF(AND(MOD(YEAR(B97),4)=0,OR(MOD(YEAR(B97),100)&lt;&gt;0,MOD(YEAR(B97),400)=0)),366,365)+(B98-((DATE(YEAR(B97)+1,1,1))))/IF(AND(MOD(YEAR(B98),4)=0,OR(MOD(YEAR(B98),100)&lt;&gt;0,MOD(YEAR(B98),400)=0)),366,365)))</f>
        <v/>
      </c>
      <c r="F98" s="14">
        <f>L97</f>
        <v/>
      </c>
      <c r="G98" s="14">
        <f>M97</f>
        <v/>
      </c>
      <c r="H98" s="14">
        <f>IF((((COB_CA!$B$18-I98)-J98)&gt;D98),I98+J98+K98,COB_CA!$B$18)</f>
        <v/>
      </c>
      <c r="I98" s="14">
        <f>MIN(COB_CA!$B$18,(E98+F98))</f>
        <v/>
      </c>
      <c r="J98" s="14">
        <f>MIN((COB_CA!$B$18-I98),G98)</f>
        <v/>
      </c>
      <c r="K98" s="14">
        <f>MIN(((COB_CA!$B$18-I98)-J98),D98)</f>
        <v/>
      </c>
      <c r="L98" s="14">
        <f>E98+F98-I98</f>
        <v/>
      </c>
      <c r="M98" s="14">
        <f>G98-J98</f>
        <v/>
      </c>
      <c r="N98" s="14">
        <f>D98-K98</f>
        <v/>
      </c>
      <c r="O98" s="6">
        <f>AND(D98&gt;0,B98&lt;=COB_CA!$B$20)</f>
        <v/>
      </c>
    </row>
    <row r="99">
      <c r="A99" s="6" t="n">
        <v>95</v>
      </c>
      <c r="B99" s="15">
        <f>IF(COB_CA!$B$38=12,DATE(YEAR(COB_CA!$B$19)+INT((MONTH(COB_CA!$B$19)-1+94)/12),MOD(MONTH(COB_CA!$B$19)-1+94,12)+1,1)+(DAY(COB_CA!$B$19)-1),IF(COB_CA!$B$38=24,COB_CA!$B$19+ROUND((94*365.25)/24,0),IF(COB_CA!$B$38=26,COB_CA!$B$19+1316,COB_CA!$B$19+658)))</f>
        <v/>
      </c>
      <c r="C99" s="12">
        <f>B99-B98</f>
        <v/>
      </c>
      <c r="D99" s="14">
        <f>N98</f>
        <v/>
      </c>
      <c r="E99" s="14">
        <f>D99*COB_CA!$B$40/100*(IF(YEAR(B98)=YEAR(B99),(B99-B98)/IF(AND(MOD(YEAR(B99),4)=0,OR(MOD(YEAR(B99),100)&lt;&gt;0,MOD(YEAR(B99),400)=0)),366,365),(((DATE(YEAR(B98)+1,1,1)))-B98)/IF(AND(MOD(YEAR(B98),4)=0,OR(MOD(YEAR(B98),100)&lt;&gt;0,MOD(YEAR(B98),400)=0)),366,365)+(B99-((DATE(YEAR(B98)+1,1,1))))/IF(AND(MOD(YEAR(B99),4)=0,OR(MOD(YEAR(B99),100)&lt;&gt;0,MOD(YEAR(B99),400)=0)),366,365)))</f>
        <v/>
      </c>
      <c r="F99" s="14">
        <f>L98</f>
        <v/>
      </c>
      <c r="G99" s="14">
        <f>M98</f>
        <v/>
      </c>
      <c r="H99" s="14">
        <f>IF((((COB_CA!$B$18-I99)-J99)&gt;D99),I99+J99+K99,COB_CA!$B$18)</f>
        <v/>
      </c>
      <c r="I99" s="14">
        <f>MIN(COB_CA!$B$18,(E99+F99))</f>
        <v/>
      </c>
      <c r="J99" s="14">
        <f>MIN((COB_CA!$B$18-I99),G99)</f>
        <v/>
      </c>
      <c r="K99" s="14">
        <f>MIN(((COB_CA!$B$18-I99)-J99),D99)</f>
        <v/>
      </c>
      <c r="L99" s="14">
        <f>E99+F99-I99</f>
        <v/>
      </c>
      <c r="M99" s="14">
        <f>G99-J99</f>
        <v/>
      </c>
      <c r="N99" s="14">
        <f>D99-K99</f>
        <v/>
      </c>
      <c r="O99" s="6">
        <f>AND(D99&gt;0,B99&lt;=COB_CA!$B$20)</f>
        <v/>
      </c>
    </row>
    <row r="100">
      <c r="A100" s="6" t="n">
        <v>96</v>
      </c>
      <c r="B100" s="15">
        <f>IF(COB_CA!$B$38=12,DATE(YEAR(COB_CA!$B$19)+INT((MONTH(COB_CA!$B$19)-1+95)/12),MOD(MONTH(COB_CA!$B$19)-1+95,12)+1,1)+(DAY(COB_CA!$B$19)-1),IF(COB_CA!$B$38=24,COB_CA!$B$19+ROUND((95*365.25)/24,0),IF(COB_CA!$B$38=26,COB_CA!$B$19+1330,COB_CA!$B$19+665)))</f>
        <v/>
      </c>
      <c r="C100" s="12">
        <f>B100-B99</f>
        <v/>
      </c>
      <c r="D100" s="14">
        <f>N99</f>
        <v/>
      </c>
      <c r="E100" s="14">
        <f>D100*COB_CA!$B$40/100*(IF(YEAR(B99)=YEAR(B100),(B100-B99)/IF(AND(MOD(YEAR(B100),4)=0,OR(MOD(YEAR(B100),100)&lt;&gt;0,MOD(YEAR(B100),400)=0)),366,365),(((DATE(YEAR(B99)+1,1,1)))-B99)/IF(AND(MOD(YEAR(B99),4)=0,OR(MOD(YEAR(B99),100)&lt;&gt;0,MOD(YEAR(B99),400)=0)),366,365)+(B100-((DATE(YEAR(B99)+1,1,1))))/IF(AND(MOD(YEAR(B100),4)=0,OR(MOD(YEAR(B100),100)&lt;&gt;0,MOD(YEAR(B100),400)=0)),366,365)))</f>
        <v/>
      </c>
      <c r="F100" s="14">
        <f>L99</f>
        <v/>
      </c>
      <c r="G100" s="14">
        <f>M99</f>
        <v/>
      </c>
      <c r="H100" s="14">
        <f>IF((((COB_CA!$B$18-I100)-J100)&gt;D100),I100+J100+K100,COB_CA!$B$18)</f>
        <v/>
      </c>
      <c r="I100" s="14">
        <f>MIN(COB_CA!$B$18,(E100+F100))</f>
        <v/>
      </c>
      <c r="J100" s="14">
        <f>MIN((COB_CA!$B$18-I100),G100)</f>
        <v/>
      </c>
      <c r="K100" s="14">
        <f>MIN(((COB_CA!$B$18-I100)-J100),D100)</f>
        <v/>
      </c>
      <c r="L100" s="14">
        <f>E100+F100-I100</f>
        <v/>
      </c>
      <c r="M100" s="14">
        <f>G100-J100</f>
        <v/>
      </c>
      <c r="N100" s="14">
        <f>D100-K100</f>
        <v/>
      </c>
      <c r="O100" s="6">
        <f>AND(D100&gt;0,B100&lt;=COB_CA!$B$20)</f>
        <v/>
      </c>
    </row>
    <row r="101">
      <c r="A101" s="6" t="n">
        <v>97</v>
      </c>
      <c r="B101" s="15">
        <f>IF(COB_CA!$B$38=12,DATE(YEAR(COB_CA!$B$19)+INT((MONTH(COB_CA!$B$19)-1+96)/12),MOD(MONTH(COB_CA!$B$19)-1+96,12)+1,1)+(DAY(COB_CA!$B$19)-1),IF(COB_CA!$B$38=24,COB_CA!$B$19+ROUND((96*365.25)/24,0),IF(COB_CA!$B$38=26,COB_CA!$B$19+1344,COB_CA!$B$19+672)))</f>
        <v/>
      </c>
      <c r="C101" s="12">
        <f>B101-B100</f>
        <v/>
      </c>
      <c r="D101" s="14">
        <f>N100</f>
        <v/>
      </c>
      <c r="E101" s="14">
        <f>D101*COB_CA!$B$40/100*(IF(YEAR(B100)=YEAR(B101),(B101-B100)/IF(AND(MOD(YEAR(B101),4)=0,OR(MOD(YEAR(B101),100)&lt;&gt;0,MOD(YEAR(B101),400)=0)),366,365),(((DATE(YEAR(B100)+1,1,1)))-B100)/IF(AND(MOD(YEAR(B100),4)=0,OR(MOD(YEAR(B100),100)&lt;&gt;0,MOD(YEAR(B100),400)=0)),366,365)+(B101-((DATE(YEAR(B100)+1,1,1))))/IF(AND(MOD(YEAR(B101),4)=0,OR(MOD(YEAR(B101),100)&lt;&gt;0,MOD(YEAR(B101),400)=0)),366,365)))</f>
        <v/>
      </c>
      <c r="F101" s="14">
        <f>L100</f>
        <v/>
      </c>
      <c r="G101" s="14">
        <f>M100</f>
        <v/>
      </c>
      <c r="H101" s="14">
        <f>IF((((COB_CA!$B$18-I101)-J101)&gt;D101),I101+J101+K101,COB_CA!$B$18)</f>
        <v/>
      </c>
      <c r="I101" s="14">
        <f>MIN(COB_CA!$B$18,(E101+F101))</f>
        <v/>
      </c>
      <c r="J101" s="14">
        <f>MIN((COB_CA!$B$18-I101),G101)</f>
        <v/>
      </c>
      <c r="K101" s="14">
        <f>MIN(((COB_CA!$B$18-I101)-J101),D101)</f>
        <v/>
      </c>
      <c r="L101" s="14">
        <f>E101+F101-I101</f>
        <v/>
      </c>
      <c r="M101" s="14">
        <f>G101-J101</f>
        <v/>
      </c>
      <c r="N101" s="14">
        <f>D101-K101</f>
        <v/>
      </c>
      <c r="O101" s="6">
        <f>AND(D101&gt;0,B101&lt;=COB_CA!$B$20)</f>
        <v/>
      </c>
    </row>
    <row r="102">
      <c r="A102" s="6" t="n">
        <v>98</v>
      </c>
      <c r="B102" s="15">
        <f>IF(COB_CA!$B$38=12,DATE(YEAR(COB_CA!$B$19)+INT((MONTH(COB_CA!$B$19)-1+97)/12),MOD(MONTH(COB_CA!$B$19)-1+97,12)+1,1)+(DAY(COB_CA!$B$19)-1),IF(COB_CA!$B$38=24,COB_CA!$B$19+ROUND((97*365.25)/24,0),IF(COB_CA!$B$38=26,COB_CA!$B$19+1358,COB_CA!$B$19+679)))</f>
        <v/>
      </c>
      <c r="C102" s="12">
        <f>B102-B101</f>
        <v/>
      </c>
      <c r="D102" s="14">
        <f>N101</f>
        <v/>
      </c>
      <c r="E102" s="14">
        <f>D102*COB_CA!$B$40/100*(IF(YEAR(B101)=YEAR(B102),(B102-B101)/IF(AND(MOD(YEAR(B102),4)=0,OR(MOD(YEAR(B102),100)&lt;&gt;0,MOD(YEAR(B102),400)=0)),366,365),(((DATE(YEAR(B101)+1,1,1)))-B101)/IF(AND(MOD(YEAR(B101),4)=0,OR(MOD(YEAR(B101),100)&lt;&gt;0,MOD(YEAR(B101),400)=0)),366,365)+(B102-((DATE(YEAR(B101)+1,1,1))))/IF(AND(MOD(YEAR(B102),4)=0,OR(MOD(YEAR(B102),100)&lt;&gt;0,MOD(YEAR(B102),400)=0)),366,365)))</f>
        <v/>
      </c>
      <c r="F102" s="14">
        <f>L101</f>
        <v/>
      </c>
      <c r="G102" s="14">
        <f>M101</f>
        <v/>
      </c>
      <c r="H102" s="14">
        <f>IF((((COB_CA!$B$18-I102)-J102)&gt;D102),I102+J102+K102,COB_CA!$B$18)</f>
        <v/>
      </c>
      <c r="I102" s="14">
        <f>MIN(COB_CA!$B$18,(E102+F102))</f>
        <v/>
      </c>
      <c r="J102" s="14">
        <f>MIN((COB_CA!$B$18-I102),G102)</f>
        <v/>
      </c>
      <c r="K102" s="14">
        <f>MIN(((COB_CA!$B$18-I102)-J102),D102)</f>
        <v/>
      </c>
      <c r="L102" s="14">
        <f>E102+F102-I102</f>
        <v/>
      </c>
      <c r="M102" s="14">
        <f>G102-J102</f>
        <v/>
      </c>
      <c r="N102" s="14">
        <f>D102-K102</f>
        <v/>
      </c>
      <c r="O102" s="6">
        <f>AND(D102&gt;0,B102&lt;=COB_CA!$B$20)</f>
        <v/>
      </c>
    </row>
    <row r="103">
      <c r="A103" s="6" t="n">
        <v>99</v>
      </c>
      <c r="B103" s="15">
        <f>IF(COB_CA!$B$38=12,DATE(YEAR(COB_CA!$B$19)+INT((MONTH(COB_CA!$B$19)-1+98)/12),MOD(MONTH(COB_CA!$B$19)-1+98,12)+1,1)+(DAY(COB_CA!$B$19)-1),IF(COB_CA!$B$38=24,COB_CA!$B$19+ROUND((98*365.25)/24,0),IF(COB_CA!$B$38=26,COB_CA!$B$19+1372,COB_CA!$B$19+686)))</f>
        <v/>
      </c>
      <c r="C103" s="12">
        <f>B103-B102</f>
        <v/>
      </c>
      <c r="D103" s="14">
        <f>N102</f>
        <v/>
      </c>
      <c r="E103" s="14">
        <f>D103*COB_CA!$B$40/100*(IF(YEAR(B102)=YEAR(B103),(B103-B102)/IF(AND(MOD(YEAR(B103),4)=0,OR(MOD(YEAR(B103),100)&lt;&gt;0,MOD(YEAR(B103),400)=0)),366,365),(((DATE(YEAR(B102)+1,1,1)))-B102)/IF(AND(MOD(YEAR(B102),4)=0,OR(MOD(YEAR(B102),100)&lt;&gt;0,MOD(YEAR(B102),400)=0)),366,365)+(B103-((DATE(YEAR(B102)+1,1,1))))/IF(AND(MOD(YEAR(B103),4)=0,OR(MOD(YEAR(B103),100)&lt;&gt;0,MOD(YEAR(B103),400)=0)),366,365)))</f>
        <v/>
      </c>
      <c r="F103" s="14">
        <f>L102</f>
        <v/>
      </c>
      <c r="G103" s="14">
        <f>M102</f>
        <v/>
      </c>
      <c r="H103" s="14">
        <f>IF((((COB_CA!$B$18-I103)-J103)&gt;D103),I103+J103+K103,COB_CA!$B$18)</f>
        <v/>
      </c>
      <c r="I103" s="14">
        <f>MIN(COB_CA!$B$18,(E103+F103))</f>
        <v/>
      </c>
      <c r="J103" s="14">
        <f>MIN((COB_CA!$B$18-I103),G103)</f>
        <v/>
      </c>
      <c r="K103" s="14">
        <f>MIN(((COB_CA!$B$18-I103)-J103),D103)</f>
        <v/>
      </c>
      <c r="L103" s="14">
        <f>E103+F103-I103</f>
        <v/>
      </c>
      <c r="M103" s="14">
        <f>G103-J103</f>
        <v/>
      </c>
      <c r="N103" s="14">
        <f>D103-K103</f>
        <v/>
      </c>
      <c r="O103" s="6">
        <f>AND(D103&gt;0,B103&lt;=COB_CA!$B$20)</f>
        <v/>
      </c>
    </row>
    <row r="104">
      <c r="A104" s="6" t="n">
        <v>100</v>
      </c>
      <c r="B104" s="15">
        <f>IF(COB_CA!$B$38=12,DATE(YEAR(COB_CA!$B$19)+INT((MONTH(COB_CA!$B$19)-1+99)/12),MOD(MONTH(COB_CA!$B$19)-1+99,12)+1,1)+(DAY(COB_CA!$B$19)-1),IF(COB_CA!$B$38=24,COB_CA!$B$19+ROUND((99*365.25)/24,0),IF(COB_CA!$B$38=26,COB_CA!$B$19+1386,COB_CA!$B$19+693)))</f>
        <v/>
      </c>
      <c r="C104" s="12">
        <f>B104-B103</f>
        <v/>
      </c>
      <c r="D104" s="14">
        <f>N103</f>
        <v/>
      </c>
      <c r="E104" s="14">
        <f>D104*COB_CA!$B$40/100*(IF(YEAR(B103)=YEAR(B104),(B104-B103)/IF(AND(MOD(YEAR(B104),4)=0,OR(MOD(YEAR(B104),100)&lt;&gt;0,MOD(YEAR(B104),400)=0)),366,365),(((DATE(YEAR(B103)+1,1,1)))-B103)/IF(AND(MOD(YEAR(B103),4)=0,OR(MOD(YEAR(B103),100)&lt;&gt;0,MOD(YEAR(B103),400)=0)),366,365)+(B104-((DATE(YEAR(B103)+1,1,1))))/IF(AND(MOD(YEAR(B104),4)=0,OR(MOD(YEAR(B104),100)&lt;&gt;0,MOD(YEAR(B104),400)=0)),366,365)))</f>
        <v/>
      </c>
      <c r="F104" s="14">
        <f>L103</f>
        <v/>
      </c>
      <c r="G104" s="14">
        <f>M103</f>
        <v/>
      </c>
      <c r="H104" s="14">
        <f>IF((((COB_CA!$B$18-I104)-J104)&gt;D104),I104+J104+K104,COB_CA!$B$18)</f>
        <v/>
      </c>
      <c r="I104" s="14">
        <f>MIN(COB_CA!$B$18,(E104+F104))</f>
        <v/>
      </c>
      <c r="J104" s="14">
        <f>MIN((COB_CA!$B$18-I104),G104)</f>
        <v/>
      </c>
      <c r="K104" s="14">
        <f>MIN(((COB_CA!$B$18-I104)-J104),D104)</f>
        <v/>
      </c>
      <c r="L104" s="14">
        <f>E104+F104-I104</f>
        <v/>
      </c>
      <c r="M104" s="14">
        <f>G104-J104</f>
        <v/>
      </c>
      <c r="N104" s="14">
        <f>D104-K104</f>
        <v/>
      </c>
      <c r="O104" s="6">
        <f>AND(D104&gt;0,B104&lt;=COB_CA!$B$20)</f>
        <v/>
      </c>
    </row>
    <row r="105">
      <c r="A105" s="6" t="n">
        <v>101</v>
      </c>
      <c r="B105" s="15">
        <f>IF(COB_CA!$B$38=12,DATE(YEAR(COB_CA!$B$19)+INT((MONTH(COB_CA!$B$19)-1+100)/12),MOD(MONTH(COB_CA!$B$19)-1+100,12)+1,1)+(DAY(COB_CA!$B$19)-1),IF(COB_CA!$B$38=24,COB_CA!$B$19+ROUND((100*365.25)/24,0),IF(COB_CA!$B$38=26,COB_CA!$B$19+1400,COB_CA!$B$19+700)))</f>
        <v/>
      </c>
      <c r="C105" s="12">
        <f>B105-B104</f>
        <v/>
      </c>
      <c r="D105" s="14">
        <f>N104</f>
        <v/>
      </c>
      <c r="E105" s="14">
        <f>D105*COB_CA!$B$40/100*(IF(YEAR(B104)=YEAR(B105),(B105-B104)/IF(AND(MOD(YEAR(B105),4)=0,OR(MOD(YEAR(B105),100)&lt;&gt;0,MOD(YEAR(B105),400)=0)),366,365),(((DATE(YEAR(B104)+1,1,1)))-B104)/IF(AND(MOD(YEAR(B104),4)=0,OR(MOD(YEAR(B104),100)&lt;&gt;0,MOD(YEAR(B104),400)=0)),366,365)+(B105-((DATE(YEAR(B104)+1,1,1))))/IF(AND(MOD(YEAR(B105),4)=0,OR(MOD(YEAR(B105),100)&lt;&gt;0,MOD(YEAR(B105),400)=0)),366,365)))</f>
        <v/>
      </c>
      <c r="F105" s="14">
        <f>L104</f>
        <v/>
      </c>
      <c r="G105" s="14">
        <f>M104</f>
        <v/>
      </c>
      <c r="H105" s="14">
        <f>IF((((COB_CA!$B$18-I105)-J105)&gt;D105),I105+J105+K105,COB_CA!$B$18)</f>
        <v/>
      </c>
      <c r="I105" s="14">
        <f>MIN(COB_CA!$B$18,(E105+F105))</f>
        <v/>
      </c>
      <c r="J105" s="14">
        <f>MIN((COB_CA!$B$18-I105),G105)</f>
        <v/>
      </c>
      <c r="K105" s="14">
        <f>MIN(((COB_CA!$B$18-I105)-J105),D105)</f>
        <v/>
      </c>
      <c r="L105" s="14">
        <f>E105+F105-I105</f>
        <v/>
      </c>
      <c r="M105" s="14">
        <f>G105-J105</f>
        <v/>
      </c>
      <c r="N105" s="14">
        <f>D105-K105</f>
        <v/>
      </c>
      <c r="O105" s="6">
        <f>AND(D105&gt;0,B105&lt;=COB_CA!$B$20)</f>
        <v/>
      </c>
    </row>
    <row r="106">
      <c r="A106" s="6" t="n">
        <v>102</v>
      </c>
      <c r="B106" s="15">
        <f>IF(COB_CA!$B$38=12,DATE(YEAR(COB_CA!$B$19)+INT((MONTH(COB_CA!$B$19)-1+101)/12),MOD(MONTH(COB_CA!$B$19)-1+101,12)+1,1)+(DAY(COB_CA!$B$19)-1),IF(COB_CA!$B$38=24,COB_CA!$B$19+ROUND((101*365.25)/24,0),IF(COB_CA!$B$38=26,COB_CA!$B$19+1414,COB_CA!$B$19+707)))</f>
        <v/>
      </c>
      <c r="C106" s="12">
        <f>B106-B105</f>
        <v/>
      </c>
      <c r="D106" s="14">
        <f>N105</f>
        <v/>
      </c>
      <c r="E106" s="14">
        <f>D106*COB_CA!$B$40/100*(IF(YEAR(B105)=YEAR(B106),(B106-B105)/IF(AND(MOD(YEAR(B106),4)=0,OR(MOD(YEAR(B106),100)&lt;&gt;0,MOD(YEAR(B106),400)=0)),366,365),(((DATE(YEAR(B105)+1,1,1)))-B105)/IF(AND(MOD(YEAR(B105),4)=0,OR(MOD(YEAR(B105),100)&lt;&gt;0,MOD(YEAR(B105),400)=0)),366,365)+(B106-((DATE(YEAR(B105)+1,1,1))))/IF(AND(MOD(YEAR(B106),4)=0,OR(MOD(YEAR(B106),100)&lt;&gt;0,MOD(YEAR(B106),400)=0)),366,365)))</f>
        <v/>
      </c>
      <c r="F106" s="14">
        <f>L105</f>
        <v/>
      </c>
      <c r="G106" s="14">
        <f>M105</f>
        <v/>
      </c>
      <c r="H106" s="14">
        <f>IF((((COB_CA!$B$18-I106)-J106)&gt;D106),I106+J106+K106,COB_CA!$B$18)</f>
        <v/>
      </c>
      <c r="I106" s="14">
        <f>MIN(COB_CA!$B$18,(E106+F106))</f>
        <v/>
      </c>
      <c r="J106" s="14">
        <f>MIN((COB_CA!$B$18-I106),G106)</f>
        <v/>
      </c>
      <c r="K106" s="14">
        <f>MIN(((COB_CA!$B$18-I106)-J106),D106)</f>
        <v/>
      </c>
      <c r="L106" s="14">
        <f>E106+F106-I106</f>
        <v/>
      </c>
      <c r="M106" s="14">
        <f>G106-J106</f>
        <v/>
      </c>
      <c r="N106" s="14">
        <f>D106-K106</f>
        <v/>
      </c>
      <c r="O106" s="6">
        <f>AND(D106&gt;0,B106&lt;=COB_CA!$B$20)</f>
        <v/>
      </c>
    </row>
    <row r="107">
      <c r="A107" s="6" t="n">
        <v>103</v>
      </c>
      <c r="B107" s="15">
        <f>IF(COB_CA!$B$38=12,DATE(YEAR(COB_CA!$B$19)+INT((MONTH(COB_CA!$B$19)-1+102)/12),MOD(MONTH(COB_CA!$B$19)-1+102,12)+1,1)+(DAY(COB_CA!$B$19)-1),IF(COB_CA!$B$38=24,COB_CA!$B$19+ROUND((102*365.25)/24,0),IF(COB_CA!$B$38=26,COB_CA!$B$19+1428,COB_CA!$B$19+714)))</f>
        <v/>
      </c>
      <c r="C107" s="12">
        <f>B107-B106</f>
        <v/>
      </c>
      <c r="D107" s="14">
        <f>N106</f>
        <v/>
      </c>
      <c r="E107" s="14">
        <f>D107*COB_CA!$B$40/100*(IF(YEAR(B106)=YEAR(B107),(B107-B106)/IF(AND(MOD(YEAR(B107),4)=0,OR(MOD(YEAR(B107),100)&lt;&gt;0,MOD(YEAR(B107),400)=0)),366,365),(((DATE(YEAR(B106)+1,1,1)))-B106)/IF(AND(MOD(YEAR(B106),4)=0,OR(MOD(YEAR(B106),100)&lt;&gt;0,MOD(YEAR(B106),400)=0)),366,365)+(B107-((DATE(YEAR(B106)+1,1,1))))/IF(AND(MOD(YEAR(B107),4)=0,OR(MOD(YEAR(B107),100)&lt;&gt;0,MOD(YEAR(B107),400)=0)),366,365)))</f>
        <v/>
      </c>
      <c r="F107" s="14">
        <f>L106</f>
        <v/>
      </c>
      <c r="G107" s="14">
        <f>M106</f>
        <v/>
      </c>
      <c r="H107" s="14">
        <f>IF((((COB_CA!$B$18-I107)-J107)&gt;D107),I107+J107+K107,COB_CA!$B$18)</f>
        <v/>
      </c>
      <c r="I107" s="14">
        <f>MIN(COB_CA!$B$18,(E107+F107))</f>
        <v/>
      </c>
      <c r="J107" s="14">
        <f>MIN((COB_CA!$B$18-I107),G107)</f>
        <v/>
      </c>
      <c r="K107" s="14">
        <f>MIN(((COB_CA!$B$18-I107)-J107),D107)</f>
        <v/>
      </c>
      <c r="L107" s="14">
        <f>E107+F107-I107</f>
        <v/>
      </c>
      <c r="M107" s="14">
        <f>G107-J107</f>
        <v/>
      </c>
      <c r="N107" s="14">
        <f>D107-K107</f>
        <v/>
      </c>
      <c r="O107" s="6">
        <f>AND(D107&gt;0,B107&lt;=COB_CA!$B$20)</f>
        <v/>
      </c>
    </row>
    <row r="108">
      <c r="A108" s="6" t="n">
        <v>104</v>
      </c>
      <c r="B108" s="15">
        <f>IF(COB_CA!$B$38=12,DATE(YEAR(COB_CA!$B$19)+INT((MONTH(COB_CA!$B$19)-1+103)/12),MOD(MONTH(COB_CA!$B$19)-1+103,12)+1,1)+(DAY(COB_CA!$B$19)-1),IF(COB_CA!$B$38=24,COB_CA!$B$19+ROUND((103*365.25)/24,0),IF(COB_CA!$B$38=26,COB_CA!$B$19+1442,COB_CA!$B$19+721)))</f>
        <v/>
      </c>
      <c r="C108" s="12">
        <f>B108-B107</f>
        <v/>
      </c>
      <c r="D108" s="14">
        <f>N107</f>
        <v/>
      </c>
      <c r="E108" s="14">
        <f>D108*COB_CA!$B$40/100*(IF(YEAR(B107)=YEAR(B108),(B108-B107)/IF(AND(MOD(YEAR(B108),4)=0,OR(MOD(YEAR(B108),100)&lt;&gt;0,MOD(YEAR(B108),400)=0)),366,365),(((DATE(YEAR(B107)+1,1,1)))-B107)/IF(AND(MOD(YEAR(B107),4)=0,OR(MOD(YEAR(B107),100)&lt;&gt;0,MOD(YEAR(B107),400)=0)),366,365)+(B108-((DATE(YEAR(B107)+1,1,1))))/IF(AND(MOD(YEAR(B108),4)=0,OR(MOD(YEAR(B108),100)&lt;&gt;0,MOD(YEAR(B108),400)=0)),366,365)))</f>
        <v/>
      </c>
      <c r="F108" s="14">
        <f>L107</f>
        <v/>
      </c>
      <c r="G108" s="14">
        <f>M107</f>
        <v/>
      </c>
      <c r="H108" s="14">
        <f>IF((((COB_CA!$B$18-I108)-J108)&gt;D108),I108+J108+K108,COB_CA!$B$18)</f>
        <v/>
      </c>
      <c r="I108" s="14">
        <f>MIN(COB_CA!$B$18,(E108+F108))</f>
        <v/>
      </c>
      <c r="J108" s="14">
        <f>MIN((COB_CA!$B$18-I108),G108)</f>
        <v/>
      </c>
      <c r="K108" s="14">
        <f>MIN(((COB_CA!$B$18-I108)-J108),D108)</f>
        <v/>
      </c>
      <c r="L108" s="14">
        <f>E108+F108-I108</f>
        <v/>
      </c>
      <c r="M108" s="14">
        <f>G108-J108</f>
        <v/>
      </c>
      <c r="N108" s="14">
        <f>D108-K108</f>
        <v/>
      </c>
      <c r="O108" s="6">
        <f>AND(D108&gt;0,B108&lt;=COB_CA!$B$20)</f>
        <v/>
      </c>
    </row>
    <row r="109">
      <c r="A109" s="6" t="n">
        <v>105</v>
      </c>
      <c r="B109" s="15">
        <f>IF(COB_CA!$B$38=12,DATE(YEAR(COB_CA!$B$19)+INT((MONTH(COB_CA!$B$19)-1+104)/12),MOD(MONTH(COB_CA!$B$19)-1+104,12)+1,1)+(DAY(COB_CA!$B$19)-1),IF(COB_CA!$B$38=24,COB_CA!$B$19+ROUND((104*365.25)/24,0),IF(COB_CA!$B$38=26,COB_CA!$B$19+1456,COB_CA!$B$19+728)))</f>
        <v/>
      </c>
      <c r="C109" s="12">
        <f>B109-B108</f>
        <v/>
      </c>
      <c r="D109" s="14">
        <f>N108</f>
        <v/>
      </c>
      <c r="E109" s="14">
        <f>D109*COB_CA!$B$40/100*(IF(YEAR(B108)=YEAR(B109),(B109-B108)/IF(AND(MOD(YEAR(B109),4)=0,OR(MOD(YEAR(B109),100)&lt;&gt;0,MOD(YEAR(B109),400)=0)),366,365),(((DATE(YEAR(B108)+1,1,1)))-B108)/IF(AND(MOD(YEAR(B108),4)=0,OR(MOD(YEAR(B108),100)&lt;&gt;0,MOD(YEAR(B108),400)=0)),366,365)+(B109-((DATE(YEAR(B108)+1,1,1))))/IF(AND(MOD(YEAR(B109),4)=0,OR(MOD(YEAR(B109),100)&lt;&gt;0,MOD(YEAR(B109),400)=0)),366,365)))</f>
        <v/>
      </c>
      <c r="F109" s="14">
        <f>L108</f>
        <v/>
      </c>
      <c r="G109" s="14">
        <f>M108</f>
        <v/>
      </c>
      <c r="H109" s="14">
        <f>IF((((COB_CA!$B$18-I109)-J109)&gt;D109),I109+J109+K109,COB_CA!$B$18)</f>
        <v/>
      </c>
      <c r="I109" s="14">
        <f>MIN(COB_CA!$B$18,(E109+F109))</f>
        <v/>
      </c>
      <c r="J109" s="14">
        <f>MIN((COB_CA!$B$18-I109),G109)</f>
        <v/>
      </c>
      <c r="K109" s="14">
        <f>MIN(((COB_CA!$B$18-I109)-J109),D109)</f>
        <v/>
      </c>
      <c r="L109" s="14">
        <f>E109+F109-I109</f>
        <v/>
      </c>
      <c r="M109" s="14">
        <f>G109-J109</f>
        <v/>
      </c>
      <c r="N109" s="14">
        <f>D109-K109</f>
        <v/>
      </c>
      <c r="O109" s="6">
        <f>AND(D109&gt;0,B109&lt;=COB_CA!$B$20)</f>
        <v/>
      </c>
    </row>
    <row r="110">
      <c r="A110" s="6" t="n">
        <v>106</v>
      </c>
      <c r="B110" s="15">
        <f>IF(COB_CA!$B$38=12,DATE(YEAR(COB_CA!$B$19)+INT((MONTH(COB_CA!$B$19)-1+105)/12),MOD(MONTH(COB_CA!$B$19)-1+105,12)+1,1)+(DAY(COB_CA!$B$19)-1),IF(COB_CA!$B$38=24,COB_CA!$B$19+ROUND((105*365.25)/24,0),IF(COB_CA!$B$38=26,COB_CA!$B$19+1470,COB_CA!$B$19+735)))</f>
        <v/>
      </c>
      <c r="C110" s="12">
        <f>B110-B109</f>
        <v/>
      </c>
      <c r="D110" s="14">
        <f>N109</f>
        <v/>
      </c>
      <c r="E110" s="14">
        <f>D110*COB_CA!$B$40/100*(IF(YEAR(B109)=YEAR(B110),(B110-B109)/IF(AND(MOD(YEAR(B110),4)=0,OR(MOD(YEAR(B110),100)&lt;&gt;0,MOD(YEAR(B110),400)=0)),366,365),(((DATE(YEAR(B109)+1,1,1)))-B109)/IF(AND(MOD(YEAR(B109),4)=0,OR(MOD(YEAR(B109),100)&lt;&gt;0,MOD(YEAR(B109),400)=0)),366,365)+(B110-((DATE(YEAR(B109)+1,1,1))))/IF(AND(MOD(YEAR(B110),4)=0,OR(MOD(YEAR(B110),100)&lt;&gt;0,MOD(YEAR(B110),400)=0)),366,365)))</f>
        <v/>
      </c>
      <c r="F110" s="14">
        <f>L109</f>
        <v/>
      </c>
      <c r="G110" s="14">
        <f>M109</f>
        <v/>
      </c>
      <c r="H110" s="14">
        <f>IF((((COB_CA!$B$18-I110)-J110)&gt;D110),I110+J110+K110,COB_CA!$B$18)</f>
        <v/>
      </c>
      <c r="I110" s="14">
        <f>MIN(COB_CA!$B$18,(E110+F110))</f>
        <v/>
      </c>
      <c r="J110" s="14">
        <f>MIN((COB_CA!$B$18-I110),G110)</f>
        <v/>
      </c>
      <c r="K110" s="14">
        <f>MIN(((COB_CA!$B$18-I110)-J110),D110)</f>
        <v/>
      </c>
      <c r="L110" s="14">
        <f>E110+F110-I110</f>
        <v/>
      </c>
      <c r="M110" s="14">
        <f>G110-J110</f>
        <v/>
      </c>
      <c r="N110" s="14">
        <f>D110-K110</f>
        <v/>
      </c>
      <c r="O110" s="6">
        <f>AND(D110&gt;0,B110&lt;=COB_CA!$B$20)</f>
        <v/>
      </c>
    </row>
    <row r="111">
      <c r="A111" s="6" t="n">
        <v>107</v>
      </c>
      <c r="B111" s="15">
        <f>IF(COB_CA!$B$38=12,DATE(YEAR(COB_CA!$B$19)+INT((MONTH(COB_CA!$B$19)-1+106)/12),MOD(MONTH(COB_CA!$B$19)-1+106,12)+1,1)+(DAY(COB_CA!$B$19)-1),IF(COB_CA!$B$38=24,COB_CA!$B$19+ROUND((106*365.25)/24,0),IF(COB_CA!$B$38=26,COB_CA!$B$19+1484,COB_CA!$B$19+742)))</f>
        <v/>
      </c>
      <c r="C111" s="12">
        <f>B111-B110</f>
        <v/>
      </c>
      <c r="D111" s="14">
        <f>N110</f>
        <v/>
      </c>
      <c r="E111" s="14">
        <f>D111*COB_CA!$B$40/100*(IF(YEAR(B110)=YEAR(B111),(B111-B110)/IF(AND(MOD(YEAR(B111),4)=0,OR(MOD(YEAR(B111),100)&lt;&gt;0,MOD(YEAR(B111),400)=0)),366,365),(((DATE(YEAR(B110)+1,1,1)))-B110)/IF(AND(MOD(YEAR(B110),4)=0,OR(MOD(YEAR(B110),100)&lt;&gt;0,MOD(YEAR(B110),400)=0)),366,365)+(B111-((DATE(YEAR(B110)+1,1,1))))/IF(AND(MOD(YEAR(B111),4)=0,OR(MOD(YEAR(B111),100)&lt;&gt;0,MOD(YEAR(B111),400)=0)),366,365)))</f>
        <v/>
      </c>
      <c r="F111" s="14">
        <f>L110</f>
        <v/>
      </c>
      <c r="G111" s="14">
        <f>M110</f>
        <v/>
      </c>
      <c r="H111" s="14">
        <f>IF((((COB_CA!$B$18-I111)-J111)&gt;D111),I111+J111+K111,COB_CA!$B$18)</f>
        <v/>
      </c>
      <c r="I111" s="14">
        <f>MIN(COB_CA!$B$18,(E111+F111))</f>
        <v/>
      </c>
      <c r="J111" s="14">
        <f>MIN((COB_CA!$B$18-I111),G111)</f>
        <v/>
      </c>
      <c r="K111" s="14">
        <f>MIN(((COB_CA!$B$18-I111)-J111),D111)</f>
        <v/>
      </c>
      <c r="L111" s="14">
        <f>E111+F111-I111</f>
        <v/>
      </c>
      <c r="M111" s="14">
        <f>G111-J111</f>
        <v/>
      </c>
      <c r="N111" s="14">
        <f>D111-K111</f>
        <v/>
      </c>
      <c r="O111" s="6">
        <f>AND(D111&gt;0,B111&lt;=COB_CA!$B$20)</f>
        <v/>
      </c>
    </row>
    <row r="112">
      <c r="A112" s="6" t="n">
        <v>108</v>
      </c>
      <c r="B112" s="15">
        <f>IF(COB_CA!$B$38=12,DATE(YEAR(COB_CA!$B$19)+INT((MONTH(COB_CA!$B$19)-1+107)/12),MOD(MONTH(COB_CA!$B$19)-1+107,12)+1,1)+(DAY(COB_CA!$B$19)-1),IF(COB_CA!$B$38=24,COB_CA!$B$19+ROUND((107*365.25)/24,0),IF(COB_CA!$B$38=26,COB_CA!$B$19+1498,COB_CA!$B$19+749)))</f>
        <v/>
      </c>
      <c r="C112" s="12">
        <f>B112-B111</f>
        <v/>
      </c>
      <c r="D112" s="14">
        <f>N111</f>
        <v/>
      </c>
      <c r="E112" s="14">
        <f>D112*COB_CA!$B$40/100*(IF(YEAR(B111)=YEAR(B112),(B112-B111)/IF(AND(MOD(YEAR(B112),4)=0,OR(MOD(YEAR(B112),100)&lt;&gt;0,MOD(YEAR(B112),400)=0)),366,365),(((DATE(YEAR(B111)+1,1,1)))-B111)/IF(AND(MOD(YEAR(B111),4)=0,OR(MOD(YEAR(B111),100)&lt;&gt;0,MOD(YEAR(B111),400)=0)),366,365)+(B112-((DATE(YEAR(B111)+1,1,1))))/IF(AND(MOD(YEAR(B112),4)=0,OR(MOD(YEAR(B112),100)&lt;&gt;0,MOD(YEAR(B112),400)=0)),366,365)))</f>
        <v/>
      </c>
      <c r="F112" s="14">
        <f>L111</f>
        <v/>
      </c>
      <c r="G112" s="14">
        <f>M111</f>
        <v/>
      </c>
      <c r="H112" s="14">
        <f>IF((((COB_CA!$B$18-I112)-J112)&gt;D112),I112+J112+K112,COB_CA!$B$18)</f>
        <v/>
      </c>
      <c r="I112" s="14">
        <f>MIN(COB_CA!$B$18,(E112+F112))</f>
        <v/>
      </c>
      <c r="J112" s="14">
        <f>MIN((COB_CA!$B$18-I112),G112)</f>
        <v/>
      </c>
      <c r="K112" s="14">
        <f>MIN(((COB_CA!$B$18-I112)-J112),D112)</f>
        <v/>
      </c>
      <c r="L112" s="14">
        <f>E112+F112-I112</f>
        <v/>
      </c>
      <c r="M112" s="14">
        <f>G112-J112</f>
        <v/>
      </c>
      <c r="N112" s="14">
        <f>D112-K112</f>
        <v/>
      </c>
      <c r="O112" s="6">
        <f>AND(D112&gt;0,B112&lt;=COB_CA!$B$20)</f>
        <v/>
      </c>
    </row>
    <row r="113">
      <c r="A113" s="6" t="n">
        <v>109</v>
      </c>
      <c r="B113" s="15">
        <f>IF(COB_CA!$B$38=12,DATE(YEAR(COB_CA!$B$19)+INT((MONTH(COB_CA!$B$19)-1+108)/12),MOD(MONTH(COB_CA!$B$19)-1+108,12)+1,1)+(DAY(COB_CA!$B$19)-1),IF(COB_CA!$B$38=24,COB_CA!$B$19+ROUND((108*365.25)/24,0),IF(COB_CA!$B$38=26,COB_CA!$B$19+1512,COB_CA!$B$19+756)))</f>
        <v/>
      </c>
      <c r="C113" s="12">
        <f>B113-B112</f>
        <v/>
      </c>
      <c r="D113" s="14">
        <f>N112</f>
        <v/>
      </c>
      <c r="E113" s="14">
        <f>D113*COB_CA!$B$40/100*(IF(YEAR(B112)=YEAR(B113),(B113-B112)/IF(AND(MOD(YEAR(B113),4)=0,OR(MOD(YEAR(B113),100)&lt;&gt;0,MOD(YEAR(B113),400)=0)),366,365),(((DATE(YEAR(B112)+1,1,1)))-B112)/IF(AND(MOD(YEAR(B112),4)=0,OR(MOD(YEAR(B112),100)&lt;&gt;0,MOD(YEAR(B112),400)=0)),366,365)+(B113-((DATE(YEAR(B112)+1,1,1))))/IF(AND(MOD(YEAR(B113),4)=0,OR(MOD(YEAR(B113),100)&lt;&gt;0,MOD(YEAR(B113),400)=0)),366,365)))</f>
        <v/>
      </c>
      <c r="F113" s="14">
        <f>L112</f>
        <v/>
      </c>
      <c r="G113" s="14">
        <f>M112</f>
        <v/>
      </c>
      <c r="H113" s="14">
        <f>IF((((COB_CA!$B$18-I113)-J113)&gt;D113),I113+J113+K113,COB_CA!$B$18)</f>
        <v/>
      </c>
      <c r="I113" s="14">
        <f>MIN(COB_CA!$B$18,(E113+F113))</f>
        <v/>
      </c>
      <c r="J113" s="14">
        <f>MIN((COB_CA!$B$18-I113),G113)</f>
        <v/>
      </c>
      <c r="K113" s="14">
        <f>MIN(((COB_CA!$B$18-I113)-J113),D113)</f>
        <v/>
      </c>
      <c r="L113" s="14">
        <f>E113+F113-I113</f>
        <v/>
      </c>
      <c r="M113" s="14">
        <f>G113-J113</f>
        <v/>
      </c>
      <c r="N113" s="14">
        <f>D113-K113</f>
        <v/>
      </c>
      <c r="O113" s="6">
        <f>AND(D113&gt;0,B113&lt;=COB_CA!$B$20)</f>
        <v/>
      </c>
    </row>
    <row r="114">
      <c r="A114" s="6" t="n">
        <v>110</v>
      </c>
      <c r="B114" s="15">
        <f>IF(COB_CA!$B$38=12,DATE(YEAR(COB_CA!$B$19)+INT((MONTH(COB_CA!$B$19)-1+109)/12),MOD(MONTH(COB_CA!$B$19)-1+109,12)+1,1)+(DAY(COB_CA!$B$19)-1),IF(COB_CA!$B$38=24,COB_CA!$B$19+ROUND((109*365.25)/24,0),IF(COB_CA!$B$38=26,COB_CA!$B$19+1526,COB_CA!$B$19+763)))</f>
        <v/>
      </c>
      <c r="C114" s="12">
        <f>B114-B113</f>
        <v/>
      </c>
      <c r="D114" s="14">
        <f>N113</f>
        <v/>
      </c>
      <c r="E114" s="14">
        <f>D114*COB_CA!$B$40/100*(IF(YEAR(B113)=YEAR(B114),(B114-B113)/IF(AND(MOD(YEAR(B114),4)=0,OR(MOD(YEAR(B114),100)&lt;&gt;0,MOD(YEAR(B114),400)=0)),366,365),(((DATE(YEAR(B113)+1,1,1)))-B113)/IF(AND(MOD(YEAR(B113),4)=0,OR(MOD(YEAR(B113),100)&lt;&gt;0,MOD(YEAR(B113),400)=0)),366,365)+(B114-((DATE(YEAR(B113)+1,1,1))))/IF(AND(MOD(YEAR(B114),4)=0,OR(MOD(YEAR(B114),100)&lt;&gt;0,MOD(YEAR(B114),400)=0)),366,365)))</f>
        <v/>
      </c>
      <c r="F114" s="14">
        <f>L113</f>
        <v/>
      </c>
      <c r="G114" s="14">
        <f>M113</f>
        <v/>
      </c>
      <c r="H114" s="14">
        <f>IF((((COB_CA!$B$18-I114)-J114)&gt;D114),I114+J114+K114,COB_CA!$B$18)</f>
        <v/>
      </c>
      <c r="I114" s="14">
        <f>MIN(COB_CA!$B$18,(E114+F114))</f>
        <v/>
      </c>
      <c r="J114" s="14">
        <f>MIN((COB_CA!$B$18-I114),G114)</f>
        <v/>
      </c>
      <c r="K114" s="14">
        <f>MIN(((COB_CA!$B$18-I114)-J114),D114)</f>
        <v/>
      </c>
      <c r="L114" s="14">
        <f>E114+F114-I114</f>
        <v/>
      </c>
      <c r="M114" s="14">
        <f>G114-J114</f>
        <v/>
      </c>
      <c r="N114" s="14">
        <f>D114-K114</f>
        <v/>
      </c>
      <c r="O114" s="6">
        <f>AND(D114&gt;0,B114&lt;=COB_CA!$B$20)</f>
        <v/>
      </c>
    </row>
    <row r="115">
      <c r="A115" s="6" t="n">
        <v>111</v>
      </c>
      <c r="B115" s="15">
        <f>IF(COB_CA!$B$38=12,DATE(YEAR(COB_CA!$B$19)+INT((MONTH(COB_CA!$B$19)-1+110)/12),MOD(MONTH(COB_CA!$B$19)-1+110,12)+1,1)+(DAY(COB_CA!$B$19)-1),IF(COB_CA!$B$38=24,COB_CA!$B$19+ROUND((110*365.25)/24,0),IF(COB_CA!$B$38=26,COB_CA!$B$19+1540,COB_CA!$B$19+770)))</f>
        <v/>
      </c>
      <c r="C115" s="12">
        <f>B115-B114</f>
        <v/>
      </c>
      <c r="D115" s="14">
        <f>N114</f>
        <v/>
      </c>
      <c r="E115" s="14">
        <f>D115*COB_CA!$B$40/100*(IF(YEAR(B114)=YEAR(B115),(B115-B114)/IF(AND(MOD(YEAR(B115),4)=0,OR(MOD(YEAR(B115),100)&lt;&gt;0,MOD(YEAR(B115),400)=0)),366,365),(((DATE(YEAR(B114)+1,1,1)))-B114)/IF(AND(MOD(YEAR(B114),4)=0,OR(MOD(YEAR(B114),100)&lt;&gt;0,MOD(YEAR(B114),400)=0)),366,365)+(B115-((DATE(YEAR(B114)+1,1,1))))/IF(AND(MOD(YEAR(B115),4)=0,OR(MOD(YEAR(B115),100)&lt;&gt;0,MOD(YEAR(B115),400)=0)),366,365)))</f>
        <v/>
      </c>
      <c r="F115" s="14">
        <f>L114</f>
        <v/>
      </c>
      <c r="G115" s="14">
        <f>M114</f>
        <v/>
      </c>
      <c r="H115" s="14">
        <f>IF((((COB_CA!$B$18-I115)-J115)&gt;D115),I115+J115+K115,COB_CA!$B$18)</f>
        <v/>
      </c>
      <c r="I115" s="14">
        <f>MIN(COB_CA!$B$18,(E115+F115))</f>
        <v/>
      </c>
      <c r="J115" s="14">
        <f>MIN((COB_CA!$B$18-I115),G115)</f>
        <v/>
      </c>
      <c r="K115" s="14">
        <f>MIN(((COB_CA!$B$18-I115)-J115),D115)</f>
        <v/>
      </c>
      <c r="L115" s="14">
        <f>E115+F115-I115</f>
        <v/>
      </c>
      <c r="M115" s="14">
        <f>G115-J115</f>
        <v/>
      </c>
      <c r="N115" s="14">
        <f>D115-K115</f>
        <v/>
      </c>
      <c r="O115" s="6">
        <f>AND(D115&gt;0,B115&lt;=COB_CA!$B$20)</f>
        <v/>
      </c>
    </row>
    <row r="116">
      <c r="A116" s="6" t="n">
        <v>112</v>
      </c>
      <c r="B116" s="15">
        <f>IF(COB_CA!$B$38=12,DATE(YEAR(COB_CA!$B$19)+INT((MONTH(COB_CA!$B$19)-1+111)/12),MOD(MONTH(COB_CA!$B$19)-1+111,12)+1,1)+(DAY(COB_CA!$B$19)-1),IF(COB_CA!$B$38=24,COB_CA!$B$19+ROUND((111*365.25)/24,0),IF(COB_CA!$B$38=26,COB_CA!$B$19+1554,COB_CA!$B$19+777)))</f>
        <v/>
      </c>
      <c r="C116" s="12">
        <f>B116-B115</f>
        <v/>
      </c>
      <c r="D116" s="14">
        <f>N115</f>
        <v/>
      </c>
      <c r="E116" s="14">
        <f>D116*COB_CA!$B$40/100*(IF(YEAR(B115)=YEAR(B116),(B116-B115)/IF(AND(MOD(YEAR(B116),4)=0,OR(MOD(YEAR(B116),100)&lt;&gt;0,MOD(YEAR(B116),400)=0)),366,365),(((DATE(YEAR(B115)+1,1,1)))-B115)/IF(AND(MOD(YEAR(B115),4)=0,OR(MOD(YEAR(B115),100)&lt;&gt;0,MOD(YEAR(B115),400)=0)),366,365)+(B116-((DATE(YEAR(B115)+1,1,1))))/IF(AND(MOD(YEAR(B116),4)=0,OR(MOD(YEAR(B116),100)&lt;&gt;0,MOD(YEAR(B116),400)=0)),366,365)))</f>
        <v/>
      </c>
      <c r="F116" s="14">
        <f>L115</f>
        <v/>
      </c>
      <c r="G116" s="14">
        <f>M115</f>
        <v/>
      </c>
      <c r="H116" s="14">
        <f>IF((((COB_CA!$B$18-I116)-J116)&gt;D116),I116+J116+K116,COB_CA!$B$18)</f>
        <v/>
      </c>
      <c r="I116" s="14">
        <f>MIN(COB_CA!$B$18,(E116+F116))</f>
        <v/>
      </c>
      <c r="J116" s="14">
        <f>MIN((COB_CA!$B$18-I116),G116)</f>
        <v/>
      </c>
      <c r="K116" s="14">
        <f>MIN(((COB_CA!$B$18-I116)-J116),D116)</f>
        <v/>
      </c>
      <c r="L116" s="14">
        <f>E116+F116-I116</f>
        <v/>
      </c>
      <c r="M116" s="14">
        <f>G116-J116</f>
        <v/>
      </c>
      <c r="N116" s="14">
        <f>D116-K116</f>
        <v/>
      </c>
      <c r="O116" s="6">
        <f>AND(D116&gt;0,B116&lt;=COB_CA!$B$20)</f>
        <v/>
      </c>
    </row>
    <row r="117">
      <c r="A117" s="6" t="n">
        <v>113</v>
      </c>
      <c r="B117" s="15">
        <f>IF(COB_CA!$B$38=12,DATE(YEAR(COB_CA!$B$19)+INT((MONTH(COB_CA!$B$19)-1+112)/12),MOD(MONTH(COB_CA!$B$19)-1+112,12)+1,1)+(DAY(COB_CA!$B$19)-1),IF(COB_CA!$B$38=24,COB_CA!$B$19+ROUND((112*365.25)/24,0),IF(COB_CA!$B$38=26,COB_CA!$B$19+1568,COB_CA!$B$19+784)))</f>
        <v/>
      </c>
      <c r="C117" s="12">
        <f>B117-B116</f>
        <v/>
      </c>
      <c r="D117" s="14">
        <f>N116</f>
        <v/>
      </c>
      <c r="E117" s="14">
        <f>D117*COB_CA!$B$40/100*(IF(YEAR(B116)=YEAR(B117),(B117-B116)/IF(AND(MOD(YEAR(B117),4)=0,OR(MOD(YEAR(B117),100)&lt;&gt;0,MOD(YEAR(B117),400)=0)),366,365),(((DATE(YEAR(B116)+1,1,1)))-B116)/IF(AND(MOD(YEAR(B116),4)=0,OR(MOD(YEAR(B116),100)&lt;&gt;0,MOD(YEAR(B116),400)=0)),366,365)+(B117-((DATE(YEAR(B116)+1,1,1))))/IF(AND(MOD(YEAR(B117),4)=0,OR(MOD(YEAR(B117),100)&lt;&gt;0,MOD(YEAR(B117),400)=0)),366,365)))</f>
        <v/>
      </c>
      <c r="F117" s="14">
        <f>L116</f>
        <v/>
      </c>
      <c r="G117" s="14">
        <f>M116</f>
        <v/>
      </c>
      <c r="H117" s="14">
        <f>IF((((COB_CA!$B$18-I117)-J117)&gt;D117),I117+J117+K117,COB_CA!$B$18)</f>
        <v/>
      </c>
      <c r="I117" s="14">
        <f>MIN(COB_CA!$B$18,(E117+F117))</f>
        <v/>
      </c>
      <c r="J117" s="14">
        <f>MIN((COB_CA!$B$18-I117),G117)</f>
        <v/>
      </c>
      <c r="K117" s="14">
        <f>MIN(((COB_CA!$B$18-I117)-J117),D117)</f>
        <v/>
      </c>
      <c r="L117" s="14">
        <f>E117+F117-I117</f>
        <v/>
      </c>
      <c r="M117" s="14">
        <f>G117-J117</f>
        <v/>
      </c>
      <c r="N117" s="14">
        <f>D117-K117</f>
        <v/>
      </c>
      <c r="O117" s="6">
        <f>AND(D117&gt;0,B117&lt;=COB_CA!$B$20)</f>
        <v/>
      </c>
    </row>
    <row r="118">
      <c r="A118" s="6" t="n">
        <v>114</v>
      </c>
      <c r="B118" s="15">
        <f>IF(COB_CA!$B$38=12,DATE(YEAR(COB_CA!$B$19)+INT((MONTH(COB_CA!$B$19)-1+113)/12),MOD(MONTH(COB_CA!$B$19)-1+113,12)+1,1)+(DAY(COB_CA!$B$19)-1),IF(COB_CA!$B$38=24,COB_CA!$B$19+ROUND((113*365.25)/24,0),IF(COB_CA!$B$38=26,COB_CA!$B$19+1582,COB_CA!$B$19+791)))</f>
        <v/>
      </c>
      <c r="C118" s="12">
        <f>B118-B117</f>
        <v/>
      </c>
      <c r="D118" s="14">
        <f>N117</f>
        <v/>
      </c>
      <c r="E118" s="14">
        <f>D118*COB_CA!$B$40/100*(IF(YEAR(B117)=YEAR(B118),(B118-B117)/IF(AND(MOD(YEAR(B118),4)=0,OR(MOD(YEAR(B118),100)&lt;&gt;0,MOD(YEAR(B118),400)=0)),366,365),(((DATE(YEAR(B117)+1,1,1)))-B117)/IF(AND(MOD(YEAR(B117),4)=0,OR(MOD(YEAR(B117),100)&lt;&gt;0,MOD(YEAR(B117),400)=0)),366,365)+(B118-((DATE(YEAR(B117)+1,1,1))))/IF(AND(MOD(YEAR(B118),4)=0,OR(MOD(YEAR(B118),100)&lt;&gt;0,MOD(YEAR(B118),400)=0)),366,365)))</f>
        <v/>
      </c>
      <c r="F118" s="14">
        <f>L117</f>
        <v/>
      </c>
      <c r="G118" s="14">
        <f>M117</f>
        <v/>
      </c>
      <c r="H118" s="14">
        <f>IF((((COB_CA!$B$18-I118)-J118)&gt;D118),I118+J118+K118,COB_CA!$B$18)</f>
        <v/>
      </c>
      <c r="I118" s="14">
        <f>MIN(COB_CA!$B$18,(E118+F118))</f>
        <v/>
      </c>
      <c r="J118" s="14">
        <f>MIN((COB_CA!$B$18-I118),G118)</f>
        <v/>
      </c>
      <c r="K118" s="14">
        <f>MIN(((COB_CA!$B$18-I118)-J118),D118)</f>
        <v/>
      </c>
      <c r="L118" s="14">
        <f>E118+F118-I118</f>
        <v/>
      </c>
      <c r="M118" s="14">
        <f>G118-J118</f>
        <v/>
      </c>
      <c r="N118" s="14">
        <f>D118-K118</f>
        <v/>
      </c>
      <c r="O118" s="6">
        <f>AND(D118&gt;0,B118&lt;=COB_CA!$B$20)</f>
        <v/>
      </c>
    </row>
    <row r="119">
      <c r="A119" s="6" t="n">
        <v>115</v>
      </c>
      <c r="B119" s="15">
        <f>IF(COB_CA!$B$38=12,DATE(YEAR(COB_CA!$B$19)+INT((MONTH(COB_CA!$B$19)-1+114)/12),MOD(MONTH(COB_CA!$B$19)-1+114,12)+1,1)+(DAY(COB_CA!$B$19)-1),IF(COB_CA!$B$38=24,COB_CA!$B$19+ROUND((114*365.25)/24,0),IF(COB_CA!$B$38=26,COB_CA!$B$19+1596,COB_CA!$B$19+798)))</f>
        <v/>
      </c>
      <c r="C119" s="12">
        <f>B119-B118</f>
        <v/>
      </c>
      <c r="D119" s="14">
        <f>N118</f>
        <v/>
      </c>
      <c r="E119" s="14">
        <f>D119*COB_CA!$B$40/100*(IF(YEAR(B118)=YEAR(B119),(B119-B118)/IF(AND(MOD(YEAR(B119),4)=0,OR(MOD(YEAR(B119),100)&lt;&gt;0,MOD(YEAR(B119),400)=0)),366,365),(((DATE(YEAR(B118)+1,1,1)))-B118)/IF(AND(MOD(YEAR(B118),4)=0,OR(MOD(YEAR(B118),100)&lt;&gt;0,MOD(YEAR(B118),400)=0)),366,365)+(B119-((DATE(YEAR(B118)+1,1,1))))/IF(AND(MOD(YEAR(B119),4)=0,OR(MOD(YEAR(B119),100)&lt;&gt;0,MOD(YEAR(B119),400)=0)),366,365)))</f>
        <v/>
      </c>
      <c r="F119" s="14">
        <f>L118</f>
        <v/>
      </c>
      <c r="G119" s="14">
        <f>M118</f>
        <v/>
      </c>
      <c r="H119" s="14">
        <f>IF((((COB_CA!$B$18-I119)-J119)&gt;D119),I119+J119+K119,COB_CA!$B$18)</f>
        <v/>
      </c>
      <c r="I119" s="14">
        <f>MIN(COB_CA!$B$18,(E119+F119))</f>
        <v/>
      </c>
      <c r="J119" s="14">
        <f>MIN((COB_CA!$B$18-I119),G119)</f>
        <v/>
      </c>
      <c r="K119" s="14">
        <f>MIN(((COB_CA!$B$18-I119)-J119),D119)</f>
        <v/>
      </c>
      <c r="L119" s="14">
        <f>E119+F119-I119</f>
        <v/>
      </c>
      <c r="M119" s="14">
        <f>G119-J119</f>
        <v/>
      </c>
      <c r="N119" s="14">
        <f>D119-K119</f>
        <v/>
      </c>
      <c r="O119" s="6">
        <f>AND(D119&gt;0,B119&lt;=COB_CA!$B$20)</f>
        <v/>
      </c>
    </row>
    <row r="120">
      <c r="A120" s="6" t="n">
        <v>116</v>
      </c>
      <c r="B120" s="15">
        <f>IF(COB_CA!$B$38=12,DATE(YEAR(COB_CA!$B$19)+INT((MONTH(COB_CA!$B$19)-1+115)/12),MOD(MONTH(COB_CA!$B$19)-1+115,12)+1,1)+(DAY(COB_CA!$B$19)-1),IF(COB_CA!$B$38=24,COB_CA!$B$19+ROUND((115*365.25)/24,0),IF(COB_CA!$B$38=26,COB_CA!$B$19+1610,COB_CA!$B$19+805)))</f>
        <v/>
      </c>
      <c r="C120" s="12">
        <f>B120-B119</f>
        <v/>
      </c>
      <c r="D120" s="14">
        <f>N119</f>
        <v/>
      </c>
      <c r="E120" s="14">
        <f>D120*COB_CA!$B$40/100*(IF(YEAR(B119)=YEAR(B120),(B120-B119)/IF(AND(MOD(YEAR(B120),4)=0,OR(MOD(YEAR(B120),100)&lt;&gt;0,MOD(YEAR(B120),400)=0)),366,365),(((DATE(YEAR(B119)+1,1,1)))-B119)/IF(AND(MOD(YEAR(B119),4)=0,OR(MOD(YEAR(B119),100)&lt;&gt;0,MOD(YEAR(B119),400)=0)),366,365)+(B120-((DATE(YEAR(B119)+1,1,1))))/IF(AND(MOD(YEAR(B120),4)=0,OR(MOD(YEAR(B120),100)&lt;&gt;0,MOD(YEAR(B120),400)=0)),366,365)))</f>
        <v/>
      </c>
      <c r="F120" s="14">
        <f>L119</f>
        <v/>
      </c>
      <c r="G120" s="14">
        <f>M119</f>
        <v/>
      </c>
      <c r="H120" s="14">
        <f>IF((((COB_CA!$B$18-I120)-J120)&gt;D120),I120+J120+K120,COB_CA!$B$18)</f>
        <v/>
      </c>
      <c r="I120" s="14">
        <f>MIN(COB_CA!$B$18,(E120+F120))</f>
        <v/>
      </c>
      <c r="J120" s="14">
        <f>MIN((COB_CA!$B$18-I120),G120)</f>
        <v/>
      </c>
      <c r="K120" s="14">
        <f>MIN(((COB_CA!$B$18-I120)-J120),D120)</f>
        <v/>
      </c>
      <c r="L120" s="14">
        <f>E120+F120-I120</f>
        <v/>
      </c>
      <c r="M120" s="14">
        <f>G120-J120</f>
        <v/>
      </c>
      <c r="N120" s="14">
        <f>D120-K120</f>
        <v/>
      </c>
      <c r="O120" s="6">
        <f>AND(D120&gt;0,B120&lt;=COB_CA!$B$20)</f>
        <v/>
      </c>
    </row>
    <row r="121">
      <c r="A121" s="6" t="n">
        <v>117</v>
      </c>
      <c r="B121" s="15">
        <f>IF(COB_CA!$B$38=12,DATE(YEAR(COB_CA!$B$19)+INT((MONTH(COB_CA!$B$19)-1+116)/12),MOD(MONTH(COB_CA!$B$19)-1+116,12)+1,1)+(DAY(COB_CA!$B$19)-1),IF(COB_CA!$B$38=24,COB_CA!$B$19+ROUND((116*365.25)/24,0),IF(COB_CA!$B$38=26,COB_CA!$B$19+1624,COB_CA!$B$19+812)))</f>
        <v/>
      </c>
      <c r="C121" s="12">
        <f>B121-B120</f>
        <v/>
      </c>
      <c r="D121" s="14">
        <f>N120</f>
        <v/>
      </c>
      <c r="E121" s="14">
        <f>D121*COB_CA!$B$40/100*(IF(YEAR(B120)=YEAR(B121),(B121-B120)/IF(AND(MOD(YEAR(B121),4)=0,OR(MOD(YEAR(B121),100)&lt;&gt;0,MOD(YEAR(B121),400)=0)),366,365),(((DATE(YEAR(B120)+1,1,1)))-B120)/IF(AND(MOD(YEAR(B120),4)=0,OR(MOD(YEAR(B120),100)&lt;&gt;0,MOD(YEAR(B120),400)=0)),366,365)+(B121-((DATE(YEAR(B120)+1,1,1))))/IF(AND(MOD(YEAR(B121),4)=0,OR(MOD(YEAR(B121),100)&lt;&gt;0,MOD(YEAR(B121),400)=0)),366,365)))</f>
        <v/>
      </c>
      <c r="F121" s="14">
        <f>L120</f>
        <v/>
      </c>
      <c r="G121" s="14">
        <f>M120</f>
        <v/>
      </c>
      <c r="H121" s="14">
        <f>IF((((COB_CA!$B$18-I121)-J121)&gt;D121),I121+J121+K121,COB_CA!$B$18)</f>
        <v/>
      </c>
      <c r="I121" s="14">
        <f>MIN(COB_CA!$B$18,(E121+F121))</f>
        <v/>
      </c>
      <c r="J121" s="14">
        <f>MIN((COB_CA!$B$18-I121),G121)</f>
        <v/>
      </c>
      <c r="K121" s="14">
        <f>MIN(((COB_CA!$B$18-I121)-J121),D121)</f>
        <v/>
      </c>
      <c r="L121" s="14">
        <f>E121+F121-I121</f>
        <v/>
      </c>
      <c r="M121" s="14">
        <f>G121-J121</f>
        <v/>
      </c>
      <c r="N121" s="14">
        <f>D121-K121</f>
        <v/>
      </c>
      <c r="O121" s="6">
        <f>AND(D121&gt;0,B121&lt;=COB_CA!$B$20)</f>
        <v/>
      </c>
    </row>
    <row r="122">
      <c r="A122" s="6" t="n">
        <v>118</v>
      </c>
      <c r="B122" s="15">
        <f>IF(COB_CA!$B$38=12,DATE(YEAR(COB_CA!$B$19)+INT((MONTH(COB_CA!$B$19)-1+117)/12),MOD(MONTH(COB_CA!$B$19)-1+117,12)+1,1)+(DAY(COB_CA!$B$19)-1),IF(COB_CA!$B$38=24,COB_CA!$B$19+ROUND((117*365.25)/24,0),IF(COB_CA!$B$38=26,COB_CA!$B$19+1638,COB_CA!$B$19+819)))</f>
        <v/>
      </c>
      <c r="C122" s="12">
        <f>B122-B121</f>
        <v/>
      </c>
      <c r="D122" s="14">
        <f>N121</f>
        <v/>
      </c>
      <c r="E122" s="14">
        <f>D122*COB_CA!$B$40/100*(IF(YEAR(B121)=YEAR(B122),(B122-B121)/IF(AND(MOD(YEAR(B122),4)=0,OR(MOD(YEAR(B122),100)&lt;&gt;0,MOD(YEAR(B122),400)=0)),366,365),(((DATE(YEAR(B121)+1,1,1)))-B121)/IF(AND(MOD(YEAR(B121),4)=0,OR(MOD(YEAR(B121),100)&lt;&gt;0,MOD(YEAR(B121),400)=0)),366,365)+(B122-((DATE(YEAR(B121)+1,1,1))))/IF(AND(MOD(YEAR(B122),4)=0,OR(MOD(YEAR(B122),100)&lt;&gt;0,MOD(YEAR(B122),400)=0)),366,365)))</f>
        <v/>
      </c>
      <c r="F122" s="14">
        <f>L121</f>
        <v/>
      </c>
      <c r="G122" s="14">
        <f>M121</f>
        <v/>
      </c>
      <c r="H122" s="14">
        <f>IF((((COB_CA!$B$18-I122)-J122)&gt;D122),I122+J122+K122,COB_CA!$B$18)</f>
        <v/>
      </c>
      <c r="I122" s="14">
        <f>MIN(COB_CA!$B$18,(E122+F122))</f>
        <v/>
      </c>
      <c r="J122" s="14">
        <f>MIN((COB_CA!$B$18-I122),G122)</f>
        <v/>
      </c>
      <c r="K122" s="14">
        <f>MIN(((COB_CA!$B$18-I122)-J122),D122)</f>
        <v/>
      </c>
      <c r="L122" s="14">
        <f>E122+F122-I122</f>
        <v/>
      </c>
      <c r="M122" s="14">
        <f>G122-J122</f>
        <v/>
      </c>
      <c r="N122" s="14">
        <f>D122-K122</f>
        <v/>
      </c>
      <c r="O122" s="6">
        <f>AND(D122&gt;0,B122&lt;=COB_CA!$B$20)</f>
        <v/>
      </c>
    </row>
    <row r="123">
      <c r="A123" s="6" t="n">
        <v>119</v>
      </c>
      <c r="B123" s="15">
        <f>IF(COB_CA!$B$38=12,DATE(YEAR(COB_CA!$B$19)+INT((MONTH(COB_CA!$B$19)-1+118)/12),MOD(MONTH(COB_CA!$B$19)-1+118,12)+1,1)+(DAY(COB_CA!$B$19)-1),IF(COB_CA!$B$38=24,COB_CA!$B$19+ROUND((118*365.25)/24,0),IF(COB_CA!$B$38=26,COB_CA!$B$19+1652,COB_CA!$B$19+826)))</f>
        <v/>
      </c>
      <c r="C123" s="12">
        <f>B123-B122</f>
        <v/>
      </c>
      <c r="D123" s="14">
        <f>N122</f>
        <v/>
      </c>
      <c r="E123" s="14">
        <f>D123*COB_CA!$B$40/100*(IF(YEAR(B122)=YEAR(B123),(B123-B122)/IF(AND(MOD(YEAR(B123),4)=0,OR(MOD(YEAR(B123),100)&lt;&gt;0,MOD(YEAR(B123),400)=0)),366,365),(((DATE(YEAR(B122)+1,1,1)))-B122)/IF(AND(MOD(YEAR(B122),4)=0,OR(MOD(YEAR(B122),100)&lt;&gt;0,MOD(YEAR(B122),400)=0)),366,365)+(B123-((DATE(YEAR(B122)+1,1,1))))/IF(AND(MOD(YEAR(B123),4)=0,OR(MOD(YEAR(B123),100)&lt;&gt;0,MOD(YEAR(B123),400)=0)),366,365)))</f>
        <v/>
      </c>
      <c r="F123" s="14">
        <f>L122</f>
        <v/>
      </c>
      <c r="G123" s="14">
        <f>M122</f>
        <v/>
      </c>
      <c r="H123" s="14">
        <f>IF((((COB_CA!$B$18-I123)-J123)&gt;D123),I123+J123+K123,COB_CA!$B$18)</f>
        <v/>
      </c>
      <c r="I123" s="14">
        <f>MIN(COB_CA!$B$18,(E123+F123))</f>
        <v/>
      </c>
      <c r="J123" s="14">
        <f>MIN((COB_CA!$B$18-I123),G123)</f>
        <v/>
      </c>
      <c r="K123" s="14">
        <f>MIN(((COB_CA!$B$18-I123)-J123),D123)</f>
        <v/>
      </c>
      <c r="L123" s="14">
        <f>E123+F123-I123</f>
        <v/>
      </c>
      <c r="M123" s="14">
        <f>G123-J123</f>
        <v/>
      </c>
      <c r="N123" s="14">
        <f>D123-K123</f>
        <v/>
      </c>
      <c r="O123" s="6">
        <f>AND(D123&gt;0,B123&lt;=COB_CA!$B$20)</f>
        <v/>
      </c>
    </row>
    <row r="124">
      <c r="A124" s="6" t="n">
        <v>120</v>
      </c>
      <c r="B124" s="15">
        <f>IF(COB_CA!$B$38=12,DATE(YEAR(COB_CA!$B$19)+INT((MONTH(COB_CA!$B$19)-1+119)/12),MOD(MONTH(COB_CA!$B$19)-1+119,12)+1,1)+(DAY(COB_CA!$B$19)-1),IF(COB_CA!$B$38=24,COB_CA!$B$19+ROUND((119*365.25)/24,0),IF(COB_CA!$B$38=26,COB_CA!$B$19+1666,COB_CA!$B$19+833)))</f>
        <v/>
      </c>
      <c r="C124" s="12">
        <f>B124-B123</f>
        <v/>
      </c>
      <c r="D124" s="14">
        <f>N123</f>
        <v/>
      </c>
      <c r="E124" s="14">
        <f>D124*COB_CA!$B$40/100*(IF(YEAR(B123)=YEAR(B124),(B124-B123)/IF(AND(MOD(YEAR(B124),4)=0,OR(MOD(YEAR(B124),100)&lt;&gt;0,MOD(YEAR(B124),400)=0)),366,365),(((DATE(YEAR(B123)+1,1,1)))-B123)/IF(AND(MOD(YEAR(B123),4)=0,OR(MOD(YEAR(B123),100)&lt;&gt;0,MOD(YEAR(B123),400)=0)),366,365)+(B124-((DATE(YEAR(B123)+1,1,1))))/IF(AND(MOD(YEAR(B124),4)=0,OR(MOD(YEAR(B124),100)&lt;&gt;0,MOD(YEAR(B124),400)=0)),366,365)))</f>
        <v/>
      </c>
      <c r="F124" s="14">
        <f>L123</f>
        <v/>
      </c>
      <c r="G124" s="14">
        <f>M123</f>
        <v/>
      </c>
      <c r="H124" s="14">
        <f>IF((((COB_CA!$B$18-I124)-J124)&gt;D124),I124+J124+K124,COB_CA!$B$18)</f>
        <v/>
      </c>
      <c r="I124" s="14">
        <f>MIN(COB_CA!$B$18,(E124+F124))</f>
        <v/>
      </c>
      <c r="J124" s="14">
        <f>MIN((COB_CA!$B$18-I124),G124)</f>
        <v/>
      </c>
      <c r="K124" s="14">
        <f>MIN(((COB_CA!$B$18-I124)-J124),D124)</f>
        <v/>
      </c>
      <c r="L124" s="14">
        <f>E124+F124-I124</f>
        <v/>
      </c>
      <c r="M124" s="14">
        <f>G124-J124</f>
        <v/>
      </c>
      <c r="N124" s="14">
        <f>D124-K124</f>
        <v/>
      </c>
      <c r="O124" s="6">
        <f>AND(D124&gt;0,B124&lt;=COB_CA!$B$20)</f>
        <v/>
      </c>
    </row>
    <row r="125">
      <c r="A125" s="6" t="n">
        <v>121</v>
      </c>
      <c r="B125" s="15">
        <f>IF(COB_CA!$B$38=12,DATE(YEAR(COB_CA!$B$19)+INT((MONTH(COB_CA!$B$19)-1+120)/12),MOD(MONTH(COB_CA!$B$19)-1+120,12)+1,1)+(DAY(COB_CA!$B$19)-1),IF(COB_CA!$B$38=24,COB_CA!$B$19+ROUND((120*365.25)/24,0),IF(COB_CA!$B$38=26,COB_CA!$B$19+1680,COB_CA!$B$19+840)))</f>
        <v/>
      </c>
      <c r="C125" s="12">
        <f>B125-B124</f>
        <v/>
      </c>
      <c r="D125" s="14">
        <f>N124</f>
        <v/>
      </c>
      <c r="E125" s="14">
        <f>D125*COB_CA!$B$40/100*(IF(YEAR(B124)=YEAR(B125),(B125-B124)/IF(AND(MOD(YEAR(B125),4)=0,OR(MOD(YEAR(B125),100)&lt;&gt;0,MOD(YEAR(B125),400)=0)),366,365),(((DATE(YEAR(B124)+1,1,1)))-B124)/IF(AND(MOD(YEAR(B124),4)=0,OR(MOD(YEAR(B124),100)&lt;&gt;0,MOD(YEAR(B124),400)=0)),366,365)+(B125-((DATE(YEAR(B124)+1,1,1))))/IF(AND(MOD(YEAR(B125),4)=0,OR(MOD(YEAR(B125),100)&lt;&gt;0,MOD(YEAR(B125),400)=0)),366,365)))</f>
        <v/>
      </c>
      <c r="F125" s="14">
        <f>L124</f>
        <v/>
      </c>
      <c r="G125" s="14">
        <f>M124</f>
        <v/>
      </c>
      <c r="H125" s="14">
        <f>IF((((COB_CA!$B$18-I125)-J125)&gt;D125),I125+J125+K125,COB_CA!$B$18)</f>
        <v/>
      </c>
      <c r="I125" s="14">
        <f>MIN(COB_CA!$B$18,(E125+F125))</f>
        <v/>
      </c>
      <c r="J125" s="14">
        <f>MIN((COB_CA!$B$18-I125),G125)</f>
        <v/>
      </c>
      <c r="K125" s="14">
        <f>MIN(((COB_CA!$B$18-I125)-J125),D125)</f>
        <v/>
      </c>
      <c r="L125" s="14">
        <f>E125+F125-I125</f>
        <v/>
      </c>
      <c r="M125" s="14">
        <f>G125-J125</f>
        <v/>
      </c>
      <c r="N125" s="14">
        <f>D125-K125</f>
        <v/>
      </c>
      <c r="O125" s="6">
        <f>AND(D125&gt;0,B125&lt;=COB_CA!$B$20)</f>
        <v/>
      </c>
    </row>
    <row r="126">
      <c r="A126" s="6" t="n">
        <v>122</v>
      </c>
      <c r="B126" s="15">
        <f>IF(COB_CA!$B$38=12,DATE(YEAR(COB_CA!$B$19)+INT((MONTH(COB_CA!$B$19)-1+121)/12),MOD(MONTH(COB_CA!$B$19)-1+121,12)+1,1)+(DAY(COB_CA!$B$19)-1),IF(COB_CA!$B$38=24,COB_CA!$B$19+ROUND((121*365.25)/24,0),IF(COB_CA!$B$38=26,COB_CA!$B$19+1694,COB_CA!$B$19+847)))</f>
        <v/>
      </c>
      <c r="C126" s="12">
        <f>B126-B125</f>
        <v/>
      </c>
      <c r="D126" s="14">
        <f>N125</f>
        <v/>
      </c>
      <c r="E126" s="14">
        <f>D126*COB_CA!$B$40/100*(IF(YEAR(B125)=YEAR(B126),(B126-B125)/IF(AND(MOD(YEAR(B126),4)=0,OR(MOD(YEAR(B126),100)&lt;&gt;0,MOD(YEAR(B126),400)=0)),366,365),(((DATE(YEAR(B125)+1,1,1)))-B125)/IF(AND(MOD(YEAR(B125),4)=0,OR(MOD(YEAR(B125),100)&lt;&gt;0,MOD(YEAR(B125),400)=0)),366,365)+(B126-((DATE(YEAR(B125)+1,1,1))))/IF(AND(MOD(YEAR(B126),4)=0,OR(MOD(YEAR(B126),100)&lt;&gt;0,MOD(YEAR(B126),400)=0)),366,365)))</f>
        <v/>
      </c>
      <c r="F126" s="14">
        <f>L125</f>
        <v/>
      </c>
      <c r="G126" s="14">
        <f>M125</f>
        <v/>
      </c>
      <c r="H126" s="14">
        <f>IF((((COB_CA!$B$18-I126)-J126)&gt;D126),I126+J126+K126,COB_CA!$B$18)</f>
        <v/>
      </c>
      <c r="I126" s="14">
        <f>MIN(COB_CA!$B$18,(E126+F126))</f>
        <v/>
      </c>
      <c r="J126" s="14">
        <f>MIN((COB_CA!$B$18-I126),G126)</f>
        <v/>
      </c>
      <c r="K126" s="14">
        <f>MIN(((COB_CA!$B$18-I126)-J126),D126)</f>
        <v/>
      </c>
      <c r="L126" s="14">
        <f>E126+F126-I126</f>
        <v/>
      </c>
      <c r="M126" s="14">
        <f>G126-J126</f>
        <v/>
      </c>
      <c r="N126" s="14">
        <f>D126-K126</f>
        <v/>
      </c>
      <c r="O126" s="6">
        <f>AND(D126&gt;0,B126&lt;=COB_CA!$B$20)</f>
        <v/>
      </c>
    </row>
    <row r="127">
      <c r="A127" s="6" t="n">
        <v>123</v>
      </c>
      <c r="B127" s="15">
        <f>IF(COB_CA!$B$38=12,DATE(YEAR(COB_CA!$B$19)+INT((MONTH(COB_CA!$B$19)-1+122)/12),MOD(MONTH(COB_CA!$B$19)-1+122,12)+1,1)+(DAY(COB_CA!$B$19)-1),IF(COB_CA!$B$38=24,COB_CA!$B$19+ROUND((122*365.25)/24,0),IF(COB_CA!$B$38=26,COB_CA!$B$19+1708,COB_CA!$B$19+854)))</f>
        <v/>
      </c>
      <c r="C127" s="12">
        <f>B127-B126</f>
        <v/>
      </c>
      <c r="D127" s="14">
        <f>N126</f>
        <v/>
      </c>
      <c r="E127" s="14">
        <f>D127*COB_CA!$B$40/100*(IF(YEAR(B126)=YEAR(B127),(B127-B126)/IF(AND(MOD(YEAR(B127),4)=0,OR(MOD(YEAR(B127),100)&lt;&gt;0,MOD(YEAR(B127),400)=0)),366,365),(((DATE(YEAR(B126)+1,1,1)))-B126)/IF(AND(MOD(YEAR(B126),4)=0,OR(MOD(YEAR(B126),100)&lt;&gt;0,MOD(YEAR(B126),400)=0)),366,365)+(B127-((DATE(YEAR(B126)+1,1,1))))/IF(AND(MOD(YEAR(B127),4)=0,OR(MOD(YEAR(B127),100)&lt;&gt;0,MOD(YEAR(B127),400)=0)),366,365)))</f>
        <v/>
      </c>
      <c r="F127" s="14">
        <f>L126</f>
        <v/>
      </c>
      <c r="G127" s="14">
        <f>M126</f>
        <v/>
      </c>
      <c r="H127" s="14">
        <f>IF((((COB_CA!$B$18-I127)-J127)&gt;D127),I127+J127+K127,COB_CA!$B$18)</f>
        <v/>
      </c>
      <c r="I127" s="14">
        <f>MIN(COB_CA!$B$18,(E127+F127))</f>
        <v/>
      </c>
      <c r="J127" s="14">
        <f>MIN((COB_CA!$B$18-I127),G127)</f>
        <v/>
      </c>
      <c r="K127" s="14">
        <f>MIN(((COB_CA!$B$18-I127)-J127),D127)</f>
        <v/>
      </c>
      <c r="L127" s="14">
        <f>E127+F127-I127</f>
        <v/>
      </c>
      <c r="M127" s="14">
        <f>G127-J127</f>
        <v/>
      </c>
      <c r="N127" s="14">
        <f>D127-K127</f>
        <v/>
      </c>
      <c r="O127" s="6">
        <f>AND(D127&gt;0,B127&lt;=COB_CA!$B$20)</f>
        <v/>
      </c>
    </row>
    <row r="128">
      <c r="A128" s="6" t="n">
        <v>124</v>
      </c>
      <c r="B128" s="15">
        <f>IF(COB_CA!$B$38=12,DATE(YEAR(COB_CA!$B$19)+INT((MONTH(COB_CA!$B$19)-1+123)/12),MOD(MONTH(COB_CA!$B$19)-1+123,12)+1,1)+(DAY(COB_CA!$B$19)-1),IF(COB_CA!$B$38=24,COB_CA!$B$19+ROUND((123*365.25)/24,0),IF(COB_CA!$B$38=26,COB_CA!$B$19+1722,COB_CA!$B$19+861)))</f>
        <v/>
      </c>
      <c r="C128" s="12">
        <f>B128-B127</f>
        <v/>
      </c>
      <c r="D128" s="14">
        <f>N127</f>
        <v/>
      </c>
      <c r="E128" s="14">
        <f>D128*COB_CA!$B$40/100*(IF(YEAR(B127)=YEAR(B128),(B128-B127)/IF(AND(MOD(YEAR(B128),4)=0,OR(MOD(YEAR(B128),100)&lt;&gt;0,MOD(YEAR(B128),400)=0)),366,365),(((DATE(YEAR(B127)+1,1,1)))-B127)/IF(AND(MOD(YEAR(B127),4)=0,OR(MOD(YEAR(B127),100)&lt;&gt;0,MOD(YEAR(B127),400)=0)),366,365)+(B128-((DATE(YEAR(B127)+1,1,1))))/IF(AND(MOD(YEAR(B128),4)=0,OR(MOD(YEAR(B128),100)&lt;&gt;0,MOD(YEAR(B128),400)=0)),366,365)))</f>
        <v/>
      </c>
      <c r="F128" s="14">
        <f>L127</f>
        <v/>
      </c>
      <c r="G128" s="14">
        <f>M127</f>
        <v/>
      </c>
      <c r="H128" s="14">
        <f>IF((((COB_CA!$B$18-I128)-J128)&gt;D128),I128+J128+K128,COB_CA!$B$18)</f>
        <v/>
      </c>
      <c r="I128" s="14">
        <f>MIN(COB_CA!$B$18,(E128+F128))</f>
        <v/>
      </c>
      <c r="J128" s="14">
        <f>MIN((COB_CA!$B$18-I128),G128)</f>
        <v/>
      </c>
      <c r="K128" s="14">
        <f>MIN(((COB_CA!$B$18-I128)-J128),D128)</f>
        <v/>
      </c>
      <c r="L128" s="14">
        <f>E128+F128-I128</f>
        <v/>
      </c>
      <c r="M128" s="14">
        <f>G128-J128</f>
        <v/>
      </c>
      <c r="N128" s="14">
        <f>D128-K128</f>
        <v/>
      </c>
      <c r="O128" s="6">
        <f>AND(D128&gt;0,B128&lt;=COB_CA!$B$20)</f>
        <v/>
      </c>
    </row>
    <row r="129">
      <c r="A129" s="6" t="n">
        <v>125</v>
      </c>
      <c r="B129" s="15">
        <f>IF(COB_CA!$B$38=12,DATE(YEAR(COB_CA!$B$19)+INT((MONTH(COB_CA!$B$19)-1+124)/12),MOD(MONTH(COB_CA!$B$19)-1+124,12)+1,1)+(DAY(COB_CA!$B$19)-1),IF(COB_CA!$B$38=24,COB_CA!$B$19+ROUND((124*365.25)/24,0),IF(COB_CA!$B$38=26,COB_CA!$B$19+1736,COB_CA!$B$19+868)))</f>
        <v/>
      </c>
      <c r="C129" s="12">
        <f>B129-B128</f>
        <v/>
      </c>
      <c r="D129" s="14">
        <f>N128</f>
        <v/>
      </c>
      <c r="E129" s="14">
        <f>D129*COB_CA!$B$40/100*(IF(YEAR(B128)=YEAR(B129),(B129-B128)/IF(AND(MOD(YEAR(B129),4)=0,OR(MOD(YEAR(B129),100)&lt;&gt;0,MOD(YEAR(B129),400)=0)),366,365),(((DATE(YEAR(B128)+1,1,1)))-B128)/IF(AND(MOD(YEAR(B128),4)=0,OR(MOD(YEAR(B128),100)&lt;&gt;0,MOD(YEAR(B128),400)=0)),366,365)+(B129-((DATE(YEAR(B128)+1,1,1))))/IF(AND(MOD(YEAR(B129),4)=0,OR(MOD(YEAR(B129),100)&lt;&gt;0,MOD(YEAR(B129),400)=0)),366,365)))</f>
        <v/>
      </c>
      <c r="F129" s="14">
        <f>L128</f>
        <v/>
      </c>
      <c r="G129" s="14">
        <f>M128</f>
        <v/>
      </c>
      <c r="H129" s="14">
        <f>IF((((COB_CA!$B$18-I129)-J129)&gt;D129),I129+J129+K129,COB_CA!$B$18)</f>
        <v/>
      </c>
      <c r="I129" s="14">
        <f>MIN(COB_CA!$B$18,(E129+F129))</f>
        <v/>
      </c>
      <c r="J129" s="14">
        <f>MIN((COB_CA!$B$18-I129),G129)</f>
        <v/>
      </c>
      <c r="K129" s="14">
        <f>MIN(((COB_CA!$B$18-I129)-J129),D129)</f>
        <v/>
      </c>
      <c r="L129" s="14">
        <f>E129+F129-I129</f>
        <v/>
      </c>
      <c r="M129" s="14">
        <f>G129-J129</f>
        <v/>
      </c>
      <c r="N129" s="14">
        <f>D129-K129</f>
        <v/>
      </c>
      <c r="O129" s="6">
        <f>AND(D129&gt;0,B129&lt;=COB_CA!$B$20)</f>
        <v/>
      </c>
    </row>
    <row r="130">
      <c r="A130" s="6" t="n">
        <v>126</v>
      </c>
      <c r="B130" s="15">
        <f>IF(COB_CA!$B$38=12,DATE(YEAR(COB_CA!$B$19)+INT((MONTH(COB_CA!$B$19)-1+125)/12),MOD(MONTH(COB_CA!$B$19)-1+125,12)+1,1)+(DAY(COB_CA!$B$19)-1),IF(COB_CA!$B$38=24,COB_CA!$B$19+ROUND((125*365.25)/24,0),IF(COB_CA!$B$38=26,COB_CA!$B$19+1750,COB_CA!$B$19+875)))</f>
        <v/>
      </c>
      <c r="C130" s="12">
        <f>B130-B129</f>
        <v/>
      </c>
      <c r="D130" s="14">
        <f>N129</f>
        <v/>
      </c>
      <c r="E130" s="14">
        <f>D130*COB_CA!$B$40/100*(IF(YEAR(B129)=YEAR(B130),(B130-B129)/IF(AND(MOD(YEAR(B130),4)=0,OR(MOD(YEAR(B130),100)&lt;&gt;0,MOD(YEAR(B130),400)=0)),366,365),(((DATE(YEAR(B129)+1,1,1)))-B129)/IF(AND(MOD(YEAR(B129),4)=0,OR(MOD(YEAR(B129),100)&lt;&gt;0,MOD(YEAR(B129),400)=0)),366,365)+(B130-((DATE(YEAR(B129)+1,1,1))))/IF(AND(MOD(YEAR(B130),4)=0,OR(MOD(YEAR(B130),100)&lt;&gt;0,MOD(YEAR(B130),400)=0)),366,365)))</f>
        <v/>
      </c>
      <c r="F130" s="14">
        <f>L129</f>
        <v/>
      </c>
      <c r="G130" s="14">
        <f>M129</f>
        <v/>
      </c>
      <c r="H130" s="14">
        <f>IF((((COB_CA!$B$18-I130)-J130)&gt;D130),I130+J130+K130,COB_CA!$B$18)</f>
        <v/>
      </c>
      <c r="I130" s="14">
        <f>MIN(COB_CA!$B$18,(E130+F130))</f>
        <v/>
      </c>
      <c r="J130" s="14">
        <f>MIN((COB_CA!$B$18-I130),G130)</f>
        <v/>
      </c>
      <c r="K130" s="14">
        <f>MIN(((COB_CA!$B$18-I130)-J130),D130)</f>
        <v/>
      </c>
      <c r="L130" s="14">
        <f>E130+F130-I130</f>
        <v/>
      </c>
      <c r="M130" s="14">
        <f>G130-J130</f>
        <v/>
      </c>
      <c r="N130" s="14">
        <f>D130-K130</f>
        <v/>
      </c>
      <c r="O130" s="6">
        <f>AND(D130&gt;0,B130&lt;=COB_CA!$B$20)</f>
        <v/>
      </c>
    </row>
    <row r="131">
      <c r="A131" s="6" t="n">
        <v>127</v>
      </c>
      <c r="B131" s="15">
        <f>IF(COB_CA!$B$38=12,DATE(YEAR(COB_CA!$B$19)+INT((MONTH(COB_CA!$B$19)-1+126)/12),MOD(MONTH(COB_CA!$B$19)-1+126,12)+1,1)+(DAY(COB_CA!$B$19)-1),IF(COB_CA!$B$38=24,COB_CA!$B$19+ROUND((126*365.25)/24,0),IF(COB_CA!$B$38=26,COB_CA!$B$19+1764,COB_CA!$B$19+882)))</f>
        <v/>
      </c>
      <c r="C131" s="12">
        <f>B131-B130</f>
        <v/>
      </c>
      <c r="D131" s="14">
        <f>N130</f>
        <v/>
      </c>
      <c r="E131" s="14">
        <f>D131*COB_CA!$B$40/100*(IF(YEAR(B130)=YEAR(B131),(B131-B130)/IF(AND(MOD(YEAR(B131),4)=0,OR(MOD(YEAR(B131),100)&lt;&gt;0,MOD(YEAR(B131),400)=0)),366,365),(((DATE(YEAR(B130)+1,1,1)))-B130)/IF(AND(MOD(YEAR(B130),4)=0,OR(MOD(YEAR(B130),100)&lt;&gt;0,MOD(YEAR(B130),400)=0)),366,365)+(B131-((DATE(YEAR(B130)+1,1,1))))/IF(AND(MOD(YEAR(B131),4)=0,OR(MOD(YEAR(B131),100)&lt;&gt;0,MOD(YEAR(B131),400)=0)),366,365)))</f>
        <v/>
      </c>
      <c r="F131" s="14">
        <f>L130</f>
        <v/>
      </c>
      <c r="G131" s="14">
        <f>M130</f>
        <v/>
      </c>
      <c r="H131" s="14">
        <f>IF((((COB_CA!$B$18-I131)-J131)&gt;D131),I131+J131+K131,COB_CA!$B$18)</f>
        <v/>
      </c>
      <c r="I131" s="14">
        <f>MIN(COB_CA!$B$18,(E131+F131))</f>
        <v/>
      </c>
      <c r="J131" s="14">
        <f>MIN((COB_CA!$B$18-I131),G131)</f>
        <v/>
      </c>
      <c r="K131" s="14">
        <f>MIN(((COB_CA!$B$18-I131)-J131),D131)</f>
        <v/>
      </c>
      <c r="L131" s="14">
        <f>E131+F131-I131</f>
        <v/>
      </c>
      <c r="M131" s="14">
        <f>G131-J131</f>
        <v/>
      </c>
      <c r="N131" s="14">
        <f>D131-K131</f>
        <v/>
      </c>
      <c r="O131" s="6">
        <f>AND(D131&gt;0,B131&lt;=COB_CA!$B$20)</f>
        <v/>
      </c>
    </row>
    <row r="132">
      <c r="A132" s="6" t="n">
        <v>128</v>
      </c>
      <c r="B132" s="15">
        <f>IF(COB_CA!$B$38=12,DATE(YEAR(COB_CA!$B$19)+INT((MONTH(COB_CA!$B$19)-1+127)/12),MOD(MONTH(COB_CA!$B$19)-1+127,12)+1,1)+(DAY(COB_CA!$B$19)-1),IF(COB_CA!$B$38=24,COB_CA!$B$19+ROUND((127*365.25)/24,0),IF(COB_CA!$B$38=26,COB_CA!$B$19+1778,COB_CA!$B$19+889)))</f>
        <v/>
      </c>
      <c r="C132" s="12">
        <f>B132-B131</f>
        <v/>
      </c>
      <c r="D132" s="14">
        <f>N131</f>
        <v/>
      </c>
      <c r="E132" s="14">
        <f>D132*COB_CA!$B$40/100*(IF(YEAR(B131)=YEAR(B132),(B132-B131)/IF(AND(MOD(YEAR(B132),4)=0,OR(MOD(YEAR(B132),100)&lt;&gt;0,MOD(YEAR(B132),400)=0)),366,365),(((DATE(YEAR(B131)+1,1,1)))-B131)/IF(AND(MOD(YEAR(B131),4)=0,OR(MOD(YEAR(B131),100)&lt;&gt;0,MOD(YEAR(B131),400)=0)),366,365)+(B132-((DATE(YEAR(B131)+1,1,1))))/IF(AND(MOD(YEAR(B132),4)=0,OR(MOD(YEAR(B132),100)&lt;&gt;0,MOD(YEAR(B132),400)=0)),366,365)))</f>
        <v/>
      </c>
      <c r="F132" s="14">
        <f>L131</f>
        <v/>
      </c>
      <c r="G132" s="14">
        <f>M131</f>
        <v/>
      </c>
      <c r="H132" s="14">
        <f>IF((((COB_CA!$B$18-I132)-J132)&gt;D132),I132+J132+K132,COB_CA!$B$18)</f>
        <v/>
      </c>
      <c r="I132" s="14">
        <f>MIN(COB_CA!$B$18,(E132+F132))</f>
        <v/>
      </c>
      <c r="J132" s="14">
        <f>MIN((COB_CA!$B$18-I132),G132)</f>
        <v/>
      </c>
      <c r="K132" s="14">
        <f>MIN(((COB_CA!$B$18-I132)-J132),D132)</f>
        <v/>
      </c>
      <c r="L132" s="14">
        <f>E132+F132-I132</f>
        <v/>
      </c>
      <c r="M132" s="14">
        <f>G132-J132</f>
        <v/>
      </c>
      <c r="N132" s="14">
        <f>D132-K132</f>
        <v/>
      </c>
      <c r="O132" s="6">
        <f>AND(D132&gt;0,B132&lt;=COB_CA!$B$20)</f>
        <v/>
      </c>
    </row>
    <row r="133">
      <c r="A133" s="6" t="n">
        <v>129</v>
      </c>
      <c r="B133" s="15">
        <f>IF(COB_CA!$B$38=12,DATE(YEAR(COB_CA!$B$19)+INT((MONTH(COB_CA!$B$19)-1+128)/12),MOD(MONTH(COB_CA!$B$19)-1+128,12)+1,1)+(DAY(COB_CA!$B$19)-1),IF(COB_CA!$B$38=24,COB_CA!$B$19+ROUND((128*365.25)/24,0),IF(COB_CA!$B$38=26,COB_CA!$B$19+1792,COB_CA!$B$19+896)))</f>
        <v/>
      </c>
      <c r="C133" s="12">
        <f>B133-B132</f>
        <v/>
      </c>
      <c r="D133" s="14">
        <f>N132</f>
        <v/>
      </c>
      <c r="E133" s="14">
        <f>D133*COB_CA!$B$40/100*(IF(YEAR(B132)=YEAR(B133),(B133-B132)/IF(AND(MOD(YEAR(B133),4)=0,OR(MOD(YEAR(B133),100)&lt;&gt;0,MOD(YEAR(B133),400)=0)),366,365),(((DATE(YEAR(B132)+1,1,1)))-B132)/IF(AND(MOD(YEAR(B132),4)=0,OR(MOD(YEAR(B132),100)&lt;&gt;0,MOD(YEAR(B132),400)=0)),366,365)+(B133-((DATE(YEAR(B132)+1,1,1))))/IF(AND(MOD(YEAR(B133),4)=0,OR(MOD(YEAR(B133),100)&lt;&gt;0,MOD(YEAR(B133),400)=0)),366,365)))</f>
        <v/>
      </c>
      <c r="F133" s="14">
        <f>L132</f>
        <v/>
      </c>
      <c r="G133" s="14">
        <f>M132</f>
        <v/>
      </c>
      <c r="H133" s="14">
        <f>IF((((COB_CA!$B$18-I133)-J133)&gt;D133),I133+J133+K133,COB_CA!$B$18)</f>
        <v/>
      </c>
      <c r="I133" s="14">
        <f>MIN(COB_CA!$B$18,(E133+F133))</f>
        <v/>
      </c>
      <c r="J133" s="14">
        <f>MIN((COB_CA!$B$18-I133),G133)</f>
        <v/>
      </c>
      <c r="K133" s="14">
        <f>MIN(((COB_CA!$B$18-I133)-J133),D133)</f>
        <v/>
      </c>
      <c r="L133" s="14">
        <f>E133+F133-I133</f>
        <v/>
      </c>
      <c r="M133" s="14">
        <f>G133-J133</f>
        <v/>
      </c>
      <c r="N133" s="14">
        <f>D133-K133</f>
        <v/>
      </c>
      <c r="O133" s="6">
        <f>AND(D133&gt;0,B133&lt;=COB_CA!$B$20)</f>
        <v/>
      </c>
    </row>
    <row r="134">
      <c r="A134" s="6" t="n">
        <v>130</v>
      </c>
      <c r="B134" s="15">
        <f>IF(COB_CA!$B$38=12,DATE(YEAR(COB_CA!$B$19)+INT((MONTH(COB_CA!$B$19)-1+129)/12),MOD(MONTH(COB_CA!$B$19)-1+129,12)+1,1)+(DAY(COB_CA!$B$19)-1),IF(COB_CA!$B$38=24,COB_CA!$B$19+ROUND((129*365.25)/24,0),IF(COB_CA!$B$38=26,COB_CA!$B$19+1806,COB_CA!$B$19+903)))</f>
        <v/>
      </c>
      <c r="C134" s="12">
        <f>B134-B133</f>
        <v/>
      </c>
      <c r="D134" s="14">
        <f>N133</f>
        <v/>
      </c>
      <c r="E134" s="14">
        <f>D134*COB_CA!$B$40/100*(IF(YEAR(B133)=YEAR(B134),(B134-B133)/IF(AND(MOD(YEAR(B134),4)=0,OR(MOD(YEAR(B134),100)&lt;&gt;0,MOD(YEAR(B134),400)=0)),366,365),(((DATE(YEAR(B133)+1,1,1)))-B133)/IF(AND(MOD(YEAR(B133),4)=0,OR(MOD(YEAR(B133),100)&lt;&gt;0,MOD(YEAR(B133),400)=0)),366,365)+(B134-((DATE(YEAR(B133)+1,1,1))))/IF(AND(MOD(YEAR(B134),4)=0,OR(MOD(YEAR(B134),100)&lt;&gt;0,MOD(YEAR(B134),400)=0)),366,365)))</f>
        <v/>
      </c>
      <c r="F134" s="14">
        <f>L133</f>
        <v/>
      </c>
      <c r="G134" s="14">
        <f>M133</f>
        <v/>
      </c>
      <c r="H134" s="14">
        <f>IF((((COB_CA!$B$18-I134)-J134)&gt;D134),I134+J134+K134,COB_CA!$B$18)</f>
        <v/>
      </c>
      <c r="I134" s="14">
        <f>MIN(COB_CA!$B$18,(E134+F134))</f>
        <v/>
      </c>
      <c r="J134" s="14">
        <f>MIN((COB_CA!$B$18-I134),G134)</f>
        <v/>
      </c>
      <c r="K134" s="14">
        <f>MIN(((COB_CA!$B$18-I134)-J134),D134)</f>
        <v/>
      </c>
      <c r="L134" s="14">
        <f>E134+F134-I134</f>
        <v/>
      </c>
      <c r="M134" s="14">
        <f>G134-J134</f>
        <v/>
      </c>
      <c r="N134" s="14">
        <f>D134-K134</f>
        <v/>
      </c>
      <c r="O134" s="6">
        <f>AND(D134&gt;0,B134&lt;=COB_CA!$B$20)</f>
        <v/>
      </c>
    </row>
    <row r="135">
      <c r="A135" s="6" t="n">
        <v>131</v>
      </c>
      <c r="B135" s="15">
        <f>IF(COB_CA!$B$38=12,DATE(YEAR(COB_CA!$B$19)+INT((MONTH(COB_CA!$B$19)-1+130)/12),MOD(MONTH(COB_CA!$B$19)-1+130,12)+1,1)+(DAY(COB_CA!$B$19)-1),IF(COB_CA!$B$38=24,COB_CA!$B$19+ROUND((130*365.25)/24,0),IF(COB_CA!$B$38=26,COB_CA!$B$19+1820,COB_CA!$B$19+910)))</f>
        <v/>
      </c>
      <c r="C135" s="12">
        <f>B135-B134</f>
        <v/>
      </c>
      <c r="D135" s="14">
        <f>N134</f>
        <v/>
      </c>
      <c r="E135" s="14">
        <f>D135*COB_CA!$B$40/100*(IF(YEAR(B134)=YEAR(B135),(B135-B134)/IF(AND(MOD(YEAR(B135),4)=0,OR(MOD(YEAR(B135),100)&lt;&gt;0,MOD(YEAR(B135),400)=0)),366,365),(((DATE(YEAR(B134)+1,1,1)))-B134)/IF(AND(MOD(YEAR(B134),4)=0,OR(MOD(YEAR(B134),100)&lt;&gt;0,MOD(YEAR(B134),400)=0)),366,365)+(B135-((DATE(YEAR(B134)+1,1,1))))/IF(AND(MOD(YEAR(B135),4)=0,OR(MOD(YEAR(B135),100)&lt;&gt;0,MOD(YEAR(B135),400)=0)),366,365)))</f>
        <v/>
      </c>
      <c r="F135" s="14">
        <f>L134</f>
        <v/>
      </c>
      <c r="G135" s="14">
        <f>M134</f>
        <v/>
      </c>
      <c r="H135" s="14">
        <f>IF((((COB_CA!$B$18-I135)-J135)&gt;D135),I135+J135+K135,COB_CA!$B$18)</f>
        <v/>
      </c>
      <c r="I135" s="14">
        <f>MIN(COB_CA!$B$18,(E135+F135))</f>
        <v/>
      </c>
      <c r="J135" s="14">
        <f>MIN((COB_CA!$B$18-I135),G135)</f>
        <v/>
      </c>
      <c r="K135" s="14">
        <f>MIN(((COB_CA!$B$18-I135)-J135),D135)</f>
        <v/>
      </c>
      <c r="L135" s="14">
        <f>E135+F135-I135</f>
        <v/>
      </c>
      <c r="M135" s="14">
        <f>G135-J135</f>
        <v/>
      </c>
      <c r="N135" s="14">
        <f>D135-K135</f>
        <v/>
      </c>
      <c r="O135" s="6">
        <f>AND(D135&gt;0,B135&lt;=COB_CA!$B$20)</f>
        <v/>
      </c>
    </row>
    <row r="136">
      <c r="A136" s="6" t="n">
        <v>132</v>
      </c>
      <c r="B136" s="15">
        <f>IF(COB_CA!$B$38=12,DATE(YEAR(COB_CA!$B$19)+INT((MONTH(COB_CA!$B$19)-1+131)/12),MOD(MONTH(COB_CA!$B$19)-1+131,12)+1,1)+(DAY(COB_CA!$B$19)-1),IF(COB_CA!$B$38=24,COB_CA!$B$19+ROUND((131*365.25)/24,0),IF(COB_CA!$B$38=26,COB_CA!$B$19+1834,COB_CA!$B$19+917)))</f>
        <v/>
      </c>
      <c r="C136" s="12">
        <f>B136-B135</f>
        <v/>
      </c>
      <c r="D136" s="14">
        <f>N135</f>
        <v/>
      </c>
      <c r="E136" s="14">
        <f>D136*COB_CA!$B$40/100*(IF(YEAR(B135)=YEAR(B136),(B136-B135)/IF(AND(MOD(YEAR(B136),4)=0,OR(MOD(YEAR(B136),100)&lt;&gt;0,MOD(YEAR(B136),400)=0)),366,365),(((DATE(YEAR(B135)+1,1,1)))-B135)/IF(AND(MOD(YEAR(B135),4)=0,OR(MOD(YEAR(B135),100)&lt;&gt;0,MOD(YEAR(B135),400)=0)),366,365)+(B136-((DATE(YEAR(B135)+1,1,1))))/IF(AND(MOD(YEAR(B136),4)=0,OR(MOD(YEAR(B136),100)&lt;&gt;0,MOD(YEAR(B136),400)=0)),366,365)))</f>
        <v/>
      </c>
      <c r="F136" s="14">
        <f>L135</f>
        <v/>
      </c>
      <c r="G136" s="14">
        <f>M135</f>
        <v/>
      </c>
      <c r="H136" s="14">
        <f>IF((((COB_CA!$B$18-I136)-J136)&gt;D136),I136+J136+K136,COB_CA!$B$18)</f>
        <v/>
      </c>
      <c r="I136" s="14">
        <f>MIN(COB_CA!$B$18,(E136+F136))</f>
        <v/>
      </c>
      <c r="J136" s="14">
        <f>MIN((COB_CA!$B$18-I136),G136)</f>
        <v/>
      </c>
      <c r="K136" s="14">
        <f>MIN(((COB_CA!$B$18-I136)-J136),D136)</f>
        <v/>
      </c>
      <c r="L136" s="14">
        <f>E136+F136-I136</f>
        <v/>
      </c>
      <c r="M136" s="14">
        <f>G136-J136</f>
        <v/>
      </c>
      <c r="N136" s="14">
        <f>D136-K136</f>
        <v/>
      </c>
      <c r="O136" s="6">
        <f>AND(D136&gt;0,B136&lt;=COB_CA!$B$20)</f>
        <v/>
      </c>
    </row>
    <row r="137">
      <c r="A137" s="6" t="n">
        <v>133</v>
      </c>
      <c r="B137" s="15">
        <f>IF(COB_CA!$B$38=12,DATE(YEAR(COB_CA!$B$19)+INT((MONTH(COB_CA!$B$19)-1+132)/12),MOD(MONTH(COB_CA!$B$19)-1+132,12)+1,1)+(DAY(COB_CA!$B$19)-1),IF(COB_CA!$B$38=24,COB_CA!$B$19+ROUND((132*365.25)/24,0),IF(COB_CA!$B$38=26,COB_CA!$B$19+1848,COB_CA!$B$19+924)))</f>
        <v/>
      </c>
      <c r="C137" s="12">
        <f>B137-B136</f>
        <v/>
      </c>
      <c r="D137" s="14">
        <f>N136</f>
        <v/>
      </c>
      <c r="E137" s="14">
        <f>D137*COB_CA!$B$40/100*(IF(YEAR(B136)=YEAR(B137),(B137-B136)/IF(AND(MOD(YEAR(B137),4)=0,OR(MOD(YEAR(B137),100)&lt;&gt;0,MOD(YEAR(B137),400)=0)),366,365),(((DATE(YEAR(B136)+1,1,1)))-B136)/IF(AND(MOD(YEAR(B136),4)=0,OR(MOD(YEAR(B136),100)&lt;&gt;0,MOD(YEAR(B136),400)=0)),366,365)+(B137-((DATE(YEAR(B136)+1,1,1))))/IF(AND(MOD(YEAR(B137),4)=0,OR(MOD(YEAR(B137),100)&lt;&gt;0,MOD(YEAR(B137),400)=0)),366,365)))</f>
        <v/>
      </c>
      <c r="F137" s="14">
        <f>L136</f>
        <v/>
      </c>
      <c r="G137" s="14">
        <f>M136</f>
        <v/>
      </c>
      <c r="H137" s="14">
        <f>IF((((COB_CA!$B$18-I137)-J137)&gt;D137),I137+J137+K137,COB_CA!$B$18)</f>
        <v/>
      </c>
      <c r="I137" s="14">
        <f>MIN(COB_CA!$B$18,(E137+F137))</f>
        <v/>
      </c>
      <c r="J137" s="14">
        <f>MIN((COB_CA!$B$18-I137),G137)</f>
        <v/>
      </c>
      <c r="K137" s="14">
        <f>MIN(((COB_CA!$B$18-I137)-J137),D137)</f>
        <v/>
      </c>
      <c r="L137" s="14">
        <f>E137+F137-I137</f>
        <v/>
      </c>
      <c r="M137" s="14">
        <f>G137-J137</f>
        <v/>
      </c>
      <c r="N137" s="14">
        <f>D137-K137</f>
        <v/>
      </c>
      <c r="O137" s="6">
        <f>AND(D137&gt;0,B137&lt;=COB_CA!$B$20)</f>
        <v/>
      </c>
    </row>
    <row r="138">
      <c r="A138" s="6" t="n">
        <v>134</v>
      </c>
      <c r="B138" s="15">
        <f>IF(COB_CA!$B$38=12,DATE(YEAR(COB_CA!$B$19)+INT((MONTH(COB_CA!$B$19)-1+133)/12),MOD(MONTH(COB_CA!$B$19)-1+133,12)+1,1)+(DAY(COB_CA!$B$19)-1),IF(COB_CA!$B$38=24,COB_CA!$B$19+ROUND((133*365.25)/24,0),IF(COB_CA!$B$38=26,COB_CA!$B$19+1862,COB_CA!$B$19+931)))</f>
        <v/>
      </c>
      <c r="C138" s="12">
        <f>B138-B137</f>
        <v/>
      </c>
      <c r="D138" s="14">
        <f>N137</f>
        <v/>
      </c>
      <c r="E138" s="14">
        <f>D138*COB_CA!$B$40/100*(IF(YEAR(B137)=YEAR(B138),(B138-B137)/IF(AND(MOD(YEAR(B138),4)=0,OR(MOD(YEAR(B138),100)&lt;&gt;0,MOD(YEAR(B138),400)=0)),366,365),(((DATE(YEAR(B137)+1,1,1)))-B137)/IF(AND(MOD(YEAR(B137),4)=0,OR(MOD(YEAR(B137),100)&lt;&gt;0,MOD(YEAR(B137),400)=0)),366,365)+(B138-((DATE(YEAR(B137)+1,1,1))))/IF(AND(MOD(YEAR(B138),4)=0,OR(MOD(YEAR(B138),100)&lt;&gt;0,MOD(YEAR(B138),400)=0)),366,365)))</f>
        <v/>
      </c>
      <c r="F138" s="14">
        <f>L137</f>
        <v/>
      </c>
      <c r="G138" s="14">
        <f>M137</f>
        <v/>
      </c>
      <c r="H138" s="14">
        <f>IF((((COB_CA!$B$18-I138)-J138)&gt;D138),I138+J138+K138,COB_CA!$B$18)</f>
        <v/>
      </c>
      <c r="I138" s="14">
        <f>MIN(COB_CA!$B$18,(E138+F138))</f>
        <v/>
      </c>
      <c r="J138" s="14">
        <f>MIN((COB_CA!$B$18-I138),G138)</f>
        <v/>
      </c>
      <c r="K138" s="14">
        <f>MIN(((COB_CA!$B$18-I138)-J138),D138)</f>
        <v/>
      </c>
      <c r="L138" s="14">
        <f>E138+F138-I138</f>
        <v/>
      </c>
      <c r="M138" s="14">
        <f>G138-J138</f>
        <v/>
      </c>
      <c r="N138" s="14">
        <f>D138-K138</f>
        <v/>
      </c>
      <c r="O138" s="6">
        <f>AND(D138&gt;0,B138&lt;=COB_CA!$B$20)</f>
        <v/>
      </c>
    </row>
    <row r="139">
      <c r="A139" s="6" t="n">
        <v>135</v>
      </c>
      <c r="B139" s="15">
        <f>IF(COB_CA!$B$38=12,DATE(YEAR(COB_CA!$B$19)+INT((MONTH(COB_CA!$B$19)-1+134)/12),MOD(MONTH(COB_CA!$B$19)-1+134,12)+1,1)+(DAY(COB_CA!$B$19)-1),IF(COB_CA!$B$38=24,COB_CA!$B$19+ROUND((134*365.25)/24,0),IF(COB_CA!$B$38=26,COB_CA!$B$19+1876,COB_CA!$B$19+938)))</f>
        <v/>
      </c>
      <c r="C139" s="12">
        <f>B139-B138</f>
        <v/>
      </c>
      <c r="D139" s="14">
        <f>N138</f>
        <v/>
      </c>
      <c r="E139" s="14">
        <f>D139*COB_CA!$B$40/100*(IF(YEAR(B138)=YEAR(B139),(B139-B138)/IF(AND(MOD(YEAR(B139),4)=0,OR(MOD(YEAR(B139),100)&lt;&gt;0,MOD(YEAR(B139),400)=0)),366,365),(((DATE(YEAR(B138)+1,1,1)))-B138)/IF(AND(MOD(YEAR(B138),4)=0,OR(MOD(YEAR(B138),100)&lt;&gt;0,MOD(YEAR(B138),400)=0)),366,365)+(B139-((DATE(YEAR(B138)+1,1,1))))/IF(AND(MOD(YEAR(B139),4)=0,OR(MOD(YEAR(B139),100)&lt;&gt;0,MOD(YEAR(B139),400)=0)),366,365)))</f>
        <v/>
      </c>
      <c r="F139" s="14">
        <f>L138</f>
        <v/>
      </c>
      <c r="G139" s="14">
        <f>M138</f>
        <v/>
      </c>
      <c r="H139" s="14">
        <f>IF((((COB_CA!$B$18-I139)-J139)&gt;D139),I139+J139+K139,COB_CA!$B$18)</f>
        <v/>
      </c>
      <c r="I139" s="14">
        <f>MIN(COB_CA!$B$18,(E139+F139))</f>
        <v/>
      </c>
      <c r="J139" s="14">
        <f>MIN((COB_CA!$B$18-I139),G139)</f>
        <v/>
      </c>
      <c r="K139" s="14">
        <f>MIN(((COB_CA!$B$18-I139)-J139),D139)</f>
        <v/>
      </c>
      <c r="L139" s="14">
        <f>E139+F139-I139</f>
        <v/>
      </c>
      <c r="M139" s="14">
        <f>G139-J139</f>
        <v/>
      </c>
      <c r="N139" s="14">
        <f>D139-K139</f>
        <v/>
      </c>
      <c r="O139" s="6">
        <f>AND(D139&gt;0,B139&lt;=COB_CA!$B$20)</f>
        <v/>
      </c>
    </row>
    <row r="140">
      <c r="A140" s="6" t="n">
        <v>136</v>
      </c>
      <c r="B140" s="15">
        <f>IF(COB_CA!$B$38=12,DATE(YEAR(COB_CA!$B$19)+INT((MONTH(COB_CA!$B$19)-1+135)/12),MOD(MONTH(COB_CA!$B$19)-1+135,12)+1,1)+(DAY(COB_CA!$B$19)-1),IF(COB_CA!$B$38=24,COB_CA!$B$19+ROUND((135*365.25)/24,0),IF(COB_CA!$B$38=26,COB_CA!$B$19+1890,COB_CA!$B$19+945)))</f>
        <v/>
      </c>
      <c r="C140" s="12">
        <f>B140-B139</f>
        <v/>
      </c>
      <c r="D140" s="14">
        <f>N139</f>
        <v/>
      </c>
      <c r="E140" s="14">
        <f>D140*COB_CA!$B$40/100*(IF(YEAR(B139)=YEAR(B140),(B140-B139)/IF(AND(MOD(YEAR(B140),4)=0,OR(MOD(YEAR(B140),100)&lt;&gt;0,MOD(YEAR(B140),400)=0)),366,365),(((DATE(YEAR(B139)+1,1,1)))-B139)/IF(AND(MOD(YEAR(B139),4)=0,OR(MOD(YEAR(B139),100)&lt;&gt;0,MOD(YEAR(B139),400)=0)),366,365)+(B140-((DATE(YEAR(B139)+1,1,1))))/IF(AND(MOD(YEAR(B140),4)=0,OR(MOD(YEAR(B140),100)&lt;&gt;0,MOD(YEAR(B140),400)=0)),366,365)))</f>
        <v/>
      </c>
      <c r="F140" s="14">
        <f>L139</f>
        <v/>
      </c>
      <c r="G140" s="14">
        <f>M139</f>
        <v/>
      </c>
      <c r="H140" s="14">
        <f>IF((((COB_CA!$B$18-I140)-J140)&gt;D140),I140+J140+K140,COB_CA!$B$18)</f>
        <v/>
      </c>
      <c r="I140" s="14">
        <f>MIN(COB_CA!$B$18,(E140+F140))</f>
        <v/>
      </c>
      <c r="J140" s="14">
        <f>MIN((COB_CA!$B$18-I140),G140)</f>
        <v/>
      </c>
      <c r="K140" s="14">
        <f>MIN(((COB_CA!$B$18-I140)-J140),D140)</f>
        <v/>
      </c>
      <c r="L140" s="14">
        <f>E140+F140-I140</f>
        <v/>
      </c>
      <c r="M140" s="14">
        <f>G140-J140</f>
        <v/>
      </c>
      <c r="N140" s="14">
        <f>D140-K140</f>
        <v/>
      </c>
      <c r="O140" s="6">
        <f>AND(D140&gt;0,B140&lt;=COB_CA!$B$20)</f>
        <v/>
      </c>
    </row>
    <row r="141">
      <c r="A141" s="6" t="n">
        <v>137</v>
      </c>
      <c r="B141" s="15">
        <f>IF(COB_CA!$B$38=12,DATE(YEAR(COB_CA!$B$19)+INT((MONTH(COB_CA!$B$19)-1+136)/12),MOD(MONTH(COB_CA!$B$19)-1+136,12)+1,1)+(DAY(COB_CA!$B$19)-1),IF(COB_CA!$B$38=24,COB_CA!$B$19+ROUND((136*365.25)/24,0),IF(COB_CA!$B$38=26,COB_CA!$B$19+1904,COB_CA!$B$19+952)))</f>
        <v/>
      </c>
      <c r="C141" s="12">
        <f>B141-B140</f>
        <v/>
      </c>
      <c r="D141" s="14">
        <f>N140</f>
        <v/>
      </c>
      <c r="E141" s="14">
        <f>D141*COB_CA!$B$40/100*(IF(YEAR(B140)=YEAR(B141),(B141-B140)/IF(AND(MOD(YEAR(B141),4)=0,OR(MOD(YEAR(B141),100)&lt;&gt;0,MOD(YEAR(B141),400)=0)),366,365),(((DATE(YEAR(B140)+1,1,1)))-B140)/IF(AND(MOD(YEAR(B140),4)=0,OR(MOD(YEAR(B140),100)&lt;&gt;0,MOD(YEAR(B140),400)=0)),366,365)+(B141-((DATE(YEAR(B140)+1,1,1))))/IF(AND(MOD(YEAR(B141),4)=0,OR(MOD(YEAR(B141),100)&lt;&gt;0,MOD(YEAR(B141),400)=0)),366,365)))</f>
        <v/>
      </c>
      <c r="F141" s="14">
        <f>L140</f>
        <v/>
      </c>
      <c r="G141" s="14">
        <f>M140</f>
        <v/>
      </c>
      <c r="H141" s="14">
        <f>IF((((COB_CA!$B$18-I141)-J141)&gt;D141),I141+J141+K141,COB_CA!$B$18)</f>
        <v/>
      </c>
      <c r="I141" s="14">
        <f>MIN(COB_CA!$B$18,(E141+F141))</f>
        <v/>
      </c>
      <c r="J141" s="14">
        <f>MIN((COB_CA!$B$18-I141),G141)</f>
        <v/>
      </c>
      <c r="K141" s="14">
        <f>MIN(((COB_CA!$B$18-I141)-J141),D141)</f>
        <v/>
      </c>
      <c r="L141" s="14">
        <f>E141+F141-I141</f>
        <v/>
      </c>
      <c r="M141" s="14">
        <f>G141-J141</f>
        <v/>
      </c>
      <c r="N141" s="14">
        <f>D141-K141</f>
        <v/>
      </c>
      <c r="O141" s="6">
        <f>AND(D141&gt;0,B141&lt;=COB_CA!$B$20)</f>
        <v/>
      </c>
    </row>
    <row r="142">
      <c r="A142" s="6" t="n">
        <v>138</v>
      </c>
      <c r="B142" s="15">
        <f>IF(COB_CA!$B$38=12,DATE(YEAR(COB_CA!$B$19)+INT((MONTH(COB_CA!$B$19)-1+137)/12),MOD(MONTH(COB_CA!$B$19)-1+137,12)+1,1)+(DAY(COB_CA!$B$19)-1),IF(COB_CA!$B$38=24,COB_CA!$B$19+ROUND((137*365.25)/24,0),IF(COB_CA!$B$38=26,COB_CA!$B$19+1918,COB_CA!$B$19+959)))</f>
        <v/>
      </c>
      <c r="C142" s="12">
        <f>B142-B141</f>
        <v/>
      </c>
      <c r="D142" s="14">
        <f>N141</f>
        <v/>
      </c>
      <c r="E142" s="14">
        <f>D142*COB_CA!$B$40/100*(IF(YEAR(B141)=YEAR(B142),(B142-B141)/IF(AND(MOD(YEAR(B142),4)=0,OR(MOD(YEAR(B142),100)&lt;&gt;0,MOD(YEAR(B142),400)=0)),366,365),(((DATE(YEAR(B141)+1,1,1)))-B141)/IF(AND(MOD(YEAR(B141),4)=0,OR(MOD(YEAR(B141),100)&lt;&gt;0,MOD(YEAR(B141),400)=0)),366,365)+(B142-((DATE(YEAR(B141)+1,1,1))))/IF(AND(MOD(YEAR(B142),4)=0,OR(MOD(YEAR(B142),100)&lt;&gt;0,MOD(YEAR(B142),400)=0)),366,365)))</f>
        <v/>
      </c>
      <c r="F142" s="14">
        <f>L141</f>
        <v/>
      </c>
      <c r="G142" s="14">
        <f>M141</f>
        <v/>
      </c>
      <c r="H142" s="14">
        <f>IF((((COB_CA!$B$18-I142)-J142)&gt;D142),I142+J142+K142,COB_CA!$B$18)</f>
        <v/>
      </c>
      <c r="I142" s="14">
        <f>MIN(COB_CA!$B$18,(E142+F142))</f>
        <v/>
      </c>
      <c r="J142" s="14">
        <f>MIN((COB_CA!$B$18-I142),G142)</f>
        <v/>
      </c>
      <c r="K142" s="14">
        <f>MIN(((COB_CA!$B$18-I142)-J142),D142)</f>
        <v/>
      </c>
      <c r="L142" s="14">
        <f>E142+F142-I142</f>
        <v/>
      </c>
      <c r="M142" s="14">
        <f>G142-J142</f>
        <v/>
      </c>
      <c r="N142" s="14">
        <f>D142-K142</f>
        <v/>
      </c>
      <c r="O142" s="6">
        <f>AND(D142&gt;0,B142&lt;=COB_CA!$B$20)</f>
        <v/>
      </c>
    </row>
    <row r="143">
      <c r="A143" s="6" t="n">
        <v>139</v>
      </c>
      <c r="B143" s="15">
        <f>IF(COB_CA!$B$38=12,DATE(YEAR(COB_CA!$B$19)+INT((MONTH(COB_CA!$B$19)-1+138)/12),MOD(MONTH(COB_CA!$B$19)-1+138,12)+1,1)+(DAY(COB_CA!$B$19)-1),IF(COB_CA!$B$38=24,COB_CA!$B$19+ROUND((138*365.25)/24,0),IF(COB_CA!$B$38=26,COB_CA!$B$19+1932,COB_CA!$B$19+966)))</f>
        <v/>
      </c>
      <c r="C143" s="12">
        <f>B143-B142</f>
        <v/>
      </c>
      <c r="D143" s="14">
        <f>N142</f>
        <v/>
      </c>
      <c r="E143" s="14">
        <f>D143*COB_CA!$B$40/100*(IF(YEAR(B142)=YEAR(B143),(B143-B142)/IF(AND(MOD(YEAR(B143),4)=0,OR(MOD(YEAR(B143),100)&lt;&gt;0,MOD(YEAR(B143),400)=0)),366,365),(((DATE(YEAR(B142)+1,1,1)))-B142)/IF(AND(MOD(YEAR(B142),4)=0,OR(MOD(YEAR(B142),100)&lt;&gt;0,MOD(YEAR(B142),400)=0)),366,365)+(B143-((DATE(YEAR(B142)+1,1,1))))/IF(AND(MOD(YEAR(B143),4)=0,OR(MOD(YEAR(B143),100)&lt;&gt;0,MOD(YEAR(B143),400)=0)),366,365)))</f>
        <v/>
      </c>
      <c r="F143" s="14">
        <f>L142</f>
        <v/>
      </c>
      <c r="G143" s="14">
        <f>M142</f>
        <v/>
      </c>
      <c r="H143" s="14">
        <f>IF((((COB_CA!$B$18-I143)-J143)&gt;D143),I143+J143+K143,COB_CA!$B$18)</f>
        <v/>
      </c>
      <c r="I143" s="14">
        <f>MIN(COB_CA!$B$18,(E143+F143))</f>
        <v/>
      </c>
      <c r="J143" s="14">
        <f>MIN((COB_CA!$B$18-I143),G143)</f>
        <v/>
      </c>
      <c r="K143" s="14">
        <f>MIN(((COB_CA!$B$18-I143)-J143),D143)</f>
        <v/>
      </c>
      <c r="L143" s="14">
        <f>E143+F143-I143</f>
        <v/>
      </c>
      <c r="M143" s="14">
        <f>G143-J143</f>
        <v/>
      </c>
      <c r="N143" s="14">
        <f>D143-K143</f>
        <v/>
      </c>
      <c r="O143" s="6">
        <f>AND(D143&gt;0,B143&lt;=COB_CA!$B$20)</f>
        <v/>
      </c>
    </row>
    <row r="144">
      <c r="A144" s="6" t="n">
        <v>140</v>
      </c>
      <c r="B144" s="15">
        <f>IF(COB_CA!$B$38=12,DATE(YEAR(COB_CA!$B$19)+INT((MONTH(COB_CA!$B$19)-1+139)/12),MOD(MONTH(COB_CA!$B$19)-1+139,12)+1,1)+(DAY(COB_CA!$B$19)-1),IF(COB_CA!$B$38=24,COB_CA!$B$19+ROUND((139*365.25)/24,0),IF(COB_CA!$B$38=26,COB_CA!$B$19+1946,COB_CA!$B$19+973)))</f>
        <v/>
      </c>
      <c r="C144" s="12">
        <f>B144-B143</f>
        <v/>
      </c>
      <c r="D144" s="14">
        <f>N143</f>
        <v/>
      </c>
      <c r="E144" s="14">
        <f>D144*COB_CA!$B$40/100*(IF(YEAR(B143)=YEAR(B144),(B144-B143)/IF(AND(MOD(YEAR(B144),4)=0,OR(MOD(YEAR(B144),100)&lt;&gt;0,MOD(YEAR(B144),400)=0)),366,365),(((DATE(YEAR(B143)+1,1,1)))-B143)/IF(AND(MOD(YEAR(B143),4)=0,OR(MOD(YEAR(B143),100)&lt;&gt;0,MOD(YEAR(B143),400)=0)),366,365)+(B144-((DATE(YEAR(B143)+1,1,1))))/IF(AND(MOD(YEAR(B144),4)=0,OR(MOD(YEAR(B144),100)&lt;&gt;0,MOD(YEAR(B144),400)=0)),366,365)))</f>
        <v/>
      </c>
      <c r="F144" s="14">
        <f>L143</f>
        <v/>
      </c>
      <c r="G144" s="14">
        <f>M143</f>
        <v/>
      </c>
      <c r="H144" s="14">
        <f>IF((((COB_CA!$B$18-I144)-J144)&gt;D144),I144+J144+K144,COB_CA!$B$18)</f>
        <v/>
      </c>
      <c r="I144" s="14">
        <f>MIN(COB_CA!$B$18,(E144+F144))</f>
        <v/>
      </c>
      <c r="J144" s="14">
        <f>MIN((COB_CA!$B$18-I144),G144)</f>
        <v/>
      </c>
      <c r="K144" s="14">
        <f>MIN(((COB_CA!$B$18-I144)-J144),D144)</f>
        <v/>
      </c>
      <c r="L144" s="14">
        <f>E144+F144-I144</f>
        <v/>
      </c>
      <c r="M144" s="14">
        <f>G144-J144</f>
        <v/>
      </c>
      <c r="N144" s="14">
        <f>D144-K144</f>
        <v/>
      </c>
      <c r="O144" s="6">
        <f>AND(D144&gt;0,B144&lt;=COB_CA!$B$20)</f>
        <v/>
      </c>
    </row>
    <row r="145">
      <c r="A145" s="6" t="n">
        <v>141</v>
      </c>
      <c r="B145" s="15">
        <f>IF(COB_CA!$B$38=12,DATE(YEAR(COB_CA!$B$19)+INT((MONTH(COB_CA!$B$19)-1+140)/12),MOD(MONTH(COB_CA!$B$19)-1+140,12)+1,1)+(DAY(COB_CA!$B$19)-1),IF(COB_CA!$B$38=24,COB_CA!$B$19+ROUND((140*365.25)/24,0),IF(COB_CA!$B$38=26,COB_CA!$B$19+1960,COB_CA!$B$19+980)))</f>
        <v/>
      </c>
      <c r="C145" s="12">
        <f>B145-B144</f>
        <v/>
      </c>
      <c r="D145" s="14">
        <f>N144</f>
        <v/>
      </c>
      <c r="E145" s="14">
        <f>D145*COB_CA!$B$40/100*(IF(YEAR(B144)=YEAR(B145),(B145-B144)/IF(AND(MOD(YEAR(B145),4)=0,OR(MOD(YEAR(B145),100)&lt;&gt;0,MOD(YEAR(B145),400)=0)),366,365),(((DATE(YEAR(B144)+1,1,1)))-B144)/IF(AND(MOD(YEAR(B144),4)=0,OR(MOD(YEAR(B144),100)&lt;&gt;0,MOD(YEAR(B144),400)=0)),366,365)+(B145-((DATE(YEAR(B144)+1,1,1))))/IF(AND(MOD(YEAR(B145),4)=0,OR(MOD(YEAR(B145),100)&lt;&gt;0,MOD(YEAR(B145),400)=0)),366,365)))</f>
        <v/>
      </c>
      <c r="F145" s="14">
        <f>L144</f>
        <v/>
      </c>
      <c r="G145" s="14">
        <f>M144</f>
        <v/>
      </c>
      <c r="H145" s="14">
        <f>IF((((COB_CA!$B$18-I145)-J145)&gt;D145),I145+J145+K145,COB_CA!$B$18)</f>
        <v/>
      </c>
      <c r="I145" s="14">
        <f>MIN(COB_CA!$B$18,(E145+F145))</f>
        <v/>
      </c>
      <c r="J145" s="14">
        <f>MIN((COB_CA!$B$18-I145),G145)</f>
        <v/>
      </c>
      <c r="K145" s="14">
        <f>MIN(((COB_CA!$B$18-I145)-J145),D145)</f>
        <v/>
      </c>
      <c r="L145" s="14">
        <f>E145+F145-I145</f>
        <v/>
      </c>
      <c r="M145" s="14">
        <f>G145-J145</f>
        <v/>
      </c>
      <c r="N145" s="14">
        <f>D145-K145</f>
        <v/>
      </c>
      <c r="O145" s="6">
        <f>AND(D145&gt;0,B145&lt;=COB_CA!$B$20)</f>
        <v/>
      </c>
    </row>
    <row r="146">
      <c r="A146" s="6" t="n">
        <v>142</v>
      </c>
      <c r="B146" s="15">
        <f>IF(COB_CA!$B$38=12,DATE(YEAR(COB_CA!$B$19)+INT((MONTH(COB_CA!$B$19)-1+141)/12),MOD(MONTH(COB_CA!$B$19)-1+141,12)+1,1)+(DAY(COB_CA!$B$19)-1),IF(COB_CA!$B$38=24,COB_CA!$B$19+ROUND((141*365.25)/24,0),IF(COB_CA!$B$38=26,COB_CA!$B$19+1974,COB_CA!$B$19+987)))</f>
        <v/>
      </c>
      <c r="C146" s="12">
        <f>B146-B145</f>
        <v/>
      </c>
      <c r="D146" s="14">
        <f>N145</f>
        <v/>
      </c>
      <c r="E146" s="14">
        <f>D146*COB_CA!$B$40/100*(IF(YEAR(B145)=YEAR(B146),(B146-B145)/IF(AND(MOD(YEAR(B146),4)=0,OR(MOD(YEAR(B146),100)&lt;&gt;0,MOD(YEAR(B146),400)=0)),366,365),(((DATE(YEAR(B145)+1,1,1)))-B145)/IF(AND(MOD(YEAR(B145),4)=0,OR(MOD(YEAR(B145),100)&lt;&gt;0,MOD(YEAR(B145),400)=0)),366,365)+(B146-((DATE(YEAR(B145)+1,1,1))))/IF(AND(MOD(YEAR(B146),4)=0,OR(MOD(YEAR(B146),100)&lt;&gt;0,MOD(YEAR(B146),400)=0)),366,365)))</f>
        <v/>
      </c>
      <c r="F146" s="14">
        <f>L145</f>
        <v/>
      </c>
      <c r="G146" s="14">
        <f>M145</f>
        <v/>
      </c>
      <c r="H146" s="14">
        <f>IF((((COB_CA!$B$18-I146)-J146)&gt;D146),I146+J146+K146,COB_CA!$B$18)</f>
        <v/>
      </c>
      <c r="I146" s="14">
        <f>MIN(COB_CA!$B$18,(E146+F146))</f>
        <v/>
      </c>
      <c r="J146" s="14">
        <f>MIN((COB_CA!$B$18-I146),G146)</f>
        <v/>
      </c>
      <c r="K146" s="14">
        <f>MIN(((COB_CA!$B$18-I146)-J146),D146)</f>
        <v/>
      </c>
      <c r="L146" s="14">
        <f>E146+F146-I146</f>
        <v/>
      </c>
      <c r="M146" s="14">
        <f>G146-J146</f>
        <v/>
      </c>
      <c r="N146" s="14">
        <f>D146-K146</f>
        <v/>
      </c>
      <c r="O146" s="6">
        <f>AND(D146&gt;0,B146&lt;=COB_CA!$B$20)</f>
        <v/>
      </c>
    </row>
    <row r="147">
      <c r="A147" s="6" t="n">
        <v>143</v>
      </c>
      <c r="B147" s="15">
        <f>IF(COB_CA!$B$38=12,DATE(YEAR(COB_CA!$B$19)+INT((MONTH(COB_CA!$B$19)-1+142)/12),MOD(MONTH(COB_CA!$B$19)-1+142,12)+1,1)+(DAY(COB_CA!$B$19)-1),IF(COB_CA!$B$38=24,COB_CA!$B$19+ROUND((142*365.25)/24,0),IF(COB_CA!$B$38=26,COB_CA!$B$19+1988,COB_CA!$B$19+994)))</f>
        <v/>
      </c>
      <c r="C147" s="12">
        <f>B147-B146</f>
        <v/>
      </c>
      <c r="D147" s="14">
        <f>N146</f>
        <v/>
      </c>
      <c r="E147" s="14">
        <f>D147*COB_CA!$B$40/100*(IF(YEAR(B146)=YEAR(B147),(B147-B146)/IF(AND(MOD(YEAR(B147),4)=0,OR(MOD(YEAR(B147),100)&lt;&gt;0,MOD(YEAR(B147),400)=0)),366,365),(((DATE(YEAR(B146)+1,1,1)))-B146)/IF(AND(MOD(YEAR(B146),4)=0,OR(MOD(YEAR(B146),100)&lt;&gt;0,MOD(YEAR(B146),400)=0)),366,365)+(B147-((DATE(YEAR(B146)+1,1,1))))/IF(AND(MOD(YEAR(B147),4)=0,OR(MOD(YEAR(B147),100)&lt;&gt;0,MOD(YEAR(B147),400)=0)),366,365)))</f>
        <v/>
      </c>
      <c r="F147" s="14">
        <f>L146</f>
        <v/>
      </c>
      <c r="G147" s="14">
        <f>M146</f>
        <v/>
      </c>
      <c r="H147" s="14">
        <f>IF((((COB_CA!$B$18-I147)-J147)&gt;D147),I147+J147+K147,COB_CA!$B$18)</f>
        <v/>
      </c>
      <c r="I147" s="14">
        <f>MIN(COB_CA!$B$18,(E147+F147))</f>
        <v/>
      </c>
      <c r="J147" s="14">
        <f>MIN((COB_CA!$B$18-I147),G147)</f>
        <v/>
      </c>
      <c r="K147" s="14">
        <f>MIN(((COB_CA!$B$18-I147)-J147),D147)</f>
        <v/>
      </c>
      <c r="L147" s="14">
        <f>E147+F147-I147</f>
        <v/>
      </c>
      <c r="M147" s="14">
        <f>G147-J147</f>
        <v/>
      </c>
      <c r="N147" s="14">
        <f>D147-K147</f>
        <v/>
      </c>
      <c r="O147" s="6">
        <f>AND(D147&gt;0,B147&lt;=COB_CA!$B$20)</f>
        <v/>
      </c>
    </row>
    <row r="148">
      <c r="A148" s="6" t="n">
        <v>144</v>
      </c>
      <c r="B148" s="15">
        <f>IF(COB_CA!$B$38=12,DATE(YEAR(COB_CA!$B$19)+INT((MONTH(COB_CA!$B$19)-1+143)/12),MOD(MONTH(COB_CA!$B$19)-1+143,12)+1,1)+(DAY(COB_CA!$B$19)-1),IF(COB_CA!$B$38=24,COB_CA!$B$19+ROUND((143*365.25)/24,0),IF(COB_CA!$B$38=26,COB_CA!$B$19+2002,COB_CA!$B$19+1001)))</f>
        <v/>
      </c>
      <c r="C148" s="12">
        <f>B148-B147</f>
        <v/>
      </c>
      <c r="D148" s="14">
        <f>N147</f>
        <v/>
      </c>
      <c r="E148" s="14">
        <f>D148*COB_CA!$B$40/100*(IF(YEAR(B147)=YEAR(B148),(B148-B147)/IF(AND(MOD(YEAR(B148),4)=0,OR(MOD(YEAR(B148),100)&lt;&gt;0,MOD(YEAR(B148),400)=0)),366,365),(((DATE(YEAR(B147)+1,1,1)))-B147)/IF(AND(MOD(YEAR(B147),4)=0,OR(MOD(YEAR(B147),100)&lt;&gt;0,MOD(YEAR(B147),400)=0)),366,365)+(B148-((DATE(YEAR(B147)+1,1,1))))/IF(AND(MOD(YEAR(B148),4)=0,OR(MOD(YEAR(B148),100)&lt;&gt;0,MOD(YEAR(B148),400)=0)),366,365)))</f>
        <v/>
      </c>
      <c r="F148" s="14">
        <f>L147</f>
        <v/>
      </c>
      <c r="G148" s="14">
        <f>M147</f>
        <v/>
      </c>
      <c r="H148" s="14">
        <f>IF((((COB_CA!$B$18-I148)-J148)&gt;D148),I148+J148+K148,COB_CA!$B$18)</f>
        <v/>
      </c>
      <c r="I148" s="14">
        <f>MIN(COB_CA!$B$18,(E148+F148))</f>
        <v/>
      </c>
      <c r="J148" s="14">
        <f>MIN((COB_CA!$B$18-I148),G148)</f>
        <v/>
      </c>
      <c r="K148" s="14">
        <f>MIN(((COB_CA!$B$18-I148)-J148),D148)</f>
        <v/>
      </c>
      <c r="L148" s="14">
        <f>E148+F148-I148</f>
        <v/>
      </c>
      <c r="M148" s="14">
        <f>G148-J148</f>
        <v/>
      </c>
      <c r="N148" s="14">
        <f>D148-K148</f>
        <v/>
      </c>
      <c r="O148" s="6">
        <f>AND(D148&gt;0,B148&lt;=COB_CA!$B$20)</f>
        <v/>
      </c>
    </row>
    <row r="149">
      <c r="A149" s="6" t="n">
        <v>145</v>
      </c>
      <c r="B149" s="15">
        <f>IF(COB_CA!$B$38=12,DATE(YEAR(COB_CA!$B$19)+INT((MONTH(COB_CA!$B$19)-1+144)/12),MOD(MONTH(COB_CA!$B$19)-1+144,12)+1,1)+(DAY(COB_CA!$B$19)-1),IF(COB_CA!$B$38=24,COB_CA!$B$19+ROUND((144*365.25)/24,0),IF(COB_CA!$B$38=26,COB_CA!$B$19+2016,COB_CA!$B$19+1008)))</f>
        <v/>
      </c>
      <c r="C149" s="12">
        <f>B149-B148</f>
        <v/>
      </c>
      <c r="D149" s="14">
        <f>N148</f>
        <v/>
      </c>
      <c r="E149" s="14">
        <f>D149*COB_CA!$B$40/100*(IF(YEAR(B148)=YEAR(B149),(B149-B148)/IF(AND(MOD(YEAR(B149),4)=0,OR(MOD(YEAR(B149),100)&lt;&gt;0,MOD(YEAR(B149),400)=0)),366,365),(((DATE(YEAR(B148)+1,1,1)))-B148)/IF(AND(MOD(YEAR(B148),4)=0,OR(MOD(YEAR(B148),100)&lt;&gt;0,MOD(YEAR(B148),400)=0)),366,365)+(B149-((DATE(YEAR(B148)+1,1,1))))/IF(AND(MOD(YEAR(B149),4)=0,OR(MOD(YEAR(B149),100)&lt;&gt;0,MOD(YEAR(B149),400)=0)),366,365)))</f>
        <v/>
      </c>
      <c r="F149" s="14">
        <f>L148</f>
        <v/>
      </c>
      <c r="G149" s="14">
        <f>M148</f>
        <v/>
      </c>
      <c r="H149" s="14">
        <f>IF((((COB_CA!$B$18-I149)-J149)&gt;D149),I149+J149+K149,COB_CA!$B$18)</f>
        <v/>
      </c>
      <c r="I149" s="14">
        <f>MIN(COB_CA!$B$18,(E149+F149))</f>
        <v/>
      </c>
      <c r="J149" s="14">
        <f>MIN((COB_CA!$B$18-I149),G149)</f>
        <v/>
      </c>
      <c r="K149" s="14">
        <f>MIN(((COB_CA!$B$18-I149)-J149),D149)</f>
        <v/>
      </c>
      <c r="L149" s="14">
        <f>E149+F149-I149</f>
        <v/>
      </c>
      <c r="M149" s="14">
        <f>G149-J149</f>
        <v/>
      </c>
      <c r="N149" s="14">
        <f>D149-K149</f>
        <v/>
      </c>
      <c r="O149" s="6">
        <f>AND(D149&gt;0,B149&lt;=COB_CA!$B$20)</f>
        <v/>
      </c>
    </row>
    <row r="150">
      <c r="A150" s="6" t="n">
        <v>146</v>
      </c>
      <c r="B150" s="15">
        <f>IF(COB_CA!$B$38=12,DATE(YEAR(COB_CA!$B$19)+INT((MONTH(COB_CA!$B$19)-1+145)/12),MOD(MONTH(COB_CA!$B$19)-1+145,12)+1,1)+(DAY(COB_CA!$B$19)-1),IF(COB_CA!$B$38=24,COB_CA!$B$19+ROUND((145*365.25)/24,0),IF(COB_CA!$B$38=26,COB_CA!$B$19+2030,COB_CA!$B$19+1015)))</f>
        <v/>
      </c>
      <c r="C150" s="12">
        <f>B150-B149</f>
        <v/>
      </c>
      <c r="D150" s="14">
        <f>N149</f>
        <v/>
      </c>
      <c r="E150" s="14">
        <f>D150*COB_CA!$B$40/100*(IF(YEAR(B149)=YEAR(B150),(B150-B149)/IF(AND(MOD(YEAR(B150),4)=0,OR(MOD(YEAR(B150),100)&lt;&gt;0,MOD(YEAR(B150),400)=0)),366,365),(((DATE(YEAR(B149)+1,1,1)))-B149)/IF(AND(MOD(YEAR(B149),4)=0,OR(MOD(YEAR(B149),100)&lt;&gt;0,MOD(YEAR(B149),400)=0)),366,365)+(B150-((DATE(YEAR(B149)+1,1,1))))/IF(AND(MOD(YEAR(B150),4)=0,OR(MOD(YEAR(B150),100)&lt;&gt;0,MOD(YEAR(B150),400)=0)),366,365)))</f>
        <v/>
      </c>
      <c r="F150" s="14">
        <f>L149</f>
        <v/>
      </c>
      <c r="G150" s="14">
        <f>M149</f>
        <v/>
      </c>
      <c r="H150" s="14">
        <f>IF((((COB_CA!$B$18-I150)-J150)&gt;D150),I150+J150+K150,COB_CA!$B$18)</f>
        <v/>
      </c>
      <c r="I150" s="14">
        <f>MIN(COB_CA!$B$18,(E150+F150))</f>
        <v/>
      </c>
      <c r="J150" s="14">
        <f>MIN((COB_CA!$B$18-I150),G150)</f>
        <v/>
      </c>
      <c r="K150" s="14">
        <f>MIN(((COB_CA!$B$18-I150)-J150),D150)</f>
        <v/>
      </c>
      <c r="L150" s="14">
        <f>E150+F150-I150</f>
        <v/>
      </c>
      <c r="M150" s="14">
        <f>G150-J150</f>
        <v/>
      </c>
      <c r="N150" s="14">
        <f>D150-K150</f>
        <v/>
      </c>
      <c r="O150" s="6">
        <f>AND(D150&gt;0,B150&lt;=COB_CA!$B$20)</f>
        <v/>
      </c>
    </row>
    <row r="151">
      <c r="A151" s="6" t="n">
        <v>147</v>
      </c>
      <c r="B151" s="15">
        <f>IF(COB_CA!$B$38=12,DATE(YEAR(COB_CA!$B$19)+INT((MONTH(COB_CA!$B$19)-1+146)/12),MOD(MONTH(COB_CA!$B$19)-1+146,12)+1,1)+(DAY(COB_CA!$B$19)-1),IF(COB_CA!$B$38=24,COB_CA!$B$19+ROUND((146*365.25)/24,0),IF(COB_CA!$B$38=26,COB_CA!$B$19+2044,COB_CA!$B$19+1022)))</f>
        <v/>
      </c>
      <c r="C151" s="12">
        <f>B151-B150</f>
        <v/>
      </c>
      <c r="D151" s="14">
        <f>N150</f>
        <v/>
      </c>
      <c r="E151" s="14">
        <f>D151*COB_CA!$B$40/100*(IF(YEAR(B150)=YEAR(B151),(B151-B150)/IF(AND(MOD(YEAR(B151),4)=0,OR(MOD(YEAR(B151),100)&lt;&gt;0,MOD(YEAR(B151),400)=0)),366,365),(((DATE(YEAR(B150)+1,1,1)))-B150)/IF(AND(MOD(YEAR(B150),4)=0,OR(MOD(YEAR(B150),100)&lt;&gt;0,MOD(YEAR(B150),400)=0)),366,365)+(B151-((DATE(YEAR(B150)+1,1,1))))/IF(AND(MOD(YEAR(B151),4)=0,OR(MOD(YEAR(B151),100)&lt;&gt;0,MOD(YEAR(B151),400)=0)),366,365)))</f>
        <v/>
      </c>
      <c r="F151" s="14">
        <f>L150</f>
        <v/>
      </c>
      <c r="G151" s="14">
        <f>M150</f>
        <v/>
      </c>
      <c r="H151" s="14">
        <f>IF((((COB_CA!$B$18-I151)-J151)&gt;D151),I151+J151+K151,COB_CA!$B$18)</f>
        <v/>
      </c>
      <c r="I151" s="14">
        <f>MIN(COB_CA!$B$18,(E151+F151))</f>
        <v/>
      </c>
      <c r="J151" s="14">
        <f>MIN((COB_CA!$B$18-I151),G151)</f>
        <v/>
      </c>
      <c r="K151" s="14">
        <f>MIN(((COB_CA!$B$18-I151)-J151),D151)</f>
        <v/>
      </c>
      <c r="L151" s="14">
        <f>E151+F151-I151</f>
        <v/>
      </c>
      <c r="M151" s="14">
        <f>G151-J151</f>
        <v/>
      </c>
      <c r="N151" s="14">
        <f>D151-K151</f>
        <v/>
      </c>
      <c r="O151" s="6">
        <f>AND(D151&gt;0,B151&lt;=COB_CA!$B$20)</f>
        <v/>
      </c>
    </row>
    <row r="152">
      <c r="A152" s="6" t="n">
        <v>148</v>
      </c>
      <c r="B152" s="15">
        <f>IF(COB_CA!$B$38=12,DATE(YEAR(COB_CA!$B$19)+INT((MONTH(COB_CA!$B$19)-1+147)/12),MOD(MONTH(COB_CA!$B$19)-1+147,12)+1,1)+(DAY(COB_CA!$B$19)-1),IF(COB_CA!$B$38=24,COB_CA!$B$19+ROUND((147*365.25)/24,0),IF(COB_CA!$B$38=26,COB_CA!$B$19+2058,COB_CA!$B$19+1029)))</f>
        <v/>
      </c>
      <c r="C152" s="12">
        <f>B152-B151</f>
        <v/>
      </c>
      <c r="D152" s="14">
        <f>N151</f>
        <v/>
      </c>
      <c r="E152" s="14">
        <f>D152*COB_CA!$B$40/100*(IF(YEAR(B151)=YEAR(B152),(B152-B151)/IF(AND(MOD(YEAR(B152),4)=0,OR(MOD(YEAR(B152),100)&lt;&gt;0,MOD(YEAR(B152),400)=0)),366,365),(((DATE(YEAR(B151)+1,1,1)))-B151)/IF(AND(MOD(YEAR(B151),4)=0,OR(MOD(YEAR(B151),100)&lt;&gt;0,MOD(YEAR(B151),400)=0)),366,365)+(B152-((DATE(YEAR(B151)+1,1,1))))/IF(AND(MOD(YEAR(B152),4)=0,OR(MOD(YEAR(B152),100)&lt;&gt;0,MOD(YEAR(B152),400)=0)),366,365)))</f>
        <v/>
      </c>
      <c r="F152" s="14">
        <f>L151</f>
        <v/>
      </c>
      <c r="G152" s="14">
        <f>M151</f>
        <v/>
      </c>
      <c r="H152" s="14">
        <f>IF((((COB_CA!$B$18-I152)-J152)&gt;D152),I152+J152+K152,COB_CA!$B$18)</f>
        <v/>
      </c>
      <c r="I152" s="14">
        <f>MIN(COB_CA!$B$18,(E152+F152))</f>
        <v/>
      </c>
      <c r="J152" s="14">
        <f>MIN((COB_CA!$B$18-I152),G152)</f>
        <v/>
      </c>
      <c r="K152" s="14">
        <f>MIN(((COB_CA!$B$18-I152)-J152),D152)</f>
        <v/>
      </c>
      <c r="L152" s="14">
        <f>E152+F152-I152</f>
        <v/>
      </c>
      <c r="M152" s="14">
        <f>G152-J152</f>
        <v/>
      </c>
      <c r="N152" s="14">
        <f>D152-K152</f>
        <v/>
      </c>
      <c r="O152" s="6">
        <f>AND(D152&gt;0,B152&lt;=COB_CA!$B$20)</f>
        <v/>
      </c>
    </row>
    <row r="153">
      <c r="A153" s="6" t="n">
        <v>149</v>
      </c>
      <c r="B153" s="15">
        <f>IF(COB_CA!$B$38=12,DATE(YEAR(COB_CA!$B$19)+INT((MONTH(COB_CA!$B$19)-1+148)/12),MOD(MONTH(COB_CA!$B$19)-1+148,12)+1,1)+(DAY(COB_CA!$B$19)-1),IF(COB_CA!$B$38=24,COB_CA!$B$19+ROUND((148*365.25)/24,0),IF(COB_CA!$B$38=26,COB_CA!$B$19+2072,COB_CA!$B$19+1036)))</f>
        <v/>
      </c>
      <c r="C153" s="12">
        <f>B153-B152</f>
        <v/>
      </c>
      <c r="D153" s="14">
        <f>N152</f>
        <v/>
      </c>
      <c r="E153" s="14">
        <f>D153*COB_CA!$B$40/100*(IF(YEAR(B152)=YEAR(B153),(B153-B152)/IF(AND(MOD(YEAR(B153),4)=0,OR(MOD(YEAR(B153),100)&lt;&gt;0,MOD(YEAR(B153),400)=0)),366,365),(((DATE(YEAR(B152)+1,1,1)))-B152)/IF(AND(MOD(YEAR(B152),4)=0,OR(MOD(YEAR(B152),100)&lt;&gt;0,MOD(YEAR(B152),400)=0)),366,365)+(B153-((DATE(YEAR(B152)+1,1,1))))/IF(AND(MOD(YEAR(B153),4)=0,OR(MOD(YEAR(B153),100)&lt;&gt;0,MOD(YEAR(B153),400)=0)),366,365)))</f>
        <v/>
      </c>
      <c r="F153" s="14">
        <f>L152</f>
        <v/>
      </c>
      <c r="G153" s="14">
        <f>M152</f>
        <v/>
      </c>
      <c r="H153" s="14">
        <f>IF((((COB_CA!$B$18-I153)-J153)&gt;D153),I153+J153+K153,COB_CA!$B$18)</f>
        <v/>
      </c>
      <c r="I153" s="14">
        <f>MIN(COB_CA!$B$18,(E153+F153))</f>
        <v/>
      </c>
      <c r="J153" s="14">
        <f>MIN((COB_CA!$B$18-I153),G153)</f>
        <v/>
      </c>
      <c r="K153" s="14">
        <f>MIN(((COB_CA!$B$18-I153)-J153),D153)</f>
        <v/>
      </c>
      <c r="L153" s="14">
        <f>E153+F153-I153</f>
        <v/>
      </c>
      <c r="M153" s="14">
        <f>G153-J153</f>
        <v/>
      </c>
      <c r="N153" s="14">
        <f>D153-K153</f>
        <v/>
      </c>
      <c r="O153" s="6">
        <f>AND(D153&gt;0,B153&lt;=COB_CA!$B$20)</f>
        <v/>
      </c>
    </row>
    <row r="154">
      <c r="A154" s="6" t="n">
        <v>150</v>
      </c>
      <c r="B154" s="15">
        <f>IF(COB_CA!$B$38=12,DATE(YEAR(COB_CA!$B$19)+INT((MONTH(COB_CA!$B$19)-1+149)/12),MOD(MONTH(COB_CA!$B$19)-1+149,12)+1,1)+(DAY(COB_CA!$B$19)-1),IF(COB_CA!$B$38=24,COB_CA!$B$19+ROUND((149*365.25)/24,0),IF(COB_CA!$B$38=26,COB_CA!$B$19+2086,COB_CA!$B$19+1043)))</f>
        <v/>
      </c>
      <c r="C154" s="12">
        <f>B154-B153</f>
        <v/>
      </c>
      <c r="D154" s="14">
        <f>N153</f>
        <v/>
      </c>
      <c r="E154" s="14">
        <f>D154*COB_CA!$B$40/100*(IF(YEAR(B153)=YEAR(B154),(B154-B153)/IF(AND(MOD(YEAR(B154),4)=0,OR(MOD(YEAR(B154),100)&lt;&gt;0,MOD(YEAR(B154),400)=0)),366,365),(((DATE(YEAR(B153)+1,1,1)))-B153)/IF(AND(MOD(YEAR(B153),4)=0,OR(MOD(YEAR(B153),100)&lt;&gt;0,MOD(YEAR(B153),400)=0)),366,365)+(B154-((DATE(YEAR(B153)+1,1,1))))/IF(AND(MOD(YEAR(B154),4)=0,OR(MOD(YEAR(B154),100)&lt;&gt;0,MOD(YEAR(B154),400)=0)),366,365)))</f>
        <v/>
      </c>
      <c r="F154" s="14">
        <f>L153</f>
        <v/>
      </c>
      <c r="G154" s="14">
        <f>M153</f>
        <v/>
      </c>
      <c r="H154" s="14">
        <f>IF((((COB_CA!$B$18-I154)-J154)&gt;D154),I154+J154+K154,COB_CA!$B$18)</f>
        <v/>
      </c>
      <c r="I154" s="14">
        <f>MIN(COB_CA!$B$18,(E154+F154))</f>
        <v/>
      </c>
      <c r="J154" s="14">
        <f>MIN((COB_CA!$B$18-I154),G154)</f>
        <v/>
      </c>
      <c r="K154" s="14">
        <f>MIN(((COB_CA!$B$18-I154)-J154),D154)</f>
        <v/>
      </c>
      <c r="L154" s="14">
        <f>E154+F154-I154</f>
        <v/>
      </c>
      <c r="M154" s="14">
        <f>G154-J154</f>
        <v/>
      </c>
      <c r="N154" s="14">
        <f>D154-K154</f>
        <v/>
      </c>
      <c r="O154" s="6">
        <f>AND(D154&gt;0,B154&lt;=COB_CA!$B$20)</f>
        <v/>
      </c>
    </row>
    <row r="155">
      <c r="A155" s="6" t="n">
        <v>151</v>
      </c>
      <c r="B155" s="15">
        <f>IF(COB_CA!$B$38=12,DATE(YEAR(COB_CA!$B$19)+INT((MONTH(COB_CA!$B$19)-1+150)/12),MOD(MONTH(COB_CA!$B$19)-1+150,12)+1,1)+(DAY(COB_CA!$B$19)-1),IF(COB_CA!$B$38=24,COB_CA!$B$19+ROUND((150*365.25)/24,0),IF(COB_CA!$B$38=26,COB_CA!$B$19+2100,COB_CA!$B$19+1050)))</f>
        <v/>
      </c>
      <c r="C155" s="12">
        <f>B155-B154</f>
        <v/>
      </c>
      <c r="D155" s="14">
        <f>N154</f>
        <v/>
      </c>
      <c r="E155" s="14">
        <f>D155*COB_CA!$B$40/100*(IF(YEAR(B154)=YEAR(B155),(B155-B154)/IF(AND(MOD(YEAR(B155),4)=0,OR(MOD(YEAR(B155),100)&lt;&gt;0,MOD(YEAR(B155),400)=0)),366,365),(((DATE(YEAR(B154)+1,1,1)))-B154)/IF(AND(MOD(YEAR(B154),4)=0,OR(MOD(YEAR(B154),100)&lt;&gt;0,MOD(YEAR(B154),400)=0)),366,365)+(B155-((DATE(YEAR(B154)+1,1,1))))/IF(AND(MOD(YEAR(B155),4)=0,OR(MOD(YEAR(B155),100)&lt;&gt;0,MOD(YEAR(B155),400)=0)),366,365)))</f>
        <v/>
      </c>
      <c r="F155" s="14">
        <f>L154</f>
        <v/>
      </c>
      <c r="G155" s="14">
        <f>M154</f>
        <v/>
      </c>
      <c r="H155" s="14">
        <f>IF((((COB_CA!$B$18-I155)-J155)&gt;D155),I155+J155+K155,COB_CA!$B$18)</f>
        <v/>
      </c>
      <c r="I155" s="14">
        <f>MIN(COB_CA!$B$18,(E155+F155))</f>
        <v/>
      </c>
      <c r="J155" s="14">
        <f>MIN((COB_CA!$B$18-I155),G155)</f>
        <v/>
      </c>
      <c r="K155" s="14">
        <f>MIN(((COB_CA!$B$18-I155)-J155),D155)</f>
        <v/>
      </c>
      <c r="L155" s="14">
        <f>E155+F155-I155</f>
        <v/>
      </c>
      <c r="M155" s="14">
        <f>G155-J155</f>
        <v/>
      </c>
      <c r="N155" s="14">
        <f>D155-K155</f>
        <v/>
      </c>
      <c r="O155" s="6">
        <f>AND(D155&gt;0,B155&lt;=COB_CA!$B$20)</f>
        <v/>
      </c>
    </row>
    <row r="156">
      <c r="A156" s="6" t="n">
        <v>152</v>
      </c>
      <c r="B156" s="15">
        <f>IF(COB_CA!$B$38=12,DATE(YEAR(COB_CA!$B$19)+INT((MONTH(COB_CA!$B$19)-1+151)/12),MOD(MONTH(COB_CA!$B$19)-1+151,12)+1,1)+(DAY(COB_CA!$B$19)-1),IF(COB_CA!$B$38=24,COB_CA!$B$19+ROUND((151*365.25)/24,0),IF(COB_CA!$B$38=26,COB_CA!$B$19+2114,COB_CA!$B$19+1057)))</f>
        <v/>
      </c>
      <c r="C156" s="12">
        <f>B156-B155</f>
        <v/>
      </c>
      <c r="D156" s="14">
        <f>N155</f>
        <v/>
      </c>
      <c r="E156" s="14">
        <f>D156*COB_CA!$B$40/100*(IF(YEAR(B155)=YEAR(B156),(B156-B155)/IF(AND(MOD(YEAR(B156),4)=0,OR(MOD(YEAR(B156),100)&lt;&gt;0,MOD(YEAR(B156),400)=0)),366,365),(((DATE(YEAR(B155)+1,1,1)))-B155)/IF(AND(MOD(YEAR(B155),4)=0,OR(MOD(YEAR(B155),100)&lt;&gt;0,MOD(YEAR(B155),400)=0)),366,365)+(B156-((DATE(YEAR(B155)+1,1,1))))/IF(AND(MOD(YEAR(B156),4)=0,OR(MOD(YEAR(B156),100)&lt;&gt;0,MOD(YEAR(B156),400)=0)),366,365)))</f>
        <v/>
      </c>
      <c r="F156" s="14">
        <f>L155</f>
        <v/>
      </c>
      <c r="G156" s="14">
        <f>M155</f>
        <v/>
      </c>
      <c r="H156" s="14">
        <f>IF((((COB_CA!$B$18-I156)-J156)&gt;D156),I156+J156+K156,COB_CA!$B$18)</f>
        <v/>
      </c>
      <c r="I156" s="14">
        <f>MIN(COB_CA!$B$18,(E156+F156))</f>
        <v/>
      </c>
      <c r="J156" s="14">
        <f>MIN((COB_CA!$B$18-I156),G156)</f>
        <v/>
      </c>
      <c r="K156" s="14">
        <f>MIN(((COB_CA!$B$18-I156)-J156),D156)</f>
        <v/>
      </c>
      <c r="L156" s="14">
        <f>E156+F156-I156</f>
        <v/>
      </c>
      <c r="M156" s="14">
        <f>G156-J156</f>
        <v/>
      </c>
      <c r="N156" s="14">
        <f>D156-K156</f>
        <v/>
      </c>
      <c r="O156" s="6">
        <f>AND(D156&gt;0,B156&lt;=COB_CA!$B$20)</f>
        <v/>
      </c>
    </row>
    <row r="157">
      <c r="A157" s="6" t="n">
        <v>153</v>
      </c>
      <c r="B157" s="15">
        <f>IF(COB_CA!$B$38=12,DATE(YEAR(COB_CA!$B$19)+INT((MONTH(COB_CA!$B$19)-1+152)/12),MOD(MONTH(COB_CA!$B$19)-1+152,12)+1,1)+(DAY(COB_CA!$B$19)-1),IF(COB_CA!$B$38=24,COB_CA!$B$19+ROUND((152*365.25)/24,0),IF(COB_CA!$B$38=26,COB_CA!$B$19+2128,COB_CA!$B$19+1064)))</f>
        <v/>
      </c>
      <c r="C157" s="12">
        <f>B157-B156</f>
        <v/>
      </c>
      <c r="D157" s="14">
        <f>N156</f>
        <v/>
      </c>
      <c r="E157" s="14">
        <f>D157*COB_CA!$B$40/100*(IF(YEAR(B156)=YEAR(B157),(B157-B156)/IF(AND(MOD(YEAR(B157),4)=0,OR(MOD(YEAR(B157),100)&lt;&gt;0,MOD(YEAR(B157),400)=0)),366,365),(((DATE(YEAR(B156)+1,1,1)))-B156)/IF(AND(MOD(YEAR(B156),4)=0,OR(MOD(YEAR(B156),100)&lt;&gt;0,MOD(YEAR(B156),400)=0)),366,365)+(B157-((DATE(YEAR(B156)+1,1,1))))/IF(AND(MOD(YEAR(B157),4)=0,OR(MOD(YEAR(B157),100)&lt;&gt;0,MOD(YEAR(B157),400)=0)),366,365)))</f>
        <v/>
      </c>
      <c r="F157" s="14">
        <f>L156</f>
        <v/>
      </c>
      <c r="G157" s="14">
        <f>M156</f>
        <v/>
      </c>
      <c r="H157" s="14">
        <f>IF((((COB_CA!$B$18-I157)-J157)&gt;D157),I157+J157+K157,COB_CA!$B$18)</f>
        <v/>
      </c>
      <c r="I157" s="14">
        <f>MIN(COB_CA!$B$18,(E157+F157))</f>
        <v/>
      </c>
      <c r="J157" s="14">
        <f>MIN((COB_CA!$B$18-I157),G157)</f>
        <v/>
      </c>
      <c r="K157" s="14">
        <f>MIN(((COB_CA!$B$18-I157)-J157),D157)</f>
        <v/>
      </c>
      <c r="L157" s="14">
        <f>E157+F157-I157</f>
        <v/>
      </c>
      <c r="M157" s="14">
        <f>G157-J157</f>
        <v/>
      </c>
      <c r="N157" s="14">
        <f>D157-K157</f>
        <v/>
      </c>
      <c r="O157" s="6">
        <f>AND(D157&gt;0,B157&lt;=COB_CA!$B$20)</f>
        <v/>
      </c>
    </row>
    <row r="158">
      <c r="A158" s="6" t="n">
        <v>154</v>
      </c>
      <c r="B158" s="15">
        <f>IF(COB_CA!$B$38=12,DATE(YEAR(COB_CA!$B$19)+INT((MONTH(COB_CA!$B$19)-1+153)/12),MOD(MONTH(COB_CA!$B$19)-1+153,12)+1,1)+(DAY(COB_CA!$B$19)-1),IF(COB_CA!$B$38=24,COB_CA!$B$19+ROUND((153*365.25)/24,0),IF(COB_CA!$B$38=26,COB_CA!$B$19+2142,COB_CA!$B$19+1071)))</f>
        <v/>
      </c>
      <c r="C158" s="12">
        <f>B158-B157</f>
        <v/>
      </c>
      <c r="D158" s="14">
        <f>N157</f>
        <v/>
      </c>
      <c r="E158" s="14">
        <f>D158*COB_CA!$B$40/100*(IF(YEAR(B157)=YEAR(B158),(B158-B157)/IF(AND(MOD(YEAR(B158),4)=0,OR(MOD(YEAR(B158),100)&lt;&gt;0,MOD(YEAR(B158),400)=0)),366,365),(((DATE(YEAR(B157)+1,1,1)))-B157)/IF(AND(MOD(YEAR(B157),4)=0,OR(MOD(YEAR(B157),100)&lt;&gt;0,MOD(YEAR(B157),400)=0)),366,365)+(B158-((DATE(YEAR(B157)+1,1,1))))/IF(AND(MOD(YEAR(B158),4)=0,OR(MOD(YEAR(B158),100)&lt;&gt;0,MOD(YEAR(B158),400)=0)),366,365)))</f>
        <v/>
      </c>
      <c r="F158" s="14">
        <f>L157</f>
        <v/>
      </c>
      <c r="G158" s="14">
        <f>M157</f>
        <v/>
      </c>
      <c r="H158" s="14">
        <f>IF((((COB_CA!$B$18-I158)-J158)&gt;D158),I158+J158+K158,COB_CA!$B$18)</f>
        <v/>
      </c>
      <c r="I158" s="14">
        <f>MIN(COB_CA!$B$18,(E158+F158))</f>
        <v/>
      </c>
      <c r="J158" s="14">
        <f>MIN((COB_CA!$B$18-I158),G158)</f>
        <v/>
      </c>
      <c r="K158" s="14">
        <f>MIN(((COB_CA!$B$18-I158)-J158),D158)</f>
        <v/>
      </c>
      <c r="L158" s="14">
        <f>E158+F158-I158</f>
        <v/>
      </c>
      <c r="M158" s="14">
        <f>G158-J158</f>
        <v/>
      </c>
      <c r="N158" s="14">
        <f>D158-K158</f>
        <v/>
      </c>
      <c r="O158" s="6">
        <f>AND(D158&gt;0,B158&lt;=COB_CA!$B$20)</f>
        <v/>
      </c>
    </row>
    <row r="159">
      <c r="A159" s="6" t="n">
        <v>155</v>
      </c>
      <c r="B159" s="15">
        <f>IF(COB_CA!$B$38=12,DATE(YEAR(COB_CA!$B$19)+INT((MONTH(COB_CA!$B$19)-1+154)/12),MOD(MONTH(COB_CA!$B$19)-1+154,12)+1,1)+(DAY(COB_CA!$B$19)-1),IF(COB_CA!$B$38=24,COB_CA!$B$19+ROUND((154*365.25)/24,0),IF(COB_CA!$B$38=26,COB_CA!$B$19+2156,COB_CA!$B$19+1078)))</f>
        <v/>
      </c>
      <c r="C159" s="12">
        <f>B159-B158</f>
        <v/>
      </c>
      <c r="D159" s="14">
        <f>N158</f>
        <v/>
      </c>
      <c r="E159" s="14">
        <f>D159*COB_CA!$B$40/100*(IF(YEAR(B158)=YEAR(B159),(B159-B158)/IF(AND(MOD(YEAR(B159),4)=0,OR(MOD(YEAR(B159),100)&lt;&gt;0,MOD(YEAR(B159),400)=0)),366,365),(((DATE(YEAR(B158)+1,1,1)))-B158)/IF(AND(MOD(YEAR(B158),4)=0,OR(MOD(YEAR(B158),100)&lt;&gt;0,MOD(YEAR(B158),400)=0)),366,365)+(B159-((DATE(YEAR(B158)+1,1,1))))/IF(AND(MOD(YEAR(B159),4)=0,OR(MOD(YEAR(B159),100)&lt;&gt;0,MOD(YEAR(B159),400)=0)),366,365)))</f>
        <v/>
      </c>
      <c r="F159" s="14">
        <f>L158</f>
        <v/>
      </c>
      <c r="G159" s="14">
        <f>M158</f>
        <v/>
      </c>
      <c r="H159" s="14">
        <f>IF((((COB_CA!$B$18-I159)-J159)&gt;D159),I159+J159+K159,COB_CA!$B$18)</f>
        <v/>
      </c>
      <c r="I159" s="14">
        <f>MIN(COB_CA!$B$18,(E159+F159))</f>
        <v/>
      </c>
      <c r="J159" s="14">
        <f>MIN((COB_CA!$B$18-I159),G159)</f>
        <v/>
      </c>
      <c r="K159" s="14">
        <f>MIN(((COB_CA!$B$18-I159)-J159),D159)</f>
        <v/>
      </c>
      <c r="L159" s="14">
        <f>E159+F159-I159</f>
        <v/>
      </c>
      <c r="M159" s="14">
        <f>G159-J159</f>
        <v/>
      </c>
      <c r="N159" s="14">
        <f>D159-K159</f>
        <v/>
      </c>
      <c r="O159" s="6">
        <f>AND(D159&gt;0,B159&lt;=COB_CA!$B$20)</f>
        <v/>
      </c>
    </row>
    <row r="160">
      <c r="A160" s="6" t="n">
        <v>156</v>
      </c>
      <c r="B160" s="15">
        <f>IF(COB_CA!$B$38=12,DATE(YEAR(COB_CA!$B$19)+INT((MONTH(COB_CA!$B$19)-1+155)/12),MOD(MONTH(COB_CA!$B$19)-1+155,12)+1,1)+(DAY(COB_CA!$B$19)-1),IF(COB_CA!$B$38=24,COB_CA!$B$19+ROUND((155*365.25)/24,0),IF(COB_CA!$B$38=26,COB_CA!$B$19+2170,COB_CA!$B$19+1085)))</f>
        <v/>
      </c>
      <c r="C160" s="12">
        <f>B160-B159</f>
        <v/>
      </c>
      <c r="D160" s="14">
        <f>N159</f>
        <v/>
      </c>
      <c r="E160" s="14">
        <f>D160*COB_CA!$B$40/100*(IF(YEAR(B159)=YEAR(B160),(B160-B159)/IF(AND(MOD(YEAR(B160),4)=0,OR(MOD(YEAR(B160),100)&lt;&gt;0,MOD(YEAR(B160),400)=0)),366,365),(((DATE(YEAR(B159)+1,1,1)))-B159)/IF(AND(MOD(YEAR(B159),4)=0,OR(MOD(YEAR(B159),100)&lt;&gt;0,MOD(YEAR(B159),400)=0)),366,365)+(B160-((DATE(YEAR(B159)+1,1,1))))/IF(AND(MOD(YEAR(B160),4)=0,OR(MOD(YEAR(B160),100)&lt;&gt;0,MOD(YEAR(B160),400)=0)),366,365)))</f>
        <v/>
      </c>
      <c r="F160" s="14">
        <f>L159</f>
        <v/>
      </c>
      <c r="G160" s="14">
        <f>M159</f>
        <v/>
      </c>
      <c r="H160" s="14">
        <f>IF((((COB_CA!$B$18-I160)-J160)&gt;D160),I160+J160+K160,COB_CA!$B$18)</f>
        <v/>
      </c>
      <c r="I160" s="14">
        <f>MIN(COB_CA!$B$18,(E160+F160))</f>
        <v/>
      </c>
      <c r="J160" s="14">
        <f>MIN((COB_CA!$B$18-I160),G160)</f>
        <v/>
      </c>
      <c r="K160" s="14">
        <f>MIN(((COB_CA!$B$18-I160)-J160),D160)</f>
        <v/>
      </c>
      <c r="L160" s="14">
        <f>E160+F160-I160</f>
        <v/>
      </c>
      <c r="M160" s="14">
        <f>G160-J160</f>
        <v/>
      </c>
      <c r="N160" s="14">
        <f>D160-K160</f>
        <v/>
      </c>
      <c r="O160" s="6">
        <f>AND(D160&gt;0,B160&lt;=COB_CA!$B$20)</f>
        <v/>
      </c>
    </row>
    <row r="161">
      <c r="A161" s="6" t="n">
        <v>157</v>
      </c>
      <c r="B161" s="15">
        <f>IF(COB_CA!$B$38=12,DATE(YEAR(COB_CA!$B$19)+INT((MONTH(COB_CA!$B$19)-1+156)/12),MOD(MONTH(COB_CA!$B$19)-1+156,12)+1,1)+(DAY(COB_CA!$B$19)-1),IF(COB_CA!$B$38=24,COB_CA!$B$19+ROUND((156*365.25)/24,0),IF(COB_CA!$B$38=26,COB_CA!$B$19+2184,COB_CA!$B$19+1092)))</f>
        <v/>
      </c>
      <c r="C161" s="12">
        <f>B161-B160</f>
        <v/>
      </c>
      <c r="D161" s="14">
        <f>N160</f>
        <v/>
      </c>
      <c r="E161" s="14">
        <f>D161*COB_CA!$B$40/100*(IF(YEAR(B160)=YEAR(B161),(B161-B160)/IF(AND(MOD(YEAR(B161),4)=0,OR(MOD(YEAR(B161),100)&lt;&gt;0,MOD(YEAR(B161),400)=0)),366,365),(((DATE(YEAR(B160)+1,1,1)))-B160)/IF(AND(MOD(YEAR(B160),4)=0,OR(MOD(YEAR(B160),100)&lt;&gt;0,MOD(YEAR(B160),400)=0)),366,365)+(B161-((DATE(YEAR(B160)+1,1,1))))/IF(AND(MOD(YEAR(B161),4)=0,OR(MOD(YEAR(B161),100)&lt;&gt;0,MOD(YEAR(B161),400)=0)),366,365)))</f>
        <v/>
      </c>
      <c r="F161" s="14">
        <f>L160</f>
        <v/>
      </c>
      <c r="G161" s="14">
        <f>M160</f>
        <v/>
      </c>
      <c r="H161" s="14">
        <f>IF((((COB_CA!$B$18-I161)-J161)&gt;D161),I161+J161+K161,COB_CA!$B$18)</f>
        <v/>
      </c>
      <c r="I161" s="14">
        <f>MIN(COB_CA!$B$18,(E161+F161))</f>
        <v/>
      </c>
      <c r="J161" s="14">
        <f>MIN((COB_CA!$B$18-I161),G161)</f>
        <v/>
      </c>
      <c r="K161" s="14">
        <f>MIN(((COB_CA!$B$18-I161)-J161),D161)</f>
        <v/>
      </c>
      <c r="L161" s="14">
        <f>E161+F161-I161</f>
        <v/>
      </c>
      <c r="M161" s="14">
        <f>G161-J161</f>
        <v/>
      </c>
      <c r="N161" s="14">
        <f>D161-K161</f>
        <v/>
      </c>
      <c r="O161" s="6">
        <f>AND(D161&gt;0,B161&lt;=COB_CA!$B$20)</f>
        <v/>
      </c>
    </row>
    <row r="162">
      <c r="A162" s="6" t="n">
        <v>158</v>
      </c>
      <c r="B162" s="15">
        <f>IF(COB_CA!$B$38=12,DATE(YEAR(COB_CA!$B$19)+INT((MONTH(COB_CA!$B$19)-1+157)/12),MOD(MONTH(COB_CA!$B$19)-1+157,12)+1,1)+(DAY(COB_CA!$B$19)-1),IF(COB_CA!$B$38=24,COB_CA!$B$19+ROUND((157*365.25)/24,0),IF(COB_CA!$B$38=26,COB_CA!$B$19+2198,COB_CA!$B$19+1099)))</f>
        <v/>
      </c>
      <c r="C162" s="12">
        <f>B162-B161</f>
        <v/>
      </c>
      <c r="D162" s="14">
        <f>N161</f>
        <v/>
      </c>
      <c r="E162" s="14">
        <f>D162*COB_CA!$B$40/100*(IF(YEAR(B161)=YEAR(B162),(B162-B161)/IF(AND(MOD(YEAR(B162),4)=0,OR(MOD(YEAR(B162),100)&lt;&gt;0,MOD(YEAR(B162),400)=0)),366,365),(((DATE(YEAR(B161)+1,1,1)))-B161)/IF(AND(MOD(YEAR(B161),4)=0,OR(MOD(YEAR(B161),100)&lt;&gt;0,MOD(YEAR(B161),400)=0)),366,365)+(B162-((DATE(YEAR(B161)+1,1,1))))/IF(AND(MOD(YEAR(B162),4)=0,OR(MOD(YEAR(B162),100)&lt;&gt;0,MOD(YEAR(B162),400)=0)),366,365)))</f>
        <v/>
      </c>
      <c r="F162" s="14">
        <f>L161</f>
        <v/>
      </c>
      <c r="G162" s="14">
        <f>M161</f>
        <v/>
      </c>
      <c r="H162" s="14">
        <f>IF((((COB_CA!$B$18-I162)-J162)&gt;D162),I162+J162+K162,COB_CA!$B$18)</f>
        <v/>
      </c>
      <c r="I162" s="14">
        <f>MIN(COB_CA!$B$18,(E162+F162))</f>
        <v/>
      </c>
      <c r="J162" s="14">
        <f>MIN((COB_CA!$B$18-I162),G162)</f>
        <v/>
      </c>
      <c r="K162" s="14">
        <f>MIN(((COB_CA!$B$18-I162)-J162),D162)</f>
        <v/>
      </c>
      <c r="L162" s="14">
        <f>E162+F162-I162</f>
        <v/>
      </c>
      <c r="M162" s="14">
        <f>G162-J162</f>
        <v/>
      </c>
      <c r="N162" s="14">
        <f>D162-K162</f>
        <v/>
      </c>
      <c r="O162" s="6">
        <f>AND(D162&gt;0,B162&lt;=COB_CA!$B$20)</f>
        <v/>
      </c>
    </row>
    <row r="163">
      <c r="A163" s="6" t="n">
        <v>159</v>
      </c>
      <c r="B163" s="15">
        <f>IF(COB_CA!$B$38=12,DATE(YEAR(COB_CA!$B$19)+INT((MONTH(COB_CA!$B$19)-1+158)/12),MOD(MONTH(COB_CA!$B$19)-1+158,12)+1,1)+(DAY(COB_CA!$B$19)-1),IF(COB_CA!$B$38=24,COB_CA!$B$19+ROUND((158*365.25)/24,0),IF(COB_CA!$B$38=26,COB_CA!$B$19+2212,COB_CA!$B$19+1106)))</f>
        <v/>
      </c>
      <c r="C163" s="12">
        <f>B163-B162</f>
        <v/>
      </c>
      <c r="D163" s="14">
        <f>N162</f>
        <v/>
      </c>
      <c r="E163" s="14">
        <f>D163*COB_CA!$B$40/100*(IF(YEAR(B162)=YEAR(B163),(B163-B162)/IF(AND(MOD(YEAR(B163),4)=0,OR(MOD(YEAR(B163),100)&lt;&gt;0,MOD(YEAR(B163),400)=0)),366,365),(((DATE(YEAR(B162)+1,1,1)))-B162)/IF(AND(MOD(YEAR(B162),4)=0,OR(MOD(YEAR(B162),100)&lt;&gt;0,MOD(YEAR(B162),400)=0)),366,365)+(B163-((DATE(YEAR(B162)+1,1,1))))/IF(AND(MOD(YEAR(B163),4)=0,OR(MOD(YEAR(B163),100)&lt;&gt;0,MOD(YEAR(B163),400)=0)),366,365)))</f>
        <v/>
      </c>
      <c r="F163" s="14">
        <f>L162</f>
        <v/>
      </c>
      <c r="G163" s="14">
        <f>M162</f>
        <v/>
      </c>
      <c r="H163" s="14">
        <f>IF((((COB_CA!$B$18-I163)-J163)&gt;D163),I163+J163+K163,COB_CA!$B$18)</f>
        <v/>
      </c>
      <c r="I163" s="14">
        <f>MIN(COB_CA!$B$18,(E163+F163))</f>
        <v/>
      </c>
      <c r="J163" s="14">
        <f>MIN((COB_CA!$B$18-I163),G163)</f>
        <v/>
      </c>
      <c r="K163" s="14">
        <f>MIN(((COB_CA!$B$18-I163)-J163),D163)</f>
        <v/>
      </c>
      <c r="L163" s="14">
        <f>E163+F163-I163</f>
        <v/>
      </c>
      <c r="M163" s="14">
        <f>G163-J163</f>
        <v/>
      </c>
      <c r="N163" s="14">
        <f>D163-K163</f>
        <v/>
      </c>
      <c r="O163" s="6">
        <f>AND(D163&gt;0,B163&lt;=COB_CA!$B$20)</f>
        <v/>
      </c>
    </row>
    <row r="164">
      <c r="A164" s="6" t="n">
        <v>160</v>
      </c>
      <c r="B164" s="15">
        <f>IF(COB_CA!$B$38=12,DATE(YEAR(COB_CA!$B$19)+INT((MONTH(COB_CA!$B$19)-1+159)/12),MOD(MONTH(COB_CA!$B$19)-1+159,12)+1,1)+(DAY(COB_CA!$B$19)-1),IF(COB_CA!$B$38=24,COB_CA!$B$19+ROUND((159*365.25)/24,0),IF(COB_CA!$B$38=26,COB_CA!$B$19+2226,COB_CA!$B$19+1113)))</f>
        <v/>
      </c>
      <c r="C164" s="12">
        <f>B164-B163</f>
        <v/>
      </c>
      <c r="D164" s="14">
        <f>N163</f>
        <v/>
      </c>
      <c r="E164" s="14">
        <f>D164*COB_CA!$B$40/100*(IF(YEAR(B163)=YEAR(B164),(B164-B163)/IF(AND(MOD(YEAR(B164),4)=0,OR(MOD(YEAR(B164),100)&lt;&gt;0,MOD(YEAR(B164),400)=0)),366,365),(((DATE(YEAR(B163)+1,1,1)))-B163)/IF(AND(MOD(YEAR(B163),4)=0,OR(MOD(YEAR(B163),100)&lt;&gt;0,MOD(YEAR(B163),400)=0)),366,365)+(B164-((DATE(YEAR(B163)+1,1,1))))/IF(AND(MOD(YEAR(B164),4)=0,OR(MOD(YEAR(B164),100)&lt;&gt;0,MOD(YEAR(B164),400)=0)),366,365)))</f>
        <v/>
      </c>
      <c r="F164" s="14">
        <f>L163</f>
        <v/>
      </c>
      <c r="G164" s="14">
        <f>M163</f>
        <v/>
      </c>
      <c r="H164" s="14">
        <f>IF((((COB_CA!$B$18-I164)-J164)&gt;D164),I164+J164+K164,COB_CA!$B$18)</f>
        <v/>
      </c>
      <c r="I164" s="14">
        <f>MIN(COB_CA!$B$18,(E164+F164))</f>
        <v/>
      </c>
      <c r="J164" s="14">
        <f>MIN((COB_CA!$B$18-I164),G164)</f>
        <v/>
      </c>
      <c r="K164" s="14">
        <f>MIN(((COB_CA!$B$18-I164)-J164),D164)</f>
        <v/>
      </c>
      <c r="L164" s="14">
        <f>E164+F164-I164</f>
        <v/>
      </c>
      <c r="M164" s="14">
        <f>G164-J164</f>
        <v/>
      </c>
      <c r="N164" s="14">
        <f>D164-K164</f>
        <v/>
      </c>
      <c r="O164" s="6">
        <f>AND(D164&gt;0,B164&lt;=COB_CA!$B$20)</f>
        <v/>
      </c>
    </row>
    <row r="165">
      <c r="A165" s="6" t="n">
        <v>161</v>
      </c>
      <c r="B165" s="15">
        <f>IF(COB_CA!$B$38=12,DATE(YEAR(COB_CA!$B$19)+INT((MONTH(COB_CA!$B$19)-1+160)/12),MOD(MONTH(COB_CA!$B$19)-1+160,12)+1,1)+(DAY(COB_CA!$B$19)-1),IF(COB_CA!$B$38=24,COB_CA!$B$19+ROUND((160*365.25)/24,0),IF(COB_CA!$B$38=26,COB_CA!$B$19+2240,COB_CA!$B$19+1120)))</f>
        <v/>
      </c>
      <c r="C165" s="12">
        <f>B165-B164</f>
        <v/>
      </c>
      <c r="D165" s="14">
        <f>N164</f>
        <v/>
      </c>
      <c r="E165" s="14">
        <f>D165*COB_CA!$B$40/100*(IF(YEAR(B164)=YEAR(B165),(B165-B164)/IF(AND(MOD(YEAR(B165),4)=0,OR(MOD(YEAR(B165),100)&lt;&gt;0,MOD(YEAR(B165),400)=0)),366,365),(((DATE(YEAR(B164)+1,1,1)))-B164)/IF(AND(MOD(YEAR(B164),4)=0,OR(MOD(YEAR(B164),100)&lt;&gt;0,MOD(YEAR(B164),400)=0)),366,365)+(B165-((DATE(YEAR(B164)+1,1,1))))/IF(AND(MOD(YEAR(B165),4)=0,OR(MOD(YEAR(B165),100)&lt;&gt;0,MOD(YEAR(B165),400)=0)),366,365)))</f>
        <v/>
      </c>
      <c r="F165" s="14">
        <f>L164</f>
        <v/>
      </c>
      <c r="G165" s="14">
        <f>M164</f>
        <v/>
      </c>
      <c r="H165" s="14">
        <f>IF((((COB_CA!$B$18-I165)-J165)&gt;D165),I165+J165+K165,COB_CA!$B$18)</f>
        <v/>
      </c>
      <c r="I165" s="14">
        <f>MIN(COB_CA!$B$18,(E165+F165))</f>
        <v/>
      </c>
      <c r="J165" s="14">
        <f>MIN((COB_CA!$B$18-I165),G165)</f>
        <v/>
      </c>
      <c r="K165" s="14">
        <f>MIN(((COB_CA!$B$18-I165)-J165),D165)</f>
        <v/>
      </c>
      <c r="L165" s="14">
        <f>E165+F165-I165</f>
        <v/>
      </c>
      <c r="M165" s="14">
        <f>G165-J165</f>
        <v/>
      </c>
      <c r="N165" s="14">
        <f>D165-K165</f>
        <v/>
      </c>
      <c r="O165" s="6">
        <f>AND(D165&gt;0,B165&lt;=COB_CA!$B$20)</f>
        <v/>
      </c>
    </row>
    <row r="166">
      <c r="A166" s="6" t="n">
        <v>162</v>
      </c>
      <c r="B166" s="15">
        <f>IF(COB_CA!$B$38=12,DATE(YEAR(COB_CA!$B$19)+INT((MONTH(COB_CA!$B$19)-1+161)/12),MOD(MONTH(COB_CA!$B$19)-1+161,12)+1,1)+(DAY(COB_CA!$B$19)-1),IF(COB_CA!$B$38=24,COB_CA!$B$19+ROUND((161*365.25)/24,0),IF(COB_CA!$B$38=26,COB_CA!$B$19+2254,COB_CA!$B$19+1127)))</f>
        <v/>
      </c>
      <c r="C166" s="12">
        <f>B166-B165</f>
        <v/>
      </c>
      <c r="D166" s="14">
        <f>N165</f>
        <v/>
      </c>
      <c r="E166" s="14">
        <f>D166*COB_CA!$B$40/100*(IF(YEAR(B165)=YEAR(B166),(B166-B165)/IF(AND(MOD(YEAR(B166),4)=0,OR(MOD(YEAR(B166),100)&lt;&gt;0,MOD(YEAR(B166),400)=0)),366,365),(((DATE(YEAR(B165)+1,1,1)))-B165)/IF(AND(MOD(YEAR(B165),4)=0,OR(MOD(YEAR(B165),100)&lt;&gt;0,MOD(YEAR(B165),400)=0)),366,365)+(B166-((DATE(YEAR(B165)+1,1,1))))/IF(AND(MOD(YEAR(B166),4)=0,OR(MOD(YEAR(B166),100)&lt;&gt;0,MOD(YEAR(B166),400)=0)),366,365)))</f>
        <v/>
      </c>
      <c r="F166" s="14">
        <f>L165</f>
        <v/>
      </c>
      <c r="G166" s="14">
        <f>M165</f>
        <v/>
      </c>
      <c r="H166" s="14">
        <f>IF((((COB_CA!$B$18-I166)-J166)&gt;D166),I166+J166+K166,COB_CA!$B$18)</f>
        <v/>
      </c>
      <c r="I166" s="14">
        <f>MIN(COB_CA!$B$18,(E166+F166))</f>
        <v/>
      </c>
      <c r="J166" s="14">
        <f>MIN((COB_CA!$B$18-I166),G166)</f>
        <v/>
      </c>
      <c r="K166" s="14">
        <f>MIN(((COB_CA!$B$18-I166)-J166),D166)</f>
        <v/>
      </c>
      <c r="L166" s="14">
        <f>E166+F166-I166</f>
        <v/>
      </c>
      <c r="M166" s="14">
        <f>G166-J166</f>
        <v/>
      </c>
      <c r="N166" s="14">
        <f>D166-K166</f>
        <v/>
      </c>
      <c r="O166" s="6">
        <f>AND(D166&gt;0,B166&lt;=COB_CA!$B$20)</f>
        <v/>
      </c>
    </row>
    <row r="167">
      <c r="A167" s="6" t="n">
        <v>163</v>
      </c>
      <c r="B167" s="15">
        <f>IF(COB_CA!$B$38=12,DATE(YEAR(COB_CA!$B$19)+INT((MONTH(COB_CA!$B$19)-1+162)/12),MOD(MONTH(COB_CA!$B$19)-1+162,12)+1,1)+(DAY(COB_CA!$B$19)-1),IF(COB_CA!$B$38=24,COB_CA!$B$19+ROUND((162*365.25)/24,0),IF(COB_CA!$B$38=26,COB_CA!$B$19+2268,COB_CA!$B$19+1134)))</f>
        <v/>
      </c>
      <c r="C167" s="12">
        <f>B167-B166</f>
        <v/>
      </c>
      <c r="D167" s="14">
        <f>N166</f>
        <v/>
      </c>
      <c r="E167" s="14">
        <f>D167*COB_CA!$B$40/100*(IF(YEAR(B166)=YEAR(B167),(B167-B166)/IF(AND(MOD(YEAR(B167),4)=0,OR(MOD(YEAR(B167),100)&lt;&gt;0,MOD(YEAR(B167),400)=0)),366,365),(((DATE(YEAR(B166)+1,1,1)))-B166)/IF(AND(MOD(YEAR(B166),4)=0,OR(MOD(YEAR(B166),100)&lt;&gt;0,MOD(YEAR(B166),400)=0)),366,365)+(B167-((DATE(YEAR(B166)+1,1,1))))/IF(AND(MOD(YEAR(B167),4)=0,OR(MOD(YEAR(B167),100)&lt;&gt;0,MOD(YEAR(B167),400)=0)),366,365)))</f>
        <v/>
      </c>
      <c r="F167" s="14">
        <f>L166</f>
        <v/>
      </c>
      <c r="G167" s="14">
        <f>M166</f>
        <v/>
      </c>
      <c r="H167" s="14">
        <f>IF((((COB_CA!$B$18-I167)-J167)&gt;D167),I167+J167+K167,COB_CA!$B$18)</f>
        <v/>
      </c>
      <c r="I167" s="14">
        <f>MIN(COB_CA!$B$18,(E167+F167))</f>
        <v/>
      </c>
      <c r="J167" s="14">
        <f>MIN((COB_CA!$B$18-I167),G167)</f>
        <v/>
      </c>
      <c r="K167" s="14">
        <f>MIN(((COB_CA!$B$18-I167)-J167),D167)</f>
        <v/>
      </c>
      <c r="L167" s="14">
        <f>E167+F167-I167</f>
        <v/>
      </c>
      <c r="M167" s="14">
        <f>G167-J167</f>
        <v/>
      </c>
      <c r="N167" s="14">
        <f>D167-K167</f>
        <v/>
      </c>
      <c r="O167" s="6">
        <f>AND(D167&gt;0,B167&lt;=COB_CA!$B$20)</f>
        <v/>
      </c>
    </row>
    <row r="168">
      <c r="A168" s="6" t="n">
        <v>164</v>
      </c>
      <c r="B168" s="15">
        <f>IF(COB_CA!$B$38=12,DATE(YEAR(COB_CA!$B$19)+INT((MONTH(COB_CA!$B$19)-1+163)/12),MOD(MONTH(COB_CA!$B$19)-1+163,12)+1,1)+(DAY(COB_CA!$B$19)-1),IF(COB_CA!$B$38=24,COB_CA!$B$19+ROUND((163*365.25)/24,0),IF(COB_CA!$B$38=26,COB_CA!$B$19+2282,COB_CA!$B$19+1141)))</f>
        <v/>
      </c>
      <c r="C168" s="12">
        <f>B168-B167</f>
        <v/>
      </c>
      <c r="D168" s="14">
        <f>N167</f>
        <v/>
      </c>
      <c r="E168" s="14">
        <f>D168*COB_CA!$B$40/100*(IF(YEAR(B167)=YEAR(B168),(B168-B167)/IF(AND(MOD(YEAR(B168),4)=0,OR(MOD(YEAR(B168),100)&lt;&gt;0,MOD(YEAR(B168),400)=0)),366,365),(((DATE(YEAR(B167)+1,1,1)))-B167)/IF(AND(MOD(YEAR(B167),4)=0,OR(MOD(YEAR(B167),100)&lt;&gt;0,MOD(YEAR(B167),400)=0)),366,365)+(B168-((DATE(YEAR(B167)+1,1,1))))/IF(AND(MOD(YEAR(B168),4)=0,OR(MOD(YEAR(B168),100)&lt;&gt;0,MOD(YEAR(B168),400)=0)),366,365)))</f>
        <v/>
      </c>
      <c r="F168" s="14">
        <f>L167</f>
        <v/>
      </c>
      <c r="G168" s="14">
        <f>M167</f>
        <v/>
      </c>
      <c r="H168" s="14">
        <f>IF((((COB_CA!$B$18-I168)-J168)&gt;D168),I168+J168+K168,COB_CA!$B$18)</f>
        <v/>
      </c>
      <c r="I168" s="14">
        <f>MIN(COB_CA!$B$18,(E168+F168))</f>
        <v/>
      </c>
      <c r="J168" s="14">
        <f>MIN((COB_CA!$B$18-I168),G168)</f>
        <v/>
      </c>
      <c r="K168" s="14">
        <f>MIN(((COB_CA!$B$18-I168)-J168),D168)</f>
        <v/>
      </c>
      <c r="L168" s="14">
        <f>E168+F168-I168</f>
        <v/>
      </c>
      <c r="M168" s="14">
        <f>G168-J168</f>
        <v/>
      </c>
      <c r="N168" s="14">
        <f>D168-K168</f>
        <v/>
      </c>
      <c r="O168" s="6">
        <f>AND(D168&gt;0,B168&lt;=COB_CA!$B$20)</f>
        <v/>
      </c>
    </row>
    <row r="169">
      <c r="A169" s="6" t="n">
        <v>165</v>
      </c>
      <c r="B169" s="15">
        <f>IF(COB_CA!$B$38=12,DATE(YEAR(COB_CA!$B$19)+INT((MONTH(COB_CA!$B$19)-1+164)/12),MOD(MONTH(COB_CA!$B$19)-1+164,12)+1,1)+(DAY(COB_CA!$B$19)-1),IF(COB_CA!$B$38=24,COB_CA!$B$19+ROUND((164*365.25)/24,0),IF(COB_CA!$B$38=26,COB_CA!$B$19+2296,COB_CA!$B$19+1148)))</f>
        <v/>
      </c>
      <c r="C169" s="12">
        <f>B169-B168</f>
        <v/>
      </c>
      <c r="D169" s="14">
        <f>N168</f>
        <v/>
      </c>
      <c r="E169" s="14">
        <f>D169*COB_CA!$B$40/100*(IF(YEAR(B168)=YEAR(B169),(B169-B168)/IF(AND(MOD(YEAR(B169),4)=0,OR(MOD(YEAR(B169),100)&lt;&gt;0,MOD(YEAR(B169),400)=0)),366,365),(((DATE(YEAR(B168)+1,1,1)))-B168)/IF(AND(MOD(YEAR(B168),4)=0,OR(MOD(YEAR(B168),100)&lt;&gt;0,MOD(YEAR(B168),400)=0)),366,365)+(B169-((DATE(YEAR(B168)+1,1,1))))/IF(AND(MOD(YEAR(B169),4)=0,OR(MOD(YEAR(B169),100)&lt;&gt;0,MOD(YEAR(B169),400)=0)),366,365)))</f>
        <v/>
      </c>
      <c r="F169" s="14">
        <f>L168</f>
        <v/>
      </c>
      <c r="G169" s="14">
        <f>M168</f>
        <v/>
      </c>
      <c r="H169" s="14">
        <f>IF((((COB_CA!$B$18-I169)-J169)&gt;D169),I169+J169+K169,COB_CA!$B$18)</f>
        <v/>
      </c>
      <c r="I169" s="14">
        <f>MIN(COB_CA!$B$18,(E169+F169))</f>
        <v/>
      </c>
      <c r="J169" s="14">
        <f>MIN((COB_CA!$B$18-I169),G169)</f>
        <v/>
      </c>
      <c r="K169" s="14">
        <f>MIN(((COB_CA!$B$18-I169)-J169),D169)</f>
        <v/>
      </c>
      <c r="L169" s="14">
        <f>E169+F169-I169</f>
        <v/>
      </c>
      <c r="M169" s="14">
        <f>G169-J169</f>
        <v/>
      </c>
      <c r="N169" s="14">
        <f>D169-K169</f>
        <v/>
      </c>
      <c r="O169" s="6">
        <f>AND(D169&gt;0,B169&lt;=COB_CA!$B$20)</f>
        <v/>
      </c>
    </row>
    <row r="170">
      <c r="A170" s="6" t="n">
        <v>166</v>
      </c>
      <c r="B170" s="15">
        <f>IF(COB_CA!$B$38=12,DATE(YEAR(COB_CA!$B$19)+INT((MONTH(COB_CA!$B$19)-1+165)/12),MOD(MONTH(COB_CA!$B$19)-1+165,12)+1,1)+(DAY(COB_CA!$B$19)-1),IF(COB_CA!$B$38=24,COB_CA!$B$19+ROUND((165*365.25)/24,0),IF(COB_CA!$B$38=26,COB_CA!$B$19+2310,COB_CA!$B$19+1155)))</f>
        <v/>
      </c>
      <c r="C170" s="12">
        <f>B170-B169</f>
        <v/>
      </c>
      <c r="D170" s="14">
        <f>N169</f>
        <v/>
      </c>
      <c r="E170" s="14">
        <f>D170*COB_CA!$B$40/100*(IF(YEAR(B169)=YEAR(B170),(B170-B169)/IF(AND(MOD(YEAR(B170),4)=0,OR(MOD(YEAR(B170),100)&lt;&gt;0,MOD(YEAR(B170),400)=0)),366,365),(((DATE(YEAR(B169)+1,1,1)))-B169)/IF(AND(MOD(YEAR(B169),4)=0,OR(MOD(YEAR(B169),100)&lt;&gt;0,MOD(YEAR(B169),400)=0)),366,365)+(B170-((DATE(YEAR(B169)+1,1,1))))/IF(AND(MOD(YEAR(B170),4)=0,OR(MOD(YEAR(B170),100)&lt;&gt;0,MOD(YEAR(B170),400)=0)),366,365)))</f>
        <v/>
      </c>
      <c r="F170" s="14">
        <f>L169</f>
        <v/>
      </c>
      <c r="G170" s="14">
        <f>M169</f>
        <v/>
      </c>
      <c r="H170" s="14">
        <f>IF((((COB_CA!$B$18-I170)-J170)&gt;D170),I170+J170+K170,COB_CA!$B$18)</f>
        <v/>
      </c>
      <c r="I170" s="14">
        <f>MIN(COB_CA!$B$18,(E170+F170))</f>
        <v/>
      </c>
      <c r="J170" s="14">
        <f>MIN((COB_CA!$B$18-I170),G170)</f>
        <v/>
      </c>
      <c r="K170" s="14">
        <f>MIN(((COB_CA!$B$18-I170)-J170),D170)</f>
        <v/>
      </c>
      <c r="L170" s="14">
        <f>E170+F170-I170</f>
        <v/>
      </c>
      <c r="M170" s="14">
        <f>G170-J170</f>
        <v/>
      </c>
      <c r="N170" s="14">
        <f>D170-K170</f>
        <v/>
      </c>
      <c r="O170" s="6">
        <f>AND(D170&gt;0,B170&lt;=COB_CA!$B$20)</f>
        <v/>
      </c>
    </row>
    <row r="171">
      <c r="A171" s="6" t="n">
        <v>167</v>
      </c>
      <c r="B171" s="15">
        <f>IF(COB_CA!$B$38=12,DATE(YEAR(COB_CA!$B$19)+INT((MONTH(COB_CA!$B$19)-1+166)/12),MOD(MONTH(COB_CA!$B$19)-1+166,12)+1,1)+(DAY(COB_CA!$B$19)-1),IF(COB_CA!$B$38=24,COB_CA!$B$19+ROUND((166*365.25)/24,0),IF(COB_CA!$B$38=26,COB_CA!$B$19+2324,COB_CA!$B$19+1162)))</f>
        <v/>
      </c>
      <c r="C171" s="12">
        <f>B171-B170</f>
        <v/>
      </c>
      <c r="D171" s="14">
        <f>N170</f>
        <v/>
      </c>
      <c r="E171" s="14">
        <f>D171*COB_CA!$B$40/100*(IF(YEAR(B170)=YEAR(B171),(B171-B170)/IF(AND(MOD(YEAR(B171),4)=0,OR(MOD(YEAR(B171),100)&lt;&gt;0,MOD(YEAR(B171),400)=0)),366,365),(((DATE(YEAR(B170)+1,1,1)))-B170)/IF(AND(MOD(YEAR(B170),4)=0,OR(MOD(YEAR(B170),100)&lt;&gt;0,MOD(YEAR(B170),400)=0)),366,365)+(B171-((DATE(YEAR(B170)+1,1,1))))/IF(AND(MOD(YEAR(B171),4)=0,OR(MOD(YEAR(B171),100)&lt;&gt;0,MOD(YEAR(B171),400)=0)),366,365)))</f>
        <v/>
      </c>
      <c r="F171" s="14">
        <f>L170</f>
        <v/>
      </c>
      <c r="G171" s="14">
        <f>M170</f>
        <v/>
      </c>
      <c r="H171" s="14">
        <f>IF((((COB_CA!$B$18-I171)-J171)&gt;D171),I171+J171+K171,COB_CA!$B$18)</f>
        <v/>
      </c>
      <c r="I171" s="14">
        <f>MIN(COB_CA!$B$18,(E171+F171))</f>
        <v/>
      </c>
      <c r="J171" s="14">
        <f>MIN((COB_CA!$B$18-I171),G171)</f>
        <v/>
      </c>
      <c r="K171" s="14">
        <f>MIN(((COB_CA!$B$18-I171)-J171),D171)</f>
        <v/>
      </c>
      <c r="L171" s="14">
        <f>E171+F171-I171</f>
        <v/>
      </c>
      <c r="M171" s="14">
        <f>G171-J171</f>
        <v/>
      </c>
      <c r="N171" s="14">
        <f>D171-K171</f>
        <v/>
      </c>
      <c r="O171" s="6">
        <f>AND(D171&gt;0,B171&lt;=COB_CA!$B$20)</f>
        <v/>
      </c>
    </row>
    <row r="172">
      <c r="A172" s="6" t="n">
        <v>168</v>
      </c>
      <c r="B172" s="15">
        <f>IF(COB_CA!$B$38=12,DATE(YEAR(COB_CA!$B$19)+INT((MONTH(COB_CA!$B$19)-1+167)/12),MOD(MONTH(COB_CA!$B$19)-1+167,12)+1,1)+(DAY(COB_CA!$B$19)-1),IF(COB_CA!$B$38=24,COB_CA!$B$19+ROUND((167*365.25)/24,0),IF(COB_CA!$B$38=26,COB_CA!$B$19+2338,COB_CA!$B$19+1169)))</f>
        <v/>
      </c>
      <c r="C172" s="12">
        <f>B172-B171</f>
        <v/>
      </c>
      <c r="D172" s="14">
        <f>N171</f>
        <v/>
      </c>
      <c r="E172" s="14">
        <f>D172*COB_CA!$B$40/100*(IF(YEAR(B171)=YEAR(B172),(B172-B171)/IF(AND(MOD(YEAR(B172),4)=0,OR(MOD(YEAR(B172),100)&lt;&gt;0,MOD(YEAR(B172),400)=0)),366,365),(((DATE(YEAR(B171)+1,1,1)))-B171)/IF(AND(MOD(YEAR(B171),4)=0,OR(MOD(YEAR(B171),100)&lt;&gt;0,MOD(YEAR(B171),400)=0)),366,365)+(B172-((DATE(YEAR(B171)+1,1,1))))/IF(AND(MOD(YEAR(B172),4)=0,OR(MOD(YEAR(B172),100)&lt;&gt;0,MOD(YEAR(B172),400)=0)),366,365)))</f>
        <v/>
      </c>
      <c r="F172" s="14">
        <f>L171</f>
        <v/>
      </c>
      <c r="G172" s="14">
        <f>M171</f>
        <v/>
      </c>
      <c r="H172" s="14">
        <f>IF((((COB_CA!$B$18-I172)-J172)&gt;D172),I172+J172+K172,COB_CA!$B$18)</f>
        <v/>
      </c>
      <c r="I172" s="14">
        <f>MIN(COB_CA!$B$18,(E172+F172))</f>
        <v/>
      </c>
      <c r="J172" s="14">
        <f>MIN((COB_CA!$B$18-I172),G172)</f>
        <v/>
      </c>
      <c r="K172" s="14">
        <f>MIN(((COB_CA!$B$18-I172)-J172),D172)</f>
        <v/>
      </c>
      <c r="L172" s="14">
        <f>E172+F172-I172</f>
        <v/>
      </c>
      <c r="M172" s="14">
        <f>G172-J172</f>
        <v/>
      </c>
      <c r="N172" s="14">
        <f>D172-K172</f>
        <v/>
      </c>
      <c r="O172" s="6">
        <f>AND(D172&gt;0,B172&lt;=COB_CA!$B$20)</f>
        <v/>
      </c>
    </row>
    <row r="173">
      <c r="A173" s="6" t="n">
        <v>169</v>
      </c>
      <c r="B173" s="15">
        <f>IF(COB_CA!$B$38=12,DATE(YEAR(COB_CA!$B$19)+INT((MONTH(COB_CA!$B$19)-1+168)/12),MOD(MONTH(COB_CA!$B$19)-1+168,12)+1,1)+(DAY(COB_CA!$B$19)-1),IF(COB_CA!$B$38=24,COB_CA!$B$19+ROUND((168*365.25)/24,0),IF(COB_CA!$B$38=26,COB_CA!$B$19+2352,COB_CA!$B$19+1176)))</f>
        <v/>
      </c>
      <c r="C173" s="12">
        <f>B173-B172</f>
        <v/>
      </c>
      <c r="D173" s="14">
        <f>N172</f>
        <v/>
      </c>
      <c r="E173" s="14">
        <f>D173*COB_CA!$B$40/100*(IF(YEAR(B172)=YEAR(B173),(B173-B172)/IF(AND(MOD(YEAR(B173),4)=0,OR(MOD(YEAR(B173),100)&lt;&gt;0,MOD(YEAR(B173),400)=0)),366,365),(((DATE(YEAR(B172)+1,1,1)))-B172)/IF(AND(MOD(YEAR(B172),4)=0,OR(MOD(YEAR(B172),100)&lt;&gt;0,MOD(YEAR(B172),400)=0)),366,365)+(B173-((DATE(YEAR(B172)+1,1,1))))/IF(AND(MOD(YEAR(B173),4)=0,OR(MOD(YEAR(B173),100)&lt;&gt;0,MOD(YEAR(B173),400)=0)),366,365)))</f>
        <v/>
      </c>
      <c r="F173" s="14">
        <f>L172</f>
        <v/>
      </c>
      <c r="G173" s="14">
        <f>M172</f>
        <v/>
      </c>
      <c r="H173" s="14">
        <f>IF((((COB_CA!$B$18-I173)-J173)&gt;D173),I173+J173+K173,COB_CA!$B$18)</f>
        <v/>
      </c>
      <c r="I173" s="14">
        <f>MIN(COB_CA!$B$18,(E173+F173))</f>
        <v/>
      </c>
      <c r="J173" s="14">
        <f>MIN((COB_CA!$B$18-I173),G173)</f>
        <v/>
      </c>
      <c r="K173" s="14">
        <f>MIN(((COB_CA!$B$18-I173)-J173),D173)</f>
        <v/>
      </c>
      <c r="L173" s="14">
        <f>E173+F173-I173</f>
        <v/>
      </c>
      <c r="M173" s="14">
        <f>G173-J173</f>
        <v/>
      </c>
      <c r="N173" s="14">
        <f>D173-K173</f>
        <v/>
      </c>
      <c r="O173" s="6">
        <f>AND(D173&gt;0,B173&lt;=COB_CA!$B$20)</f>
        <v/>
      </c>
    </row>
    <row r="174">
      <c r="A174" s="6" t="n">
        <v>170</v>
      </c>
      <c r="B174" s="15">
        <f>IF(COB_CA!$B$38=12,DATE(YEAR(COB_CA!$B$19)+INT((MONTH(COB_CA!$B$19)-1+169)/12),MOD(MONTH(COB_CA!$B$19)-1+169,12)+1,1)+(DAY(COB_CA!$B$19)-1),IF(COB_CA!$B$38=24,COB_CA!$B$19+ROUND((169*365.25)/24,0),IF(COB_CA!$B$38=26,COB_CA!$B$19+2366,COB_CA!$B$19+1183)))</f>
        <v/>
      </c>
      <c r="C174" s="12">
        <f>B174-B173</f>
        <v/>
      </c>
      <c r="D174" s="14">
        <f>N173</f>
        <v/>
      </c>
      <c r="E174" s="14">
        <f>D174*COB_CA!$B$40/100*(IF(YEAR(B173)=YEAR(B174),(B174-B173)/IF(AND(MOD(YEAR(B174),4)=0,OR(MOD(YEAR(B174),100)&lt;&gt;0,MOD(YEAR(B174),400)=0)),366,365),(((DATE(YEAR(B173)+1,1,1)))-B173)/IF(AND(MOD(YEAR(B173),4)=0,OR(MOD(YEAR(B173),100)&lt;&gt;0,MOD(YEAR(B173),400)=0)),366,365)+(B174-((DATE(YEAR(B173)+1,1,1))))/IF(AND(MOD(YEAR(B174),4)=0,OR(MOD(YEAR(B174),100)&lt;&gt;0,MOD(YEAR(B174),400)=0)),366,365)))</f>
        <v/>
      </c>
      <c r="F174" s="14">
        <f>L173</f>
        <v/>
      </c>
      <c r="G174" s="14">
        <f>M173</f>
        <v/>
      </c>
      <c r="H174" s="14">
        <f>IF((((COB_CA!$B$18-I174)-J174)&gt;D174),I174+J174+K174,COB_CA!$B$18)</f>
        <v/>
      </c>
      <c r="I174" s="14">
        <f>MIN(COB_CA!$B$18,(E174+F174))</f>
        <v/>
      </c>
      <c r="J174" s="14">
        <f>MIN((COB_CA!$B$18-I174),G174)</f>
        <v/>
      </c>
      <c r="K174" s="14">
        <f>MIN(((COB_CA!$B$18-I174)-J174),D174)</f>
        <v/>
      </c>
      <c r="L174" s="14">
        <f>E174+F174-I174</f>
        <v/>
      </c>
      <c r="M174" s="14">
        <f>G174-J174</f>
        <v/>
      </c>
      <c r="N174" s="14">
        <f>D174-K174</f>
        <v/>
      </c>
      <c r="O174" s="6">
        <f>AND(D174&gt;0,B174&lt;=COB_CA!$B$20)</f>
        <v/>
      </c>
    </row>
    <row r="175">
      <c r="A175" s="6" t="n">
        <v>171</v>
      </c>
      <c r="B175" s="15">
        <f>IF(COB_CA!$B$38=12,DATE(YEAR(COB_CA!$B$19)+INT((MONTH(COB_CA!$B$19)-1+170)/12),MOD(MONTH(COB_CA!$B$19)-1+170,12)+1,1)+(DAY(COB_CA!$B$19)-1),IF(COB_CA!$B$38=24,COB_CA!$B$19+ROUND((170*365.25)/24,0),IF(COB_CA!$B$38=26,COB_CA!$B$19+2380,COB_CA!$B$19+1190)))</f>
        <v/>
      </c>
      <c r="C175" s="12">
        <f>B175-B174</f>
        <v/>
      </c>
      <c r="D175" s="14">
        <f>N174</f>
        <v/>
      </c>
      <c r="E175" s="14">
        <f>D175*COB_CA!$B$40/100*(IF(YEAR(B174)=YEAR(B175),(B175-B174)/IF(AND(MOD(YEAR(B175),4)=0,OR(MOD(YEAR(B175),100)&lt;&gt;0,MOD(YEAR(B175),400)=0)),366,365),(((DATE(YEAR(B174)+1,1,1)))-B174)/IF(AND(MOD(YEAR(B174),4)=0,OR(MOD(YEAR(B174),100)&lt;&gt;0,MOD(YEAR(B174),400)=0)),366,365)+(B175-((DATE(YEAR(B174)+1,1,1))))/IF(AND(MOD(YEAR(B175),4)=0,OR(MOD(YEAR(B175),100)&lt;&gt;0,MOD(YEAR(B175),400)=0)),366,365)))</f>
        <v/>
      </c>
      <c r="F175" s="14">
        <f>L174</f>
        <v/>
      </c>
      <c r="G175" s="14">
        <f>M174</f>
        <v/>
      </c>
      <c r="H175" s="14">
        <f>IF((((COB_CA!$B$18-I175)-J175)&gt;D175),I175+J175+K175,COB_CA!$B$18)</f>
        <v/>
      </c>
      <c r="I175" s="14">
        <f>MIN(COB_CA!$B$18,(E175+F175))</f>
        <v/>
      </c>
      <c r="J175" s="14">
        <f>MIN((COB_CA!$B$18-I175),G175)</f>
        <v/>
      </c>
      <c r="K175" s="14">
        <f>MIN(((COB_CA!$B$18-I175)-J175),D175)</f>
        <v/>
      </c>
      <c r="L175" s="14">
        <f>E175+F175-I175</f>
        <v/>
      </c>
      <c r="M175" s="14">
        <f>G175-J175</f>
        <v/>
      </c>
      <c r="N175" s="14">
        <f>D175-K175</f>
        <v/>
      </c>
      <c r="O175" s="6">
        <f>AND(D175&gt;0,B175&lt;=COB_CA!$B$20)</f>
        <v/>
      </c>
    </row>
    <row r="176">
      <c r="A176" s="6" t="n">
        <v>172</v>
      </c>
      <c r="B176" s="15">
        <f>IF(COB_CA!$B$38=12,DATE(YEAR(COB_CA!$B$19)+INT((MONTH(COB_CA!$B$19)-1+171)/12),MOD(MONTH(COB_CA!$B$19)-1+171,12)+1,1)+(DAY(COB_CA!$B$19)-1),IF(COB_CA!$B$38=24,COB_CA!$B$19+ROUND((171*365.25)/24,0),IF(COB_CA!$B$38=26,COB_CA!$B$19+2394,COB_CA!$B$19+1197)))</f>
        <v/>
      </c>
      <c r="C176" s="12">
        <f>B176-B175</f>
        <v/>
      </c>
      <c r="D176" s="14">
        <f>N175</f>
        <v/>
      </c>
      <c r="E176" s="14">
        <f>D176*COB_CA!$B$40/100*(IF(YEAR(B175)=YEAR(B176),(B176-B175)/IF(AND(MOD(YEAR(B176),4)=0,OR(MOD(YEAR(B176),100)&lt;&gt;0,MOD(YEAR(B176),400)=0)),366,365),(((DATE(YEAR(B175)+1,1,1)))-B175)/IF(AND(MOD(YEAR(B175),4)=0,OR(MOD(YEAR(B175),100)&lt;&gt;0,MOD(YEAR(B175),400)=0)),366,365)+(B176-((DATE(YEAR(B175)+1,1,1))))/IF(AND(MOD(YEAR(B176),4)=0,OR(MOD(YEAR(B176),100)&lt;&gt;0,MOD(YEAR(B176),400)=0)),366,365)))</f>
        <v/>
      </c>
      <c r="F176" s="14">
        <f>L175</f>
        <v/>
      </c>
      <c r="G176" s="14">
        <f>M175</f>
        <v/>
      </c>
      <c r="H176" s="14">
        <f>IF((((COB_CA!$B$18-I176)-J176)&gt;D176),I176+J176+K176,COB_CA!$B$18)</f>
        <v/>
      </c>
      <c r="I176" s="14">
        <f>MIN(COB_CA!$B$18,(E176+F176))</f>
        <v/>
      </c>
      <c r="J176" s="14">
        <f>MIN((COB_CA!$B$18-I176),G176)</f>
        <v/>
      </c>
      <c r="K176" s="14">
        <f>MIN(((COB_CA!$B$18-I176)-J176),D176)</f>
        <v/>
      </c>
      <c r="L176" s="14">
        <f>E176+F176-I176</f>
        <v/>
      </c>
      <c r="M176" s="14">
        <f>G176-J176</f>
        <v/>
      </c>
      <c r="N176" s="14">
        <f>D176-K176</f>
        <v/>
      </c>
      <c r="O176" s="6">
        <f>AND(D176&gt;0,B176&lt;=COB_CA!$B$20)</f>
        <v/>
      </c>
    </row>
    <row r="177">
      <c r="A177" s="6" t="n">
        <v>173</v>
      </c>
      <c r="B177" s="15">
        <f>IF(COB_CA!$B$38=12,DATE(YEAR(COB_CA!$B$19)+INT((MONTH(COB_CA!$B$19)-1+172)/12),MOD(MONTH(COB_CA!$B$19)-1+172,12)+1,1)+(DAY(COB_CA!$B$19)-1),IF(COB_CA!$B$38=24,COB_CA!$B$19+ROUND((172*365.25)/24,0),IF(COB_CA!$B$38=26,COB_CA!$B$19+2408,COB_CA!$B$19+1204)))</f>
        <v/>
      </c>
      <c r="C177" s="12">
        <f>B177-B176</f>
        <v/>
      </c>
      <c r="D177" s="14">
        <f>N176</f>
        <v/>
      </c>
      <c r="E177" s="14">
        <f>D177*COB_CA!$B$40/100*(IF(YEAR(B176)=YEAR(B177),(B177-B176)/IF(AND(MOD(YEAR(B177),4)=0,OR(MOD(YEAR(B177),100)&lt;&gt;0,MOD(YEAR(B177),400)=0)),366,365),(((DATE(YEAR(B176)+1,1,1)))-B176)/IF(AND(MOD(YEAR(B176),4)=0,OR(MOD(YEAR(B176),100)&lt;&gt;0,MOD(YEAR(B176),400)=0)),366,365)+(B177-((DATE(YEAR(B176)+1,1,1))))/IF(AND(MOD(YEAR(B177),4)=0,OR(MOD(YEAR(B177),100)&lt;&gt;0,MOD(YEAR(B177),400)=0)),366,365)))</f>
        <v/>
      </c>
      <c r="F177" s="14">
        <f>L176</f>
        <v/>
      </c>
      <c r="G177" s="14">
        <f>M176</f>
        <v/>
      </c>
      <c r="H177" s="14">
        <f>IF((((COB_CA!$B$18-I177)-J177)&gt;D177),I177+J177+K177,COB_CA!$B$18)</f>
        <v/>
      </c>
      <c r="I177" s="14">
        <f>MIN(COB_CA!$B$18,(E177+F177))</f>
        <v/>
      </c>
      <c r="J177" s="14">
        <f>MIN((COB_CA!$B$18-I177),G177)</f>
        <v/>
      </c>
      <c r="K177" s="14">
        <f>MIN(((COB_CA!$B$18-I177)-J177),D177)</f>
        <v/>
      </c>
      <c r="L177" s="14">
        <f>E177+F177-I177</f>
        <v/>
      </c>
      <c r="M177" s="14">
        <f>G177-J177</f>
        <v/>
      </c>
      <c r="N177" s="14">
        <f>D177-K177</f>
        <v/>
      </c>
      <c r="O177" s="6">
        <f>AND(D177&gt;0,B177&lt;=COB_CA!$B$20)</f>
        <v/>
      </c>
    </row>
    <row r="178">
      <c r="A178" s="6" t="n">
        <v>174</v>
      </c>
      <c r="B178" s="15">
        <f>IF(COB_CA!$B$38=12,DATE(YEAR(COB_CA!$B$19)+INT((MONTH(COB_CA!$B$19)-1+173)/12),MOD(MONTH(COB_CA!$B$19)-1+173,12)+1,1)+(DAY(COB_CA!$B$19)-1),IF(COB_CA!$B$38=24,COB_CA!$B$19+ROUND((173*365.25)/24,0),IF(COB_CA!$B$38=26,COB_CA!$B$19+2422,COB_CA!$B$19+1211)))</f>
        <v/>
      </c>
      <c r="C178" s="12">
        <f>B178-B177</f>
        <v/>
      </c>
      <c r="D178" s="14">
        <f>N177</f>
        <v/>
      </c>
      <c r="E178" s="14">
        <f>D178*COB_CA!$B$40/100*(IF(YEAR(B177)=YEAR(B178),(B178-B177)/IF(AND(MOD(YEAR(B178),4)=0,OR(MOD(YEAR(B178),100)&lt;&gt;0,MOD(YEAR(B178),400)=0)),366,365),(((DATE(YEAR(B177)+1,1,1)))-B177)/IF(AND(MOD(YEAR(B177),4)=0,OR(MOD(YEAR(B177),100)&lt;&gt;0,MOD(YEAR(B177),400)=0)),366,365)+(B178-((DATE(YEAR(B177)+1,1,1))))/IF(AND(MOD(YEAR(B178),4)=0,OR(MOD(YEAR(B178),100)&lt;&gt;0,MOD(YEAR(B178),400)=0)),366,365)))</f>
        <v/>
      </c>
      <c r="F178" s="14">
        <f>L177</f>
        <v/>
      </c>
      <c r="G178" s="14">
        <f>M177</f>
        <v/>
      </c>
      <c r="H178" s="14">
        <f>IF((((COB_CA!$B$18-I178)-J178)&gt;D178),I178+J178+K178,COB_CA!$B$18)</f>
        <v/>
      </c>
      <c r="I178" s="14">
        <f>MIN(COB_CA!$B$18,(E178+F178))</f>
        <v/>
      </c>
      <c r="J178" s="14">
        <f>MIN((COB_CA!$B$18-I178),G178)</f>
        <v/>
      </c>
      <c r="K178" s="14">
        <f>MIN(((COB_CA!$B$18-I178)-J178),D178)</f>
        <v/>
      </c>
      <c r="L178" s="14">
        <f>E178+F178-I178</f>
        <v/>
      </c>
      <c r="M178" s="14">
        <f>G178-J178</f>
        <v/>
      </c>
      <c r="N178" s="14">
        <f>D178-K178</f>
        <v/>
      </c>
      <c r="O178" s="6">
        <f>AND(D178&gt;0,B178&lt;=COB_CA!$B$20)</f>
        <v/>
      </c>
    </row>
    <row r="179">
      <c r="A179" s="6" t="n">
        <v>175</v>
      </c>
      <c r="B179" s="15">
        <f>IF(COB_CA!$B$38=12,DATE(YEAR(COB_CA!$B$19)+INT((MONTH(COB_CA!$B$19)-1+174)/12),MOD(MONTH(COB_CA!$B$19)-1+174,12)+1,1)+(DAY(COB_CA!$B$19)-1),IF(COB_CA!$B$38=24,COB_CA!$B$19+ROUND((174*365.25)/24,0),IF(COB_CA!$B$38=26,COB_CA!$B$19+2436,COB_CA!$B$19+1218)))</f>
        <v/>
      </c>
      <c r="C179" s="12">
        <f>B179-B178</f>
        <v/>
      </c>
      <c r="D179" s="14">
        <f>N178</f>
        <v/>
      </c>
      <c r="E179" s="14">
        <f>D179*COB_CA!$B$40/100*(IF(YEAR(B178)=YEAR(B179),(B179-B178)/IF(AND(MOD(YEAR(B179),4)=0,OR(MOD(YEAR(B179),100)&lt;&gt;0,MOD(YEAR(B179),400)=0)),366,365),(((DATE(YEAR(B178)+1,1,1)))-B178)/IF(AND(MOD(YEAR(B178),4)=0,OR(MOD(YEAR(B178),100)&lt;&gt;0,MOD(YEAR(B178),400)=0)),366,365)+(B179-((DATE(YEAR(B178)+1,1,1))))/IF(AND(MOD(YEAR(B179),4)=0,OR(MOD(YEAR(B179),100)&lt;&gt;0,MOD(YEAR(B179),400)=0)),366,365)))</f>
        <v/>
      </c>
      <c r="F179" s="14">
        <f>L178</f>
        <v/>
      </c>
      <c r="G179" s="14">
        <f>M178</f>
        <v/>
      </c>
      <c r="H179" s="14">
        <f>IF((((COB_CA!$B$18-I179)-J179)&gt;D179),I179+J179+K179,COB_CA!$B$18)</f>
        <v/>
      </c>
      <c r="I179" s="14">
        <f>MIN(COB_CA!$B$18,(E179+F179))</f>
        <v/>
      </c>
      <c r="J179" s="14">
        <f>MIN((COB_CA!$B$18-I179),G179)</f>
        <v/>
      </c>
      <c r="K179" s="14">
        <f>MIN(((COB_CA!$B$18-I179)-J179),D179)</f>
        <v/>
      </c>
      <c r="L179" s="14">
        <f>E179+F179-I179</f>
        <v/>
      </c>
      <c r="M179" s="14">
        <f>G179-J179</f>
        <v/>
      </c>
      <c r="N179" s="14">
        <f>D179-K179</f>
        <v/>
      </c>
      <c r="O179" s="6">
        <f>AND(D179&gt;0,B179&lt;=COB_CA!$B$20)</f>
        <v/>
      </c>
    </row>
    <row r="180">
      <c r="A180" s="6" t="n">
        <v>176</v>
      </c>
      <c r="B180" s="15">
        <f>IF(COB_CA!$B$38=12,DATE(YEAR(COB_CA!$B$19)+INT((MONTH(COB_CA!$B$19)-1+175)/12),MOD(MONTH(COB_CA!$B$19)-1+175,12)+1,1)+(DAY(COB_CA!$B$19)-1),IF(COB_CA!$B$38=24,COB_CA!$B$19+ROUND((175*365.25)/24,0),IF(COB_CA!$B$38=26,COB_CA!$B$19+2450,COB_CA!$B$19+1225)))</f>
        <v/>
      </c>
      <c r="C180" s="12">
        <f>B180-B179</f>
        <v/>
      </c>
      <c r="D180" s="14">
        <f>N179</f>
        <v/>
      </c>
      <c r="E180" s="14">
        <f>D180*COB_CA!$B$40/100*(IF(YEAR(B179)=YEAR(B180),(B180-B179)/IF(AND(MOD(YEAR(B180),4)=0,OR(MOD(YEAR(B180),100)&lt;&gt;0,MOD(YEAR(B180),400)=0)),366,365),(((DATE(YEAR(B179)+1,1,1)))-B179)/IF(AND(MOD(YEAR(B179),4)=0,OR(MOD(YEAR(B179),100)&lt;&gt;0,MOD(YEAR(B179),400)=0)),366,365)+(B180-((DATE(YEAR(B179)+1,1,1))))/IF(AND(MOD(YEAR(B180),4)=0,OR(MOD(YEAR(B180),100)&lt;&gt;0,MOD(YEAR(B180),400)=0)),366,365)))</f>
        <v/>
      </c>
      <c r="F180" s="14">
        <f>L179</f>
        <v/>
      </c>
      <c r="G180" s="14">
        <f>M179</f>
        <v/>
      </c>
      <c r="H180" s="14">
        <f>IF((((COB_CA!$B$18-I180)-J180)&gt;D180),I180+J180+K180,COB_CA!$B$18)</f>
        <v/>
      </c>
      <c r="I180" s="14">
        <f>MIN(COB_CA!$B$18,(E180+F180))</f>
        <v/>
      </c>
      <c r="J180" s="14">
        <f>MIN((COB_CA!$B$18-I180),G180)</f>
        <v/>
      </c>
      <c r="K180" s="14">
        <f>MIN(((COB_CA!$B$18-I180)-J180),D180)</f>
        <v/>
      </c>
      <c r="L180" s="14">
        <f>E180+F180-I180</f>
        <v/>
      </c>
      <c r="M180" s="14">
        <f>G180-J180</f>
        <v/>
      </c>
      <c r="N180" s="14">
        <f>D180-K180</f>
        <v/>
      </c>
      <c r="O180" s="6">
        <f>AND(D180&gt;0,B180&lt;=COB_CA!$B$20)</f>
        <v/>
      </c>
    </row>
    <row r="181">
      <c r="A181" s="6" t="n">
        <v>177</v>
      </c>
      <c r="B181" s="15">
        <f>IF(COB_CA!$B$38=12,DATE(YEAR(COB_CA!$B$19)+INT((MONTH(COB_CA!$B$19)-1+176)/12),MOD(MONTH(COB_CA!$B$19)-1+176,12)+1,1)+(DAY(COB_CA!$B$19)-1),IF(COB_CA!$B$38=24,COB_CA!$B$19+ROUND((176*365.25)/24,0),IF(COB_CA!$B$38=26,COB_CA!$B$19+2464,COB_CA!$B$19+1232)))</f>
        <v/>
      </c>
      <c r="C181" s="12">
        <f>B181-B180</f>
        <v/>
      </c>
      <c r="D181" s="14">
        <f>N180</f>
        <v/>
      </c>
      <c r="E181" s="14">
        <f>D181*COB_CA!$B$40/100*(IF(YEAR(B180)=YEAR(B181),(B181-B180)/IF(AND(MOD(YEAR(B181),4)=0,OR(MOD(YEAR(B181),100)&lt;&gt;0,MOD(YEAR(B181),400)=0)),366,365),(((DATE(YEAR(B180)+1,1,1)))-B180)/IF(AND(MOD(YEAR(B180),4)=0,OR(MOD(YEAR(B180),100)&lt;&gt;0,MOD(YEAR(B180),400)=0)),366,365)+(B181-((DATE(YEAR(B180)+1,1,1))))/IF(AND(MOD(YEAR(B181),4)=0,OR(MOD(YEAR(B181),100)&lt;&gt;0,MOD(YEAR(B181),400)=0)),366,365)))</f>
        <v/>
      </c>
      <c r="F181" s="14">
        <f>L180</f>
        <v/>
      </c>
      <c r="G181" s="14">
        <f>M180</f>
        <v/>
      </c>
      <c r="H181" s="14">
        <f>IF((((COB_CA!$B$18-I181)-J181)&gt;D181),I181+J181+K181,COB_CA!$B$18)</f>
        <v/>
      </c>
      <c r="I181" s="14">
        <f>MIN(COB_CA!$B$18,(E181+F181))</f>
        <v/>
      </c>
      <c r="J181" s="14">
        <f>MIN((COB_CA!$B$18-I181),G181)</f>
        <v/>
      </c>
      <c r="K181" s="14">
        <f>MIN(((COB_CA!$B$18-I181)-J181),D181)</f>
        <v/>
      </c>
      <c r="L181" s="14">
        <f>E181+F181-I181</f>
        <v/>
      </c>
      <c r="M181" s="14">
        <f>G181-J181</f>
        <v/>
      </c>
      <c r="N181" s="14">
        <f>D181-K181</f>
        <v/>
      </c>
      <c r="O181" s="6">
        <f>AND(D181&gt;0,B181&lt;=COB_CA!$B$20)</f>
        <v/>
      </c>
    </row>
    <row r="182">
      <c r="A182" s="6" t="n">
        <v>178</v>
      </c>
      <c r="B182" s="15">
        <f>IF(COB_CA!$B$38=12,DATE(YEAR(COB_CA!$B$19)+INT((MONTH(COB_CA!$B$19)-1+177)/12),MOD(MONTH(COB_CA!$B$19)-1+177,12)+1,1)+(DAY(COB_CA!$B$19)-1),IF(COB_CA!$B$38=24,COB_CA!$B$19+ROUND((177*365.25)/24,0),IF(COB_CA!$B$38=26,COB_CA!$B$19+2478,COB_CA!$B$19+1239)))</f>
        <v/>
      </c>
      <c r="C182" s="12">
        <f>B182-B181</f>
        <v/>
      </c>
      <c r="D182" s="14">
        <f>N181</f>
        <v/>
      </c>
      <c r="E182" s="14">
        <f>D182*COB_CA!$B$40/100*(IF(YEAR(B181)=YEAR(B182),(B182-B181)/IF(AND(MOD(YEAR(B182),4)=0,OR(MOD(YEAR(B182),100)&lt;&gt;0,MOD(YEAR(B182),400)=0)),366,365),(((DATE(YEAR(B181)+1,1,1)))-B181)/IF(AND(MOD(YEAR(B181),4)=0,OR(MOD(YEAR(B181),100)&lt;&gt;0,MOD(YEAR(B181),400)=0)),366,365)+(B182-((DATE(YEAR(B181)+1,1,1))))/IF(AND(MOD(YEAR(B182),4)=0,OR(MOD(YEAR(B182),100)&lt;&gt;0,MOD(YEAR(B182),400)=0)),366,365)))</f>
        <v/>
      </c>
      <c r="F182" s="14">
        <f>L181</f>
        <v/>
      </c>
      <c r="G182" s="14">
        <f>M181</f>
        <v/>
      </c>
      <c r="H182" s="14">
        <f>IF((((COB_CA!$B$18-I182)-J182)&gt;D182),I182+J182+K182,COB_CA!$B$18)</f>
        <v/>
      </c>
      <c r="I182" s="14">
        <f>MIN(COB_CA!$B$18,(E182+F182))</f>
        <v/>
      </c>
      <c r="J182" s="14">
        <f>MIN((COB_CA!$B$18-I182),G182)</f>
        <v/>
      </c>
      <c r="K182" s="14">
        <f>MIN(((COB_CA!$B$18-I182)-J182),D182)</f>
        <v/>
      </c>
      <c r="L182" s="14">
        <f>E182+F182-I182</f>
        <v/>
      </c>
      <c r="M182" s="14">
        <f>G182-J182</f>
        <v/>
      </c>
      <c r="N182" s="14">
        <f>D182-K182</f>
        <v/>
      </c>
      <c r="O182" s="6">
        <f>AND(D182&gt;0,B182&lt;=COB_CA!$B$20)</f>
        <v/>
      </c>
    </row>
    <row r="183">
      <c r="A183" s="6" t="n">
        <v>179</v>
      </c>
      <c r="B183" s="15">
        <f>IF(COB_CA!$B$38=12,DATE(YEAR(COB_CA!$B$19)+INT((MONTH(COB_CA!$B$19)-1+178)/12),MOD(MONTH(COB_CA!$B$19)-1+178,12)+1,1)+(DAY(COB_CA!$B$19)-1),IF(COB_CA!$B$38=24,COB_CA!$B$19+ROUND((178*365.25)/24,0),IF(COB_CA!$B$38=26,COB_CA!$B$19+2492,COB_CA!$B$19+1246)))</f>
        <v/>
      </c>
      <c r="C183" s="12">
        <f>B183-B182</f>
        <v/>
      </c>
      <c r="D183" s="14">
        <f>N182</f>
        <v/>
      </c>
      <c r="E183" s="14">
        <f>D183*COB_CA!$B$40/100*(IF(YEAR(B182)=YEAR(B183),(B183-B182)/IF(AND(MOD(YEAR(B183),4)=0,OR(MOD(YEAR(B183),100)&lt;&gt;0,MOD(YEAR(B183),400)=0)),366,365),(((DATE(YEAR(B182)+1,1,1)))-B182)/IF(AND(MOD(YEAR(B182),4)=0,OR(MOD(YEAR(B182),100)&lt;&gt;0,MOD(YEAR(B182),400)=0)),366,365)+(B183-((DATE(YEAR(B182)+1,1,1))))/IF(AND(MOD(YEAR(B183),4)=0,OR(MOD(YEAR(B183),100)&lt;&gt;0,MOD(YEAR(B183),400)=0)),366,365)))</f>
        <v/>
      </c>
      <c r="F183" s="14">
        <f>L182</f>
        <v/>
      </c>
      <c r="G183" s="14">
        <f>M182</f>
        <v/>
      </c>
      <c r="H183" s="14">
        <f>IF((((COB_CA!$B$18-I183)-J183)&gt;D183),I183+J183+K183,COB_CA!$B$18)</f>
        <v/>
      </c>
      <c r="I183" s="14">
        <f>MIN(COB_CA!$B$18,(E183+F183))</f>
        <v/>
      </c>
      <c r="J183" s="14">
        <f>MIN((COB_CA!$B$18-I183),G183)</f>
        <v/>
      </c>
      <c r="K183" s="14">
        <f>MIN(((COB_CA!$B$18-I183)-J183),D183)</f>
        <v/>
      </c>
      <c r="L183" s="14">
        <f>E183+F183-I183</f>
        <v/>
      </c>
      <c r="M183" s="14">
        <f>G183-J183</f>
        <v/>
      </c>
      <c r="N183" s="14">
        <f>D183-K183</f>
        <v/>
      </c>
      <c r="O183" s="6">
        <f>AND(D183&gt;0,B183&lt;=COB_CA!$B$20)</f>
        <v/>
      </c>
    </row>
    <row r="184">
      <c r="A184" s="6" t="n">
        <v>180</v>
      </c>
      <c r="B184" s="15">
        <f>IF(COB_CA!$B$38=12,DATE(YEAR(COB_CA!$B$19)+INT((MONTH(COB_CA!$B$19)-1+179)/12),MOD(MONTH(COB_CA!$B$19)-1+179,12)+1,1)+(DAY(COB_CA!$B$19)-1),IF(COB_CA!$B$38=24,COB_CA!$B$19+ROUND((179*365.25)/24,0),IF(COB_CA!$B$38=26,COB_CA!$B$19+2506,COB_CA!$B$19+1253)))</f>
        <v/>
      </c>
      <c r="C184" s="12">
        <f>B184-B183</f>
        <v/>
      </c>
      <c r="D184" s="14">
        <f>N183</f>
        <v/>
      </c>
      <c r="E184" s="14">
        <f>D184*COB_CA!$B$40/100*(IF(YEAR(B183)=YEAR(B184),(B184-B183)/IF(AND(MOD(YEAR(B184),4)=0,OR(MOD(YEAR(B184),100)&lt;&gt;0,MOD(YEAR(B184),400)=0)),366,365),(((DATE(YEAR(B183)+1,1,1)))-B183)/IF(AND(MOD(YEAR(B183),4)=0,OR(MOD(YEAR(B183),100)&lt;&gt;0,MOD(YEAR(B183),400)=0)),366,365)+(B184-((DATE(YEAR(B183)+1,1,1))))/IF(AND(MOD(YEAR(B184),4)=0,OR(MOD(YEAR(B184),100)&lt;&gt;0,MOD(YEAR(B184),400)=0)),366,365)))</f>
        <v/>
      </c>
      <c r="F184" s="14">
        <f>L183</f>
        <v/>
      </c>
      <c r="G184" s="14">
        <f>M183</f>
        <v/>
      </c>
      <c r="H184" s="14">
        <f>IF((((COB_CA!$B$18-I184)-J184)&gt;D184),I184+J184+K184,COB_CA!$B$18)</f>
        <v/>
      </c>
      <c r="I184" s="14">
        <f>MIN(COB_CA!$B$18,(E184+F184))</f>
        <v/>
      </c>
      <c r="J184" s="14">
        <f>MIN((COB_CA!$B$18-I184),G184)</f>
        <v/>
      </c>
      <c r="K184" s="14">
        <f>MIN(((COB_CA!$B$18-I184)-J184),D184)</f>
        <v/>
      </c>
      <c r="L184" s="14">
        <f>E184+F184-I184</f>
        <v/>
      </c>
      <c r="M184" s="14">
        <f>G184-J184</f>
        <v/>
      </c>
      <c r="N184" s="14">
        <f>D184-K184</f>
        <v/>
      </c>
      <c r="O184" s="6">
        <f>AND(D184&gt;0,B184&lt;=COB_CA!$B$20)</f>
        <v/>
      </c>
    </row>
    <row r="185">
      <c r="A185" s="6" t="n">
        <v>181</v>
      </c>
      <c r="B185" s="15">
        <f>IF(COB_CA!$B$38=12,DATE(YEAR(COB_CA!$B$19)+INT((MONTH(COB_CA!$B$19)-1+180)/12),MOD(MONTH(COB_CA!$B$19)-1+180,12)+1,1)+(DAY(COB_CA!$B$19)-1),IF(COB_CA!$B$38=24,COB_CA!$B$19+ROUND((180*365.25)/24,0),IF(COB_CA!$B$38=26,COB_CA!$B$19+2520,COB_CA!$B$19+1260)))</f>
        <v/>
      </c>
      <c r="C185" s="12">
        <f>B185-B184</f>
        <v/>
      </c>
      <c r="D185" s="14">
        <f>N184</f>
        <v/>
      </c>
      <c r="E185" s="14">
        <f>D185*COB_CA!$B$40/100*(IF(YEAR(B184)=YEAR(B185),(B185-B184)/IF(AND(MOD(YEAR(B185),4)=0,OR(MOD(YEAR(B185),100)&lt;&gt;0,MOD(YEAR(B185),400)=0)),366,365),(((DATE(YEAR(B184)+1,1,1)))-B184)/IF(AND(MOD(YEAR(B184),4)=0,OR(MOD(YEAR(B184),100)&lt;&gt;0,MOD(YEAR(B184),400)=0)),366,365)+(B185-((DATE(YEAR(B184)+1,1,1))))/IF(AND(MOD(YEAR(B185),4)=0,OR(MOD(YEAR(B185),100)&lt;&gt;0,MOD(YEAR(B185),400)=0)),366,365)))</f>
        <v/>
      </c>
      <c r="F185" s="14">
        <f>L184</f>
        <v/>
      </c>
      <c r="G185" s="14">
        <f>M184</f>
        <v/>
      </c>
      <c r="H185" s="14">
        <f>IF((((COB_CA!$B$18-I185)-J185)&gt;D185),I185+J185+K185,COB_CA!$B$18)</f>
        <v/>
      </c>
      <c r="I185" s="14">
        <f>MIN(COB_CA!$B$18,(E185+F185))</f>
        <v/>
      </c>
      <c r="J185" s="14">
        <f>MIN((COB_CA!$B$18-I185),G185)</f>
        <v/>
      </c>
      <c r="K185" s="14">
        <f>MIN(((COB_CA!$B$18-I185)-J185),D185)</f>
        <v/>
      </c>
      <c r="L185" s="14">
        <f>E185+F185-I185</f>
        <v/>
      </c>
      <c r="M185" s="14">
        <f>G185-J185</f>
        <v/>
      </c>
      <c r="N185" s="14">
        <f>D185-K185</f>
        <v/>
      </c>
      <c r="O185" s="6">
        <f>AND(D185&gt;0,B185&lt;=COB_CA!$B$20)</f>
        <v/>
      </c>
    </row>
    <row r="186">
      <c r="A186" s="6" t="n">
        <v>182</v>
      </c>
      <c r="B186" s="15">
        <f>IF(COB_CA!$B$38=12,DATE(YEAR(COB_CA!$B$19)+INT((MONTH(COB_CA!$B$19)-1+181)/12),MOD(MONTH(COB_CA!$B$19)-1+181,12)+1,1)+(DAY(COB_CA!$B$19)-1),IF(COB_CA!$B$38=24,COB_CA!$B$19+ROUND((181*365.25)/24,0),IF(COB_CA!$B$38=26,COB_CA!$B$19+2534,COB_CA!$B$19+1267)))</f>
        <v/>
      </c>
      <c r="C186" s="12">
        <f>B186-B185</f>
        <v/>
      </c>
      <c r="D186" s="14">
        <f>N185</f>
        <v/>
      </c>
      <c r="E186" s="14">
        <f>D186*COB_CA!$B$40/100*(IF(YEAR(B185)=YEAR(B186),(B186-B185)/IF(AND(MOD(YEAR(B186),4)=0,OR(MOD(YEAR(B186),100)&lt;&gt;0,MOD(YEAR(B186),400)=0)),366,365),(((DATE(YEAR(B185)+1,1,1)))-B185)/IF(AND(MOD(YEAR(B185),4)=0,OR(MOD(YEAR(B185),100)&lt;&gt;0,MOD(YEAR(B185),400)=0)),366,365)+(B186-((DATE(YEAR(B185)+1,1,1))))/IF(AND(MOD(YEAR(B186),4)=0,OR(MOD(YEAR(B186),100)&lt;&gt;0,MOD(YEAR(B186),400)=0)),366,365)))</f>
        <v/>
      </c>
      <c r="F186" s="14">
        <f>L185</f>
        <v/>
      </c>
      <c r="G186" s="14">
        <f>M185</f>
        <v/>
      </c>
      <c r="H186" s="14">
        <f>IF((((COB_CA!$B$18-I186)-J186)&gt;D186),I186+J186+K186,COB_CA!$B$18)</f>
        <v/>
      </c>
      <c r="I186" s="14">
        <f>MIN(COB_CA!$B$18,(E186+F186))</f>
        <v/>
      </c>
      <c r="J186" s="14">
        <f>MIN((COB_CA!$B$18-I186),G186)</f>
        <v/>
      </c>
      <c r="K186" s="14">
        <f>MIN(((COB_CA!$B$18-I186)-J186),D186)</f>
        <v/>
      </c>
      <c r="L186" s="14">
        <f>E186+F186-I186</f>
        <v/>
      </c>
      <c r="M186" s="14">
        <f>G186-J186</f>
        <v/>
      </c>
      <c r="N186" s="14">
        <f>D186-K186</f>
        <v/>
      </c>
      <c r="O186" s="6">
        <f>AND(D186&gt;0,B186&lt;=COB_CA!$B$20)</f>
        <v/>
      </c>
    </row>
    <row r="187">
      <c r="A187" s="6" t="n">
        <v>183</v>
      </c>
      <c r="B187" s="15">
        <f>IF(COB_CA!$B$38=12,DATE(YEAR(COB_CA!$B$19)+INT((MONTH(COB_CA!$B$19)-1+182)/12),MOD(MONTH(COB_CA!$B$19)-1+182,12)+1,1)+(DAY(COB_CA!$B$19)-1),IF(COB_CA!$B$38=24,COB_CA!$B$19+ROUND((182*365.25)/24,0),IF(COB_CA!$B$38=26,COB_CA!$B$19+2548,COB_CA!$B$19+1274)))</f>
        <v/>
      </c>
      <c r="C187" s="12">
        <f>B187-B186</f>
        <v/>
      </c>
      <c r="D187" s="14">
        <f>N186</f>
        <v/>
      </c>
      <c r="E187" s="14">
        <f>D187*COB_CA!$B$40/100*(IF(YEAR(B186)=YEAR(B187),(B187-B186)/IF(AND(MOD(YEAR(B187),4)=0,OR(MOD(YEAR(B187),100)&lt;&gt;0,MOD(YEAR(B187),400)=0)),366,365),(((DATE(YEAR(B186)+1,1,1)))-B186)/IF(AND(MOD(YEAR(B186),4)=0,OR(MOD(YEAR(B186),100)&lt;&gt;0,MOD(YEAR(B186),400)=0)),366,365)+(B187-((DATE(YEAR(B186)+1,1,1))))/IF(AND(MOD(YEAR(B187),4)=0,OR(MOD(YEAR(B187),100)&lt;&gt;0,MOD(YEAR(B187),400)=0)),366,365)))</f>
        <v/>
      </c>
      <c r="F187" s="14">
        <f>L186</f>
        <v/>
      </c>
      <c r="G187" s="14">
        <f>M186</f>
        <v/>
      </c>
      <c r="H187" s="14">
        <f>IF((((COB_CA!$B$18-I187)-J187)&gt;D187),I187+J187+K187,COB_CA!$B$18)</f>
        <v/>
      </c>
      <c r="I187" s="14">
        <f>MIN(COB_CA!$B$18,(E187+F187))</f>
        <v/>
      </c>
      <c r="J187" s="14">
        <f>MIN((COB_CA!$B$18-I187),G187)</f>
        <v/>
      </c>
      <c r="K187" s="14">
        <f>MIN(((COB_CA!$B$18-I187)-J187),D187)</f>
        <v/>
      </c>
      <c r="L187" s="14">
        <f>E187+F187-I187</f>
        <v/>
      </c>
      <c r="M187" s="14">
        <f>G187-J187</f>
        <v/>
      </c>
      <c r="N187" s="14">
        <f>D187-K187</f>
        <v/>
      </c>
      <c r="O187" s="6">
        <f>AND(D187&gt;0,B187&lt;=COB_CA!$B$20)</f>
        <v/>
      </c>
    </row>
    <row r="188">
      <c r="A188" s="6" t="n">
        <v>184</v>
      </c>
      <c r="B188" s="15">
        <f>IF(COB_CA!$B$38=12,DATE(YEAR(COB_CA!$B$19)+INT((MONTH(COB_CA!$B$19)-1+183)/12),MOD(MONTH(COB_CA!$B$19)-1+183,12)+1,1)+(DAY(COB_CA!$B$19)-1),IF(COB_CA!$B$38=24,COB_CA!$B$19+ROUND((183*365.25)/24,0),IF(COB_CA!$B$38=26,COB_CA!$B$19+2562,COB_CA!$B$19+1281)))</f>
        <v/>
      </c>
      <c r="C188" s="12">
        <f>B188-B187</f>
        <v/>
      </c>
      <c r="D188" s="14">
        <f>N187</f>
        <v/>
      </c>
      <c r="E188" s="14">
        <f>D188*COB_CA!$B$40/100*(IF(YEAR(B187)=YEAR(B188),(B188-B187)/IF(AND(MOD(YEAR(B188),4)=0,OR(MOD(YEAR(B188),100)&lt;&gt;0,MOD(YEAR(B188),400)=0)),366,365),(((DATE(YEAR(B187)+1,1,1)))-B187)/IF(AND(MOD(YEAR(B187),4)=0,OR(MOD(YEAR(B187),100)&lt;&gt;0,MOD(YEAR(B187),400)=0)),366,365)+(B188-((DATE(YEAR(B187)+1,1,1))))/IF(AND(MOD(YEAR(B188),4)=0,OR(MOD(YEAR(B188),100)&lt;&gt;0,MOD(YEAR(B188),400)=0)),366,365)))</f>
        <v/>
      </c>
      <c r="F188" s="14">
        <f>L187</f>
        <v/>
      </c>
      <c r="G188" s="14">
        <f>M187</f>
        <v/>
      </c>
      <c r="H188" s="14">
        <f>IF((((COB_CA!$B$18-I188)-J188)&gt;D188),I188+J188+K188,COB_CA!$B$18)</f>
        <v/>
      </c>
      <c r="I188" s="14">
        <f>MIN(COB_CA!$B$18,(E188+F188))</f>
        <v/>
      </c>
      <c r="J188" s="14">
        <f>MIN((COB_CA!$B$18-I188),G188)</f>
        <v/>
      </c>
      <c r="K188" s="14">
        <f>MIN(((COB_CA!$B$18-I188)-J188),D188)</f>
        <v/>
      </c>
      <c r="L188" s="14">
        <f>E188+F188-I188</f>
        <v/>
      </c>
      <c r="M188" s="14">
        <f>G188-J188</f>
        <v/>
      </c>
      <c r="N188" s="14">
        <f>D188-K188</f>
        <v/>
      </c>
      <c r="O188" s="6">
        <f>AND(D188&gt;0,B188&lt;=COB_CA!$B$20)</f>
        <v/>
      </c>
    </row>
    <row r="189">
      <c r="A189" s="6" t="n">
        <v>185</v>
      </c>
      <c r="B189" s="15">
        <f>IF(COB_CA!$B$38=12,DATE(YEAR(COB_CA!$B$19)+INT((MONTH(COB_CA!$B$19)-1+184)/12),MOD(MONTH(COB_CA!$B$19)-1+184,12)+1,1)+(DAY(COB_CA!$B$19)-1),IF(COB_CA!$B$38=24,COB_CA!$B$19+ROUND((184*365.25)/24,0),IF(COB_CA!$B$38=26,COB_CA!$B$19+2576,COB_CA!$B$19+1288)))</f>
        <v/>
      </c>
      <c r="C189" s="12">
        <f>B189-B188</f>
        <v/>
      </c>
      <c r="D189" s="14">
        <f>N188</f>
        <v/>
      </c>
      <c r="E189" s="14">
        <f>D189*COB_CA!$B$40/100*(IF(YEAR(B188)=YEAR(B189),(B189-B188)/IF(AND(MOD(YEAR(B189),4)=0,OR(MOD(YEAR(B189),100)&lt;&gt;0,MOD(YEAR(B189),400)=0)),366,365),(((DATE(YEAR(B188)+1,1,1)))-B188)/IF(AND(MOD(YEAR(B188),4)=0,OR(MOD(YEAR(B188),100)&lt;&gt;0,MOD(YEAR(B188),400)=0)),366,365)+(B189-((DATE(YEAR(B188)+1,1,1))))/IF(AND(MOD(YEAR(B189),4)=0,OR(MOD(YEAR(B189),100)&lt;&gt;0,MOD(YEAR(B189),400)=0)),366,365)))</f>
        <v/>
      </c>
      <c r="F189" s="14">
        <f>L188</f>
        <v/>
      </c>
      <c r="G189" s="14">
        <f>M188</f>
        <v/>
      </c>
      <c r="H189" s="14">
        <f>IF((((COB_CA!$B$18-I189)-J189)&gt;D189),I189+J189+K189,COB_CA!$B$18)</f>
        <v/>
      </c>
      <c r="I189" s="14">
        <f>MIN(COB_CA!$B$18,(E189+F189))</f>
        <v/>
      </c>
      <c r="J189" s="14">
        <f>MIN((COB_CA!$B$18-I189),G189)</f>
        <v/>
      </c>
      <c r="K189" s="14">
        <f>MIN(((COB_CA!$B$18-I189)-J189),D189)</f>
        <v/>
      </c>
      <c r="L189" s="14">
        <f>E189+F189-I189</f>
        <v/>
      </c>
      <c r="M189" s="14">
        <f>G189-J189</f>
        <v/>
      </c>
      <c r="N189" s="14">
        <f>D189-K189</f>
        <v/>
      </c>
      <c r="O189" s="6">
        <f>AND(D189&gt;0,B189&lt;=COB_CA!$B$20)</f>
        <v/>
      </c>
    </row>
    <row r="190">
      <c r="A190" s="6" t="n">
        <v>186</v>
      </c>
      <c r="B190" s="15">
        <f>IF(COB_CA!$B$38=12,DATE(YEAR(COB_CA!$B$19)+INT((MONTH(COB_CA!$B$19)-1+185)/12),MOD(MONTH(COB_CA!$B$19)-1+185,12)+1,1)+(DAY(COB_CA!$B$19)-1),IF(COB_CA!$B$38=24,COB_CA!$B$19+ROUND((185*365.25)/24,0),IF(COB_CA!$B$38=26,COB_CA!$B$19+2590,COB_CA!$B$19+1295)))</f>
        <v/>
      </c>
      <c r="C190" s="12">
        <f>B190-B189</f>
        <v/>
      </c>
      <c r="D190" s="14">
        <f>N189</f>
        <v/>
      </c>
      <c r="E190" s="14">
        <f>D190*COB_CA!$B$40/100*(IF(YEAR(B189)=YEAR(B190),(B190-B189)/IF(AND(MOD(YEAR(B190),4)=0,OR(MOD(YEAR(B190),100)&lt;&gt;0,MOD(YEAR(B190),400)=0)),366,365),(((DATE(YEAR(B189)+1,1,1)))-B189)/IF(AND(MOD(YEAR(B189),4)=0,OR(MOD(YEAR(B189),100)&lt;&gt;0,MOD(YEAR(B189),400)=0)),366,365)+(B190-((DATE(YEAR(B189)+1,1,1))))/IF(AND(MOD(YEAR(B190),4)=0,OR(MOD(YEAR(B190),100)&lt;&gt;0,MOD(YEAR(B190),400)=0)),366,365)))</f>
        <v/>
      </c>
      <c r="F190" s="14">
        <f>L189</f>
        <v/>
      </c>
      <c r="G190" s="14">
        <f>M189</f>
        <v/>
      </c>
      <c r="H190" s="14">
        <f>IF((((COB_CA!$B$18-I190)-J190)&gt;D190),I190+J190+K190,COB_CA!$B$18)</f>
        <v/>
      </c>
      <c r="I190" s="14">
        <f>MIN(COB_CA!$B$18,(E190+F190))</f>
        <v/>
      </c>
      <c r="J190" s="14">
        <f>MIN((COB_CA!$B$18-I190),G190)</f>
        <v/>
      </c>
      <c r="K190" s="14">
        <f>MIN(((COB_CA!$B$18-I190)-J190),D190)</f>
        <v/>
      </c>
      <c r="L190" s="14">
        <f>E190+F190-I190</f>
        <v/>
      </c>
      <c r="M190" s="14">
        <f>G190-J190</f>
        <v/>
      </c>
      <c r="N190" s="14">
        <f>D190-K190</f>
        <v/>
      </c>
      <c r="O190" s="6">
        <f>AND(D190&gt;0,B190&lt;=COB_CA!$B$20)</f>
        <v/>
      </c>
    </row>
    <row r="191">
      <c r="A191" s="6" t="n">
        <v>187</v>
      </c>
      <c r="B191" s="15">
        <f>IF(COB_CA!$B$38=12,DATE(YEAR(COB_CA!$B$19)+INT((MONTH(COB_CA!$B$19)-1+186)/12),MOD(MONTH(COB_CA!$B$19)-1+186,12)+1,1)+(DAY(COB_CA!$B$19)-1),IF(COB_CA!$B$38=24,COB_CA!$B$19+ROUND((186*365.25)/24,0),IF(COB_CA!$B$38=26,COB_CA!$B$19+2604,COB_CA!$B$19+1302)))</f>
        <v/>
      </c>
      <c r="C191" s="12">
        <f>B191-B190</f>
        <v/>
      </c>
      <c r="D191" s="14">
        <f>N190</f>
        <v/>
      </c>
      <c r="E191" s="14">
        <f>D191*COB_CA!$B$40/100*(IF(YEAR(B190)=YEAR(B191),(B191-B190)/IF(AND(MOD(YEAR(B191),4)=0,OR(MOD(YEAR(B191),100)&lt;&gt;0,MOD(YEAR(B191),400)=0)),366,365),(((DATE(YEAR(B190)+1,1,1)))-B190)/IF(AND(MOD(YEAR(B190),4)=0,OR(MOD(YEAR(B190),100)&lt;&gt;0,MOD(YEAR(B190),400)=0)),366,365)+(B191-((DATE(YEAR(B190)+1,1,1))))/IF(AND(MOD(YEAR(B191),4)=0,OR(MOD(YEAR(B191),100)&lt;&gt;0,MOD(YEAR(B191),400)=0)),366,365)))</f>
        <v/>
      </c>
      <c r="F191" s="14">
        <f>L190</f>
        <v/>
      </c>
      <c r="G191" s="14">
        <f>M190</f>
        <v/>
      </c>
      <c r="H191" s="14">
        <f>IF((((COB_CA!$B$18-I191)-J191)&gt;D191),I191+J191+K191,COB_CA!$B$18)</f>
        <v/>
      </c>
      <c r="I191" s="14">
        <f>MIN(COB_CA!$B$18,(E191+F191))</f>
        <v/>
      </c>
      <c r="J191" s="14">
        <f>MIN((COB_CA!$B$18-I191),G191)</f>
        <v/>
      </c>
      <c r="K191" s="14">
        <f>MIN(((COB_CA!$B$18-I191)-J191),D191)</f>
        <v/>
      </c>
      <c r="L191" s="14">
        <f>E191+F191-I191</f>
        <v/>
      </c>
      <c r="M191" s="14">
        <f>G191-J191</f>
        <v/>
      </c>
      <c r="N191" s="14">
        <f>D191-K191</f>
        <v/>
      </c>
      <c r="O191" s="6">
        <f>AND(D191&gt;0,B191&lt;=COB_CA!$B$20)</f>
        <v/>
      </c>
    </row>
    <row r="192">
      <c r="A192" s="6" t="n">
        <v>188</v>
      </c>
      <c r="B192" s="15">
        <f>IF(COB_CA!$B$38=12,DATE(YEAR(COB_CA!$B$19)+INT((MONTH(COB_CA!$B$19)-1+187)/12),MOD(MONTH(COB_CA!$B$19)-1+187,12)+1,1)+(DAY(COB_CA!$B$19)-1),IF(COB_CA!$B$38=24,COB_CA!$B$19+ROUND((187*365.25)/24,0),IF(COB_CA!$B$38=26,COB_CA!$B$19+2618,COB_CA!$B$19+1309)))</f>
        <v/>
      </c>
      <c r="C192" s="12">
        <f>B192-B191</f>
        <v/>
      </c>
      <c r="D192" s="14">
        <f>N191</f>
        <v/>
      </c>
      <c r="E192" s="14">
        <f>D192*COB_CA!$B$40/100*(IF(YEAR(B191)=YEAR(B192),(B192-B191)/IF(AND(MOD(YEAR(B192),4)=0,OR(MOD(YEAR(B192),100)&lt;&gt;0,MOD(YEAR(B192),400)=0)),366,365),(((DATE(YEAR(B191)+1,1,1)))-B191)/IF(AND(MOD(YEAR(B191),4)=0,OR(MOD(YEAR(B191),100)&lt;&gt;0,MOD(YEAR(B191),400)=0)),366,365)+(B192-((DATE(YEAR(B191)+1,1,1))))/IF(AND(MOD(YEAR(B192),4)=0,OR(MOD(YEAR(B192),100)&lt;&gt;0,MOD(YEAR(B192),400)=0)),366,365)))</f>
        <v/>
      </c>
      <c r="F192" s="14">
        <f>L191</f>
        <v/>
      </c>
      <c r="G192" s="14">
        <f>M191</f>
        <v/>
      </c>
      <c r="H192" s="14">
        <f>IF((((COB_CA!$B$18-I192)-J192)&gt;D192),I192+J192+K192,COB_CA!$B$18)</f>
        <v/>
      </c>
      <c r="I192" s="14">
        <f>MIN(COB_CA!$B$18,(E192+F192))</f>
        <v/>
      </c>
      <c r="J192" s="14">
        <f>MIN((COB_CA!$B$18-I192),G192)</f>
        <v/>
      </c>
      <c r="K192" s="14">
        <f>MIN(((COB_CA!$B$18-I192)-J192),D192)</f>
        <v/>
      </c>
      <c r="L192" s="14">
        <f>E192+F192-I192</f>
        <v/>
      </c>
      <c r="M192" s="14">
        <f>G192-J192</f>
        <v/>
      </c>
      <c r="N192" s="14">
        <f>D192-K192</f>
        <v/>
      </c>
      <c r="O192" s="6">
        <f>AND(D192&gt;0,B192&lt;=COB_CA!$B$20)</f>
        <v/>
      </c>
    </row>
    <row r="193">
      <c r="A193" s="6" t="n">
        <v>189</v>
      </c>
      <c r="B193" s="15">
        <f>IF(COB_CA!$B$38=12,DATE(YEAR(COB_CA!$B$19)+INT((MONTH(COB_CA!$B$19)-1+188)/12),MOD(MONTH(COB_CA!$B$19)-1+188,12)+1,1)+(DAY(COB_CA!$B$19)-1),IF(COB_CA!$B$38=24,COB_CA!$B$19+ROUND((188*365.25)/24,0),IF(COB_CA!$B$38=26,COB_CA!$B$19+2632,COB_CA!$B$19+1316)))</f>
        <v/>
      </c>
      <c r="C193" s="12">
        <f>B193-B192</f>
        <v/>
      </c>
      <c r="D193" s="14">
        <f>N192</f>
        <v/>
      </c>
      <c r="E193" s="14">
        <f>D193*COB_CA!$B$40/100*(IF(YEAR(B192)=YEAR(B193),(B193-B192)/IF(AND(MOD(YEAR(B193),4)=0,OR(MOD(YEAR(B193),100)&lt;&gt;0,MOD(YEAR(B193),400)=0)),366,365),(((DATE(YEAR(B192)+1,1,1)))-B192)/IF(AND(MOD(YEAR(B192),4)=0,OR(MOD(YEAR(B192),100)&lt;&gt;0,MOD(YEAR(B192),400)=0)),366,365)+(B193-((DATE(YEAR(B192)+1,1,1))))/IF(AND(MOD(YEAR(B193),4)=0,OR(MOD(YEAR(B193),100)&lt;&gt;0,MOD(YEAR(B193),400)=0)),366,365)))</f>
        <v/>
      </c>
      <c r="F193" s="14">
        <f>L192</f>
        <v/>
      </c>
      <c r="G193" s="14">
        <f>M192</f>
        <v/>
      </c>
      <c r="H193" s="14">
        <f>IF((((COB_CA!$B$18-I193)-J193)&gt;D193),I193+J193+K193,COB_CA!$B$18)</f>
        <v/>
      </c>
      <c r="I193" s="14">
        <f>MIN(COB_CA!$B$18,(E193+F193))</f>
        <v/>
      </c>
      <c r="J193" s="14">
        <f>MIN((COB_CA!$B$18-I193),G193)</f>
        <v/>
      </c>
      <c r="K193" s="14">
        <f>MIN(((COB_CA!$B$18-I193)-J193),D193)</f>
        <v/>
      </c>
      <c r="L193" s="14">
        <f>E193+F193-I193</f>
        <v/>
      </c>
      <c r="M193" s="14">
        <f>G193-J193</f>
        <v/>
      </c>
      <c r="N193" s="14">
        <f>D193-K193</f>
        <v/>
      </c>
      <c r="O193" s="6">
        <f>AND(D193&gt;0,B193&lt;=COB_CA!$B$20)</f>
        <v/>
      </c>
    </row>
    <row r="194">
      <c r="A194" s="6" t="n">
        <v>190</v>
      </c>
      <c r="B194" s="15">
        <f>IF(COB_CA!$B$38=12,DATE(YEAR(COB_CA!$B$19)+INT((MONTH(COB_CA!$B$19)-1+189)/12),MOD(MONTH(COB_CA!$B$19)-1+189,12)+1,1)+(DAY(COB_CA!$B$19)-1),IF(COB_CA!$B$38=24,COB_CA!$B$19+ROUND((189*365.25)/24,0),IF(COB_CA!$B$38=26,COB_CA!$B$19+2646,COB_CA!$B$19+1323)))</f>
        <v/>
      </c>
      <c r="C194" s="12">
        <f>B194-B193</f>
        <v/>
      </c>
      <c r="D194" s="14">
        <f>N193</f>
        <v/>
      </c>
      <c r="E194" s="14">
        <f>D194*COB_CA!$B$40/100*(IF(YEAR(B193)=YEAR(B194),(B194-B193)/IF(AND(MOD(YEAR(B194),4)=0,OR(MOD(YEAR(B194),100)&lt;&gt;0,MOD(YEAR(B194),400)=0)),366,365),(((DATE(YEAR(B193)+1,1,1)))-B193)/IF(AND(MOD(YEAR(B193),4)=0,OR(MOD(YEAR(B193),100)&lt;&gt;0,MOD(YEAR(B193),400)=0)),366,365)+(B194-((DATE(YEAR(B193)+1,1,1))))/IF(AND(MOD(YEAR(B194),4)=0,OR(MOD(YEAR(B194),100)&lt;&gt;0,MOD(YEAR(B194),400)=0)),366,365)))</f>
        <v/>
      </c>
      <c r="F194" s="14">
        <f>L193</f>
        <v/>
      </c>
      <c r="G194" s="14">
        <f>M193</f>
        <v/>
      </c>
      <c r="H194" s="14">
        <f>IF((((COB_CA!$B$18-I194)-J194)&gt;D194),I194+J194+K194,COB_CA!$B$18)</f>
        <v/>
      </c>
      <c r="I194" s="14">
        <f>MIN(COB_CA!$B$18,(E194+F194))</f>
        <v/>
      </c>
      <c r="J194" s="14">
        <f>MIN((COB_CA!$B$18-I194),G194)</f>
        <v/>
      </c>
      <c r="K194" s="14">
        <f>MIN(((COB_CA!$B$18-I194)-J194),D194)</f>
        <v/>
      </c>
      <c r="L194" s="14">
        <f>E194+F194-I194</f>
        <v/>
      </c>
      <c r="M194" s="14">
        <f>G194-J194</f>
        <v/>
      </c>
      <c r="N194" s="14">
        <f>D194-K194</f>
        <v/>
      </c>
      <c r="O194" s="6">
        <f>AND(D194&gt;0,B194&lt;=COB_CA!$B$20)</f>
        <v/>
      </c>
    </row>
    <row r="195">
      <c r="A195" s="6" t="n">
        <v>191</v>
      </c>
      <c r="B195" s="15">
        <f>IF(COB_CA!$B$38=12,DATE(YEAR(COB_CA!$B$19)+INT((MONTH(COB_CA!$B$19)-1+190)/12),MOD(MONTH(COB_CA!$B$19)-1+190,12)+1,1)+(DAY(COB_CA!$B$19)-1),IF(COB_CA!$B$38=24,COB_CA!$B$19+ROUND((190*365.25)/24,0),IF(COB_CA!$B$38=26,COB_CA!$B$19+2660,COB_CA!$B$19+1330)))</f>
        <v/>
      </c>
      <c r="C195" s="12">
        <f>B195-B194</f>
        <v/>
      </c>
      <c r="D195" s="14">
        <f>N194</f>
        <v/>
      </c>
      <c r="E195" s="14">
        <f>D195*COB_CA!$B$40/100*(IF(YEAR(B194)=YEAR(B195),(B195-B194)/IF(AND(MOD(YEAR(B195),4)=0,OR(MOD(YEAR(B195),100)&lt;&gt;0,MOD(YEAR(B195),400)=0)),366,365),(((DATE(YEAR(B194)+1,1,1)))-B194)/IF(AND(MOD(YEAR(B194),4)=0,OR(MOD(YEAR(B194),100)&lt;&gt;0,MOD(YEAR(B194),400)=0)),366,365)+(B195-((DATE(YEAR(B194)+1,1,1))))/IF(AND(MOD(YEAR(B195),4)=0,OR(MOD(YEAR(B195),100)&lt;&gt;0,MOD(YEAR(B195),400)=0)),366,365)))</f>
        <v/>
      </c>
      <c r="F195" s="14">
        <f>L194</f>
        <v/>
      </c>
      <c r="G195" s="14">
        <f>M194</f>
        <v/>
      </c>
      <c r="H195" s="14">
        <f>IF((((COB_CA!$B$18-I195)-J195)&gt;D195),I195+J195+K195,COB_CA!$B$18)</f>
        <v/>
      </c>
      <c r="I195" s="14">
        <f>MIN(COB_CA!$B$18,(E195+F195))</f>
        <v/>
      </c>
      <c r="J195" s="14">
        <f>MIN((COB_CA!$B$18-I195),G195)</f>
        <v/>
      </c>
      <c r="K195" s="14">
        <f>MIN(((COB_CA!$B$18-I195)-J195),D195)</f>
        <v/>
      </c>
      <c r="L195" s="14">
        <f>E195+F195-I195</f>
        <v/>
      </c>
      <c r="M195" s="14">
        <f>G195-J195</f>
        <v/>
      </c>
      <c r="N195" s="14">
        <f>D195-K195</f>
        <v/>
      </c>
      <c r="O195" s="6">
        <f>AND(D195&gt;0,B195&lt;=COB_CA!$B$20)</f>
        <v/>
      </c>
    </row>
    <row r="196">
      <c r="A196" s="6" t="n">
        <v>192</v>
      </c>
      <c r="B196" s="15">
        <f>IF(COB_CA!$B$38=12,DATE(YEAR(COB_CA!$B$19)+INT((MONTH(COB_CA!$B$19)-1+191)/12),MOD(MONTH(COB_CA!$B$19)-1+191,12)+1,1)+(DAY(COB_CA!$B$19)-1),IF(COB_CA!$B$38=24,COB_CA!$B$19+ROUND((191*365.25)/24,0),IF(COB_CA!$B$38=26,COB_CA!$B$19+2674,COB_CA!$B$19+1337)))</f>
        <v/>
      </c>
      <c r="C196" s="12">
        <f>B196-B195</f>
        <v/>
      </c>
      <c r="D196" s="14">
        <f>N195</f>
        <v/>
      </c>
      <c r="E196" s="14">
        <f>D196*COB_CA!$B$40/100*(IF(YEAR(B195)=YEAR(B196),(B196-B195)/IF(AND(MOD(YEAR(B196),4)=0,OR(MOD(YEAR(B196),100)&lt;&gt;0,MOD(YEAR(B196),400)=0)),366,365),(((DATE(YEAR(B195)+1,1,1)))-B195)/IF(AND(MOD(YEAR(B195),4)=0,OR(MOD(YEAR(B195),100)&lt;&gt;0,MOD(YEAR(B195),400)=0)),366,365)+(B196-((DATE(YEAR(B195)+1,1,1))))/IF(AND(MOD(YEAR(B196),4)=0,OR(MOD(YEAR(B196),100)&lt;&gt;0,MOD(YEAR(B196),400)=0)),366,365)))</f>
        <v/>
      </c>
      <c r="F196" s="14">
        <f>L195</f>
        <v/>
      </c>
      <c r="G196" s="14">
        <f>M195</f>
        <v/>
      </c>
      <c r="H196" s="14">
        <f>IF((((COB_CA!$B$18-I196)-J196)&gt;D196),I196+J196+K196,COB_CA!$B$18)</f>
        <v/>
      </c>
      <c r="I196" s="14">
        <f>MIN(COB_CA!$B$18,(E196+F196))</f>
        <v/>
      </c>
      <c r="J196" s="14">
        <f>MIN((COB_CA!$B$18-I196),G196)</f>
        <v/>
      </c>
      <c r="K196" s="14">
        <f>MIN(((COB_CA!$B$18-I196)-J196),D196)</f>
        <v/>
      </c>
      <c r="L196" s="14">
        <f>E196+F196-I196</f>
        <v/>
      </c>
      <c r="M196" s="14">
        <f>G196-J196</f>
        <v/>
      </c>
      <c r="N196" s="14">
        <f>D196-K196</f>
        <v/>
      </c>
      <c r="O196" s="6">
        <f>AND(D196&gt;0,B196&lt;=COB_CA!$B$20)</f>
        <v/>
      </c>
    </row>
    <row r="197">
      <c r="A197" s="6" t="n">
        <v>193</v>
      </c>
      <c r="B197" s="15">
        <f>IF(COB_CA!$B$38=12,DATE(YEAR(COB_CA!$B$19)+INT((MONTH(COB_CA!$B$19)-1+192)/12),MOD(MONTH(COB_CA!$B$19)-1+192,12)+1,1)+(DAY(COB_CA!$B$19)-1),IF(COB_CA!$B$38=24,COB_CA!$B$19+ROUND((192*365.25)/24,0),IF(COB_CA!$B$38=26,COB_CA!$B$19+2688,COB_CA!$B$19+1344)))</f>
        <v/>
      </c>
      <c r="C197" s="12">
        <f>B197-B196</f>
        <v/>
      </c>
      <c r="D197" s="14">
        <f>N196</f>
        <v/>
      </c>
      <c r="E197" s="14">
        <f>D197*COB_CA!$B$40/100*(IF(YEAR(B196)=YEAR(B197),(B197-B196)/IF(AND(MOD(YEAR(B197),4)=0,OR(MOD(YEAR(B197),100)&lt;&gt;0,MOD(YEAR(B197),400)=0)),366,365),(((DATE(YEAR(B196)+1,1,1)))-B196)/IF(AND(MOD(YEAR(B196),4)=0,OR(MOD(YEAR(B196),100)&lt;&gt;0,MOD(YEAR(B196),400)=0)),366,365)+(B197-((DATE(YEAR(B196)+1,1,1))))/IF(AND(MOD(YEAR(B197),4)=0,OR(MOD(YEAR(B197),100)&lt;&gt;0,MOD(YEAR(B197),400)=0)),366,365)))</f>
        <v/>
      </c>
      <c r="F197" s="14">
        <f>L196</f>
        <v/>
      </c>
      <c r="G197" s="14">
        <f>M196</f>
        <v/>
      </c>
      <c r="H197" s="14">
        <f>IF((((COB_CA!$B$18-I197)-J197)&gt;D197),I197+J197+K197,COB_CA!$B$18)</f>
        <v/>
      </c>
      <c r="I197" s="14">
        <f>MIN(COB_CA!$B$18,(E197+F197))</f>
        <v/>
      </c>
      <c r="J197" s="14">
        <f>MIN((COB_CA!$B$18-I197),G197)</f>
        <v/>
      </c>
      <c r="K197" s="14">
        <f>MIN(((COB_CA!$B$18-I197)-J197),D197)</f>
        <v/>
      </c>
      <c r="L197" s="14">
        <f>E197+F197-I197</f>
        <v/>
      </c>
      <c r="M197" s="14">
        <f>G197-J197</f>
        <v/>
      </c>
      <c r="N197" s="14">
        <f>D197-K197</f>
        <v/>
      </c>
      <c r="O197" s="6">
        <f>AND(D197&gt;0,B197&lt;=COB_CA!$B$20)</f>
        <v/>
      </c>
    </row>
    <row r="198">
      <c r="A198" s="6" t="n">
        <v>194</v>
      </c>
      <c r="B198" s="15">
        <f>IF(COB_CA!$B$38=12,DATE(YEAR(COB_CA!$B$19)+INT((MONTH(COB_CA!$B$19)-1+193)/12),MOD(MONTH(COB_CA!$B$19)-1+193,12)+1,1)+(DAY(COB_CA!$B$19)-1),IF(COB_CA!$B$38=24,COB_CA!$B$19+ROUND((193*365.25)/24,0),IF(COB_CA!$B$38=26,COB_CA!$B$19+2702,COB_CA!$B$19+1351)))</f>
        <v/>
      </c>
      <c r="C198" s="12">
        <f>B198-B197</f>
        <v/>
      </c>
      <c r="D198" s="14">
        <f>N197</f>
        <v/>
      </c>
      <c r="E198" s="14">
        <f>D198*COB_CA!$B$40/100*(IF(YEAR(B197)=YEAR(B198),(B198-B197)/IF(AND(MOD(YEAR(B198),4)=0,OR(MOD(YEAR(B198),100)&lt;&gt;0,MOD(YEAR(B198),400)=0)),366,365),(((DATE(YEAR(B197)+1,1,1)))-B197)/IF(AND(MOD(YEAR(B197),4)=0,OR(MOD(YEAR(B197),100)&lt;&gt;0,MOD(YEAR(B197),400)=0)),366,365)+(B198-((DATE(YEAR(B197)+1,1,1))))/IF(AND(MOD(YEAR(B198),4)=0,OR(MOD(YEAR(B198),100)&lt;&gt;0,MOD(YEAR(B198),400)=0)),366,365)))</f>
        <v/>
      </c>
      <c r="F198" s="14">
        <f>L197</f>
        <v/>
      </c>
      <c r="G198" s="14">
        <f>M197</f>
        <v/>
      </c>
      <c r="H198" s="14">
        <f>IF((((COB_CA!$B$18-I198)-J198)&gt;D198),I198+J198+K198,COB_CA!$B$18)</f>
        <v/>
      </c>
      <c r="I198" s="14">
        <f>MIN(COB_CA!$B$18,(E198+F198))</f>
        <v/>
      </c>
      <c r="J198" s="14">
        <f>MIN((COB_CA!$B$18-I198),G198)</f>
        <v/>
      </c>
      <c r="K198" s="14">
        <f>MIN(((COB_CA!$B$18-I198)-J198),D198)</f>
        <v/>
      </c>
      <c r="L198" s="14">
        <f>E198+F198-I198</f>
        <v/>
      </c>
      <c r="M198" s="14">
        <f>G198-J198</f>
        <v/>
      </c>
      <c r="N198" s="14">
        <f>D198-K198</f>
        <v/>
      </c>
      <c r="O198" s="6">
        <f>AND(D198&gt;0,B198&lt;=COB_CA!$B$20)</f>
        <v/>
      </c>
    </row>
    <row r="199">
      <c r="A199" s="6" t="n">
        <v>195</v>
      </c>
      <c r="B199" s="15">
        <f>IF(COB_CA!$B$38=12,DATE(YEAR(COB_CA!$B$19)+INT((MONTH(COB_CA!$B$19)-1+194)/12),MOD(MONTH(COB_CA!$B$19)-1+194,12)+1,1)+(DAY(COB_CA!$B$19)-1),IF(COB_CA!$B$38=24,COB_CA!$B$19+ROUND((194*365.25)/24,0),IF(COB_CA!$B$38=26,COB_CA!$B$19+2716,COB_CA!$B$19+1358)))</f>
        <v/>
      </c>
      <c r="C199" s="12">
        <f>B199-B198</f>
        <v/>
      </c>
      <c r="D199" s="14">
        <f>N198</f>
        <v/>
      </c>
      <c r="E199" s="14">
        <f>D199*COB_CA!$B$40/100*(IF(YEAR(B198)=YEAR(B199),(B199-B198)/IF(AND(MOD(YEAR(B199),4)=0,OR(MOD(YEAR(B199),100)&lt;&gt;0,MOD(YEAR(B199),400)=0)),366,365),(((DATE(YEAR(B198)+1,1,1)))-B198)/IF(AND(MOD(YEAR(B198),4)=0,OR(MOD(YEAR(B198),100)&lt;&gt;0,MOD(YEAR(B198),400)=0)),366,365)+(B199-((DATE(YEAR(B198)+1,1,1))))/IF(AND(MOD(YEAR(B199),4)=0,OR(MOD(YEAR(B199),100)&lt;&gt;0,MOD(YEAR(B199),400)=0)),366,365)))</f>
        <v/>
      </c>
      <c r="F199" s="14">
        <f>L198</f>
        <v/>
      </c>
      <c r="G199" s="14">
        <f>M198</f>
        <v/>
      </c>
      <c r="H199" s="14">
        <f>IF((((COB_CA!$B$18-I199)-J199)&gt;D199),I199+J199+K199,COB_CA!$B$18)</f>
        <v/>
      </c>
      <c r="I199" s="14">
        <f>MIN(COB_CA!$B$18,(E199+F199))</f>
        <v/>
      </c>
      <c r="J199" s="14">
        <f>MIN((COB_CA!$B$18-I199),G199)</f>
        <v/>
      </c>
      <c r="K199" s="14">
        <f>MIN(((COB_CA!$B$18-I199)-J199),D199)</f>
        <v/>
      </c>
      <c r="L199" s="14">
        <f>E199+F199-I199</f>
        <v/>
      </c>
      <c r="M199" s="14">
        <f>G199-J199</f>
        <v/>
      </c>
      <c r="N199" s="14">
        <f>D199-K199</f>
        <v/>
      </c>
      <c r="O199" s="6">
        <f>AND(D199&gt;0,B199&lt;=COB_CA!$B$20)</f>
        <v/>
      </c>
    </row>
    <row r="200">
      <c r="A200" s="6" t="n">
        <v>196</v>
      </c>
      <c r="B200" s="15">
        <f>IF(COB_CA!$B$38=12,DATE(YEAR(COB_CA!$B$19)+INT((MONTH(COB_CA!$B$19)-1+195)/12),MOD(MONTH(COB_CA!$B$19)-1+195,12)+1,1)+(DAY(COB_CA!$B$19)-1),IF(COB_CA!$B$38=24,COB_CA!$B$19+ROUND((195*365.25)/24,0),IF(COB_CA!$B$38=26,COB_CA!$B$19+2730,COB_CA!$B$19+1365)))</f>
        <v/>
      </c>
      <c r="C200" s="12">
        <f>B200-B199</f>
        <v/>
      </c>
      <c r="D200" s="14">
        <f>N199</f>
        <v/>
      </c>
      <c r="E200" s="14">
        <f>D200*COB_CA!$B$40/100*(IF(YEAR(B199)=YEAR(B200),(B200-B199)/IF(AND(MOD(YEAR(B200),4)=0,OR(MOD(YEAR(B200),100)&lt;&gt;0,MOD(YEAR(B200),400)=0)),366,365),(((DATE(YEAR(B199)+1,1,1)))-B199)/IF(AND(MOD(YEAR(B199),4)=0,OR(MOD(YEAR(B199),100)&lt;&gt;0,MOD(YEAR(B199),400)=0)),366,365)+(B200-((DATE(YEAR(B199)+1,1,1))))/IF(AND(MOD(YEAR(B200),4)=0,OR(MOD(YEAR(B200),100)&lt;&gt;0,MOD(YEAR(B200),400)=0)),366,365)))</f>
        <v/>
      </c>
      <c r="F200" s="14">
        <f>L199</f>
        <v/>
      </c>
      <c r="G200" s="14">
        <f>M199</f>
        <v/>
      </c>
      <c r="H200" s="14">
        <f>IF((((COB_CA!$B$18-I200)-J200)&gt;D200),I200+J200+K200,COB_CA!$B$18)</f>
        <v/>
      </c>
      <c r="I200" s="14">
        <f>MIN(COB_CA!$B$18,(E200+F200))</f>
        <v/>
      </c>
      <c r="J200" s="14">
        <f>MIN((COB_CA!$B$18-I200),G200)</f>
        <v/>
      </c>
      <c r="K200" s="14">
        <f>MIN(((COB_CA!$B$18-I200)-J200),D200)</f>
        <v/>
      </c>
      <c r="L200" s="14">
        <f>E200+F200-I200</f>
        <v/>
      </c>
      <c r="M200" s="14">
        <f>G200-J200</f>
        <v/>
      </c>
      <c r="N200" s="14">
        <f>D200-K200</f>
        <v/>
      </c>
      <c r="O200" s="6">
        <f>AND(D200&gt;0,B200&lt;=COB_CA!$B$20)</f>
        <v/>
      </c>
    </row>
    <row r="201">
      <c r="A201" s="6" t="n">
        <v>197</v>
      </c>
      <c r="B201" s="15">
        <f>IF(COB_CA!$B$38=12,DATE(YEAR(COB_CA!$B$19)+INT((MONTH(COB_CA!$B$19)-1+196)/12),MOD(MONTH(COB_CA!$B$19)-1+196,12)+1,1)+(DAY(COB_CA!$B$19)-1),IF(COB_CA!$B$38=24,COB_CA!$B$19+ROUND((196*365.25)/24,0),IF(COB_CA!$B$38=26,COB_CA!$B$19+2744,COB_CA!$B$19+1372)))</f>
        <v/>
      </c>
      <c r="C201" s="12">
        <f>B201-B200</f>
        <v/>
      </c>
      <c r="D201" s="14">
        <f>N200</f>
        <v/>
      </c>
      <c r="E201" s="14">
        <f>D201*COB_CA!$B$40/100*(IF(YEAR(B200)=YEAR(B201),(B201-B200)/IF(AND(MOD(YEAR(B201),4)=0,OR(MOD(YEAR(B201),100)&lt;&gt;0,MOD(YEAR(B201),400)=0)),366,365),(((DATE(YEAR(B200)+1,1,1)))-B200)/IF(AND(MOD(YEAR(B200),4)=0,OR(MOD(YEAR(B200),100)&lt;&gt;0,MOD(YEAR(B200),400)=0)),366,365)+(B201-((DATE(YEAR(B200)+1,1,1))))/IF(AND(MOD(YEAR(B201),4)=0,OR(MOD(YEAR(B201),100)&lt;&gt;0,MOD(YEAR(B201),400)=0)),366,365)))</f>
        <v/>
      </c>
      <c r="F201" s="14">
        <f>L200</f>
        <v/>
      </c>
      <c r="G201" s="14">
        <f>M200</f>
        <v/>
      </c>
      <c r="H201" s="14">
        <f>IF((((COB_CA!$B$18-I201)-J201)&gt;D201),I201+J201+K201,COB_CA!$B$18)</f>
        <v/>
      </c>
      <c r="I201" s="14">
        <f>MIN(COB_CA!$B$18,(E201+F201))</f>
        <v/>
      </c>
      <c r="J201" s="14">
        <f>MIN((COB_CA!$B$18-I201),G201)</f>
        <v/>
      </c>
      <c r="K201" s="14">
        <f>MIN(((COB_CA!$B$18-I201)-J201),D201)</f>
        <v/>
      </c>
      <c r="L201" s="14">
        <f>E201+F201-I201</f>
        <v/>
      </c>
      <c r="M201" s="14">
        <f>G201-J201</f>
        <v/>
      </c>
      <c r="N201" s="14">
        <f>D201-K201</f>
        <v/>
      </c>
      <c r="O201" s="6">
        <f>AND(D201&gt;0,B201&lt;=COB_CA!$B$20)</f>
        <v/>
      </c>
    </row>
    <row r="202">
      <c r="A202" s="6" t="n">
        <v>198</v>
      </c>
      <c r="B202" s="15">
        <f>IF(COB_CA!$B$38=12,DATE(YEAR(COB_CA!$B$19)+INT((MONTH(COB_CA!$B$19)-1+197)/12),MOD(MONTH(COB_CA!$B$19)-1+197,12)+1,1)+(DAY(COB_CA!$B$19)-1),IF(COB_CA!$B$38=24,COB_CA!$B$19+ROUND((197*365.25)/24,0),IF(COB_CA!$B$38=26,COB_CA!$B$19+2758,COB_CA!$B$19+1379)))</f>
        <v/>
      </c>
      <c r="C202" s="12">
        <f>B202-B201</f>
        <v/>
      </c>
      <c r="D202" s="14">
        <f>N201</f>
        <v/>
      </c>
      <c r="E202" s="14">
        <f>D202*COB_CA!$B$40/100*(IF(YEAR(B201)=YEAR(B202),(B202-B201)/IF(AND(MOD(YEAR(B202),4)=0,OR(MOD(YEAR(B202),100)&lt;&gt;0,MOD(YEAR(B202),400)=0)),366,365),(((DATE(YEAR(B201)+1,1,1)))-B201)/IF(AND(MOD(YEAR(B201),4)=0,OR(MOD(YEAR(B201),100)&lt;&gt;0,MOD(YEAR(B201),400)=0)),366,365)+(B202-((DATE(YEAR(B201)+1,1,1))))/IF(AND(MOD(YEAR(B202),4)=0,OR(MOD(YEAR(B202),100)&lt;&gt;0,MOD(YEAR(B202),400)=0)),366,365)))</f>
        <v/>
      </c>
      <c r="F202" s="14">
        <f>L201</f>
        <v/>
      </c>
      <c r="G202" s="14">
        <f>M201</f>
        <v/>
      </c>
      <c r="H202" s="14">
        <f>IF((((COB_CA!$B$18-I202)-J202)&gt;D202),I202+J202+K202,COB_CA!$B$18)</f>
        <v/>
      </c>
      <c r="I202" s="14">
        <f>MIN(COB_CA!$B$18,(E202+F202))</f>
        <v/>
      </c>
      <c r="J202" s="14">
        <f>MIN((COB_CA!$B$18-I202),G202)</f>
        <v/>
      </c>
      <c r="K202" s="14">
        <f>MIN(((COB_CA!$B$18-I202)-J202),D202)</f>
        <v/>
      </c>
      <c r="L202" s="14">
        <f>E202+F202-I202</f>
        <v/>
      </c>
      <c r="M202" s="14">
        <f>G202-J202</f>
        <v/>
      </c>
      <c r="N202" s="14">
        <f>D202-K202</f>
        <v/>
      </c>
      <c r="O202" s="6">
        <f>AND(D202&gt;0,B202&lt;=COB_CA!$B$20)</f>
        <v/>
      </c>
    </row>
    <row r="203">
      <c r="A203" s="6" t="n">
        <v>199</v>
      </c>
      <c r="B203" s="15">
        <f>IF(COB_CA!$B$38=12,DATE(YEAR(COB_CA!$B$19)+INT((MONTH(COB_CA!$B$19)-1+198)/12),MOD(MONTH(COB_CA!$B$19)-1+198,12)+1,1)+(DAY(COB_CA!$B$19)-1),IF(COB_CA!$B$38=24,COB_CA!$B$19+ROUND((198*365.25)/24,0),IF(COB_CA!$B$38=26,COB_CA!$B$19+2772,COB_CA!$B$19+1386)))</f>
        <v/>
      </c>
      <c r="C203" s="12">
        <f>B203-B202</f>
        <v/>
      </c>
      <c r="D203" s="14">
        <f>N202</f>
        <v/>
      </c>
      <c r="E203" s="14">
        <f>D203*COB_CA!$B$40/100*(IF(YEAR(B202)=YEAR(B203),(B203-B202)/IF(AND(MOD(YEAR(B203),4)=0,OR(MOD(YEAR(B203),100)&lt;&gt;0,MOD(YEAR(B203),400)=0)),366,365),(((DATE(YEAR(B202)+1,1,1)))-B202)/IF(AND(MOD(YEAR(B202),4)=0,OR(MOD(YEAR(B202),100)&lt;&gt;0,MOD(YEAR(B202),400)=0)),366,365)+(B203-((DATE(YEAR(B202)+1,1,1))))/IF(AND(MOD(YEAR(B203),4)=0,OR(MOD(YEAR(B203),100)&lt;&gt;0,MOD(YEAR(B203),400)=0)),366,365)))</f>
        <v/>
      </c>
      <c r="F203" s="14">
        <f>L202</f>
        <v/>
      </c>
      <c r="G203" s="14">
        <f>M202</f>
        <v/>
      </c>
      <c r="H203" s="14">
        <f>IF((((COB_CA!$B$18-I203)-J203)&gt;D203),I203+J203+K203,COB_CA!$B$18)</f>
        <v/>
      </c>
      <c r="I203" s="14">
        <f>MIN(COB_CA!$B$18,(E203+F203))</f>
        <v/>
      </c>
      <c r="J203" s="14">
        <f>MIN((COB_CA!$B$18-I203),G203)</f>
        <v/>
      </c>
      <c r="K203" s="14">
        <f>MIN(((COB_CA!$B$18-I203)-J203),D203)</f>
        <v/>
      </c>
      <c r="L203" s="14">
        <f>E203+F203-I203</f>
        <v/>
      </c>
      <c r="M203" s="14">
        <f>G203-J203</f>
        <v/>
      </c>
      <c r="N203" s="14">
        <f>D203-K203</f>
        <v/>
      </c>
      <c r="O203" s="6">
        <f>AND(D203&gt;0,B203&lt;=COB_CA!$B$20)</f>
        <v/>
      </c>
    </row>
    <row r="204">
      <c r="A204" s="6" t="n">
        <v>200</v>
      </c>
      <c r="B204" s="15">
        <f>IF(COB_CA!$B$38=12,DATE(YEAR(COB_CA!$B$19)+INT((MONTH(COB_CA!$B$19)-1+199)/12),MOD(MONTH(COB_CA!$B$19)-1+199,12)+1,1)+(DAY(COB_CA!$B$19)-1),IF(COB_CA!$B$38=24,COB_CA!$B$19+ROUND((199*365.25)/24,0),IF(COB_CA!$B$38=26,COB_CA!$B$19+2786,COB_CA!$B$19+1393)))</f>
        <v/>
      </c>
      <c r="C204" s="12">
        <f>B204-B203</f>
        <v/>
      </c>
      <c r="D204" s="14">
        <f>N203</f>
        <v/>
      </c>
      <c r="E204" s="14">
        <f>D204*COB_CA!$B$40/100*(IF(YEAR(B203)=YEAR(B204),(B204-B203)/IF(AND(MOD(YEAR(B204),4)=0,OR(MOD(YEAR(B204),100)&lt;&gt;0,MOD(YEAR(B204),400)=0)),366,365),(((DATE(YEAR(B203)+1,1,1)))-B203)/IF(AND(MOD(YEAR(B203),4)=0,OR(MOD(YEAR(B203),100)&lt;&gt;0,MOD(YEAR(B203),400)=0)),366,365)+(B204-((DATE(YEAR(B203)+1,1,1))))/IF(AND(MOD(YEAR(B204),4)=0,OR(MOD(YEAR(B204),100)&lt;&gt;0,MOD(YEAR(B204),400)=0)),366,365)))</f>
        <v/>
      </c>
      <c r="F204" s="14">
        <f>L203</f>
        <v/>
      </c>
      <c r="G204" s="14">
        <f>M203</f>
        <v/>
      </c>
      <c r="H204" s="14">
        <f>IF((((COB_CA!$B$18-I204)-J204)&gt;D204),I204+J204+K204,COB_CA!$B$18)</f>
        <v/>
      </c>
      <c r="I204" s="14">
        <f>MIN(COB_CA!$B$18,(E204+F204))</f>
        <v/>
      </c>
      <c r="J204" s="14">
        <f>MIN((COB_CA!$B$18-I204),G204)</f>
        <v/>
      </c>
      <c r="K204" s="14">
        <f>MIN(((COB_CA!$B$18-I204)-J204),D204)</f>
        <v/>
      </c>
      <c r="L204" s="14">
        <f>E204+F204-I204</f>
        <v/>
      </c>
      <c r="M204" s="14">
        <f>G204-J204</f>
        <v/>
      </c>
      <c r="N204" s="14">
        <f>D204-K204</f>
        <v/>
      </c>
      <c r="O204" s="6">
        <f>AND(D204&gt;0,B204&lt;=COB_CA!$B$20)</f>
        <v/>
      </c>
    </row>
    <row r="205">
      <c r="A205" s="6" t="n">
        <v>201</v>
      </c>
      <c r="B205" s="15">
        <f>IF(COB_CA!$B$38=12,DATE(YEAR(COB_CA!$B$19)+INT((MONTH(COB_CA!$B$19)-1+200)/12),MOD(MONTH(COB_CA!$B$19)-1+200,12)+1,1)+(DAY(COB_CA!$B$19)-1),IF(COB_CA!$B$38=24,COB_CA!$B$19+ROUND((200*365.25)/24,0),IF(COB_CA!$B$38=26,COB_CA!$B$19+2800,COB_CA!$B$19+1400)))</f>
        <v/>
      </c>
      <c r="C205" s="12">
        <f>B205-B204</f>
        <v/>
      </c>
      <c r="D205" s="14">
        <f>N204</f>
        <v/>
      </c>
      <c r="E205" s="14">
        <f>D205*COB_CA!$B$40/100*(IF(YEAR(B204)=YEAR(B205),(B205-B204)/IF(AND(MOD(YEAR(B205),4)=0,OR(MOD(YEAR(B205),100)&lt;&gt;0,MOD(YEAR(B205),400)=0)),366,365),(((DATE(YEAR(B204)+1,1,1)))-B204)/IF(AND(MOD(YEAR(B204),4)=0,OR(MOD(YEAR(B204),100)&lt;&gt;0,MOD(YEAR(B204),400)=0)),366,365)+(B205-((DATE(YEAR(B204)+1,1,1))))/IF(AND(MOD(YEAR(B205),4)=0,OR(MOD(YEAR(B205),100)&lt;&gt;0,MOD(YEAR(B205),400)=0)),366,365)))</f>
        <v/>
      </c>
      <c r="F205" s="14">
        <f>L204</f>
        <v/>
      </c>
      <c r="G205" s="14">
        <f>M204</f>
        <v/>
      </c>
      <c r="H205" s="14">
        <f>IF((((COB_CA!$B$18-I205)-J205)&gt;D205),I205+J205+K205,COB_CA!$B$18)</f>
        <v/>
      </c>
      <c r="I205" s="14">
        <f>MIN(COB_CA!$B$18,(E205+F205))</f>
        <v/>
      </c>
      <c r="J205" s="14">
        <f>MIN((COB_CA!$B$18-I205),G205)</f>
        <v/>
      </c>
      <c r="K205" s="14">
        <f>MIN(((COB_CA!$B$18-I205)-J205),D205)</f>
        <v/>
      </c>
      <c r="L205" s="14">
        <f>E205+F205-I205</f>
        <v/>
      </c>
      <c r="M205" s="14">
        <f>G205-J205</f>
        <v/>
      </c>
      <c r="N205" s="14">
        <f>D205-K205</f>
        <v/>
      </c>
      <c r="O205" s="6">
        <f>AND(D205&gt;0,B205&lt;=COB_CA!$B$20)</f>
        <v/>
      </c>
    </row>
    <row r="206">
      <c r="A206" s="6" t="n">
        <v>202</v>
      </c>
      <c r="B206" s="15">
        <f>IF(COB_CA!$B$38=12,DATE(YEAR(COB_CA!$B$19)+INT((MONTH(COB_CA!$B$19)-1+201)/12),MOD(MONTH(COB_CA!$B$19)-1+201,12)+1,1)+(DAY(COB_CA!$B$19)-1),IF(COB_CA!$B$38=24,COB_CA!$B$19+ROUND((201*365.25)/24,0),IF(COB_CA!$B$38=26,COB_CA!$B$19+2814,COB_CA!$B$19+1407)))</f>
        <v/>
      </c>
      <c r="C206" s="12">
        <f>B206-B205</f>
        <v/>
      </c>
      <c r="D206" s="14">
        <f>N205</f>
        <v/>
      </c>
      <c r="E206" s="14">
        <f>D206*COB_CA!$B$40/100*(IF(YEAR(B205)=YEAR(B206),(B206-B205)/IF(AND(MOD(YEAR(B206),4)=0,OR(MOD(YEAR(B206),100)&lt;&gt;0,MOD(YEAR(B206),400)=0)),366,365),(((DATE(YEAR(B205)+1,1,1)))-B205)/IF(AND(MOD(YEAR(B205),4)=0,OR(MOD(YEAR(B205),100)&lt;&gt;0,MOD(YEAR(B205),400)=0)),366,365)+(B206-((DATE(YEAR(B205)+1,1,1))))/IF(AND(MOD(YEAR(B206),4)=0,OR(MOD(YEAR(B206),100)&lt;&gt;0,MOD(YEAR(B206),400)=0)),366,365)))</f>
        <v/>
      </c>
      <c r="F206" s="14">
        <f>L205</f>
        <v/>
      </c>
      <c r="G206" s="14">
        <f>M205</f>
        <v/>
      </c>
      <c r="H206" s="14">
        <f>IF((((COB_CA!$B$18-I206)-J206)&gt;D206),I206+J206+K206,COB_CA!$B$18)</f>
        <v/>
      </c>
      <c r="I206" s="14">
        <f>MIN(COB_CA!$B$18,(E206+F206))</f>
        <v/>
      </c>
      <c r="J206" s="14">
        <f>MIN((COB_CA!$B$18-I206),G206)</f>
        <v/>
      </c>
      <c r="K206" s="14">
        <f>MIN(((COB_CA!$B$18-I206)-J206),D206)</f>
        <v/>
      </c>
      <c r="L206" s="14">
        <f>E206+F206-I206</f>
        <v/>
      </c>
      <c r="M206" s="14">
        <f>G206-J206</f>
        <v/>
      </c>
      <c r="N206" s="14">
        <f>D206-K206</f>
        <v/>
      </c>
      <c r="O206" s="6">
        <f>AND(D206&gt;0,B206&lt;=COB_CA!$B$20)</f>
        <v/>
      </c>
    </row>
    <row r="207">
      <c r="A207" s="6" t="n">
        <v>203</v>
      </c>
      <c r="B207" s="15">
        <f>IF(COB_CA!$B$38=12,DATE(YEAR(COB_CA!$B$19)+INT((MONTH(COB_CA!$B$19)-1+202)/12),MOD(MONTH(COB_CA!$B$19)-1+202,12)+1,1)+(DAY(COB_CA!$B$19)-1),IF(COB_CA!$B$38=24,COB_CA!$B$19+ROUND((202*365.25)/24,0),IF(COB_CA!$B$38=26,COB_CA!$B$19+2828,COB_CA!$B$19+1414)))</f>
        <v/>
      </c>
      <c r="C207" s="12">
        <f>B207-B206</f>
        <v/>
      </c>
      <c r="D207" s="14">
        <f>N206</f>
        <v/>
      </c>
      <c r="E207" s="14">
        <f>D207*COB_CA!$B$40/100*(IF(YEAR(B206)=YEAR(B207),(B207-B206)/IF(AND(MOD(YEAR(B207),4)=0,OR(MOD(YEAR(B207),100)&lt;&gt;0,MOD(YEAR(B207),400)=0)),366,365),(((DATE(YEAR(B206)+1,1,1)))-B206)/IF(AND(MOD(YEAR(B206),4)=0,OR(MOD(YEAR(B206),100)&lt;&gt;0,MOD(YEAR(B206),400)=0)),366,365)+(B207-((DATE(YEAR(B206)+1,1,1))))/IF(AND(MOD(YEAR(B207),4)=0,OR(MOD(YEAR(B207),100)&lt;&gt;0,MOD(YEAR(B207),400)=0)),366,365)))</f>
        <v/>
      </c>
      <c r="F207" s="14">
        <f>L206</f>
        <v/>
      </c>
      <c r="G207" s="14">
        <f>M206</f>
        <v/>
      </c>
      <c r="H207" s="14">
        <f>IF((((COB_CA!$B$18-I207)-J207)&gt;D207),I207+J207+K207,COB_CA!$B$18)</f>
        <v/>
      </c>
      <c r="I207" s="14">
        <f>MIN(COB_CA!$B$18,(E207+F207))</f>
        <v/>
      </c>
      <c r="J207" s="14">
        <f>MIN((COB_CA!$B$18-I207),G207)</f>
        <v/>
      </c>
      <c r="K207" s="14">
        <f>MIN(((COB_CA!$B$18-I207)-J207),D207)</f>
        <v/>
      </c>
      <c r="L207" s="14">
        <f>E207+F207-I207</f>
        <v/>
      </c>
      <c r="M207" s="14">
        <f>G207-J207</f>
        <v/>
      </c>
      <c r="N207" s="14">
        <f>D207-K207</f>
        <v/>
      </c>
      <c r="O207" s="6">
        <f>AND(D207&gt;0,B207&lt;=COB_CA!$B$20)</f>
        <v/>
      </c>
    </row>
    <row r="208">
      <c r="A208" s="6" t="n">
        <v>204</v>
      </c>
      <c r="B208" s="15">
        <f>IF(COB_CA!$B$38=12,DATE(YEAR(COB_CA!$B$19)+INT((MONTH(COB_CA!$B$19)-1+203)/12),MOD(MONTH(COB_CA!$B$19)-1+203,12)+1,1)+(DAY(COB_CA!$B$19)-1),IF(COB_CA!$B$38=24,COB_CA!$B$19+ROUND((203*365.25)/24,0),IF(COB_CA!$B$38=26,COB_CA!$B$19+2842,COB_CA!$B$19+1421)))</f>
        <v/>
      </c>
      <c r="C208" s="12">
        <f>B208-B207</f>
        <v/>
      </c>
      <c r="D208" s="14">
        <f>N207</f>
        <v/>
      </c>
      <c r="E208" s="14">
        <f>D208*COB_CA!$B$40/100*(IF(YEAR(B207)=YEAR(B208),(B208-B207)/IF(AND(MOD(YEAR(B208),4)=0,OR(MOD(YEAR(B208),100)&lt;&gt;0,MOD(YEAR(B208),400)=0)),366,365),(((DATE(YEAR(B207)+1,1,1)))-B207)/IF(AND(MOD(YEAR(B207),4)=0,OR(MOD(YEAR(B207),100)&lt;&gt;0,MOD(YEAR(B207),400)=0)),366,365)+(B208-((DATE(YEAR(B207)+1,1,1))))/IF(AND(MOD(YEAR(B208),4)=0,OR(MOD(YEAR(B208),100)&lt;&gt;0,MOD(YEAR(B208),400)=0)),366,365)))</f>
        <v/>
      </c>
      <c r="F208" s="14">
        <f>L207</f>
        <v/>
      </c>
      <c r="G208" s="14">
        <f>M207</f>
        <v/>
      </c>
      <c r="H208" s="14">
        <f>IF((((COB_CA!$B$18-I208)-J208)&gt;D208),I208+J208+K208,COB_CA!$B$18)</f>
        <v/>
      </c>
      <c r="I208" s="14">
        <f>MIN(COB_CA!$B$18,(E208+F208))</f>
        <v/>
      </c>
      <c r="J208" s="14">
        <f>MIN((COB_CA!$B$18-I208),G208)</f>
        <v/>
      </c>
      <c r="K208" s="14">
        <f>MIN(((COB_CA!$B$18-I208)-J208),D208)</f>
        <v/>
      </c>
      <c r="L208" s="14">
        <f>E208+F208-I208</f>
        <v/>
      </c>
      <c r="M208" s="14">
        <f>G208-J208</f>
        <v/>
      </c>
      <c r="N208" s="14">
        <f>D208-K208</f>
        <v/>
      </c>
      <c r="O208" s="6">
        <f>AND(D208&gt;0,B208&lt;=COB_CA!$B$20)</f>
        <v/>
      </c>
    </row>
    <row r="209">
      <c r="A209" s="6" t="n">
        <v>205</v>
      </c>
      <c r="B209" s="15">
        <f>IF(COB_CA!$B$38=12,DATE(YEAR(COB_CA!$B$19)+INT((MONTH(COB_CA!$B$19)-1+204)/12),MOD(MONTH(COB_CA!$B$19)-1+204,12)+1,1)+(DAY(COB_CA!$B$19)-1),IF(COB_CA!$B$38=24,COB_CA!$B$19+ROUND((204*365.25)/24,0),IF(COB_CA!$B$38=26,COB_CA!$B$19+2856,COB_CA!$B$19+1428)))</f>
        <v/>
      </c>
      <c r="C209" s="12">
        <f>B209-B208</f>
        <v/>
      </c>
      <c r="D209" s="14">
        <f>N208</f>
        <v/>
      </c>
      <c r="E209" s="14">
        <f>D209*COB_CA!$B$40/100*(IF(YEAR(B208)=YEAR(B209),(B209-B208)/IF(AND(MOD(YEAR(B209),4)=0,OR(MOD(YEAR(B209),100)&lt;&gt;0,MOD(YEAR(B209),400)=0)),366,365),(((DATE(YEAR(B208)+1,1,1)))-B208)/IF(AND(MOD(YEAR(B208),4)=0,OR(MOD(YEAR(B208),100)&lt;&gt;0,MOD(YEAR(B208),400)=0)),366,365)+(B209-((DATE(YEAR(B208)+1,1,1))))/IF(AND(MOD(YEAR(B209),4)=0,OR(MOD(YEAR(B209),100)&lt;&gt;0,MOD(YEAR(B209),400)=0)),366,365)))</f>
        <v/>
      </c>
      <c r="F209" s="14">
        <f>L208</f>
        <v/>
      </c>
      <c r="G209" s="14">
        <f>M208</f>
        <v/>
      </c>
      <c r="H209" s="14">
        <f>IF((((COB_CA!$B$18-I209)-J209)&gt;D209),I209+J209+K209,COB_CA!$B$18)</f>
        <v/>
      </c>
      <c r="I209" s="14">
        <f>MIN(COB_CA!$B$18,(E209+F209))</f>
        <v/>
      </c>
      <c r="J209" s="14">
        <f>MIN((COB_CA!$B$18-I209),G209)</f>
        <v/>
      </c>
      <c r="K209" s="14">
        <f>MIN(((COB_CA!$B$18-I209)-J209),D209)</f>
        <v/>
      </c>
      <c r="L209" s="14">
        <f>E209+F209-I209</f>
        <v/>
      </c>
      <c r="M209" s="14">
        <f>G209-J209</f>
        <v/>
      </c>
      <c r="N209" s="14">
        <f>D209-K209</f>
        <v/>
      </c>
      <c r="O209" s="6">
        <f>AND(D209&gt;0,B209&lt;=COB_CA!$B$20)</f>
        <v/>
      </c>
    </row>
    <row r="210">
      <c r="A210" s="6" t="n">
        <v>206</v>
      </c>
      <c r="B210" s="15">
        <f>IF(COB_CA!$B$38=12,DATE(YEAR(COB_CA!$B$19)+INT((MONTH(COB_CA!$B$19)-1+205)/12),MOD(MONTH(COB_CA!$B$19)-1+205,12)+1,1)+(DAY(COB_CA!$B$19)-1),IF(COB_CA!$B$38=24,COB_CA!$B$19+ROUND((205*365.25)/24,0),IF(COB_CA!$B$38=26,COB_CA!$B$19+2870,COB_CA!$B$19+1435)))</f>
        <v/>
      </c>
      <c r="C210" s="12">
        <f>B210-B209</f>
        <v/>
      </c>
      <c r="D210" s="14">
        <f>N209</f>
        <v/>
      </c>
      <c r="E210" s="14">
        <f>D210*COB_CA!$B$40/100*(IF(YEAR(B209)=YEAR(B210),(B210-B209)/IF(AND(MOD(YEAR(B210),4)=0,OR(MOD(YEAR(B210),100)&lt;&gt;0,MOD(YEAR(B210),400)=0)),366,365),(((DATE(YEAR(B209)+1,1,1)))-B209)/IF(AND(MOD(YEAR(B209),4)=0,OR(MOD(YEAR(B209),100)&lt;&gt;0,MOD(YEAR(B209),400)=0)),366,365)+(B210-((DATE(YEAR(B209)+1,1,1))))/IF(AND(MOD(YEAR(B210),4)=0,OR(MOD(YEAR(B210),100)&lt;&gt;0,MOD(YEAR(B210),400)=0)),366,365)))</f>
        <v/>
      </c>
      <c r="F210" s="14">
        <f>L209</f>
        <v/>
      </c>
      <c r="G210" s="14">
        <f>M209</f>
        <v/>
      </c>
      <c r="H210" s="14">
        <f>IF((((COB_CA!$B$18-I210)-J210)&gt;D210),I210+J210+K210,COB_CA!$B$18)</f>
        <v/>
      </c>
      <c r="I210" s="14">
        <f>MIN(COB_CA!$B$18,(E210+F210))</f>
        <v/>
      </c>
      <c r="J210" s="14">
        <f>MIN((COB_CA!$B$18-I210),G210)</f>
        <v/>
      </c>
      <c r="K210" s="14">
        <f>MIN(((COB_CA!$B$18-I210)-J210),D210)</f>
        <v/>
      </c>
      <c r="L210" s="14">
        <f>E210+F210-I210</f>
        <v/>
      </c>
      <c r="M210" s="14">
        <f>G210-J210</f>
        <v/>
      </c>
      <c r="N210" s="14">
        <f>D210-K210</f>
        <v/>
      </c>
      <c r="O210" s="6">
        <f>AND(D210&gt;0,B210&lt;=COB_CA!$B$20)</f>
        <v/>
      </c>
    </row>
    <row r="211">
      <c r="A211" s="6" t="n">
        <v>207</v>
      </c>
      <c r="B211" s="15">
        <f>IF(COB_CA!$B$38=12,DATE(YEAR(COB_CA!$B$19)+INT((MONTH(COB_CA!$B$19)-1+206)/12),MOD(MONTH(COB_CA!$B$19)-1+206,12)+1,1)+(DAY(COB_CA!$B$19)-1),IF(COB_CA!$B$38=24,COB_CA!$B$19+ROUND((206*365.25)/24,0),IF(COB_CA!$B$38=26,COB_CA!$B$19+2884,COB_CA!$B$19+1442)))</f>
        <v/>
      </c>
      <c r="C211" s="12">
        <f>B211-B210</f>
        <v/>
      </c>
      <c r="D211" s="14">
        <f>N210</f>
        <v/>
      </c>
      <c r="E211" s="14">
        <f>D211*COB_CA!$B$40/100*(IF(YEAR(B210)=YEAR(B211),(B211-B210)/IF(AND(MOD(YEAR(B211),4)=0,OR(MOD(YEAR(B211),100)&lt;&gt;0,MOD(YEAR(B211),400)=0)),366,365),(((DATE(YEAR(B210)+1,1,1)))-B210)/IF(AND(MOD(YEAR(B210),4)=0,OR(MOD(YEAR(B210),100)&lt;&gt;0,MOD(YEAR(B210),400)=0)),366,365)+(B211-((DATE(YEAR(B210)+1,1,1))))/IF(AND(MOD(YEAR(B211),4)=0,OR(MOD(YEAR(B211),100)&lt;&gt;0,MOD(YEAR(B211),400)=0)),366,365)))</f>
        <v/>
      </c>
      <c r="F211" s="14">
        <f>L210</f>
        <v/>
      </c>
      <c r="G211" s="14">
        <f>M210</f>
        <v/>
      </c>
      <c r="H211" s="14">
        <f>IF((((COB_CA!$B$18-I211)-J211)&gt;D211),I211+J211+K211,COB_CA!$B$18)</f>
        <v/>
      </c>
      <c r="I211" s="14">
        <f>MIN(COB_CA!$B$18,(E211+F211))</f>
        <v/>
      </c>
      <c r="J211" s="14">
        <f>MIN((COB_CA!$B$18-I211),G211)</f>
        <v/>
      </c>
      <c r="K211" s="14">
        <f>MIN(((COB_CA!$B$18-I211)-J211),D211)</f>
        <v/>
      </c>
      <c r="L211" s="14">
        <f>E211+F211-I211</f>
        <v/>
      </c>
      <c r="M211" s="14">
        <f>G211-J211</f>
        <v/>
      </c>
      <c r="N211" s="14">
        <f>D211-K211</f>
        <v/>
      </c>
      <c r="O211" s="6">
        <f>AND(D211&gt;0,B211&lt;=COB_CA!$B$20)</f>
        <v/>
      </c>
    </row>
    <row r="212">
      <c r="A212" s="6" t="n">
        <v>208</v>
      </c>
      <c r="B212" s="15">
        <f>IF(COB_CA!$B$38=12,DATE(YEAR(COB_CA!$B$19)+INT((MONTH(COB_CA!$B$19)-1+207)/12),MOD(MONTH(COB_CA!$B$19)-1+207,12)+1,1)+(DAY(COB_CA!$B$19)-1),IF(COB_CA!$B$38=24,COB_CA!$B$19+ROUND((207*365.25)/24,0),IF(COB_CA!$B$38=26,COB_CA!$B$19+2898,COB_CA!$B$19+1449)))</f>
        <v/>
      </c>
      <c r="C212" s="12">
        <f>B212-B211</f>
        <v/>
      </c>
      <c r="D212" s="14">
        <f>N211</f>
        <v/>
      </c>
      <c r="E212" s="14">
        <f>D212*COB_CA!$B$40/100*(IF(YEAR(B211)=YEAR(B212),(B212-B211)/IF(AND(MOD(YEAR(B212),4)=0,OR(MOD(YEAR(B212),100)&lt;&gt;0,MOD(YEAR(B212),400)=0)),366,365),(((DATE(YEAR(B211)+1,1,1)))-B211)/IF(AND(MOD(YEAR(B211),4)=0,OR(MOD(YEAR(B211),100)&lt;&gt;0,MOD(YEAR(B211),400)=0)),366,365)+(B212-((DATE(YEAR(B211)+1,1,1))))/IF(AND(MOD(YEAR(B212),4)=0,OR(MOD(YEAR(B212),100)&lt;&gt;0,MOD(YEAR(B212),400)=0)),366,365)))</f>
        <v/>
      </c>
      <c r="F212" s="14">
        <f>L211</f>
        <v/>
      </c>
      <c r="G212" s="14">
        <f>M211</f>
        <v/>
      </c>
      <c r="H212" s="14">
        <f>IF((((COB_CA!$B$18-I212)-J212)&gt;D212),I212+J212+K212,COB_CA!$B$18)</f>
        <v/>
      </c>
      <c r="I212" s="14">
        <f>MIN(COB_CA!$B$18,(E212+F212))</f>
        <v/>
      </c>
      <c r="J212" s="14">
        <f>MIN((COB_CA!$B$18-I212),G212)</f>
        <v/>
      </c>
      <c r="K212" s="14">
        <f>MIN(((COB_CA!$B$18-I212)-J212),D212)</f>
        <v/>
      </c>
      <c r="L212" s="14">
        <f>E212+F212-I212</f>
        <v/>
      </c>
      <c r="M212" s="14">
        <f>G212-J212</f>
        <v/>
      </c>
      <c r="N212" s="14">
        <f>D212-K212</f>
        <v/>
      </c>
      <c r="O212" s="6">
        <f>AND(D212&gt;0,B212&lt;=COB_CA!$B$20)</f>
        <v/>
      </c>
    </row>
    <row r="213">
      <c r="A213" s="6" t="n">
        <v>209</v>
      </c>
      <c r="B213" s="15">
        <f>IF(COB_CA!$B$38=12,DATE(YEAR(COB_CA!$B$19)+INT((MONTH(COB_CA!$B$19)-1+208)/12),MOD(MONTH(COB_CA!$B$19)-1+208,12)+1,1)+(DAY(COB_CA!$B$19)-1),IF(COB_CA!$B$38=24,COB_CA!$B$19+ROUND((208*365.25)/24,0),IF(COB_CA!$B$38=26,COB_CA!$B$19+2912,COB_CA!$B$19+1456)))</f>
        <v/>
      </c>
      <c r="C213" s="12">
        <f>B213-B212</f>
        <v/>
      </c>
      <c r="D213" s="14">
        <f>N212</f>
        <v/>
      </c>
      <c r="E213" s="14">
        <f>D213*COB_CA!$B$40/100*(IF(YEAR(B212)=YEAR(B213),(B213-B212)/IF(AND(MOD(YEAR(B213),4)=0,OR(MOD(YEAR(B213),100)&lt;&gt;0,MOD(YEAR(B213),400)=0)),366,365),(((DATE(YEAR(B212)+1,1,1)))-B212)/IF(AND(MOD(YEAR(B212),4)=0,OR(MOD(YEAR(B212),100)&lt;&gt;0,MOD(YEAR(B212),400)=0)),366,365)+(B213-((DATE(YEAR(B212)+1,1,1))))/IF(AND(MOD(YEAR(B213),4)=0,OR(MOD(YEAR(B213),100)&lt;&gt;0,MOD(YEAR(B213),400)=0)),366,365)))</f>
        <v/>
      </c>
      <c r="F213" s="14">
        <f>L212</f>
        <v/>
      </c>
      <c r="G213" s="14">
        <f>M212</f>
        <v/>
      </c>
      <c r="H213" s="14">
        <f>IF((((COB_CA!$B$18-I213)-J213)&gt;D213),I213+J213+K213,COB_CA!$B$18)</f>
        <v/>
      </c>
      <c r="I213" s="14">
        <f>MIN(COB_CA!$B$18,(E213+F213))</f>
        <v/>
      </c>
      <c r="J213" s="14">
        <f>MIN((COB_CA!$B$18-I213),G213)</f>
        <v/>
      </c>
      <c r="K213" s="14">
        <f>MIN(((COB_CA!$B$18-I213)-J213),D213)</f>
        <v/>
      </c>
      <c r="L213" s="14">
        <f>E213+F213-I213</f>
        <v/>
      </c>
      <c r="M213" s="14">
        <f>G213-J213</f>
        <v/>
      </c>
      <c r="N213" s="14">
        <f>D213-K213</f>
        <v/>
      </c>
      <c r="O213" s="6">
        <f>AND(D213&gt;0,B213&lt;=COB_CA!$B$20)</f>
        <v/>
      </c>
    </row>
    <row r="214">
      <c r="A214" s="6" t="n">
        <v>210</v>
      </c>
      <c r="B214" s="15">
        <f>IF(COB_CA!$B$38=12,DATE(YEAR(COB_CA!$B$19)+INT((MONTH(COB_CA!$B$19)-1+209)/12),MOD(MONTH(COB_CA!$B$19)-1+209,12)+1,1)+(DAY(COB_CA!$B$19)-1),IF(COB_CA!$B$38=24,COB_CA!$B$19+ROUND((209*365.25)/24,0),IF(COB_CA!$B$38=26,COB_CA!$B$19+2926,COB_CA!$B$19+1463)))</f>
        <v/>
      </c>
      <c r="C214" s="12">
        <f>B214-B213</f>
        <v/>
      </c>
      <c r="D214" s="14">
        <f>N213</f>
        <v/>
      </c>
      <c r="E214" s="14">
        <f>D214*COB_CA!$B$40/100*(IF(YEAR(B213)=YEAR(B214),(B214-B213)/IF(AND(MOD(YEAR(B214),4)=0,OR(MOD(YEAR(B214),100)&lt;&gt;0,MOD(YEAR(B214),400)=0)),366,365),(((DATE(YEAR(B213)+1,1,1)))-B213)/IF(AND(MOD(YEAR(B213),4)=0,OR(MOD(YEAR(B213),100)&lt;&gt;0,MOD(YEAR(B213),400)=0)),366,365)+(B214-((DATE(YEAR(B213)+1,1,1))))/IF(AND(MOD(YEAR(B214),4)=0,OR(MOD(YEAR(B214),100)&lt;&gt;0,MOD(YEAR(B214),400)=0)),366,365)))</f>
        <v/>
      </c>
      <c r="F214" s="14">
        <f>L213</f>
        <v/>
      </c>
      <c r="G214" s="14">
        <f>M213</f>
        <v/>
      </c>
      <c r="H214" s="14">
        <f>IF((((COB_CA!$B$18-I214)-J214)&gt;D214),I214+J214+K214,COB_CA!$B$18)</f>
        <v/>
      </c>
      <c r="I214" s="14">
        <f>MIN(COB_CA!$B$18,(E214+F214))</f>
        <v/>
      </c>
      <c r="J214" s="14">
        <f>MIN((COB_CA!$B$18-I214),G214)</f>
        <v/>
      </c>
      <c r="K214" s="14">
        <f>MIN(((COB_CA!$B$18-I214)-J214),D214)</f>
        <v/>
      </c>
      <c r="L214" s="14">
        <f>E214+F214-I214</f>
        <v/>
      </c>
      <c r="M214" s="14">
        <f>G214-J214</f>
        <v/>
      </c>
      <c r="N214" s="14">
        <f>D214-K214</f>
        <v/>
      </c>
      <c r="O214" s="6">
        <f>AND(D214&gt;0,B214&lt;=COB_CA!$B$20)</f>
        <v/>
      </c>
    </row>
    <row r="215">
      <c r="A215" s="6" t="n">
        <v>211</v>
      </c>
      <c r="B215" s="15">
        <f>IF(COB_CA!$B$38=12,DATE(YEAR(COB_CA!$B$19)+INT((MONTH(COB_CA!$B$19)-1+210)/12),MOD(MONTH(COB_CA!$B$19)-1+210,12)+1,1)+(DAY(COB_CA!$B$19)-1),IF(COB_CA!$B$38=24,COB_CA!$B$19+ROUND((210*365.25)/24,0),IF(COB_CA!$B$38=26,COB_CA!$B$19+2940,COB_CA!$B$19+1470)))</f>
        <v/>
      </c>
      <c r="C215" s="12">
        <f>B215-B214</f>
        <v/>
      </c>
      <c r="D215" s="14">
        <f>N214</f>
        <v/>
      </c>
      <c r="E215" s="14">
        <f>D215*COB_CA!$B$40/100*(IF(YEAR(B214)=YEAR(B215),(B215-B214)/IF(AND(MOD(YEAR(B215),4)=0,OR(MOD(YEAR(B215),100)&lt;&gt;0,MOD(YEAR(B215),400)=0)),366,365),(((DATE(YEAR(B214)+1,1,1)))-B214)/IF(AND(MOD(YEAR(B214),4)=0,OR(MOD(YEAR(B214),100)&lt;&gt;0,MOD(YEAR(B214),400)=0)),366,365)+(B215-((DATE(YEAR(B214)+1,1,1))))/IF(AND(MOD(YEAR(B215),4)=0,OR(MOD(YEAR(B215),100)&lt;&gt;0,MOD(YEAR(B215),400)=0)),366,365)))</f>
        <v/>
      </c>
      <c r="F215" s="14">
        <f>L214</f>
        <v/>
      </c>
      <c r="G215" s="14">
        <f>M214</f>
        <v/>
      </c>
      <c r="H215" s="14">
        <f>IF((((COB_CA!$B$18-I215)-J215)&gt;D215),I215+J215+K215,COB_CA!$B$18)</f>
        <v/>
      </c>
      <c r="I215" s="14">
        <f>MIN(COB_CA!$B$18,(E215+F215))</f>
        <v/>
      </c>
      <c r="J215" s="14">
        <f>MIN((COB_CA!$B$18-I215),G215)</f>
        <v/>
      </c>
      <c r="K215" s="14">
        <f>MIN(((COB_CA!$B$18-I215)-J215),D215)</f>
        <v/>
      </c>
      <c r="L215" s="14">
        <f>E215+F215-I215</f>
        <v/>
      </c>
      <c r="M215" s="14">
        <f>G215-J215</f>
        <v/>
      </c>
      <c r="N215" s="14">
        <f>D215-K215</f>
        <v/>
      </c>
      <c r="O215" s="6">
        <f>AND(D215&gt;0,B215&lt;=COB_CA!$B$20)</f>
        <v/>
      </c>
    </row>
    <row r="216">
      <c r="A216" s="6" t="n">
        <v>212</v>
      </c>
      <c r="B216" s="15">
        <f>IF(COB_CA!$B$38=12,DATE(YEAR(COB_CA!$B$19)+INT((MONTH(COB_CA!$B$19)-1+211)/12),MOD(MONTH(COB_CA!$B$19)-1+211,12)+1,1)+(DAY(COB_CA!$B$19)-1),IF(COB_CA!$B$38=24,COB_CA!$B$19+ROUND((211*365.25)/24,0),IF(COB_CA!$B$38=26,COB_CA!$B$19+2954,COB_CA!$B$19+1477)))</f>
        <v/>
      </c>
      <c r="C216" s="12">
        <f>B216-B215</f>
        <v/>
      </c>
      <c r="D216" s="14">
        <f>N215</f>
        <v/>
      </c>
      <c r="E216" s="14">
        <f>D216*COB_CA!$B$40/100*(IF(YEAR(B215)=YEAR(B216),(B216-B215)/IF(AND(MOD(YEAR(B216),4)=0,OR(MOD(YEAR(B216),100)&lt;&gt;0,MOD(YEAR(B216),400)=0)),366,365),(((DATE(YEAR(B215)+1,1,1)))-B215)/IF(AND(MOD(YEAR(B215),4)=0,OR(MOD(YEAR(B215),100)&lt;&gt;0,MOD(YEAR(B215),400)=0)),366,365)+(B216-((DATE(YEAR(B215)+1,1,1))))/IF(AND(MOD(YEAR(B216),4)=0,OR(MOD(YEAR(B216),100)&lt;&gt;0,MOD(YEAR(B216),400)=0)),366,365)))</f>
        <v/>
      </c>
      <c r="F216" s="14">
        <f>L215</f>
        <v/>
      </c>
      <c r="G216" s="14">
        <f>M215</f>
        <v/>
      </c>
      <c r="H216" s="14">
        <f>IF((((COB_CA!$B$18-I216)-J216)&gt;D216),I216+J216+K216,COB_CA!$B$18)</f>
        <v/>
      </c>
      <c r="I216" s="14">
        <f>MIN(COB_CA!$B$18,(E216+F216))</f>
        <v/>
      </c>
      <c r="J216" s="14">
        <f>MIN((COB_CA!$B$18-I216),G216)</f>
        <v/>
      </c>
      <c r="K216" s="14">
        <f>MIN(((COB_CA!$B$18-I216)-J216),D216)</f>
        <v/>
      </c>
      <c r="L216" s="14">
        <f>E216+F216-I216</f>
        <v/>
      </c>
      <c r="M216" s="14">
        <f>G216-J216</f>
        <v/>
      </c>
      <c r="N216" s="14">
        <f>D216-K216</f>
        <v/>
      </c>
      <c r="O216" s="6">
        <f>AND(D216&gt;0,B216&lt;=COB_CA!$B$20)</f>
        <v/>
      </c>
    </row>
    <row r="217">
      <c r="A217" s="6" t="n">
        <v>213</v>
      </c>
      <c r="B217" s="15">
        <f>IF(COB_CA!$B$38=12,DATE(YEAR(COB_CA!$B$19)+INT((MONTH(COB_CA!$B$19)-1+212)/12),MOD(MONTH(COB_CA!$B$19)-1+212,12)+1,1)+(DAY(COB_CA!$B$19)-1),IF(COB_CA!$B$38=24,COB_CA!$B$19+ROUND((212*365.25)/24,0),IF(COB_CA!$B$38=26,COB_CA!$B$19+2968,COB_CA!$B$19+1484)))</f>
        <v/>
      </c>
      <c r="C217" s="12">
        <f>B217-B216</f>
        <v/>
      </c>
      <c r="D217" s="14">
        <f>N216</f>
        <v/>
      </c>
      <c r="E217" s="14">
        <f>D217*COB_CA!$B$40/100*(IF(YEAR(B216)=YEAR(B217),(B217-B216)/IF(AND(MOD(YEAR(B217),4)=0,OR(MOD(YEAR(B217),100)&lt;&gt;0,MOD(YEAR(B217),400)=0)),366,365),(((DATE(YEAR(B216)+1,1,1)))-B216)/IF(AND(MOD(YEAR(B216),4)=0,OR(MOD(YEAR(B216),100)&lt;&gt;0,MOD(YEAR(B216),400)=0)),366,365)+(B217-((DATE(YEAR(B216)+1,1,1))))/IF(AND(MOD(YEAR(B217),4)=0,OR(MOD(YEAR(B217),100)&lt;&gt;0,MOD(YEAR(B217),400)=0)),366,365)))</f>
        <v/>
      </c>
      <c r="F217" s="14">
        <f>L216</f>
        <v/>
      </c>
      <c r="G217" s="14">
        <f>M216</f>
        <v/>
      </c>
      <c r="H217" s="14">
        <f>IF((((COB_CA!$B$18-I217)-J217)&gt;D217),I217+J217+K217,COB_CA!$B$18)</f>
        <v/>
      </c>
      <c r="I217" s="14">
        <f>MIN(COB_CA!$B$18,(E217+F217))</f>
        <v/>
      </c>
      <c r="J217" s="14">
        <f>MIN((COB_CA!$B$18-I217),G217)</f>
        <v/>
      </c>
      <c r="K217" s="14">
        <f>MIN(((COB_CA!$B$18-I217)-J217),D217)</f>
        <v/>
      </c>
      <c r="L217" s="14">
        <f>E217+F217-I217</f>
        <v/>
      </c>
      <c r="M217" s="14">
        <f>G217-J217</f>
        <v/>
      </c>
      <c r="N217" s="14">
        <f>D217-K217</f>
        <v/>
      </c>
      <c r="O217" s="6">
        <f>AND(D217&gt;0,B217&lt;=COB_CA!$B$20)</f>
        <v/>
      </c>
    </row>
    <row r="218">
      <c r="A218" s="6" t="n">
        <v>214</v>
      </c>
      <c r="B218" s="15">
        <f>IF(COB_CA!$B$38=12,DATE(YEAR(COB_CA!$B$19)+INT((MONTH(COB_CA!$B$19)-1+213)/12),MOD(MONTH(COB_CA!$B$19)-1+213,12)+1,1)+(DAY(COB_CA!$B$19)-1),IF(COB_CA!$B$38=24,COB_CA!$B$19+ROUND((213*365.25)/24,0),IF(COB_CA!$B$38=26,COB_CA!$B$19+2982,COB_CA!$B$19+1491)))</f>
        <v/>
      </c>
      <c r="C218" s="12">
        <f>B218-B217</f>
        <v/>
      </c>
      <c r="D218" s="14">
        <f>N217</f>
        <v/>
      </c>
      <c r="E218" s="14">
        <f>D218*COB_CA!$B$40/100*(IF(YEAR(B217)=YEAR(B218),(B218-B217)/IF(AND(MOD(YEAR(B218),4)=0,OR(MOD(YEAR(B218),100)&lt;&gt;0,MOD(YEAR(B218),400)=0)),366,365),(((DATE(YEAR(B217)+1,1,1)))-B217)/IF(AND(MOD(YEAR(B217),4)=0,OR(MOD(YEAR(B217),100)&lt;&gt;0,MOD(YEAR(B217),400)=0)),366,365)+(B218-((DATE(YEAR(B217)+1,1,1))))/IF(AND(MOD(YEAR(B218),4)=0,OR(MOD(YEAR(B218),100)&lt;&gt;0,MOD(YEAR(B218),400)=0)),366,365)))</f>
        <v/>
      </c>
      <c r="F218" s="14">
        <f>L217</f>
        <v/>
      </c>
      <c r="G218" s="14">
        <f>M217</f>
        <v/>
      </c>
      <c r="H218" s="14">
        <f>IF((((COB_CA!$B$18-I218)-J218)&gt;D218),I218+J218+K218,COB_CA!$B$18)</f>
        <v/>
      </c>
      <c r="I218" s="14">
        <f>MIN(COB_CA!$B$18,(E218+F218))</f>
        <v/>
      </c>
      <c r="J218" s="14">
        <f>MIN((COB_CA!$B$18-I218),G218)</f>
        <v/>
      </c>
      <c r="K218" s="14">
        <f>MIN(((COB_CA!$B$18-I218)-J218),D218)</f>
        <v/>
      </c>
      <c r="L218" s="14">
        <f>E218+F218-I218</f>
        <v/>
      </c>
      <c r="M218" s="14">
        <f>G218-J218</f>
        <v/>
      </c>
      <c r="N218" s="14">
        <f>D218-K218</f>
        <v/>
      </c>
      <c r="O218" s="6">
        <f>AND(D218&gt;0,B218&lt;=COB_CA!$B$20)</f>
        <v/>
      </c>
    </row>
    <row r="219">
      <c r="A219" s="6" t="n">
        <v>215</v>
      </c>
      <c r="B219" s="15">
        <f>IF(COB_CA!$B$38=12,DATE(YEAR(COB_CA!$B$19)+INT((MONTH(COB_CA!$B$19)-1+214)/12),MOD(MONTH(COB_CA!$B$19)-1+214,12)+1,1)+(DAY(COB_CA!$B$19)-1),IF(COB_CA!$B$38=24,COB_CA!$B$19+ROUND((214*365.25)/24,0),IF(COB_CA!$B$38=26,COB_CA!$B$19+2996,COB_CA!$B$19+1498)))</f>
        <v/>
      </c>
      <c r="C219" s="12">
        <f>B219-B218</f>
        <v/>
      </c>
      <c r="D219" s="14">
        <f>N218</f>
        <v/>
      </c>
      <c r="E219" s="14">
        <f>D219*COB_CA!$B$40/100*(IF(YEAR(B218)=YEAR(B219),(B219-B218)/IF(AND(MOD(YEAR(B219),4)=0,OR(MOD(YEAR(B219),100)&lt;&gt;0,MOD(YEAR(B219),400)=0)),366,365),(((DATE(YEAR(B218)+1,1,1)))-B218)/IF(AND(MOD(YEAR(B218),4)=0,OR(MOD(YEAR(B218),100)&lt;&gt;0,MOD(YEAR(B218),400)=0)),366,365)+(B219-((DATE(YEAR(B218)+1,1,1))))/IF(AND(MOD(YEAR(B219),4)=0,OR(MOD(YEAR(B219),100)&lt;&gt;0,MOD(YEAR(B219),400)=0)),366,365)))</f>
        <v/>
      </c>
      <c r="F219" s="14">
        <f>L218</f>
        <v/>
      </c>
      <c r="G219" s="14">
        <f>M218</f>
        <v/>
      </c>
      <c r="H219" s="14">
        <f>IF((((COB_CA!$B$18-I219)-J219)&gt;D219),I219+J219+K219,COB_CA!$B$18)</f>
        <v/>
      </c>
      <c r="I219" s="14">
        <f>MIN(COB_CA!$B$18,(E219+F219))</f>
        <v/>
      </c>
      <c r="J219" s="14">
        <f>MIN((COB_CA!$B$18-I219),G219)</f>
        <v/>
      </c>
      <c r="K219" s="14">
        <f>MIN(((COB_CA!$B$18-I219)-J219),D219)</f>
        <v/>
      </c>
      <c r="L219" s="14">
        <f>E219+F219-I219</f>
        <v/>
      </c>
      <c r="M219" s="14">
        <f>G219-J219</f>
        <v/>
      </c>
      <c r="N219" s="14">
        <f>D219-K219</f>
        <v/>
      </c>
      <c r="O219" s="6">
        <f>AND(D219&gt;0,B219&lt;=COB_CA!$B$20)</f>
        <v/>
      </c>
    </row>
    <row r="220">
      <c r="A220" s="6" t="n">
        <v>216</v>
      </c>
      <c r="B220" s="15">
        <f>IF(COB_CA!$B$38=12,DATE(YEAR(COB_CA!$B$19)+INT((MONTH(COB_CA!$B$19)-1+215)/12),MOD(MONTH(COB_CA!$B$19)-1+215,12)+1,1)+(DAY(COB_CA!$B$19)-1),IF(COB_CA!$B$38=24,COB_CA!$B$19+ROUND((215*365.25)/24,0),IF(COB_CA!$B$38=26,COB_CA!$B$19+3010,COB_CA!$B$19+1505)))</f>
        <v/>
      </c>
      <c r="C220" s="12">
        <f>B220-B219</f>
        <v/>
      </c>
      <c r="D220" s="14">
        <f>N219</f>
        <v/>
      </c>
      <c r="E220" s="14">
        <f>D220*COB_CA!$B$40/100*(IF(YEAR(B219)=YEAR(B220),(B220-B219)/IF(AND(MOD(YEAR(B220),4)=0,OR(MOD(YEAR(B220),100)&lt;&gt;0,MOD(YEAR(B220),400)=0)),366,365),(((DATE(YEAR(B219)+1,1,1)))-B219)/IF(AND(MOD(YEAR(B219),4)=0,OR(MOD(YEAR(B219),100)&lt;&gt;0,MOD(YEAR(B219),400)=0)),366,365)+(B220-((DATE(YEAR(B219)+1,1,1))))/IF(AND(MOD(YEAR(B220),4)=0,OR(MOD(YEAR(B220),100)&lt;&gt;0,MOD(YEAR(B220),400)=0)),366,365)))</f>
        <v/>
      </c>
      <c r="F220" s="14">
        <f>L219</f>
        <v/>
      </c>
      <c r="G220" s="14">
        <f>M219</f>
        <v/>
      </c>
      <c r="H220" s="14">
        <f>IF((((COB_CA!$B$18-I220)-J220)&gt;D220),I220+J220+K220,COB_CA!$B$18)</f>
        <v/>
      </c>
      <c r="I220" s="14">
        <f>MIN(COB_CA!$B$18,(E220+F220))</f>
        <v/>
      </c>
      <c r="J220" s="14">
        <f>MIN((COB_CA!$B$18-I220),G220)</f>
        <v/>
      </c>
      <c r="K220" s="14">
        <f>MIN(((COB_CA!$B$18-I220)-J220),D220)</f>
        <v/>
      </c>
      <c r="L220" s="14">
        <f>E220+F220-I220</f>
        <v/>
      </c>
      <c r="M220" s="14">
        <f>G220-J220</f>
        <v/>
      </c>
      <c r="N220" s="14">
        <f>D220-K220</f>
        <v/>
      </c>
      <c r="O220" s="6">
        <f>AND(D220&gt;0,B220&lt;=COB_CA!$B$20)</f>
        <v/>
      </c>
    </row>
    <row r="221">
      <c r="A221" s="6" t="n">
        <v>217</v>
      </c>
      <c r="B221" s="15">
        <f>IF(COB_CA!$B$38=12,DATE(YEAR(COB_CA!$B$19)+INT((MONTH(COB_CA!$B$19)-1+216)/12),MOD(MONTH(COB_CA!$B$19)-1+216,12)+1,1)+(DAY(COB_CA!$B$19)-1),IF(COB_CA!$B$38=24,COB_CA!$B$19+ROUND((216*365.25)/24,0),IF(COB_CA!$B$38=26,COB_CA!$B$19+3024,COB_CA!$B$19+1512)))</f>
        <v/>
      </c>
      <c r="C221" s="12">
        <f>B221-B220</f>
        <v/>
      </c>
      <c r="D221" s="14">
        <f>N220</f>
        <v/>
      </c>
      <c r="E221" s="14">
        <f>D221*COB_CA!$B$40/100*(IF(YEAR(B220)=YEAR(B221),(B221-B220)/IF(AND(MOD(YEAR(B221),4)=0,OR(MOD(YEAR(B221),100)&lt;&gt;0,MOD(YEAR(B221),400)=0)),366,365),(((DATE(YEAR(B220)+1,1,1)))-B220)/IF(AND(MOD(YEAR(B220),4)=0,OR(MOD(YEAR(B220),100)&lt;&gt;0,MOD(YEAR(B220),400)=0)),366,365)+(B221-((DATE(YEAR(B220)+1,1,1))))/IF(AND(MOD(YEAR(B221),4)=0,OR(MOD(YEAR(B221),100)&lt;&gt;0,MOD(YEAR(B221),400)=0)),366,365)))</f>
        <v/>
      </c>
      <c r="F221" s="14">
        <f>L220</f>
        <v/>
      </c>
      <c r="G221" s="14">
        <f>M220</f>
        <v/>
      </c>
      <c r="H221" s="14">
        <f>IF((((COB_CA!$B$18-I221)-J221)&gt;D221),I221+J221+K221,COB_CA!$B$18)</f>
        <v/>
      </c>
      <c r="I221" s="14">
        <f>MIN(COB_CA!$B$18,(E221+F221))</f>
        <v/>
      </c>
      <c r="J221" s="14">
        <f>MIN((COB_CA!$B$18-I221),G221)</f>
        <v/>
      </c>
      <c r="K221" s="14">
        <f>MIN(((COB_CA!$B$18-I221)-J221),D221)</f>
        <v/>
      </c>
      <c r="L221" s="14">
        <f>E221+F221-I221</f>
        <v/>
      </c>
      <c r="M221" s="14">
        <f>G221-J221</f>
        <v/>
      </c>
      <c r="N221" s="14">
        <f>D221-K221</f>
        <v/>
      </c>
      <c r="O221" s="6">
        <f>AND(D221&gt;0,B221&lt;=COB_CA!$B$20)</f>
        <v/>
      </c>
    </row>
    <row r="222">
      <c r="A222" s="6" t="n">
        <v>218</v>
      </c>
      <c r="B222" s="15">
        <f>IF(COB_CA!$B$38=12,DATE(YEAR(COB_CA!$B$19)+INT((MONTH(COB_CA!$B$19)-1+217)/12),MOD(MONTH(COB_CA!$B$19)-1+217,12)+1,1)+(DAY(COB_CA!$B$19)-1),IF(COB_CA!$B$38=24,COB_CA!$B$19+ROUND((217*365.25)/24,0),IF(COB_CA!$B$38=26,COB_CA!$B$19+3038,COB_CA!$B$19+1519)))</f>
        <v/>
      </c>
      <c r="C222" s="12">
        <f>B222-B221</f>
        <v/>
      </c>
      <c r="D222" s="14">
        <f>N221</f>
        <v/>
      </c>
      <c r="E222" s="14">
        <f>D222*COB_CA!$B$40/100*(IF(YEAR(B221)=YEAR(B222),(B222-B221)/IF(AND(MOD(YEAR(B222),4)=0,OR(MOD(YEAR(B222),100)&lt;&gt;0,MOD(YEAR(B222),400)=0)),366,365),(((DATE(YEAR(B221)+1,1,1)))-B221)/IF(AND(MOD(YEAR(B221),4)=0,OR(MOD(YEAR(B221),100)&lt;&gt;0,MOD(YEAR(B221),400)=0)),366,365)+(B222-((DATE(YEAR(B221)+1,1,1))))/IF(AND(MOD(YEAR(B222),4)=0,OR(MOD(YEAR(B222),100)&lt;&gt;0,MOD(YEAR(B222),400)=0)),366,365)))</f>
        <v/>
      </c>
      <c r="F222" s="14">
        <f>L221</f>
        <v/>
      </c>
      <c r="G222" s="14">
        <f>M221</f>
        <v/>
      </c>
      <c r="H222" s="14">
        <f>IF((((COB_CA!$B$18-I222)-J222)&gt;D222),I222+J222+K222,COB_CA!$B$18)</f>
        <v/>
      </c>
      <c r="I222" s="14">
        <f>MIN(COB_CA!$B$18,(E222+F222))</f>
        <v/>
      </c>
      <c r="J222" s="14">
        <f>MIN((COB_CA!$B$18-I222),G222)</f>
        <v/>
      </c>
      <c r="K222" s="14">
        <f>MIN(((COB_CA!$B$18-I222)-J222),D222)</f>
        <v/>
      </c>
      <c r="L222" s="14">
        <f>E222+F222-I222</f>
        <v/>
      </c>
      <c r="M222" s="14">
        <f>G222-J222</f>
        <v/>
      </c>
      <c r="N222" s="14">
        <f>D222-K222</f>
        <v/>
      </c>
      <c r="O222" s="6">
        <f>AND(D222&gt;0,B222&lt;=COB_CA!$B$20)</f>
        <v/>
      </c>
    </row>
    <row r="223">
      <c r="A223" s="6" t="n">
        <v>219</v>
      </c>
      <c r="B223" s="15">
        <f>IF(COB_CA!$B$38=12,DATE(YEAR(COB_CA!$B$19)+INT((MONTH(COB_CA!$B$19)-1+218)/12),MOD(MONTH(COB_CA!$B$19)-1+218,12)+1,1)+(DAY(COB_CA!$B$19)-1),IF(COB_CA!$B$38=24,COB_CA!$B$19+ROUND((218*365.25)/24,0),IF(COB_CA!$B$38=26,COB_CA!$B$19+3052,COB_CA!$B$19+1526)))</f>
        <v/>
      </c>
      <c r="C223" s="12">
        <f>B223-B222</f>
        <v/>
      </c>
      <c r="D223" s="14">
        <f>N222</f>
        <v/>
      </c>
      <c r="E223" s="14">
        <f>D223*COB_CA!$B$40/100*(IF(YEAR(B222)=YEAR(B223),(B223-B222)/IF(AND(MOD(YEAR(B223),4)=0,OR(MOD(YEAR(B223),100)&lt;&gt;0,MOD(YEAR(B223),400)=0)),366,365),(((DATE(YEAR(B222)+1,1,1)))-B222)/IF(AND(MOD(YEAR(B222),4)=0,OR(MOD(YEAR(B222),100)&lt;&gt;0,MOD(YEAR(B222),400)=0)),366,365)+(B223-((DATE(YEAR(B222)+1,1,1))))/IF(AND(MOD(YEAR(B223),4)=0,OR(MOD(YEAR(B223),100)&lt;&gt;0,MOD(YEAR(B223),400)=0)),366,365)))</f>
        <v/>
      </c>
      <c r="F223" s="14">
        <f>L222</f>
        <v/>
      </c>
      <c r="G223" s="14">
        <f>M222</f>
        <v/>
      </c>
      <c r="H223" s="14">
        <f>IF((((COB_CA!$B$18-I223)-J223)&gt;D223),I223+J223+K223,COB_CA!$B$18)</f>
        <v/>
      </c>
      <c r="I223" s="14">
        <f>MIN(COB_CA!$B$18,(E223+F223))</f>
        <v/>
      </c>
      <c r="J223" s="14">
        <f>MIN((COB_CA!$B$18-I223),G223)</f>
        <v/>
      </c>
      <c r="K223" s="14">
        <f>MIN(((COB_CA!$B$18-I223)-J223),D223)</f>
        <v/>
      </c>
      <c r="L223" s="14">
        <f>E223+F223-I223</f>
        <v/>
      </c>
      <c r="M223" s="14">
        <f>G223-J223</f>
        <v/>
      </c>
      <c r="N223" s="14">
        <f>D223-K223</f>
        <v/>
      </c>
      <c r="O223" s="6">
        <f>AND(D223&gt;0,B223&lt;=COB_CA!$B$20)</f>
        <v/>
      </c>
    </row>
    <row r="224">
      <c r="A224" s="6" t="n">
        <v>220</v>
      </c>
      <c r="B224" s="15">
        <f>IF(COB_CA!$B$38=12,DATE(YEAR(COB_CA!$B$19)+INT((MONTH(COB_CA!$B$19)-1+219)/12),MOD(MONTH(COB_CA!$B$19)-1+219,12)+1,1)+(DAY(COB_CA!$B$19)-1),IF(COB_CA!$B$38=24,COB_CA!$B$19+ROUND((219*365.25)/24,0),IF(COB_CA!$B$38=26,COB_CA!$B$19+3066,COB_CA!$B$19+1533)))</f>
        <v/>
      </c>
      <c r="C224" s="12">
        <f>B224-B223</f>
        <v/>
      </c>
      <c r="D224" s="14">
        <f>N223</f>
        <v/>
      </c>
      <c r="E224" s="14">
        <f>D224*COB_CA!$B$40/100*(IF(YEAR(B223)=YEAR(B224),(B224-B223)/IF(AND(MOD(YEAR(B224),4)=0,OR(MOD(YEAR(B224),100)&lt;&gt;0,MOD(YEAR(B224),400)=0)),366,365),(((DATE(YEAR(B223)+1,1,1)))-B223)/IF(AND(MOD(YEAR(B223),4)=0,OR(MOD(YEAR(B223),100)&lt;&gt;0,MOD(YEAR(B223),400)=0)),366,365)+(B224-((DATE(YEAR(B223)+1,1,1))))/IF(AND(MOD(YEAR(B224),4)=0,OR(MOD(YEAR(B224),100)&lt;&gt;0,MOD(YEAR(B224),400)=0)),366,365)))</f>
        <v/>
      </c>
      <c r="F224" s="14">
        <f>L223</f>
        <v/>
      </c>
      <c r="G224" s="14">
        <f>M223</f>
        <v/>
      </c>
      <c r="H224" s="14">
        <f>IF((((COB_CA!$B$18-I224)-J224)&gt;D224),I224+J224+K224,COB_CA!$B$18)</f>
        <v/>
      </c>
      <c r="I224" s="14">
        <f>MIN(COB_CA!$B$18,(E224+F224))</f>
        <v/>
      </c>
      <c r="J224" s="14">
        <f>MIN((COB_CA!$B$18-I224),G224)</f>
        <v/>
      </c>
      <c r="K224" s="14">
        <f>MIN(((COB_CA!$B$18-I224)-J224),D224)</f>
        <v/>
      </c>
      <c r="L224" s="14">
        <f>E224+F224-I224</f>
        <v/>
      </c>
      <c r="M224" s="14">
        <f>G224-J224</f>
        <v/>
      </c>
      <c r="N224" s="14">
        <f>D224-K224</f>
        <v/>
      </c>
      <c r="O224" s="6">
        <f>AND(D224&gt;0,B224&lt;=COB_CA!$B$20)</f>
        <v/>
      </c>
    </row>
    <row r="225">
      <c r="A225" s="6" t="n">
        <v>221</v>
      </c>
      <c r="B225" s="15">
        <f>IF(COB_CA!$B$38=12,DATE(YEAR(COB_CA!$B$19)+INT((MONTH(COB_CA!$B$19)-1+220)/12),MOD(MONTH(COB_CA!$B$19)-1+220,12)+1,1)+(DAY(COB_CA!$B$19)-1),IF(COB_CA!$B$38=24,COB_CA!$B$19+ROUND((220*365.25)/24,0),IF(COB_CA!$B$38=26,COB_CA!$B$19+3080,COB_CA!$B$19+1540)))</f>
        <v/>
      </c>
      <c r="C225" s="12">
        <f>B225-B224</f>
        <v/>
      </c>
      <c r="D225" s="14">
        <f>N224</f>
        <v/>
      </c>
      <c r="E225" s="14">
        <f>D225*COB_CA!$B$40/100*(IF(YEAR(B224)=YEAR(B225),(B225-B224)/IF(AND(MOD(YEAR(B225),4)=0,OR(MOD(YEAR(B225),100)&lt;&gt;0,MOD(YEAR(B225),400)=0)),366,365),(((DATE(YEAR(B224)+1,1,1)))-B224)/IF(AND(MOD(YEAR(B224),4)=0,OR(MOD(YEAR(B224),100)&lt;&gt;0,MOD(YEAR(B224),400)=0)),366,365)+(B225-((DATE(YEAR(B224)+1,1,1))))/IF(AND(MOD(YEAR(B225),4)=0,OR(MOD(YEAR(B225),100)&lt;&gt;0,MOD(YEAR(B225),400)=0)),366,365)))</f>
        <v/>
      </c>
      <c r="F225" s="14">
        <f>L224</f>
        <v/>
      </c>
      <c r="G225" s="14">
        <f>M224</f>
        <v/>
      </c>
      <c r="H225" s="14">
        <f>IF((((COB_CA!$B$18-I225)-J225)&gt;D225),I225+J225+K225,COB_CA!$B$18)</f>
        <v/>
      </c>
      <c r="I225" s="14">
        <f>MIN(COB_CA!$B$18,(E225+F225))</f>
        <v/>
      </c>
      <c r="J225" s="14">
        <f>MIN((COB_CA!$B$18-I225),G225)</f>
        <v/>
      </c>
      <c r="K225" s="14">
        <f>MIN(((COB_CA!$B$18-I225)-J225),D225)</f>
        <v/>
      </c>
      <c r="L225" s="14">
        <f>E225+F225-I225</f>
        <v/>
      </c>
      <c r="M225" s="14">
        <f>G225-J225</f>
        <v/>
      </c>
      <c r="N225" s="14">
        <f>D225-K225</f>
        <v/>
      </c>
      <c r="O225" s="6">
        <f>AND(D225&gt;0,B225&lt;=COB_CA!$B$20)</f>
        <v/>
      </c>
    </row>
    <row r="226">
      <c r="A226" s="6" t="n">
        <v>222</v>
      </c>
      <c r="B226" s="15">
        <f>IF(COB_CA!$B$38=12,DATE(YEAR(COB_CA!$B$19)+INT((MONTH(COB_CA!$B$19)-1+221)/12),MOD(MONTH(COB_CA!$B$19)-1+221,12)+1,1)+(DAY(COB_CA!$B$19)-1),IF(COB_CA!$B$38=24,COB_CA!$B$19+ROUND((221*365.25)/24,0),IF(COB_CA!$B$38=26,COB_CA!$B$19+3094,COB_CA!$B$19+1547)))</f>
        <v/>
      </c>
      <c r="C226" s="12">
        <f>B226-B225</f>
        <v/>
      </c>
      <c r="D226" s="14">
        <f>N225</f>
        <v/>
      </c>
      <c r="E226" s="14">
        <f>D226*COB_CA!$B$40/100*(IF(YEAR(B225)=YEAR(B226),(B226-B225)/IF(AND(MOD(YEAR(B226),4)=0,OR(MOD(YEAR(B226),100)&lt;&gt;0,MOD(YEAR(B226),400)=0)),366,365),(((DATE(YEAR(B225)+1,1,1)))-B225)/IF(AND(MOD(YEAR(B225),4)=0,OR(MOD(YEAR(B225),100)&lt;&gt;0,MOD(YEAR(B225),400)=0)),366,365)+(B226-((DATE(YEAR(B225)+1,1,1))))/IF(AND(MOD(YEAR(B226),4)=0,OR(MOD(YEAR(B226),100)&lt;&gt;0,MOD(YEAR(B226),400)=0)),366,365)))</f>
        <v/>
      </c>
      <c r="F226" s="14">
        <f>L225</f>
        <v/>
      </c>
      <c r="G226" s="14">
        <f>M225</f>
        <v/>
      </c>
      <c r="H226" s="14">
        <f>IF((((COB_CA!$B$18-I226)-J226)&gt;D226),I226+J226+K226,COB_CA!$B$18)</f>
        <v/>
      </c>
      <c r="I226" s="14">
        <f>MIN(COB_CA!$B$18,(E226+F226))</f>
        <v/>
      </c>
      <c r="J226" s="14">
        <f>MIN((COB_CA!$B$18-I226),G226)</f>
        <v/>
      </c>
      <c r="K226" s="14">
        <f>MIN(((COB_CA!$B$18-I226)-J226),D226)</f>
        <v/>
      </c>
      <c r="L226" s="14">
        <f>E226+F226-I226</f>
        <v/>
      </c>
      <c r="M226" s="14">
        <f>G226-J226</f>
        <v/>
      </c>
      <c r="N226" s="14">
        <f>D226-K226</f>
        <v/>
      </c>
      <c r="O226" s="6">
        <f>AND(D226&gt;0,B226&lt;=COB_CA!$B$20)</f>
        <v/>
      </c>
    </row>
    <row r="227">
      <c r="A227" s="6" t="n">
        <v>223</v>
      </c>
      <c r="B227" s="15">
        <f>IF(COB_CA!$B$38=12,DATE(YEAR(COB_CA!$B$19)+INT((MONTH(COB_CA!$B$19)-1+222)/12),MOD(MONTH(COB_CA!$B$19)-1+222,12)+1,1)+(DAY(COB_CA!$B$19)-1),IF(COB_CA!$B$38=24,COB_CA!$B$19+ROUND((222*365.25)/24,0),IF(COB_CA!$B$38=26,COB_CA!$B$19+3108,COB_CA!$B$19+1554)))</f>
        <v/>
      </c>
      <c r="C227" s="12">
        <f>B227-B226</f>
        <v/>
      </c>
      <c r="D227" s="14">
        <f>N226</f>
        <v/>
      </c>
      <c r="E227" s="14">
        <f>D227*COB_CA!$B$40/100*(IF(YEAR(B226)=YEAR(B227),(B227-B226)/IF(AND(MOD(YEAR(B227),4)=0,OR(MOD(YEAR(B227),100)&lt;&gt;0,MOD(YEAR(B227),400)=0)),366,365),(((DATE(YEAR(B226)+1,1,1)))-B226)/IF(AND(MOD(YEAR(B226),4)=0,OR(MOD(YEAR(B226),100)&lt;&gt;0,MOD(YEAR(B226),400)=0)),366,365)+(B227-((DATE(YEAR(B226)+1,1,1))))/IF(AND(MOD(YEAR(B227),4)=0,OR(MOD(YEAR(B227),100)&lt;&gt;0,MOD(YEAR(B227),400)=0)),366,365)))</f>
        <v/>
      </c>
      <c r="F227" s="14">
        <f>L226</f>
        <v/>
      </c>
      <c r="G227" s="14">
        <f>M226</f>
        <v/>
      </c>
      <c r="H227" s="14">
        <f>IF((((COB_CA!$B$18-I227)-J227)&gt;D227),I227+J227+K227,COB_CA!$B$18)</f>
        <v/>
      </c>
      <c r="I227" s="14">
        <f>MIN(COB_CA!$B$18,(E227+F227))</f>
        <v/>
      </c>
      <c r="J227" s="14">
        <f>MIN((COB_CA!$B$18-I227),G227)</f>
        <v/>
      </c>
      <c r="K227" s="14">
        <f>MIN(((COB_CA!$B$18-I227)-J227),D227)</f>
        <v/>
      </c>
      <c r="L227" s="14">
        <f>E227+F227-I227</f>
        <v/>
      </c>
      <c r="M227" s="14">
        <f>G227-J227</f>
        <v/>
      </c>
      <c r="N227" s="14">
        <f>D227-K227</f>
        <v/>
      </c>
      <c r="O227" s="6">
        <f>AND(D227&gt;0,B227&lt;=COB_CA!$B$20)</f>
        <v/>
      </c>
    </row>
    <row r="228">
      <c r="A228" s="6" t="n">
        <v>224</v>
      </c>
      <c r="B228" s="15">
        <f>IF(COB_CA!$B$38=12,DATE(YEAR(COB_CA!$B$19)+INT((MONTH(COB_CA!$B$19)-1+223)/12),MOD(MONTH(COB_CA!$B$19)-1+223,12)+1,1)+(DAY(COB_CA!$B$19)-1),IF(COB_CA!$B$38=24,COB_CA!$B$19+ROUND((223*365.25)/24,0),IF(COB_CA!$B$38=26,COB_CA!$B$19+3122,COB_CA!$B$19+1561)))</f>
        <v/>
      </c>
      <c r="C228" s="12">
        <f>B228-B227</f>
        <v/>
      </c>
      <c r="D228" s="14">
        <f>N227</f>
        <v/>
      </c>
      <c r="E228" s="14">
        <f>D228*COB_CA!$B$40/100*(IF(YEAR(B227)=YEAR(B228),(B228-B227)/IF(AND(MOD(YEAR(B228),4)=0,OR(MOD(YEAR(B228),100)&lt;&gt;0,MOD(YEAR(B228),400)=0)),366,365),(((DATE(YEAR(B227)+1,1,1)))-B227)/IF(AND(MOD(YEAR(B227),4)=0,OR(MOD(YEAR(B227),100)&lt;&gt;0,MOD(YEAR(B227),400)=0)),366,365)+(B228-((DATE(YEAR(B227)+1,1,1))))/IF(AND(MOD(YEAR(B228),4)=0,OR(MOD(YEAR(B228),100)&lt;&gt;0,MOD(YEAR(B228),400)=0)),366,365)))</f>
        <v/>
      </c>
      <c r="F228" s="14">
        <f>L227</f>
        <v/>
      </c>
      <c r="G228" s="14">
        <f>M227</f>
        <v/>
      </c>
      <c r="H228" s="14">
        <f>IF((((COB_CA!$B$18-I228)-J228)&gt;D228),I228+J228+K228,COB_CA!$B$18)</f>
        <v/>
      </c>
      <c r="I228" s="14">
        <f>MIN(COB_CA!$B$18,(E228+F228))</f>
        <v/>
      </c>
      <c r="J228" s="14">
        <f>MIN((COB_CA!$B$18-I228),G228)</f>
        <v/>
      </c>
      <c r="K228" s="14">
        <f>MIN(((COB_CA!$B$18-I228)-J228),D228)</f>
        <v/>
      </c>
      <c r="L228" s="14">
        <f>E228+F228-I228</f>
        <v/>
      </c>
      <c r="M228" s="14">
        <f>G228-J228</f>
        <v/>
      </c>
      <c r="N228" s="14">
        <f>D228-K228</f>
        <v/>
      </c>
      <c r="O228" s="6">
        <f>AND(D228&gt;0,B228&lt;=COB_CA!$B$20)</f>
        <v/>
      </c>
    </row>
    <row r="229">
      <c r="A229" s="6" t="n">
        <v>225</v>
      </c>
      <c r="B229" s="15">
        <f>IF(COB_CA!$B$38=12,DATE(YEAR(COB_CA!$B$19)+INT((MONTH(COB_CA!$B$19)-1+224)/12),MOD(MONTH(COB_CA!$B$19)-1+224,12)+1,1)+(DAY(COB_CA!$B$19)-1),IF(COB_CA!$B$38=24,COB_CA!$B$19+ROUND((224*365.25)/24,0),IF(COB_CA!$B$38=26,COB_CA!$B$19+3136,COB_CA!$B$19+1568)))</f>
        <v/>
      </c>
      <c r="C229" s="12">
        <f>B229-B228</f>
        <v/>
      </c>
      <c r="D229" s="14">
        <f>N228</f>
        <v/>
      </c>
      <c r="E229" s="14">
        <f>D229*COB_CA!$B$40/100*(IF(YEAR(B228)=YEAR(B229),(B229-B228)/IF(AND(MOD(YEAR(B229),4)=0,OR(MOD(YEAR(B229),100)&lt;&gt;0,MOD(YEAR(B229),400)=0)),366,365),(((DATE(YEAR(B228)+1,1,1)))-B228)/IF(AND(MOD(YEAR(B228),4)=0,OR(MOD(YEAR(B228),100)&lt;&gt;0,MOD(YEAR(B228),400)=0)),366,365)+(B229-((DATE(YEAR(B228)+1,1,1))))/IF(AND(MOD(YEAR(B229),4)=0,OR(MOD(YEAR(B229),100)&lt;&gt;0,MOD(YEAR(B229),400)=0)),366,365)))</f>
        <v/>
      </c>
      <c r="F229" s="14">
        <f>L228</f>
        <v/>
      </c>
      <c r="G229" s="14">
        <f>M228</f>
        <v/>
      </c>
      <c r="H229" s="14">
        <f>IF((((COB_CA!$B$18-I229)-J229)&gt;D229),I229+J229+K229,COB_CA!$B$18)</f>
        <v/>
      </c>
      <c r="I229" s="14">
        <f>MIN(COB_CA!$B$18,(E229+F229))</f>
        <v/>
      </c>
      <c r="J229" s="14">
        <f>MIN((COB_CA!$B$18-I229),G229)</f>
        <v/>
      </c>
      <c r="K229" s="14">
        <f>MIN(((COB_CA!$B$18-I229)-J229),D229)</f>
        <v/>
      </c>
      <c r="L229" s="14">
        <f>E229+F229-I229</f>
        <v/>
      </c>
      <c r="M229" s="14">
        <f>G229-J229</f>
        <v/>
      </c>
      <c r="N229" s="14">
        <f>D229-K229</f>
        <v/>
      </c>
      <c r="O229" s="6">
        <f>AND(D229&gt;0,B229&lt;=COB_CA!$B$20)</f>
        <v/>
      </c>
    </row>
    <row r="230">
      <c r="A230" s="6" t="n">
        <v>226</v>
      </c>
      <c r="B230" s="15">
        <f>IF(COB_CA!$B$38=12,DATE(YEAR(COB_CA!$B$19)+INT((MONTH(COB_CA!$B$19)-1+225)/12),MOD(MONTH(COB_CA!$B$19)-1+225,12)+1,1)+(DAY(COB_CA!$B$19)-1),IF(COB_CA!$B$38=24,COB_CA!$B$19+ROUND((225*365.25)/24,0),IF(COB_CA!$B$38=26,COB_CA!$B$19+3150,COB_CA!$B$19+1575)))</f>
        <v/>
      </c>
      <c r="C230" s="12">
        <f>B230-B229</f>
        <v/>
      </c>
      <c r="D230" s="14">
        <f>N229</f>
        <v/>
      </c>
      <c r="E230" s="14">
        <f>D230*COB_CA!$B$40/100*(IF(YEAR(B229)=YEAR(B230),(B230-B229)/IF(AND(MOD(YEAR(B230),4)=0,OR(MOD(YEAR(B230),100)&lt;&gt;0,MOD(YEAR(B230),400)=0)),366,365),(((DATE(YEAR(B229)+1,1,1)))-B229)/IF(AND(MOD(YEAR(B229),4)=0,OR(MOD(YEAR(B229),100)&lt;&gt;0,MOD(YEAR(B229),400)=0)),366,365)+(B230-((DATE(YEAR(B229)+1,1,1))))/IF(AND(MOD(YEAR(B230),4)=0,OR(MOD(YEAR(B230),100)&lt;&gt;0,MOD(YEAR(B230),400)=0)),366,365)))</f>
        <v/>
      </c>
      <c r="F230" s="14">
        <f>L229</f>
        <v/>
      </c>
      <c r="G230" s="14">
        <f>M229</f>
        <v/>
      </c>
      <c r="H230" s="14">
        <f>IF((((COB_CA!$B$18-I230)-J230)&gt;D230),I230+J230+K230,COB_CA!$B$18)</f>
        <v/>
      </c>
      <c r="I230" s="14">
        <f>MIN(COB_CA!$B$18,(E230+F230))</f>
        <v/>
      </c>
      <c r="J230" s="14">
        <f>MIN((COB_CA!$B$18-I230),G230)</f>
        <v/>
      </c>
      <c r="K230" s="14">
        <f>MIN(((COB_CA!$B$18-I230)-J230),D230)</f>
        <v/>
      </c>
      <c r="L230" s="14">
        <f>E230+F230-I230</f>
        <v/>
      </c>
      <c r="M230" s="14">
        <f>G230-J230</f>
        <v/>
      </c>
      <c r="N230" s="14">
        <f>D230-K230</f>
        <v/>
      </c>
      <c r="O230" s="6">
        <f>AND(D230&gt;0,B230&lt;=COB_CA!$B$20)</f>
        <v/>
      </c>
    </row>
    <row r="231">
      <c r="A231" s="6" t="n">
        <v>227</v>
      </c>
      <c r="B231" s="15">
        <f>IF(COB_CA!$B$38=12,DATE(YEAR(COB_CA!$B$19)+INT((MONTH(COB_CA!$B$19)-1+226)/12),MOD(MONTH(COB_CA!$B$19)-1+226,12)+1,1)+(DAY(COB_CA!$B$19)-1),IF(COB_CA!$B$38=24,COB_CA!$B$19+ROUND((226*365.25)/24,0),IF(COB_CA!$B$38=26,COB_CA!$B$19+3164,COB_CA!$B$19+1582)))</f>
        <v/>
      </c>
      <c r="C231" s="12">
        <f>B231-B230</f>
        <v/>
      </c>
      <c r="D231" s="14">
        <f>N230</f>
        <v/>
      </c>
      <c r="E231" s="14">
        <f>D231*COB_CA!$B$40/100*(IF(YEAR(B230)=YEAR(B231),(B231-B230)/IF(AND(MOD(YEAR(B231),4)=0,OR(MOD(YEAR(B231),100)&lt;&gt;0,MOD(YEAR(B231),400)=0)),366,365),(((DATE(YEAR(B230)+1,1,1)))-B230)/IF(AND(MOD(YEAR(B230),4)=0,OR(MOD(YEAR(B230),100)&lt;&gt;0,MOD(YEAR(B230),400)=0)),366,365)+(B231-((DATE(YEAR(B230)+1,1,1))))/IF(AND(MOD(YEAR(B231),4)=0,OR(MOD(YEAR(B231),100)&lt;&gt;0,MOD(YEAR(B231),400)=0)),366,365)))</f>
        <v/>
      </c>
      <c r="F231" s="14">
        <f>L230</f>
        <v/>
      </c>
      <c r="G231" s="14">
        <f>M230</f>
        <v/>
      </c>
      <c r="H231" s="14">
        <f>IF((((COB_CA!$B$18-I231)-J231)&gt;D231),I231+J231+K231,COB_CA!$B$18)</f>
        <v/>
      </c>
      <c r="I231" s="14">
        <f>MIN(COB_CA!$B$18,(E231+F231))</f>
        <v/>
      </c>
      <c r="J231" s="14">
        <f>MIN((COB_CA!$B$18-I231),G231)</f>
        <v/>
      </c>
      <c r="K231" s="14">
        <f>MIN(((COB_CA!$B$18-I231)-J231),D231)</f>
        <v/>
      </c>
      <c r="L231" s="14">
        <f>E231+F231-I231</f>
        <v/>
      </c>
      <c r="M231" s="14">
        <f>G231-J231</f>
        <v/>
      </c>
      <c r="N231" s="14">
        <f>D231-K231</f>
        <v/>
      </c>
      <c r="O231" s="6">
        <f>AND(D231&gt;0,B231&lt;=COB_CA!$B$20)</f>
        <v/>
      </c>
    </row>
    <row r="232">
      <c r="A232" s="6" t="n">
        <v>228</v>
      </c>
      <c r="B232" s="15">
        <f>IF(COB_CA!$B$38=12,DATE(YEAR(COB_CA!$B$19)+INT((MONTH(COB_CA!$B$19)-1+227)/12),MOD(MONTH(COB_CA!$B$19)-1+227,12)+1,1)+(DAY(COB_CA!$B$19)-1),IF(COB_CA!$B$38=24,COB_CA!$B$19+ROUND((227*365.25)/24,0),IF(COB_CA!$B$38=26,COB_CA!$B$19+3178,COB_CA!$B$19+1589)))</f>
        <v/>
      </c>
      <c r="C232" s="12">
        <f>B232-B231</f>
        <v/>
      </c>
      <c r="D232" s="14">
        <f>N231</f>
        <v/>
      </c>
      <c r="E232" s="14">
        <f>D232*COB_CA!$B$40/100*(IF(YEAR(B231)=YEAR(B232),(B232-B231)/IF(AND(MOD(YEAR(B232),4)=0,OR(MOD(YEAR(B232),100)&lt;&gt;0,MOD(YEAR(B232),400)=0)),366,365),(((DATE(YEAR(B231)+1,1,1)))-B231)/IF(AND(MOD(YEAR(B231),4)=0,OR(MOD(YEAR(B231),100)&lt;&gt;0,MOD(YEAR(B231),400)=0)),366,365)+(B232-((DATE(YEAR(B231)+1,1,1))))/IF(AND(MOD(YEAR(B232),4)=0,OR(MOD(YEAR(B232),100)&lt;&gt;0,MOD(YEAR(B232),400)=0)),366,365)))</f>
        <v/>
      </c>
      <c r="F232" s="14">
        <f>L231</f>
        <v/>
      </c>
      <c r="G232" s="14">
        <f>M231</f>
        <v/>
      </c>
      <c r="H232" s="14">
        <f>IF((((COB_CA!$B$18-I232)-J232)&gt;D232),I232+J232+K232,COB_CA!$B$18)</f>
        <v/>
      </c>
      <c r="I232" s="14">
        <f>MIN(COB_CA!$B$18,(E232+F232))</f>
        <v/>
      </c>
      <c r="J232" s="14">
        <f>MIN((COB_CA!$B$18-I232),G232)</f>
        <v/>
      </c>
      <c r="K232" s="14">
        <f>MIN(((COB_CA!$B$18-I232)-J232),D232)</f>
        <v/>
      </c>
      <c r="L232" s="14">
        <f>E232+F232-I232</f>
        <v/>
      </c>
      <c r="M232" s="14">
        <f>G232-J232</f>
        <v/>
      </c>
      <c r="N232" s="14">
        <f>D232-K232</f>
        <v/>
      </c>
      <c r="O232" s="6">
        <f>AND(D232&gt;0,B232&lt;=COB_CA!$B$20)</f>
        <v/>
      </c>
    </row>
    <row r="233">
      <c r="A233" s="6" t="n">
        <v>229</v>
      </c>
      <c r="B233" s="15">
        <f>IF(COB_CA!$B$38=12,DATE(YEAR(COB_CA!$B$19)+INT((MONTH(COB_CA!$B$19)-1+228)/12),MOD(MONTH(COB_CA!$B$19)-1+228,12)+1,1)+(DAY(COB_CA!$B$19)-1),IF(COB_CA!$B$38=24,COB_CA!$B$19+ROUND((228*365.25)/24,0),IF(COB_CA!$B$38=26,COB_CA!$B$19+3192,COB_CA!$B$19+1596)))</f>
        <v/>
      </c>
      <c r="C233" s="12">
        <f>B233-B232</f>
        <v/>
      </c>
      <c r="D233" s="14">
        <f>N232</f>
        <v/>
      </c>
      <c r="E233" s="14">
        <f>D233*COB_CA!$B$40/100*(IF(YEAR(B232)=YEAR(B233),(B233-B232)/IF(AND(MOD(YEAR(B233),4)=0,OR(MOD(YEAR(B233),100)&lt;&gt;0,MOD(YEAR(B233),400)=0)),366,365),(((DATE(YEAR(B232)+1,1,1)))-B232)/IF(AND(MOD(YEAR(B232),4)=0,OR(MOD(YEAR(B232),100)&lt;&gt;0,MOD(YEAR(B232),400)=0)),366,365)+(B233-((DATE(YEAR(B232)+1,1,1))))/IF(AND(MOD(YEAR(B233),4)=0,OR(MOD(YEAR(B233),100)&lt;&gt;0,MOD(YEAR(B233),400)=0)),366,365)))</f>
        <v/>
      </c>
      <c r="F233" s="14">
        <f>L232</f>
        <v/>
      </c>
      <c r="G233" s="14">
        <f>M232</f>
        <v/>
      </c>
      <c r="H233" s="14">
        <f>IF((((COB_CA!$B$18-I233)-J233)&gt;D233),I233+J233+K233,COB_CA!$B$18)</f>
        <v/>
      </c>
      <c r="I233" s="14">
        <f>MIN(COB_CA!$B$18,(E233+F233))</f>
        <v/>
      </c>
      <c r="J233" s="14">
        <f>MIN((COB_CA!$B$18-I233),G233)</f>
        <v/>
      </c>
      <c r="K233" s="14">
        <f>MIN(((COB_CA!$B$18-I233)-J233),D233)</f>
        <v/>
      </c>
      <c r="L233" s="14">
        <f>E233+F233-I233</f>
        <v/>
      </c>
      <c r="M233" s="14">
        <f>G233-J233</f>
        <v/>
      </c>
      <c r="N233" s="14">
        <f>D233-K233</f>
        <v/>
      </c>
      <c r="O233" s="6">
        <f>AND(D233&gt;0,B233&lt;=COB_CA!$B$20)</f>
        <v/>
      </c>
    </row>
    <row r="234">
      <c r="A234" s="6" t="n">
        <v>230</v>
      </c>
      <c r="B234" s="15">
        <f>IF(COB_CA!$B$38=12,DATE(YEAR(COB_CA!$B$19)+INT((MONTH(COB_CA!$B$19)-1+229)/12),MOD(MONTH(COB_CA!$B$19)-1+229,12)+1,1)+(DAY(COB_CA!$B$19)-1),IF(COB_CA!$B$38=24,COB_CA!$B$19+ROUND((229*365.25)/24,0),IF(COB_CA!$B$38=26,COB_CA!$B$19+3206,COB_CA!$B$19+1603)))</f>
        <v/>
      </c>
      <c r="C234" s="12">
        <f>B234-B233</f>
        <v/>
      </c>
      <c r="D234" s="14">
        <f>N233</f>
        <v/>
      </c>
      <c r="E234" s="14">
        <f>D234*COB_CA!$B$40/100*(IF(YEAR(B233)=YEAR(B234),(B234-B233)/IF(AND(MOD(YEAR(B234),4)=0,OR(MOD(YEAR(B234),100)&lt;&gt;0,MOD(YEAR(B234),400)=0)),366,365),(((DATE(YEAR(B233)+1,1,1)))-B233)/IF(AND(MOD(YEAR(B233),4)=0,OR(MOD(YEAR(B233),100)&lt;&gt;0,MOD(YEAR(B233),400)=0)),366,365)+(B234-((DATE(YEAR(B233)+1,1,1))))/IF(AND(MOD(YEAR(B234),4)=0,OR(MOD(YEAR(B234),100)&lt;&gt;0,MOD(YEAR(B234),400)=0)),366,365)))</f>
        <v/>
      </c>
      <c r="F234" s="14">
        <f>L233</f>
        <v/>
      </c>
      <c r="G234" s="14">
        <f>M233</f>
        <v/>
      </c>
      <c r="H234" s="14">
        <f>IF((((COB_CA!$B$18-I234)-J234)&gt;D234),I234+J234+K234,COB_CA!$B$18)</f>
        <v/>
      </c>
      <c r="I234" s="14">
        <f>MIN(COB_CA!$B$18,(E234+F234))</f>
        <v/>
      </c>
      <c r="J234" s="14">
        <f>MIN((COB_CA!$B$18-I234),G234)</f>
        <v/>
      </c>
      <c r="K234" s="14">
        <f>MIN(((COB_CA!$B$18-I234)-J234),D234)</f>
        <v/>
      </c>
      <c r="L234" s="14">
        <f>E234+F234-I234</f>
        <v/>
      </c>
      <c r="M234" s="14">
        <f>G234-J234</f>
        <v/>
      </c>
      <c r="N234" s="14">
        <f>D234-K234</f>
        <v/>
      </c>
      <c r="O234" s="6">
        <f>AND(D234&gt;0,B234&lt;=COB_CA!$B$20)</f>
        <v/>
      </c>
    </row>
    <row r="235">
      <c r="A235" s="6" t="n">
        <v>231</v>
      </c>
      <c r="B235" s="15">
        <f>IF(COB_CA!$B$38=12,DATE(YEAR(COB_CA!$B$19)+INT((MONTH(COB_CA!$B$19)-1+230)/12),MOD(MONTH(COB_CA!$B$19)-1+230,12)+1,1)+(DAY(COB_CA!$B$19)-1),IF(COB_CA!$B$38=24,COB_CA!$B$19+ROUND((230*365.25)/24,0),IF(COB_CA!$B$38=26,COB_CA!$B$19+3220,COB_CA!$B$19+1610)))</f>
        <v/>
      </c>
      <c r="C235" s="12">
        <f>B235-B234</f>
        <v/>
      </c>
      <c r="D235" s="14">
        <f>N234</f>
        <v/>
      </c>
      <c r="E235" s="14">
        <f>D235*COB_CA!$B$40/100*(IF(YEAR(B234)=YEAR(B235),(B235-B234)/IF(AND(MOD(YEAR(B235),4)=0,OR(MOD(YEAR(B235),100)&lt;&gt;0,MOD(YEAR(B235),400)=0)),366,365),(((DATE(YEAR(B234)+1,1,1)))-B234)/IF(AND(MOD(YEAR(B234),4)=0,OR(MOD(YEAR(B234),100)&lt;&gt;0,MOD(YEAR(B234),400)=0)),366,365)+(B235-((DATE(YEAR(B234)+1,1,1))))/IF(AND(MOD(YEAR(B235),4)=0,OR(MOD(YEAR(B235),100)&lt;&gt;0,MOD(YEAR(B235),400)=0)),366,365)))</f>
        <v/>
      </c>
      <c r="F235" s="14">
        <f>L234</f>
        <v/>
      </c>
      <c r="G235" s="14">
        <f>M234</f>
        <v/>
      </c>
      <c r="H235" s="14">
        <f>IF((((COB_CA!$B$18-I235)-J235)&gt;D235),I235+J235+K235,COB_CA!$B$18)</f>
        <v/>
      </c>
      <c r="I235" s="14">
        <f>MIN(COB_CA!$B$18,(E235+F235))</f>
        <v/>
      </c>
      <c r="J235" s="14">
        <f>MIN((COB_CA!$B$18-I235),G235)</f>
        <v/>
      </c>
      <c r="K235" s="14">
        <f>MIN(((COB_CA!$B$18-I235)-J235),D235)</f>
        <v/>
      </c>
      <c r="L235" s="14">
        <f>E235+F235-I235</f>
        <v/>
      </c>
      <c r="M235" s="14">
        <f>G235-J235</f>
        <v/>
      </c>
      <c r="N235" s="14">
        <f>D235-K235</f>
        <v/>
      </c>
      <c r="O235" s="6">
        <f>AND(D235&gt;0,B235&lt;=COB_CA!$B$20)</f>
        <v/>
      </c>
    </row>
    <row r="236">
      <c r="A236" s="6" t="n">
        <v>232</v>
      </c>
      <c r="B236" s="15">
        <f>IF(COB_CA!$B$38=12,DATE(YEAR(COB_CA!$B$19)+INT((MONTH(COB_CA!$B$19)-1+231)/12),MOD(MONTH(COB_CA!$B$19)-1+231,12)+1,1)+(DAY(COB_CA!$B$19)-1),IF(COB_CA!$B$38=24,COB_CA!$B$19+ROUND((231*365.25)/24,0),IF(COB_CA!$B$38=26,COB_CA!$B$19+3234,COB_CA!$B$19+1617)))</f>
        <v/>
      </c>
      <c r="C236" s="12">
        <f>B236-B235</f>
        <v/>
      </c>
      <c r="D236" s="14">
        <f>N235</f>
        <v/>
      </c>
      <c r="E236" s="14">
        <f>D236*COB_CA!$B$40/100*(IF(YEAR(B235)=YEAR(B236),(B236-B235)/IF(AND(MOD(YEAR(B236),4)=0,OR(MOD(YEAR(B236),100)&lt;&gt;0,MOD(YEAR(B236),400)=0)),366,365),(((DATE(YEAR(B235)+1,1,1)))-B235)/IF(AND(MOD(YEAR(B235),4)=0,OR(MOD(YEAR(B235),100)&lt;&gt;0,MOD(YEAR(B235),400)=0)),366,365)+(B236-((DATE(YEAR(B235)+1,1,1))))/IF(AND(MOD(YEAR(B236),4)=0,OR(MOD(YEAR(B236),100)&lt;&gt;0,MOD(YEAR(B236),400)=0)),366,365)))</f>
        <v/>
      </c>
      <c r="F236" s="14">
        <f>L235</f>
        <v/>
      </c>
      <c r="G236" s="14">
        <f>M235</f>
        <v/>
      </c>
      <c r="H236" s="14">
        <f>IF((((COB_CA!$B$18-I236)-J236)&gt;D236),I236+J236+K236,COB_CA!$B$18)</f>
        <v/>
      </c>
      <c r="I236" s="14">
        <f>MIN(COB_CA!$B$18,(E236+F236))</f>
        <v/>
      </c>
      <c r="J236" s="14">
        <f>MIN((COB_CA!$B$18-I236),G236)</f>
        <v/>
      </c>
      <c r="K236" s="14">
        <f>MIN(((COB_CA!$B$18-I236)-J236),D236)</f>
        <v/>
      </c>
      <c r="L236" s="14">
        <f>E236+F236-I236</f>
        <v/>
      </c>
      <c r="M236" s="14">
        <f>G236-J236</f>
        <v/>
      </c>
      <c r="N236" s="14">
        <f>D236-K236</f>
        <v/>
      </c>
      <c r="O236" s="6">
        <f>AND(D236&gt;0,B236&lt;=COB_CA!$B$20)</f>
        <v/>
      </c>
    </row>
    <row r="237">
      <c r="A237" s="6" t="n">
        <v>233</v>
      </c>
      <c r="B237" s="15">
        <f>IF(COB_CA!$B$38=12,DATE(YEAR(COB_CA!$B$19)+INT((MONTH(COB_CA!$B$19)-1+232)/12),MOD(MONTH(COB_CA!$B$19)-1+232,12)+1,1)+(DAY(COB_CA!$B$19)-1),IF(COB_CA!$B$38=24,COB_CA!$B$19+ROUND((232*365.25)/24,0),IF(COB_CA!$B$38=26,COB_CA!$B$19+3248,COB_CA!$B$19+1624)))</f>
        <v/>
      </c>
      <c r="C237" s="12">
        <f>B237-B236</f>
        <v/>
      </c>
      <c r="D237" s="14">
        <f>N236</f>
        <v/>
      </c>
      <c r="E237" s="14">
        <f>D237*COB_CA!$B$40/100*(IF(YEAR(B236)=YEAR(B237),(B237-B236)/IF(AND(MOD(YEAR(B237),4)=0,OR(MOD(YEAR(B237),100)&lt;&gt;0,MOD(YEAR(B237),400)=0)),366,365),(((DATE(YEAR(B236)+1,1,1)))-B236)/IF(AND(MOD(YEAR(B236),4)=0,OR(MOD(YEAR(B236),100)&lt;&gt;0,MOD(YEAR(B236),400)=0)),366,365)+(B237-((DATE(YEAR(B236)+1,1,1))))/IF(AND(MOD(YEAR(B237),4)=0,OR(MOD(YEAR(B237),100)&lt;&gt;0,MOD(YEAR(B237),400)=0)),366,365)))</f>
        <v/>
      </c>
      <c r="F237" s="14">
        <f>L236</f>
        <v/>
      </c>
      <c r="G237" s="14">
        <f>M236</f>
        <v/>
      </c>
      <c r="H237" s="14">
        <f>IF((((COB_CA!$B$18-I237)-J237)&gt;D237),I237+J237+K237,COB_CA!$B$18)</f>
        <v/>
      </c>
      <c r="I237" s="14">
        <f>MIN(COB_CA!$B$18,(E237+F237))</f>
        <v/>
      </c>
      <c r="J237" s="14">
        <f>MIN((COB_CA!$B$18-I237),G237)</f>
        <v/>
      </c>
      <c r="K237" s="14">
        <f>MIN(((COB_CA!$B$18-I237)-J237),D237)</f>
        <v/>
      </c>
      <c r="L237" s="14">
        <f>E237+F237-I237</f>
        <v/>
      </c>
      <c r="M237" s="14">
        <f>G237-J237</f>
        <v/>
      </c>
      <c r="N237" s="14">
        <f>D237-K237</f>
        <v/>
      </c>
      <c r="O237" s="6">
        <f>AND(D237&gt;0,B237&lt;=COB_CA!$B$20)</f>
        <v/>
      </c>
    </row>
    <row r="238">
      <c r="A238" s="6" t="n">
        <v>234</v>
      </c>
      <c r="B238" s="15">
        <f>IF(COB_CA!$B$38=12,DATE(YEAR(COB_CA!$B$19)+INT((MONTH(COB_CA!$B$19)-1+233)/12),MOD(MONTH(COB_CA!$B$19)-1+233,12)+1,1)+(DAY(COB_CA!$B$19)-1),IF(COB_CA!$B$38=24,COB_CA!$B$19+ROUND((233*365.25)/24,0),IF(COB_CA!$B$38=26,COB_CA!$B$19+3262,COB_CA!$B$19+1631)))</f>
        <v/>
      </c>
      <c r="C238" s="12">
        <f>B238-B237</f>
        <v/>
      </c>
      <c r="D238" s="14">
        <f>N237</f>
        <v/>
      </c>
      <c r="E238" s="14">
        <f>D238*COB_CA!$B$40/100*(IF(YEAR(B237)=YEAR(B238),(B238-B237)/IF(AND(MOD(YEAR(B238),4)=0,OR(MOD(YEAR(B238),100)&lt;&gt;0,MOD(YEAR(B238),400)=0)),366,365),(((DATE(YEAR(B237)+1,1,1)))-B237)/IF(AND(MOD(YEAR(B237),4)=0,OR(MOD(YEAR(B237),100)&lt;&gt;0,MOD(YEAR(B237),400)=0)),366,365)+(B238-((DATE(YEAR(B237)+1,1,1))))/IF(AND(MOD(YEAR(B238),4)=0,OR(MOD(YEAR(B238),100)&lt;&gt;0,MOD(YEAR(B238),400)=0)),366,365)))</f>
        <v/>
      </c>
      <c r="F238" s="14">
        <f>L237</f>
        <v/>
      </c>
      <c r="G238" s="14">
        <f>M237</f>
        <v/>
      </c>
      <c r="H238" s="14">
        <f>IF((((COB_CA!$B$18-I238)-J238)&gt;D238),I238+J238+K238,COB_CA!$B$18)</f>
        <v/>
      </c>
      <c r="I238" s="14">
        <f>MIN(COB_CA!$B$18,(E238+F238))</f>
        <v/>
      </c>
      <c r="J238" s="14">
        <f>MIN((COB_CA!$B$18-I238),G238)</f>
        <v/>
      </c>
      <c r="K238" s="14">
        <f>MIN(((COB_CA!$B$18-I238)-J238),D238)</f>
        <v/>
      </c>
      <c r="L238" s="14">
        <f>E238+F238-I238</f>
        <v/>
      </c>
      <c r="M238" s="14">
        <f>G238-J238</f>
        <v/>
      </c>
      <c r="N238" s="14">
        <f>D238-K238</f>
        <v/>
      </c>
      <c r="O238" s="6">
        <f>AND(D238&gt;0,B238&lt;=COB_CA!$B$20)</f>
        <v/>
      </c>
    </row>
    <row r="239">
      <c r="A239" s="6" t="n">
        <v>235</v>
      </c>
      <c r="B239" s="15">
        <f>IF(COB_CA!$B$38=12,DATE(YEAR(COB_CA!$B$19)+INT((MONTH(COB_CA!$B$19)-1+234)/12),MOD(MONTH(COB_CA!$B$19)-1+234,12)+1,1)+(DAY(COB_CA!$B$19)-1),IF(COB_CA!$B$38=24,COB_CA!$B$19+ROUND((234*365.25)/24,0),IF(COB_CA!$B$38=26,COB_CA!$B$19+3276,COB_CA!$B$19+1638)))</f>
        <v/>
      </c>
      <c r="C239" s="12">
        <f>B239-B238</f>
        <v/>
      </c>
      <c r="D239" s="14">
        <f>N238</f>
        <v/>
      </c>
      <c r="E239" s="14">
        <f>D239*COB_CA!$B$40/100*(IF(YEAR(B238)=YEAR(B239),(B239-B238)/IF(AND(MOD(YEAR(B239),4)=0,OR(MOD(YEAR(B239),100)&lt;&gt;0,MOD(YEAR(B239),400)=0)),366,365),(((DATE(YEAR(B238)+1,1,1)))-B238)/IF(AND(MOD(YEAR(B238),4)=0,OR(MOD(YEAR(B238),100)&lt;&gt;0,MOD(YEAR(B238),400)=0)),366,365)+(B239-((DATE(YEAR(B238)+1,1,1))))/IF(AND(MOD(YEAR(B239),4)=0,OR(MOD(YEAR(B239),100)&lt;&gt;0,MOD(YEAR(B239),400)=0)),366,365)))</f>
        <v/>
      </c>
      <c r="F239" s="14">
        <f>L238</f>
        <v/>
      </c>
      <c r="G239" s="14">
        <f>M238</f>
        <v/>
      </c>
      <c r="H239" s="14">
        <f>IF((((COB_CA!$B$18-I239)-J239)&gt;D239),I239+J239+K239,COB_CA!$B$18)</f>
        <v/>
      </c>
      <c r="I239" s="14">
        <f>MIN(COB_CA!$B$18,(E239+F239))</f>
        <v/>
      </c>
      <c r="J239" s="14">
        <f>MIN((COB_CA!$B$18-I239),G239)</f>
        <v/>
      </c>
      <c r="K239" s="14">
        <f>MIN(((COB_CA!$B$18-I239)-J239),D239)</f>
        <v/>
      </c>
      <c r="L239" s="14">
        <f>E239+F239-I239</f>
        <v/>
      </c>
      <c r="M239" s="14">
        <f>G239-J239</f>
        <v/>
      </c>
      <c r="N239" s="14">
        <f>D239-K239</f>
        <v/>
      </c>
      <c r="O239" s="6">
        <f>AND(D239&gt;0,B239&lt;=COB_CA!$B$20)</f>
        <v/>
      </c>
    </row>
    <row r="240">
      <c r="A240" s="6" t="n">
        <v>236</v>
      </c>
      <c r="B240" s="15">
        <f>IF(COB_CA!$B$38=12,DATE(YEAR(COB_CA!$B$19)+INT((MONTH(COB_CA!$B$19)-1+235)/12),MOD(MONTH(COB_CA!$B$19)-1+235,12)+1,1)+(DAY(COB_CA!$B$19)-1),IF(COB_CA!$B$38=24,COB_CA!$B$19+ROUND((235*365.25)/24,0),IF(COB_CA!$B$38=26,COB_CA!$B$19+3290,COB_CA!$B$19+1645)))</f>
        <v/>
      </c>
      <c r="C240" s="12">
        <f>B240-B239</f>
        <v/>
      </c>
      <c r="D240" s="14">
        <f>N239</f>
        <v/>
      </c>
      <c r="E240" s="14">
        <f>D240*COB_CA!$B$40/100*(IF(YEAR(B239)=YEAR(B240),(B240-B239)/IF(AND(MOD(YEAR(B240),4)=0,OR(MOD(YEAR(B240),100)&lt;&gt;0,MOD(YEAR(B240),400)=0)),366,365),(((DATE(YEAR(B239)+1,1,1)))-B239)/IF(AND(MOD(YEAR(B239),4)=0,OR(MOD(YEAR(B239),100)&lt;&gt;0,MOD(YEAR(B239),400)=0)),366,365)+(B240-((DATE(YEAR(B239)+1,1,1))))/IF(AND(MOD(YEAR(B240),4)=0,OR(MOD(YEAR(B240),100)&lt;&gt;0,MOD(YEAR(B240),400)=0)),366,365)))</f>
        <v/>
      </c>
      <c r="F240" s="14">
        <f>L239</f>
        <v/>
      </c>
      <c r="G240" s="14">
        <f>M239</f>
        <v/>
      </c>
      <c r="H240" s="14">
        <f>IF((((COB_CA!$B$18-I240)-J240)&gt;D240),I240+J240+K240,COB_CA!$B$18)</f>
        <v/>
      </c>
      <c r="I240" s="14">
        <f>MIN(COB_CA!$B$18,(E240+F240))</f>
        <v/>
      </c>
      <c r="J240" s="14">
        <f>MIN((COB_CA!$B$18-I240),G240)</f>
        <v/>
      </c>
      <c r="K240" s="14">
        <f>MIN(((COB_CA!$B$18-I240)-J240),D240)</f>
        <v/>
      </c>
      <c r="L240" s="14">
        <f>E240+F240-I240</f>
        <v/>
      </c>
      <c r="M240" s="14">
        <f>G240-J240</f>
        <v/>
      </c>
      <c r="N240" s="14">
        <f>D240-K240</f>
        <v/>
      </c>
      <c r="O240" s="6">
        <f>AND(D240&gt;0,B240&lt;=COB_CA!$B$20)</f>
        <v/>
      </c>
    </row>
    <row r="241">
      <c r="A241" s="6" t="n">
        <v>237</v>
      </c>
      <c r="B241" s="15">
        <f>IF(COB_CA!$B$38=12,DATE(YEAR(COB_CA!$B$19)+INT((MONTH(COB_CA!$B$19)-1+236)/12),MOD(MONTH(COB_CA!$B$19)-1+236,12)+1,1)+(DAY(COB_CA!$B$19)-1),IF(COB_CA!$B$38=24,COB_CA!$B$19+ROUND((236*365.25)/24,0),IF(COB_CA!$B$38=26,COB_CA!$B$19+3304,COB_CA!$B$19+1652)))</f>
        <v/>
      </c>
      <c r="C241" s="12">
        <f>B241-B240</f>
        <v/>
      </c>
      <c r="D241" s="14">
        <f>N240</f>
        <v/>
      </c>
      <c r="E241" s="14">
        <f>D241*COB_CA!$B$40/100*(IF(YEAR(B240)=YEAR(B241),(B241-B240)/IF(AND(MOD(YEAR(B241),4)=0,OR(MOD(YEAR(B241),100)&lt;&gt;0,MOD(YEAR(B241),400)=0)),366,365),(((DATE(YEAR(B240)+1,1,1)))-B240)/IF(AND(MOD(YEAR(B240),4)=0,OR(MOD(YEAR(B240),100)&lt;&gt;0,MOD(YEAR(B240),400)=0)),366,365)+(B241-((DATE(YEAR(B240)+1,1,1))))/IF(AND(MOD(YEAR(B241),4)=0,OR(MOD(YEAR(B241),100)&lt;&gt;0,MOD(YEAR(B241),400)=0)),366,365)))</f>
        <v/>
      </c>
      <c r="F241" s="14">
        <f>L240</f>
        <v/>
      </c>
      <c r="G241" s="14">
        <f>M240</f>
        <v/>
      </c>
      <c r="H241" s="14">
        <f>IF((((COB_CA!$B$18-I241)-J241)&gt;D241),I241+J241+K241,COB_CA!$B$18)</f>
        <v/>
      </c>
      <c r="I241" s="14">
        <f>MIN(COB_CA!$B$18,(E241+F241))</f>
        <v/>
      </c>
      <c r="J241" s="14">
        <f>MIN((COB_CA!$B$18-I241),G241)</f>
        <v/>
      </c>
      <c r="K241" s="14">
        <f>MIN(((COB_CA!$B$18-I241)-J241),D241)</f>
        <v/>
      </c>
      <c r="L241" s="14">
        <f>E241+F241-I241</f>
        <v/>
      </c>
      <c r="M241" s="14">
        <f>G241-J241</f>
        <v/>
      </c>
      <c r="N241" s="14">
        <f>D241-K241</f>
        <v/>
      </c>
      <c r="O241" s="6">
        <f>AND(D241&gt;0,B241&lt;=COB_CA!$B$20)</f>
        <v/>
      </c>
    </row>
    <row r="242">
      <c r="A242" s="6" t="n">
        <v>238</v>
      </c>
      <c r="B242" s="15">
        <f>IF(COB_CA!$B$38=12,DATE(YEAR(COB_CA!$B$19)+INT((MONTH(COB_CA!$B$19)-1+237)/12),MOD(MONTH(COB_CA!$B$19)-1+237,12)+1,1)+(DAY(COB_CA!$B$19)-1),IF(COB_CA!$B$38=24,COB_CA!$B$19+ROUND((237*365.25)/24,0),IF(COB_CA!$B$38=26,COB_CA!$B$19+3318,COB_CA!$B$19+1659)))</f>
        <v/>
      </c>
      <c r="C242" s="12">
        <f>B242-B241</f>
        <v/>
      </c>
      <c r="D242" s="14">
        <f>N241</f>
        <v/>
      </c>
      <c r="E242" s="14">
        <f>D242*COB_CA!$B$40/100*(IF(YEAR(B241)=YEAR(B242),(B242-B241)/IF(AND(MOD(YEAR(B242),4)=0,OR(MOD(YEAR(B242),100)&lt;&gt;0,MOD(YEAR(B242),400)=0)),366,365),(((DATE(YEAR(B241)+1,1,1)))-B241)/IF(AND(MOD(YEAR(B241),4)=0,OR(MOD(YEAR(B241),100)&lt;&gt;0,MOD(YEAR(B241),400)=0)),366,365)+(B242-((DATE(YEAR(B241)+1,1,1))))/IF(AND(MOD(YEAR(B242),4)=0,OR(MOD(YEAR(B242),100)&lt;&gt;0,MOD(YEAR(B242),400)=0)),366,365)))</f>
        <v/>
      </c>
      <c r="F242" s="14">
        <f>L241</f>
        <v/>
      </c>
      <c r="G242" s="14">
        <f>M241</f>
        <v/>
      </c>
      <c r="H242" s="14">
        <f>IF((((COB_CA!$B$18-I242)-J242)&gt;D242),I242+J242+K242,COB_CA!$B$18)</f>
        <v/>
      </c>
      <c r="I242" s="14">
        <f>MIN(COB_CA!$B$18,(E242+F242))</f>
        <v/>
      </c>
      <c r="J242" s="14">
        <f>MIN((COB_CA!$B$18-I242),G242)</f>
        <v/>
      </c>
      <c r="K242" s="14">
        <f>MIN(((COB_CA!$B$18-I242)-J242),D242)</f>
        <v/>
      </c>
      <c r="L242" s="14">
        <f>E242+F242-I242</f>
        <v/>
      </c>
      <c r="M242" s="14">
        <f>G242-J242</f>
        <v/>
      </c>
      <c r="N242" s="14">
        <f>D242-K242</f>
        <v/>
      </c>
      <c r="O242" s="6">
        <f>AND(D242&gt;0,B242&lt;=COB_CA!$B$20)</f>
        <v/>
      </c>
    </row>
    <row r="243">
      <c r="A243" s="6" t="n">
        <v>239</v>
      </c>
      <c r="B243" s="15">
        <f>IF(COB_CA!$B$38=12,DATE(YEAR(COB_CA!$B$19)+INT((MONTH(COB_CA!$B$19)-1+238)/12),MOD(MONTH(COB_CA!$B$19)-1+238,12)+1,1)+(DAY(COB_CA!$B$19)-1),IF(COB_CA!$B$38=24,COB_CA!$B$19+ROUND((238*365.25)/24,0),IF(COB_CA!$B$38=26,COB_CA!$B$19+3332,COB_CA!$B$19+1666)))</f>
        <v/>
      </c>
      <c r="C243" s="12">
        <f>B243-B242</f>
        <v/>
      </c>
      <c r="D243" s="14">
        <f>N242</f>
        <v/>
      </c>
      <c r="E243" s="14">
        <f>D243*COB_CA!$B$40/100*(IF(YEAR(B242)=YEAR(B243),(B243-B242)/IF(AND(MOD(YEAR(B243),4)=0,OR(MOD(YEAR(B243),100)&lt;&gt;0,MOD(YEAR(B243),400)=0)),366,365),(((DATE(YEAR(B242)+1,1,1)))-B242)/IF(AND(MOD(YEAR(B242),4)=0,OR(MOD(YEAR(B242),100)&lt;&gt;0,MOD(YEAR(B242),400)=0)),366,365)+(B243-((DATE(YEAR(B242)+1,1,1))))/IF(AND(MOD(YEAR(B243),4)=0,OR(MOD(YEAR(B243),100)&lt;&gt;0,MOD(YEAR(B243),400)=0)),366,365)))</f>
        <v/>
      </c>
      <c r="F243" s="14">
        <f>L242</f>
        <v/>
      </c>
      <c r="G243" s="14">
        <f>M242</f>
        <v/>
      </c>
      <c r="H243" s="14">
        <f>IF((((COB_CA!$B$18-I243)-J243)&gt;D243),I243+J243+K243,COB_CA!$B$18)</f>
        <v/>
      </c>
      <c r="I243" s="14">
        <f>MIN(COB_CA!$B$18,(E243+F243))</f>
        <v/>
      </c>
      <c r="J243" s="14">
        <f>MIN((COB_CA!$B$18-I243),G243)</f>
        <v/>
      </c>
      <c r="K243" s="14">
        <f>MIN(((COB_CA!$B$18-I243)-J243),D243)</f>
        <v/>
      </c>
      <c r="L243" s="14">
        <f>E243+F243-I243</f>
        <v/>
      </c>
      <c r="M243" s="14">
        <f>G243-J243</f>
        <v/>
      </c>
      <c r="N243" s="14">
        <f>D243-K243</f>
        <v/>
      </c>
      <c r="O243" s="6">
        <f>AND(D243&gt;0,B243&lt;=COB_CA!$B$20)</f>
        <v/>
      </c>
    </row>
    <row r="244">
      <c r="A244" s="6" t="n">
        <v>240</v>
      </c>
      <c r="B244" s="15">
        <f>IF(COB_CA!$B$38=12,DATE(YEAR(COB_CA!$B$19)+INT((MONTH(COB_CA!$B$19)-1+239)/12),MOD(MONTH(COB_CA!$B$19)-1+239,12)+1,1)+(DAY(COB_CA!$B$19)-1),IF(COB_CA!$B$38=24,COB_CA!$B$19+ROUND((239*365.25)/24,0),IF(COB_CA!$B$38=26,COB_CA!$B$19+3346,COB_CA!$B$19+1673)))</f>
        <v/>
      </c>
      <c r="C244" s="12">
        <f>B244-B243</f>
        <v/>
      </c>
      <c r="D244" s="14">
        <f>N243</f>
        <v/>
      </c>
      <c r="E244" s="14">
        <f>D244*COB_CA!$B$40/100*(IF(YEAR(B243)=YEAR(B244),(B244-B243)/IF(AND(MOD(YEAR(B244),4)=0,OR(MOD(YEAR(B244),100)&lt;&gt;0,MOD(YEAR(B244),400)=0)),366,365),(((DATE(YEAR(B243)+1,1,1)))-B243)/IF(AND(MOD(YEAR(B243),4)=0,OR(MOD(YEAR(B243),100)&lt;&gt;0,MOD(YEAR(B243),400)=0)),366,365)+(B244-((DATE(YEAR(B243)+1,1,1))))/IF(AND(MOD(YEAR(B244),4)=0,OR(MOD(YEAR(B244),100)&lt;&gt;0,MOD(YEAR(B244),400)=0)),366,365)))</f>
        <v/>
      </c>
      <c r="F244" s="14">
        <f>L243</f>
        <v/>
      </c>
      <c r="G244" s="14">
        <f>M243</f>
        <v/>
      </c>
      <c r="H244" s="14">
        <f>IF((((COB_CA!$B$18-I244)-J244)&gt;D244),I244+J244+K244,COB_CA!$B$18)</f>
        <v/>
      </c>
      <c r="I244" s="14">
        <f>MIN(COB_CA!$B$18,(E244+F244))</f>
        <v/>
      </c>
      <c r="J244" s="14">
        <f>MIN((COB_CA!$B$18-I244),G244)</f>
        <v/>
      </c>
      <c r="K244" s="14">
        <f>MIN(((COB_CA!$B$18-I244)-J244),D244)</f>
        <v/>
      </c>
      <c r="L244" s="14">
        <f>E244+F244-I244</f>
        <v/>
      </c>
      <c r="M244" s="14">
        <f>G244-J244</f>
        <v/>
      </c>
      <c r="N244" s="14">
        <f>D244-K244</f>
        <v/>
      </c>
      <c r="O244" s="6">
        <f>AND(D244&gt;0,B244&lt;=COB_CA!$B$20)</f>
        <v/>
      </c>
    </row>
    <row r="245">
      <c r="A245" s="6" t="n">
        <v>241</v>
      </c>
      <c r="B245" s="15">
        <f>IF(COB_CA!$B$38=12,DATE(YEAR(COB_CA!$B$19)+INT((MONTH(COB_CA!$B$19)-1+240)/12),MOD(MONTH(COB_CA!$B$19)-1+240,12)+1,1)+(DAY(COB_CA!$B$19)-1),IF(COB_CA!$B$38=24,COB_CA!$B$19+ROUND((240*365.25)/24,0),IF(COB_CA!$B$38=26,COB_CA!$B$19+3360,COB_CA!$B$19+1680)))</f>
        <v/>
      </c>
      <c r="C245" s="12">
        <f>B245-B244</f>
        <v/>
      </c>
      <c r="D245" s="14">
        <f>N244</f>
        <v/>
      </c>
      <c r="E245" s="14">
        <f>D245*COB_CA!$B$40/100*(IF(YEAR(B244)=YEAR(B245),(B245-B244)/IF(AND(MOD(YEAR(B245),4)=0,OR(MOD(YEAR(B245),100)&lt;&gt;0,MOD(YEAR(B245),400)=0)),366,365),(((DATE(YEAR(B244)+1,1,1)))-B244)/IF(AND(MOD(YEAR(B244),4)=0,OR(MOD(YEAR(B244),100)&lt;&gt;0,MOD(YEAR(B244),400)=0)),366,365)+(B245-((DATE(YEAR(B244)+1,1,1))))/IF(AND(MOD(YEAR(B245),4)=0,OR(MOD(YEAR(B245),100)&lt;&gt;0,MOD(YEAR(B245),400)=0)),366,365)))</f>
        <v/>
      </c>
      <c r="F245" s="14">
        <f>L244</f>
        <v/>
      </c>
      <c r="G245" s="14">
        <f>M244</f>
        <v/>
      </c>
      <c r="H245" s="14">
        <f>IF((((COB_CA!$B$18-I245)-J245)&gt;D245),I245+J245+K245,COB_CA!$B$18)</f>
        <v/>
      </c>
      <c r="I245" s="14">
        <f>MIN(COB_CA!$B$18,(E245+F245))</f>
        <v/>
      </c>
      <c r="J245" s="14">
        <f>MIN((COB_CA!$B$18-I245),G245)</f>
        <v/>
      </c>
      <c r="K245" s="14">
        <f>MIN(((COB_CA!$B$18-I245)-J245),D245)</f>
        <v/>
      </c>
      <c r="L245" s="14">
        <f>E245+F245-I245</f>
        <v/>
      </c>
      <c r="M245" s="14">
        <f>G245-J245</f>
        <v/>
      </c>
      <c r="N245" s="14">
        <f>D245-K245</f>
        <v/>
      </c>
      <c r="O245" s="6">
        <f>AND(D245&gt;0,B245&lt;=COB_CA!$B$20)</f>
        <v/>
      </c>
    </row>
    <row r="246">
      <c r="A246" s="6" t="n">
        <v>242</v>
      </c>
      <c r="B246" s="15">
        <f>IF(COB_CA!$B$38=12,DATE(YEAR(COB_CA!$B$19)+INT((MONTH(COB_CA!$B$19)-1+241)/12),MOD(MONTH(COB_CA!$B$19)-1+241,12)+1,1)+(DAY(COB_CA!$B$19)-1),IF(COB_CA!$B$38=24,COB_CA!$B$19+ROUND((241*365.25)/24,0),IF(COB_CA!$B$38=26,COB_CA!$B$19+3374,COB_CA!$B$19+1687)))</f>
        <v/>
      </c>
      <c r="C246" s="12">
        <f>B246-B245</f>
        <v/>
      </c>
      <c r="D246" s="14">
        <f>N245</f>
        <v/>
      </c>
      <c r="E246" s="14">
        <f>D246*COB_CA!$B$40/100*(IF(YEAR(B245)=YEAR(B246),(B246-B245)/IF(AND(MOD(YEAR(B246),4)=0,OR(MOD(YEAR(B246),100)&lt;&gt;0,MOD(YEAR(B246),400)=0)),366,365),(((DATE(YEAR(B245)+1,1,1)))-B245)/IF(AND(MOD(YEAR(B245),4)=0,OR(MOD(YEAR(B245),100)&lt;&gt;0,MOD(YEAR(B245),400)=0)),366,365)+(B246-((DATE(YEAR(B245)+1,1,1))))/IF(AND(MOD(YEAR(B246),4)=0,OR(MOD(YEAR(B246),100)&lt;&gt;0,MOD(YEAR(B246),400)=0)),366,365)))</f>
        <v/>
      </c>
      <c r="F246" s="14">
        <f>L245</f>
        <v/>
      </c>
      <c r="G246" s="14">
        <f>M245</f>
        <v/>
      </c>
      <c r="H246" s="14">
        <f>IF((((COB_CA!$B$18-I246)-J246)&gt;D246),I246+J246+K246,COB_CA!$B$18)</f>
        <v/>
      </c>
      <c r="I246" s="14">
        <f>MIN(COB_CA!$B$18,(E246+F246))</f>
        <v/>
      </c>
      <c r="J246" s="14">
        <f>MIN((COB_CA!$B$18-I246),G246)</f>
        <v/>
      </c>
      <c r="K246" s="14">
        <f>MIN(((COB_CA!$B$18-I246)-J246),D246)</f>
        <v/>
      </c>
      <c r="L246" s="14">
        <f>E246+F246-I246</f>
        <v/>
      </c>
      <c r="M246" s="14">
        <f>G246-J246</f>
        <v/>
      </c>
      <c r="N246" s="14">
        <f>D246-K246</f>
        <v/>
      </c>
      <c r="O246" s="6">
        <f>AND(D246&gt;0,B246&lt;=COB_CA!$B$20)</f>
        <v/>
      </c>
    </row>
    <row r="247">
      <c r="A247" s="6" t="n">
        <v>243</v>
      </c>
      <c r="B247" s="15">
        <f>IF(COB_CA!$B$38=12,DATE(YEAR(COB_CA!$B$19)+INT((MONTH(COB_CA!$B$19)-1+242)/12),MOD(MONTH(COB_CA!$B$19)-1+242,12)+1,1)+(DAY(COB_CA!$B$19)-1),IF(COB_CA!$B$38=24,COB_CA!$B$19+ROUND((242*365.25)/24,0),IF(COB_CA!$B$38=26,COB_CA!$B$19+3388,COB_CA!$B$19+1694)))</f>
        <v/>
      </c>
      <c r="C247" s="12">
        <f>B247-B246</f>
        <v/>
      </c>
      <c r="D247" s="14">
        <f>N246</f>
        <v/>
      </c>
      <c r="E247" s="14">
        <f>D247*COB_CA!$B$40/100*(IF(YEAR(B246)=YEAR(B247),(B247-B246)/IF(AND(MOD(YEAR(B247),4)=0,OR(MOD(YEAR(B247),100)&lt;&gt;0,MOD(YEAR(B247),400)=0)),366,365),(((DATE(YEAR(B246)+1,1,1)))-B246)/IF(AND(MOD(YEAR(B246),4)=0,OR(MOD(YEAR(B246),100)&lt;&gt;0,MOD(YEAR(B246),400)=0)),366,365)+(B247-((DATE(YEAR(B246)+1,1,1))))/IF(AND(MOD(YEAR(B247),4)=0,OR(MOD(YEAR(B247),100)&lt;&gt;0,MOD(YEAR(B247),400)=0)),366,365)))</f>
        <v/>
      </c>
      <c r="F247" s="14">
        <f>L246</f>
        <v/>
      </c>
      <c r="G247" s="14">
        <f>M246</f>
        <v/>
      </c>
      <c r="H247" s="14">
        <f>IF((((COB_CA!$B$18-I247)-J247)&gt;D247),I247+J247+K247,COB_CA!$B$18)</f>
        <v/>
      </c>
      <c r="I247" s="14">
        <f>MIN(COB_CA!$B$18,(E247+F247))</f>
        <v/>
      </c>
      <c r="J247" s="14">
        <f>MIN((COB_CA!$B$18-I247),G247)</f>
        <v/>
      </c>
      <c r="K247" s="14">
        <f>MIN(((COB_CA!$B$18-I247)-J247),D247)</f>
        <v/>
      </c>
      <c r="L247" s="14">
        <f>E247+F247-I247</f>
        <v/>
      </c>
      <c r="M247" s="14">
        <f>G247-J247</f>
        <v/>
      </c>
      <c r="N247" s="14">
        <f>D247-K247</f>
        <v/>
      </c>
      <c r="O247" s="6">
        <f>AND(D247&gt;0,B247&lt;=COB_CA!$B$20)</f>
        <v/>
      </c>
    </row>
    <row r="248">
      <c r="A248" s="6" t="n">
        <v>244</v>
      </c>
      <c r="B248" s="15">
        <f>IF(COB_CA!$B$38=12,DATE(YEAR(COB_CA!$B$19)+INT((MONTH(COB_CA!$B$19)-1+243)/12),MOD(MONTH(COB_CA!$B$19)-1+243,12)+1,1)+(DAY(COB_CA!$B$19)-1),IF(COB_CA!$B$38=24,COB_CA!$B$19+ROUND((243*365.25)/24,0),IF(COB_CA!$B$38=26,COB_CA!$B$19+3402,COB_CA!$B$19+1701)))</f>
        <v/>
      </c>
      <c r="C248" s="12">
        <f>B248-B247</f>
        <v/>
      </c>
      <c r="D248" s="14">
        <f>N247</f>
        <v/>
      </c>
      <c r="E248" s="14">
        <f>D248*COB_CA!$B$40/100*(IF(YEAR(B247)=YEAR(B248),(B248-B247)/IF(AND(MOD(YEAR(B248),4)=0,OR(MOD(YEAR(B248),100)&lt;&gt;0,MOD(YEAR(B248),400)=0)),366,365),(((DATE(YEAR(B247)+1,1,1)))-B247)/IF(AND(MOD(YEAR(B247),4)=0,OR(MOD(YEAR(B247),100)&lt;&gt;0,MOD(YEAR(B247),400)=0)),366,365)+(B248-((DATE(YEAR(B247)+1,1,1))))/IF(AND(MOD(YEAR(B248),4)=0,OR(MOD(YEAR(B248),100)&lt;&gt;0,MOD(YEAR(B248),400)=0)),366,365)))</f>
        <v/>
      </c>
      <c r="F248" s="14">
        <f>L247</f>
        <v/>
      </c>
      <c r="G248" s="14">
        <f>M247</f>
        <v/>
      </c>
      <c r="H248" s="14">
        <f>IF((((COB_CA!$B$18-I248)-J248)&gt;D248),I248+J248+K248,COB_CA!$B$18)</f>
        <v/>
      </c>
      <c r="I248" s="14">
        <f>MIN(COB_CA!$B$18,(E248+F248))</f>
        <v/>
      </c>
      <c r="J248" s="14">
        <f>MIN((COB_CA!$B$18-I248),G248)</f>
        <v/>
      </c>
      <c r="K248" s="14">
        <f>MIN(((COB_CA!$B$18-I248)-J248),D248)</f>
        <v/>
      </c>
      <c r="L248" s="14">
        <f>E248+F248-I248</f>
        <v/>
      </c>
      <c r="M248" s="14">
        <f>G248-J248</f>
        <v/>
      </c>
      <c r="N248" s="14">
        <f>D248-K248</f>
        <v/>
      </c>
      <c r="O248" s="6">
        <f>AND(D248&gt;0,B248&lt;=COB_CA!$B$20)</f>
        <v/>
      </c>
    </row>
    <row r="249">
      <c r="A249" s="6" t="n">
        <v>245</v>
      </c>
      <c r="B249" s="15">
        <f>IF(COB_CA!$B$38=12,DATE(YEAR(COB_CA!$B$19)+INT((MONTH(COB_CA!$B$19)-1+244)/12),MOD(MONTH(COB_CA!$B$19)-1+244,12)+1,1)+(DAY(COB_CA!$B$19)-1),IF(COB_CA!$B$38=24,COB_CA!$B$19+ROUND((244*365.25)/24,0),IF(COB_CA!$B$38=26,COB_CA!$B$19+3416,COB_CA!$B$19+1708)))</f>
        <v/>
      </c>
      <c r="C249" s="12">
        <f>B249-B248</f>
        <v/>
      </c>
      <c r="D249" s="14">
        <f>N248</f>
        <v/>
      </c>
      <c r="E249" s="14">
        <f>D249*COB_CA!$B$40/100*(IF(YEAR(B248)=YEAR(B249),(B249-B248)/IF(AND(MOD(YEAR(B249),4)=0,OR(MOD(YEAR(B249),100)&lt;&gt;0,MOD(YEAR(B249),400)=0)),366,365),(((DATE(YEAR(B248)+1,1,1)))-B248)/IF(AND(MOD(YEAR(B248),4)=0,OR(MOD(YEAR(B248),100)&lt;&gt;0,MOD(YEAR(B248),400)=0)),366,365)+(B249-((DATE(YEAR(B248)+1,1,1))))/IF(AND(MOD(YEAR(B249),4)=0,OR(MOD(YEAR(B249),100)&lt;&gt;0,MOD(YEAR(B249),400)=0)),366,365)))</f>
        <v/>
      </c>
      <c r="F249" s="14">
        <f>L248</f>
        <v/>
      </c>
      <c r="G249" s="14">
        <f>M248</f>
        <v/>
      </c>
      <c r="H249" s="14">
        <f>IF((((COB_CA!$B$18-I249)-J249)&gt;D249),I249+J249+K249,COB_CA!$B$18)</f>
        <v/>
      </c>
      <c r="I249" s="14">
        <f>MIN(COB_CA!$B$18,(E249+F249))</f>
        <v/>
      </c>
      <c r="J249" s="14">
        <f>MIN((COB_CA!$B$18-I249),G249)</f>
        <v/>
      </c>
      <c r="K249" s="14">
        <f>MIN(((COB_CA!$B$18-I249)-J249),D249)</f>
        <v/>
      </c>
      <c r="L249" s="14">
        <f>E249+F249-I249</f>
        <v/>
      </c>
      <c r="M249" s="14">
        <f>G249-J249</f>
        <v/>
      </c>
      <c r="N249" s="14">
        <f>D249-K249</f>
        <v/>
      </c>
      <c r="O249" s="6">
        <f>AND(D249&gt;0,B249&lt;=COB_CA!$B$20)</f>
        <v/>
      </c>
    </row>
    <row r="250">
      <c r="A250" s="6" t="n">
        <v>246</v>
      </c>
      <c r="B250" s="15">
        <f>IF(COB_CA!$B$38=12,DATE(YEAR(COB_CA!$B$19)+INT((MONTH(COB_CA!$B$19)-1+245)/12),MOD(MONTH(COB_CA!$B$19)-1+245,12)+1,1)+(DAY(COB_CA!$B$19)-1),IF(COB_CA!$B$38=24,COB_CA!$B$19+ROUND((245*365.25)/24,0),IF(COB_CA!$B$38=26,COB_CA!$B$19+3430,COB_CA!$B$19+1715)))</f>
        <v/>
      </c>
      <c r="C250" s="12">
        <f>B250-B249</f>
        <v/>
      </c>
      <c r="D250" s="14">
        <f>N249</f>
        <v/>
      </c>
      <c r="E250" s="14">
        <f>D250*COB_CA!$B$40/100*(IF(YEAR(B249)=YEAR(B250),(B250-B249)/IF(AND(MOD(YEAR(B250),4)=0,OR(MOD(YEAR(B250),100)&lt;&gt;0,MOD(YEAR(B250),400)=0)),366,365),(((DATE(YEAR(B249)+1,1,1)))-B249)/IF(AND(MOD(YEAR(B249),4)=0,OR(MOD(YEAR(B249),100)&lt;&gt;0,MOD(YEAR(B249),400)=0)),366,365)+(B250-((DATE(YEAR(B249)+1,1,1))))/IF(AND(MOD(YEAR(B250),4)=0,OR(MOD(YEAR(B250),100)&lt;&gt;0,MOD(YEAR(B250),400)=0)),366,365)))</f>
        <v/>
      </c>
      <c r="F250" s="14">
        <f>L249</f>
        <v/>
      </c>
      <c r="G250" s="14">
        <f>M249</f>
        <v/>
      </c>
      <c r="H250" s="14">
        <f>IF((((COB_CA!$B$18-I250)-J250)&gt;D250),I250+J250+K250,COB_CA!$B$18)</f>
        <v/>
      </c>
      <c r="I250" s="14">
        <f>MIN(COB_CA!$B$18,(E250+F250))</f>
        <v/>
      </c>
      <c r="J250" s="14">
        <f>MIN((COB_CA!$B$18-I250),G250)</f>
        <v/>
      </c>
      <c r="K250" s="14">
        <f>MIN(((COB_CA!$B$18-I250)-J250),D250)</f>
        <v/>
      </c>
      <c r="L250" s="14">
        <f>E250+F250-I250</f>
        <v/>
      </c>
      <c r="M250" s="14">
        <f>G250-J250</f>
        <v/>
      </c>
      <c r="N250" s="14">
        <f>D250-K250</f>
        <v/>
      </c>
      <c r="O250" s="6">
        <f>AND(D250&gt;0,B250&lt;=COB_CA!$B$20)</f>
        <v/>
      </c>
    </row>
    <row r="251">
      <c r="A251" s="6" t="n">
        <v>247</v>
      </c>
      <c r="B251" s="15">
        <f>IF(COB_CA!$B$38=12,DATE(YEAR(COB_CA!$B$19)+INT((MONTH(COB_CA!$B$19)-1+246)/12),MOD(MONTH(COB_CA!$B$19)-1+246,12)+1,1)+(DAY(COB_CA!$B$19)-1),IF(COB_CA!$B$38=24,COB_CA!$B$19+ROUND((246*365.25)/24,0),IF(COB_CA!$B$38=26,COB_CA!$B$19+3444,COB_CA!$B$19+1722)))</f>
        <v/>
      </c>
      <c r="C251" s="12">
        <f>B251-B250</f>
        <v/>
      </c>
      <c r="D251" s="14">
        <f>N250</f>
        <v/>
      </c>
      <c r="E251" s="14">
        <f>D251*COB_CA!$B$40/100*(IF(YEAR(B250)=YEAR(B251),(B251-B250)/IF(AND(MOD(YEAR(B251),4)=0,OR(MOD(YEAR(B251),100)&lt;&gt;0,MOD(YEAR(B251),400)=0)),366,365),(((DATE(YEAR(B250)+1,1,1)))-B250)/IF(AND(MOD(YEAR(B250),4)=0,OR(MOD(YEAR(B250),100)&lt;&gt;0,MOD(YEAR(B250),400)=0)),366,365)+(B251-((DATE(YEAR(B250)+1,1,1))))/IF(AND(MOD(YEAR(B251),4)=0,OR(MOD(YEAR(B251),100)&lt;&gt;0,MOD(YEAR(B251),400)=0)),366,365)))</f>
        <v/>
      </c>
      <c r="F251" s="14">
        <f>L250</f>
        <v/>
      </c>
      <c r="G251" s="14">
        <f>M250</f>
        <v/>
      </c>
      <c r="H251" s="14">
        <f>IF((((COB_CA!$B$18-I251)-J251)&gt;D251),I251+J251+K251,COB_CA!$B$18)</f>
        <v/>
      </c>
      <c r="I251" s="14">
        <f>MIN(COB_CA!$B$18,(E251+F251))</f>
        <v/>
      </c>
      <c r="J251" s="14">
        <f>MIN((COB_CA!$B$18-I251),G251)</f>
        <v/>
      </c>
      <c r="K251" s="14">
        <f>MIN(((COB_CA!$B$18-I251)-J251),D251)</f>
        <v/>
      </c>
      <c r="L251" s="14">
        <f>E251+F251-I251</f>
        <v/>
      </c>
      <c r="M251" s="14">
        <f>G251-J251</f>
        <v/>
      </c>
      <c r="N251" s="14">
        <f>D251-K251</f>
        <v/>
      </c>
      <c r="O251" s="6">
        <f>AND(D251&gt;0,B251&lt;=COB_CA!$B$20)</f>
        <v/>
      </c>
    </row>
    <row r="252">
      <c r="A252" s="6" t="n">
        <v>248</v>
      </c>
      <c r="B252" s="15">
        <f>IF(COB_CA!$B$38=12,DATE(YEAR(COB_CA!$B$19)+INT((MONTH(COB_CA!$B$19)-1+247)/12),MOD(MONTH(COB_CA!$B$19)-1+247,12)+1,1)+(DAY(COB_CA!$B$19)-1),IF(COB_CA!$B$38=24,COB_CA!$B$19+ROUND((247*365.25)/24,0),IF(COB_CA!$B$38=26,COB_CA!$B$19+3458,COB_CA!$B$19+1729)))</f>
        <v/>
      </c>
      <c r="C252" s="12">
        <f>B252-B251</f>
        <v/>
      </c>
      <c r="D252" s="14">
        <f>N251</f>
        <v/>
      </c>
      <c r="E252" s="14">
        <f>D252*COB_CA!$B$40/100*(IF(YEAR(B251)=YEAR(B252),(B252-B251)/IF(AND(MOD(YEAR(B252),4)=0,OR(MOD(YEAR(B252),100)&lt;&gt;0,MOD(YEAR(B252),400)=0)),366,365),(((DATE(YEAR(B251)+1,1,1)))-B251)/IF(AND(MOD(YEAR(B251),4)=0,OR(MOD(YEAR(B251),100)&lt;&gt;0,MOD(YEAR(B251),400)=0)),366,365)+(B252-((DATE(YEAR(B251)+1,1,1))))/IF(AND(MOD(YEAR(B252),4)=0,OR(MOD(YEAR(B252),100)&lt;&gt;0,MOD(YEAR(B252),400)=0)),366,365)))</f>
        <v/>
      </c>
      <c r="F252" s="14">
        <f>L251</f>
        <v/>
      </c>
      <c r="G252" s="14">
        <f>M251</f>
        <v/>
      </c>
      <c r="H252" s="14">
        <f>IF((((COB_CA!$B$18-I252)-J252)&gt;D252),I252+J252+K252,COB_CA!$B$18)</f>
        <v/>
      </c>
      <c r="I252" s="14">
        <f>MIN(COB_CA!$B$18,(E252+F252))</f>
        <v/>
      </c>
      <c r="J252" s="14">
        <f>MIN((COB_CA!$B$18-I252),G252)</f>
        <v/>
      </c>
      <c r="K252" s="14">
        <f>MIN(((COB_CA!$B$18-I252)-J252),D252)</f>
        <v/>
      </c>
      <c r="L252" s="14">
        <f>E252+F252-I252</f>
        <v/>
      </c>
      <c r="M252" s="14">
        <f>G252-J252</f>
        <v/>
      </c>
      <c r="N252" s="14">
        <f>D252-K252</f>
        <v/>
      </c>
      <c r="O252" s="6">
        <f>AND(D252&gt;0,B252&lt;=COB_CA!$B$20)</f>
        <v/>
      </c>
    </row>
    <row r="253">
      <c r="A253" s="6" t="n">
        <v>249</v>
      </c>
      <c r="B253" s="15">
        <f>IF(COB_CA!$B$38=12,DATE(YEAR(COB_CA!$B$19)+INT((MONTH(COB_CA!$B$19)-1+248)/12),MOD(MONTH(COB_CA!$B$19)-1+248,12)+1,1)+(DAY(COB_CA!$B$19)-1),IF(COB_CA!$B$38=24,COB_CA!$B$19+ROUND((248*365.25)/24,0),IF(COB_CA!$B$38=26,COB_CA!$B$19+3472,COB_CA!$B$19+1736)))</f>
        <v/>
      </c>
      <c r="C253" s="12">
        <f>B253-B252</f>
        <v/>
      </c>
      <c r="D253" s="14">
        <f>N252</f>
        <v/>
      </c>
      <c r="E253" s="14">
        <f>D253*COB_CA!$B$40/100*(IF(YEAR(B252)=YEAR(B253),(B253-B252)/IF(AND(MOD(YEAR(B253),4)=0,OR(MOD(YEAR(B253),100)&lt;&gt;0,MOD(YEAR(B253),400)=0)),366,365),(((DATE(YEAR(B252)+1,1,1)))-B252)/IF(AND(MOD(YEAR(B252),4)=0,OR(MOD(YEAR(B252),100)&lt;&gt;0,MOD(YEAR(B252),400)=0)),366,365)+(B253-((DATE(YEAR(B252)+1,1,1))))/IF(AND(MOD(YEAR(B253),4)=0,OR(MOD(YEAR(B253),100)&lt;&gt;0,MOD(YEAR(B253),400)=0)),366,365)))</f>
        <v/>
      </c>
      <c r="F253" s="14">
        <f>L252</f>
        <v/>
      </c>
      <c r="G253" s="14">
        <f>M252</f>
        <v/>
      </c>
      <c r="H253" s="14">
        <f>IF((((COB_CA!$B$18-I253)-J253)&gt;D253),I253+J253+K253,COB_CA!$B$18)</f>
        <v/>
      </c>
      <c r="I253" s="14">
        <f>MIN(COB_CA!$B$18,(E253+F253))</f>
        <v/>
      </c>
      <c r="J253" s="14">
        <f>MIN((COB_CA!$B$18-I253),G253)</f>
        <v/>
      </c>
      <c r="K253" s="14">
        <f>MIN(((COB_CA!$B$18-I253)-J253),D253)</f>
        <v/>
      </c>
      <c r="L253" s="14">
        <f>E253+F253-I253</f>
        <v/>
      </c>
      <c r="M253" s="14">
        <f>G253-J253</f>
        <v/>
      </c>
      <c r="N253" s="14">
        <f>D253-K253</f>
        <v/>
      </c>
      <c r="O253" s="6">
        <f>AND(D253&gt;0,B253&lt;=COB_CA!$B$20)</f>
        <v/>
      </c>
    </row>
    <row r="254">
      <c r="A254" s="6" t="n">
        <v>250</v>
      </c>
      <c r="B254" s="15">
        <f>IF(COB_CA!$B$38=12,DATE(YEAR(COB_CA!$B$19)+INT((MONTH(COB_CA!$B$19)-1+249)/12),MOD(MONTH(COB_CA!$B$19)-1+249,12)+1,1)+(DAY(COB_CA!$B$19)-1),IF(COB_CA!$B$38=24,COB_CA!$B$19+ROUND((249*365.25)/24,0),IF(COB_CA!$B$38=26,COB_CA!$B$19+3486,COB_CA!$B$19+1743)))</f>
        <v/>
      </c>
      <c r="C254" s="12">
        <f>B254-B253</f>
        <v/>
      </c>
      <c r="D254" s="14">
        <f>N253</f>
        <v/>
      </c>
      <c r="E254" s="14">
        <f>D254*COB_CA!$B$40/100*(IF(YEAR(B253)=YEAR(B254),(B254-B253)/IF(AND(MOD(YEAR(B254),4)=0,OR(MOD(YEAR(B254),100)&lt;&gt;0,MOD(YEAR(B254),400)=0)),366,365),(((DATE(YEAR(B253)+1,1,1)))-B253)/IF(AND(MOD(YEAR(B253),4)=0,OR(MOD(YEAR(B253),100)&lt;&gt;0,MOD(YEAR(B253),400)=0)),366,365)+(B254-((DATE(YEAR(B253)+1,1,1))))/IF(AND(MOD(YEAR(B254),4)=0,OR(MOD(YEAR(B254),100)&lt;&gt;0,MOD(YEAR(B254),400)=0)),366,365)))</f>
        <v/>
      </c>
      <c r="F254" s="14">
        <f>L253</f>
        <v/>
      </c>
      <c r="G254" s="14">
        <f>M253</f>
        <v/>
      </c>
      <c r="H254" s="14">
        <f>IF((((COB_CA!$B$18-I254)-J254)&gt;D254),I254+J254+K254,COB_CA!$B$18)</f>
        <v/>
      </c>
      <c r="I254" s="14">
        <f>MIN(COB_CA!$B$18,(E254+F254))</f>
        <v/>
      </c>
      <c r="J254" s="14">
        <f>MIN((COB_CA!$B$18-I254),G254)</f>
        <v/>
      </c>
      <c r="K254" s="14">
        <f>MIN(((COB_CA!$B$18-I254)-J254),D254)</f>
        <v/>
      </c>
      <c r="L254" s="14">
        <f>E254+F254-I254</f>
        <v/>
      </c>
      <c r="M254" s="14">
        <f>G254-J254</f>
        <v/>
      </c>
      <c r="N254" s="14">
        <f>D254-K254</f>
        <v/>
      </c>
      <c r="O254" s="6">
        <f>AND(D254&gt;0,B254&lt;=COB_CA!$B$20)</f>
        <v/>
      </c>
    </row>
    <row r="255">
      <c r="A255" s="6" t="n">
        <v>251</v>
      </c>
      <c r="B255" s="15">
        <f>IF(COB_CA!$B$38=12,DATE(YEAR(COB_CA!$B$19)+INT((MONTH(COB_CA!$B$19)-1+250)/12),MOD(MONTH(COB_CA!$B$19)-1+250,12)+1,1)+(DAY(COB_CA!$B$19)-1),IF(COB_CA!$B$38=24,COB_CA!$B$19+ROUND((250*365.25)/24,0),IF(COB_CA!$B$38=26,COB_CA!$B$19+3500,COB_CA!$B$19+1750)))</f>
        <v/>
      </c>
      <c r="C255" s="12">
        <f>B255-B254</f>
        <v/>
      </c>
      <c r="D255" s="14">
        <f>N254</f>
        <v/>
      </c>
      <c r="E255" s="14">
        <f>D255*COB_CA!$B$40/100*(IF(YEAR(B254)=YEAR(B255),(B255-B254)/IF(AND(MOD(YEAR(B255),4)=0,OR(MOD(YEAR(B255),100)&lt;&gt;0,MOD(YEAR(B255),400)=0)),366,365),(((DATE(YEAR(B254)+1,1,1)))-B254)/IF(AND(MOD(YEAR(B254),4)=0,OR(MOD(YEAR(B254),100)&lt;&gt;0,MOD(YEAR(B254),400)=0)),366,365)+(B255-((DATE(YEAR(B254)+1,1,1))))/IF(AND(MOD(YEAR(B255),4)=0,OR(MOD(YEAR(B255),100)&lt;&gt;0,MOD(YEAR(B255),400)=0)),366,365)))</f>
        <v/>
      </c>
      <c r="F255" s="14">
        <f>L254</f>
        <v/>
      </c>
      <c r="G255" s="14">
        <f>M254</f>
        <v/>
      </c>
      <c r="H255" s="14">
        <f>IF((((COB_CA!$B$18-I255)-J255)&gt;D255),I255+J255+K255,COB_CA!$B$18)</f>
        <v/>
      </c>
      <c r="I255" s="14">
        <f>MIN(COB_CA!$B$18,(E255+F255))</f>
        <v/>
      </c>
      <c r="J255" s="14">
        <f>MIN((COB_CA!$B$18-I255),G255)</f>
        <v/>
      </c>
      <c r="K255" s="14">
        <f>MIN(((COB_CA!$B$18-I255)-J255),D255)</f>
        <v/>
      </c>
      <c r="L255" s="14">
        <f>E255+F255-I255</f>
        <v/>
      </c>
      <c r="M255" s="14">
        <f>G255-J255</f>
        <v/>
      </c>
      <c r="N255" s="14">
        <f>D255-K255</f>
        <v/>
      </c>
      <c r="O255" s="6">
        <f>AND(D255&gt;0,B255&lt;=COB_CA!$B$20)</f>
        <v/>
      </c>
    </row>
    <row r="256">
      <c r="A256" s="6" t="n">
        <v>252</v>
      </c>
      <c r="B256" s="15">
        <f>IF(COB_CA!$B$38=12,DATE(YEAR(COB_CA!$B$19)+INT((MONTH(COB_CA!$B$19)-1+251)/12),MOD(MONTH(COB_CA!$B$19)-1+251,12)+1,1)+(DAY(COB_CA!$B$19)-1),IF(COB_CA!$B$38=24,COB_CA!$B$19+ROUND((251*365.25)/24,0),IF(COB_CA!$B$38=26,COB_CA!$B$19+3514,COB_CA!$B$19+1757)))</f>
        <v/>
      </c>
      <c r="C256" s="12">
        <f>B256-B255</f>
        <v/>
      </c>
      <c r="D256" s="14">
        <f>N255</f>
        <v/>
      </c>
      <c r="E256" s="14">
        <f>D256*COB_CA!$B$40/100*(IF(YEAR(B255)=YEAR(B256),(B256-B255)/IF(AND(MOD(YEAR(B256),4)=0,OR(MOD(YEAR(B256),100)&lt;&gt;0,MOD(YEAR(B256),400)=0)),366,365),(((DATE(YEAR(B255)+1,1,1)))-B255)/IF(AND(MOD(YEAR(B255),4)=0,OR(MOD(YEAR(B255),100)&lt;&gt;0,MOD(YEAR(B255),400)=0)),366,365)+(B256-((DATE(YEAR(B255)+1,1,1))))/IF(AND(MOD(YEAR(B256),4)=0,OR(MOD(YEAR(B256),100)&lt;&gt;0,MOD(YEAR(B256),400)=0)),366,365)))</f>
        <v/>
      </c>
      <c r="F256" s="14">
        <f>L255</f>
        <v/>
      </c>
      <c r="G256" s="14">
        <f>M255</f>
        <v/>
      </c>
      <c r="H256" s="14">
        <f>IF((((COB_CA!$B$18-I256)-J256)&gt;D256),I256+J256+K256,COB_CA!$B$18)</f>
        <v/>
      </c>
      <c r="I256" s="14">
        <f>MIN(COB_CA!$B$18,(E256+F256))</f>
        <v/>
      </c>
      <c r="J256" s="14">
        <f>MIN((COB_CA!$B$18-I256),G256)</f>
        <v/>
      </c>
      <c r="K256" s="14">
        <f>MIN(((COB_CA!$B$18-I256)-J256),D256)</f>
        <v/>
      </c>
      <c r="L256" s="14">
        <f>E256+F256-I256</f>
        <v/>
      </c>
      <c r="M256" s="14">
        <f>G256-J256</f>
        <v/>
      </c>
      <c r="N256" s="14">
        <f>D256-K256</f>
        <v/>
      </c>
      <c r="O256" s="6">
        <f>AND(D256&gt;0,B256&lt;=COB_CA!$B$20)</f>
        <v/>
      </c>
    </row>
    <row r="257">
      <c r="A257" s="6" t="n">
        <v>253</v>
      </c>
      <c r="B257" s="15">
        <f>IF(COB_CA!$B$38=12,DATE(YEAR(COB_CA!$B$19)+INT((MONTH(COB_CA!$B$19)-1+252)/12),MOD(MONTH(COB_CA!$B$19)-1+252,12)+1,1)+(DAY(COB_CA!$B$19)-1),IF(COB_CA!$B$38=24,COB_CA!$B$19+ROUND((252*365.25)/24,0),IF(COB_CA!$B$38=26,COB_CA!$B$19+3528,COB_CA!$B$19+1764)))</f>
        <v/>
      </c>
      <c r="C257" s="12">
        <f>B257-B256</f>
        <v/>
      </c>
      <c r="D257" s="14">
        <f>N256</f>
        <v/>
      </c>
      <c r="E257" s="14">
        <f>D257*COB_CA!$B$40/100*(IF(YEAR(B256)=YEAR(B257),(B257-B256)/IF(AND(MOD(YEAR(B257),4)=0,OR(MOD(YEAR(B257),100)&lt;&gt;0,MOD(YEAR(B257),400)=0)),366,365),(((DATE(YEAR(B256)+1,1,1)))-B256)/IF(AND(MOD(YEAR(B256),4)=0,OR(MOD(YEAR(B256),100)&lt;&gt;0,MOD(YEAR(B256),400)=0)),366,365)+(B257-((DATE(YEAR(B256)+1,1,1))))/IF(AND(MOD(YEAR(B257),4)=0,OR(MOD(YEAR(B257),100)&lt;&gt;0,MOD(YEAR(B257),400)=0)),366,365)))</f>
        <v/>
      </c>
      <c r="F257" s="14">
        <f>L256</f>
        <v/>
      </c>
      <c r="G257" s="14">
        <f>M256</f>
        <v/>
      </c>
      <c r="H257" s="14">
        <f>IF((((COB_CA!$B$18-I257)-J257)&gt;D257),I257+J257+K257,COB_CA!$B$18)</f>
        <v/>
      </c>
      <c r="I257" s="14">
        <f>MIN(COB_CA!$B$18,(E257+F257))</f>
        <v/>
      </c>
      <c r="J257" s="14">
        <f>MIN((COB_CA!$B$18-I257),G257)</f>
        <v/>
      </c>
      <c r="K257" s="14">
        <f>MIN(((COB_CA!$B$18-I257)-J257),D257)</f>
        <v/>
      </c>
      <c r="L257" s="14">
        <f>E257+F257-I257</f>
        <v/>
      </c>
      <c r="M257" s="14">
        <f>G257-J257</f>
        <v/>
      </c>
      <c r="N257" s="14">
        <f>D257-K257</f>
        <v/>
      </c>
      <c r="O257" s="6">
        <f>AND(D257&gt;0,B257&lt;=COB_CA!$B$20)</f>
        <v/>
      </c>
    </row>
    <row r="258">
      <c r="A258" s="6" t="n">
        <v>254</v>
      </c>
      <c r="B258" s="15">
        <f>IF(COB_CA!$B$38=12,DATE(YEAR(COB_CA!$B$19)+INT((MONTH(COB_CA!$B$19)-1+253)/12),MOD(MONTH(COB_CA!$B$19)-1+253,12)+1,1)+(DAY(COB_CA!$B$19)-1),IF(COB_CA!$B$38=24,COB_CA!$B$19+ROUND((253*365.25)/24,0),IF(COB_CA!$B$38=26,COB_CA!$B$19+3542,COB_CA!$B$19+1771)))</f>
        <v/>
      </c>
      <c r="C258" s="12">
        <f>B258-B257</f>
        <v/>
      </c>
      <c r="D258" s="14">
        <f>N257</f>
        <v/>
      </c>
      <c r="E258" s="14">
        <f>D258*COB_CA!$B$40/100*(IF(YEAR(B257)=YEAR(B258),(B258-B257)/IF(AND(MOD(YEAR(B258),4)=0,OR(MOD(YEAR(B258),100)&lt;&gt;0,MOD(YEAR(B258),400)=0)),366,365),(((DATE(YEAR(B257)+1,1,1)))-B257)/IF(AND(MOD(YEAR(B257),4)=0,OR(MOD(YEAR(B257),100)&lt;&gt;0,MOD(YEAR(B257),400)=0)),366,365)+(B258-((DATE(YEAR(B257)+1,1,1))))/IF(AND(MOD(YEAR(B258),4)=0,OR(MOD(YEAR(B258),100)&lt;&gt;0,MOD(YEAR(B258),400)=0)),366,365)))</f>
        <v/>
      </c>
      <c r="F258" s="14">
        <f>L257</f>
        <v/>
      </c>
      <c r="G258" s="14">
        <f>M257</f>
        <v/>
      </c>
      <c r="H258" s="14">
        <f>IF((((COB_CA!$B$18-I258)-J258)&gt;D258),I258+J258+K258,COB_CA!$B$18)</f>
        <v/>
      </c>
      <c r="I258" s="14">
        <f>MIN(COB_CA!$B$18,(E258+F258))</f>
        <v/>
      </c>
      <c r="J258" s="14">
        <f>MIN((COB_CA!$B$18-I258),G258)</f>
        <v/>
      </c>
      <c r="K258" s="14">
        <f>MIN(((COB_CA!$B$18-I258)-J258),D258)</f>
        <v/>
      </c>
      <c r="L258" s="14">
        <f>E258+F258-I258</f>
        <v/>
      </c>
      <c r="M258" s="14">
        <f>G258-J258</f>
        <v/>
      </c>
      <c r="N258" s="14">
        <f>D258-K258</f>
        <v/>
      </c>
      <c r="O258" s="6">
        <f>AND(D258&gt;0,B258&lt;=COB_CA!$B$20)</f>
        <v/>
      </c>
    </row>
    <row r="259">
      <c r="A259" s="6" t="n">
        <v>255</v>
      </c>
      <c r="B259" s="15">
        <f>IF(COB_CA!$B$38=12,DATE(YEAR(COB_CA!$B$19)+INT((MONTH(COB_CA!$B$19)-1+254)/12),MOD(MONTH(COB_CA!$B$19)-1+254,12)+1,1)+(DAY(COB_CA!$B$19)-1),IF(COB_CA!$B$38=24,COB_CA!$B$19+ROUND((254*365.25)/24,0),IF(COB_CA!$B$38=26,COB_CA!$B$19+3556,COB_CA!$B$19+1778)))</f>
        <v/>
      </c>
      <c r="C259" s="12">
        <f>B259-B258</f>
        <v/>
      </c>
      <c r="D259" s="14">
        <f>N258</f>
        <v/>
      </c>
      <c r="E259" s="14">
        <f>D259*COB_CA!$B$40/100*(IF(YEAR(B258)=YEAR(B259),(B259-B258)/IF(AND(MOD(YEAR(B259),4)=0,OR(MOD(YEAR(B259),100)&lt;&gt;0,MOD(YEAR(B259),400)=0)),366,365),(((DATE(YEAR(B258)+1,1,1)))-B258)/IF(AND(MOD(YEAR(B258),4)=0,OR(MOD(YEAR(B258),100)&lt;&gt;0,MOD(YEAR(B258),400)=0)),366,365)+(B259-((DATE(YEAR(B258)+1,1,1))))/IF(AND(MOD(YEAR(B259),4)=0,OR(MOD(YEAR(B259),100)&lt;&gt;0,MOD(YEAR(B259),400)=0)),366,365)))</f>
        <v/>
      </c>
      <c r="F259" s="14">
        <f>L258</f>
        <v/>
      </c>
      <c r="G259" s="14">
        <f>M258</f>
        <v/>
      </c>
      <c r="H259" s="14">
        <f>IF((((COB_CA!$B$18-I259)-J259)&gt;D259),I259+J259+K259,COB_CA!$B$18)</f>
        <v/>
      </c>
      <c r="I259" s="14">
        <f>MIN(COB_CA!$B$18,(E259+F259))</f>
        <v/>
      </c>
      <c r="J259" s="14">
        <f>MIN((COB_CA!$B$18-I259),G259)</f>
        <v/>
      </c>
      <c r="K259" s="14">
        <f>MIN(((COB_CA!$B$18-I259)-J259),D259)</f>
        <v/>
      </c>
      <c r="L259" s="14">
        <f>E259+F259-I259</f>
        <v/>
      </c>
      <c r="M259" s="14">
        <f>G259-J259</f>
        <v/>
      </c>
      <c r="N259" s="14">
        <f>D259-K259</f>
        <v/>
      </c>
      <c r="O259" s="6">
        <f>AND(D259&gt;0,B259&lt;=COB_CA!$B$20)</f>
        <v/>
      </c>
    </row>
    <row r="260">
      <c r="A260" s="6" t="n">
        <v>256</v>
      </c>
      <c r="B260" s="15">
        <f>IF(COB_CA!$B$38=12,DATE(YEAR(COB_CA!$B$19)+INT((MONTH(COB_CA!$B$19)-1+255)/12),MOD(MONTH(COB_CA!$B$19)-1+255,12)+1,1)+(DAY(COB_CA!$B$19)-1),IF(COB_CA!$B$38=24,COB_CA!$B$19+ROUND((255*365.25)/24,0),IF(COB_CA!$B$38=26,COB_CA!$B$19+3570,COB_CA!$B$19+1785)))</f>
        <v/>
      </c>
      <c r="C260" s="12">
        <f>B260-B259</f>
        <v/>
      </c>
      <c r="D260" s="14">
        <f>N259</f>
        <v/>
      </c>
      <c r="E260" s="14">
        <f>D260*COB_CA!$B$40/100*(IF(YEAR(B259)=YEAR(B260),(B260-B259)/IF(AND(MOD(YEAR(B260),4)=0,OR(MOD(YEAR(B260),100)&lt;&gt;0,MOD(YEAR(B260),400)=0)),366,365),(((DATE(YEAR(B259)+1,1,1)))-B259)/IF(AND(MOD(YEAR(B259),4)=0,OR(MOD(YEAR(B259),100)&lt;&gt;0,MOD(YEAR(B259),400)=0)),366,365)+(B260-((DATE(YEAR(B259)+1,1,1))))/IF(AND(MOD(YEAR(B260),4)=0,OR(MOD(YEAR(B260),100)&lt;&gt;0,MOD(YEAR(B260),400)=0)),366,365)))</f>
        <v/>
      </c>
      <c r="F260" s="14">
        <f>L259</f>
        <v/>
      </c>
      <c r="G260" s="14">
        <f>M259</f>
        <v/>
      </c>
      <c r="H260" s="14">
        <f>IF((((COB_CA!$B$18-I260)-J260)&gt;D260),I260+J260+K260,COB_CA!$B$18)</f>
        <v/>
      </c>
      <c r="I260" s="14">
        <f>MIN(COB_CA!$B$18,(E260+F260))</f>
        <v/>
      </c>
      <c r="J260" s="14">
        <f>MIN((COB_CA!$B$18-I260),G260)</f>
        <v/>
      </c>
      <c r="K260" s="14">
        <f>MIN(((COB_CA!$B$18-I260)-J260),D260)</f>
        <v/>
      </c>
      <c r="L260" s="14">
        <f>E260+F260-I260</f>
        <v/>
      </c>
      <c r="M260" s="14">
        <f>G260-J260</f>
        <v/>
      </c>
      <c r="N260" s="14">
        <f>D260-K260</f>
        <v/>
      </c>
      <c r="O260" s="6">
        <f>AND(D260&gt;0,B260&lt;=COB_CA!$B$20)</f>
        <v/>
      </c>
    </row>
    <row r="261">
      <c r="A261" s="6" t="n">
        <v>257</v>
      </c>
      <c r="B261" s="15">
        <f>IF(COB_CA!$B$38=12,DATE(YEAR(COB_CA!$B$19)+INT((MONTH(COB_CA!$B$19)-1+256)/12),MOD(MONTH(COB_CA!$B$19)-1+256,12)+1,1)+(DAY(COB_CA!$B$19)-1),IF(COB_CA!$B$38=24,COB_CA!$B$19+ROUND((256*365.25)/24,0),IF(COB_CA!$B$38=26,COB_CA!$B$19+3584,COB_CA!$B$19+1792)))</f>
        <v/>
      </c>
      <c r="C261" s="12">
        <f>B261-B260</f>
        <v/>
      </c>
      <c r="D261" s="14">
        <f>N260</f>
        <v/>
      </c>
      <c r="E261" s="14">
        <f>D261*COB_CA!$B$40/100*(IF(YEAR(B260)=YEAR(B261),(B261-B260)/IF(AND(MOD(YEAR(B261),4)=0,OR(MOD(YEAR(B261),100)&lt;&gt;0,MOD(YEAR(B261),400)=0)),366,365),(((DATE(YEAR(B260)+1,1,1)))-B260)/IF(AND(MOD(YEAR(B260),4)=0,OR(MOD(YEAR(B260),100)&lt;&gt;0,MOD(YEAR(B260),400)=0)),366,365)+(B261-((DATE(YEAR(B260)+1,1,1))))/IF(AND(MOD(YEAR(B261),4)=0,OR(MOD(YEAR(B261),100)&lt;&gt;0,MOD(YEAR(B261),400)=0)),366,365)))</f>
        <v/>
      </c>
      <c r="F261" s="14">
        <f>L260</f>
        <v/>
      </c>
      <c r="G261" s="14">
        <f>M260</f>
        <v/>
      </c>
      <c r="H261" s="14">
        <f>IF((((COB_CA!$B$18-I261)-J261)&gt;D261),I261+J261+K261,COB_CA!$B$18)</f>
        <v/>
      </c>
      <c r="I261" s="14">
        <f>MIN(COB_CA!$B$18,(E261+F261))</f>
        <v/>
      </c>
      <c r="J261" s="14">
        <f>MIN((COB_CA!$B$18-I261),G261)</f>
        <v/>
      </c>
      <c r="K261" s="14">
        <f>MIN(((COB_CA!$B$18-I261)-J261),D261)</f>
        <v/>
      </c>
      <c r="L261" s="14">
        <f>E261+F261-I261</f>
        <v/>
      </c>
      <c r="M261" s="14">
        <f>G261-J261</f>
        <v/>
      </c>
      <c r="N261" s="14">
        <f>D261-K261</f>
        <v/>
      </c>
      <c r="O261" s="6">
        <f>AND(D261&gt;0,B261&lt;=COB_CA!$B$20)</f>
        <v/>
      </c>
    </row>
    <row r="262">
      <c r="A262" s="6" t="n">
        <v>258</v>
      </c>
      <c r="B262" s="15">
        <f>IF(COB_CA!$B$38=12,DATE(YEAR(COB_CA!$B$19)+INT((MONTH(COB_CA!$B$19)-1+257)/12),MOD(MONTH(COB_CA!$B$19)-1+257,12)+1,1)+(DAY(COB_CA!$B$19)-1),IF(COB_CA!$B$38=24,COB_CA!$B$19+ROUND((257*365.25)/24,0),IF(COB_CA!$B$38=26,COB_CA!$B$19+3598,COB_CA!$B$19+1799)))</f>
        <v/>
      </c>
      <c r="C262" s="12">
        <f>B262-B261</f>
        <v/>
      </c>
      <c r="D262" s="14">
        <f>N261</f>
        <v/>
      </c>
      <c r="E262" s="14">
        <f>D262*COB_CA!$B$40/100*(IF(YEAR(B261)=YEAR(B262),(B262-B261)/IF(AND(MOD(YEAR(B262),4)=0,OR(MOD(YEAR(B262),100)&lt;&gt;0,MOD(YEAR(B262),400)=0)),366,365),(((DATE(YEAR(B261)+1,1,1)))-B261)/IF(AND(MOD(YEAR(B261),4)=0,OR(MOD(YEAR(B261),100)&lt;&gt;0,MOD(YEAR(B261),400)=0)),366,365)+(B262-((DATE(YEAR(B261)+1,1,1))))/IF(AND(MOD(YEAR(B262),4)=0,OR(MOD(YEAR(B262),100)&lt;&gt;0,MOD(YEAR(B262),400)=0)),366,365)))</f>
        <v/>
      </c>
      <c r="F262" s="14">
        <f>L261</f>
        <v/>
      </c>
      <c r="G262" s="14">
        <f>M261</f>
        <v/>
      </c>
      <c r="H262" s="14">
        <f>IF((((COB_CA!$B$18-I262)-J262)&gt;D262),I262+J262+K262,COB_CA!$B$18)</f>
        <v/>
      </c>
      <c r="I262" s="14">
        <f>MIN(COB_CA!$B$18,(E262+F262))</f>
        <v/>
      </c>
      <c r="J262" s="14">
        <f>MIN((COB_CA!$B$18-I262),G262)</f>
        <v/>
      </c>
      <c r="K262" s="14">
        <f>MIN(((COB_CA!$B$18-I262)-J262),D262)</f>
        <v/>
      </c>
      <c r="L262" s="14">
        <f>E262+F262-I262</f>
        <v/>
      </c>
      <c r="M262" s="14">
        <f>G262-J262</f>
        <v/>
      </c>
      <c r="N262" s="14">
        <f>D262-K262</f>
        <v/>
      </c>
      <c r="O262" s="6">
        <f>AND(D262&gt;0,B262&lt;=COB_CA!$B$20)</f>
        <v/>
      </c>
    </row>
    <row r="263">
      <c r="A263" s="6" t="n">
        <v>259</v>
      </c>
      <c r="B263" s="15">
        <f>IF(COB_CA!$B$38=12,DATE(YEAR(COB_CA!$B$19)+INT((MONTH(COB_CA!$B$19)-1+258)/12),MOD(MONTH(COB_CA!$B$19)-1+258,12)+1,1)+(DAY(COB_CA!$B$19)-1),IF(COB_CA!$B$38=24,COB_CA!$B$19+ROUND((258*365.25)/24,0),IF(COB_CA!$B$38=26,COB_CA!$B$19+3612,COB_CA!$B$19+1806)))</f>
        <v/>
      </c>
      <c r="C263" s="12">
        <f>B263-B262</f>
        <v/>
      </c>
      <c r="D263" s="14">
        <f>N262</f>
        <v/>
      </c>
      <c r="E263" s="14">
        <f>D263*COB_CA!$B$40/100*(IF(YEAR(B262)=YEAR(B263),(B263-B262)/IF(AND(MOD(YEAR(B263),4)=0,OR(MOD(YEAR(B263),100)&lt;&gt;0,MOD(YEAR(B263),400)=0)),366,365),(((DATE(YEAR(B262)+1,1,1)))-B262)/IF(AND(MOD(YEAR(B262),4)=0,OR(MOD(YEAR(B262),100)&lt;&gt;0,MOD(YEAR(B262),400)=0)),366,365)+(B263-((DATE(YEAR(B262)+1,1,1))))/IF(AND(MOD(YEAR(B263),4)=0,OR(MOD(YEAR(B263),100)&lt;&gt;0,MOD(YEAR(B263),400)=0)),366,365)))</f>
        <v/>
      </c>
      <c r="F263" s="14">
        <f>L262</f>
        <v/>
      </c>
      <c r="G263" s="14">
        <f>M262</f>
        <v/>
      </c>
      <c r="H263" s="14">
        <f>IF((((COB_CA!$B$18-I263)-J263)&gt;D263),I263+J263+K263,COB_CA!$B$18)</f>
        <v/>
      </c>
      <c r="I263" s="14">
        <f>MIN(COB_CA!$B$18,(E263+F263))</f>
        <v/>
      </c>
      <c r="J263" s="14">
        <f>MIN((COB_CA!$B$18-I263),G263)</f>
        <v/>
      </c>
      <c r="K263" s="14">
        <f>MIN(((COB_CA!$B$18-I263)-J263),D263)</f>
        <v/>
      </c>
      <c r="L263" s="14">
        <f>E263+F263-I263</f>
        <v/>
      </c>
      <c r="M263" s="14">
        <f>G263-J263</f>
        <v/>
      </c>
      <c r="N263" s="14">
        <f>D263-K263</f>
        <v/>
      </c>
      <c r="O263" s="6">
        <f>AND(D263&gt;0,B263&lt;=COB_CA!$B$20)</f>
        <v/>
      </c>
    </row>
    <row r="264">
      <c r="A264" s="6" t="n">
        <v>260</v>
      </c>
      <c r="B264" s="15">
        <f>IF(COB_CA!$B$38=12,DATE(YEAR(COB_CA!$B$19)+INT((MONTH(COB_CA!$B$19)-1+259)/12),MOD(MONTH(COB_CA!$B$19)-1+259,12)+1,1)+(DAY(COB_CA!$B$19)-1),IF(COB_CA!$B$38=24,COB_CA!$B$19+ROUND((259*365.25)/24,0),IF(COB_CA!$B$38=26,COB_CA!$B$19+3626,COB_CA!$B$19+1813)))</f>
        <v/>
      </c>
      <c r="C264" s="12">
        <f>B264-B263</f>
        <v/>
      </c>
      <c r="D264" s="14">
        <f>N263</f>
        <v/>
      </c>
      <c r="E264" s="14">
        <f>D264*COB_CA!$B$40/100*(IF(YEAR(B263)=YEAR(B264),(B264-B263)/IF(AND(MOD(YEAR(B264),4)=0,OR(MOD(YEAR(B264),100)&lt;&gt;0,MOD(YEAR(B264),400)=0)),366,365),(((DATE(YEAR(B263)+1,1,1)))-B263)/IF(AND(MOD(YEAR(B263),4)=0,OR(MOD(YEAR(B263),100)&lt;&gt;0,MOD(YEAR(B263),400)=0)),366,365)+(B264-((DATE(YEAR(B263)+1,1,1))))/IF(AND(MOD(YEAR(B264),4)=0,OR(MOD(YEAR(B264),100)&lt;&gt;0,MOD(YEAR(B264),400)=0)),366,365)))</f>
        <v/>
      </c>
      <c r="F264" s="14">
        <f>L263</f>
        <v/>
      </c>
      <c r="G264" s="14">
        <f>M263</f>
        <v/>
      </c>
      <c r="H264" s="14">
        <f>IF((((COB_CA!$B$18-I264)-J264)&gt;D264),I264+J264+K264,COB_CA!$B$18)</f>
        <v/>
      </c>
      <c r="I264" s="14">
        <f>MIN(COB_CA!$B$18,(E264+F264))</f>
        <v/>
      </c>
      <c r="J264" s="14">
        <f>MIN((COB_CA!$B$18-I264),G264)</f>
        <v/>
      </c>
      <c r="K264" s="14">
        <f>MIN(((COB_CA!$B$18-I264)-J264),D264)</f>
        <v/>
      </c>
      <c r="L264" s="14">
        <f>E264+F264-I264</f>
        <v/>
      </c>
      <c r="M264" s="14">
        <f>G264-J264</f>
        <v/>
      </c>
      <c r="N264" s="14">
        <f>D264-K264</f>
        <v/>
      </c>
      <c r="O264" s="6">
        <f>AND(D264&gt;0,B264&lt;=COB_CA!$B$20)</f>
        <v/>
      </c>
    </row>
    <row r="265">
      <c r="A265" s="6" t="n">
        <v>261</v>
      </c>
      <c r="B265" s="15">
        <f>IF(COB_CA!$B$38=12,DATE(YEAR(COB_CA!$B$19)+INT((MONTH(COB_CA!$B$19)-1+260)/12),MOD(MONTH(COB_CA!$B$19)-1+260,12)+1,1)+(DAY(COB_CA!$B$19)-1),IF(COB_CA!$B$38=24,COB_CA!$B$19+ROUND((260*365.25)/24,0),IF(COB_CA!$B$38=26,COB_CA!$B$19+3640,COB_CA!$B$19+1820)))</f>
        <v/>
      </c>
      <c r="C265" s="12">
        <f>B265-B264</f>
        <v/>
      </c>
      <c r="D265" s="14">
        <f>N264</f>
        <v/>
      </c>
      <c r="E265" s="14">
        <f>D265*COB_CA!$B$40/100*(IF(YEAR(B264)=YEAR(B265),(B265-B264)/IF(AND(MOD(YEAR(B265),4)=0,OR(MOD(YEAR(B265),100)&lt;&gt;0,MOD(YEAR(B265),400)=0)),366,365),(((DATE(YEAR(B264)+1,1,1)))-B264)/IF(AND(MOD(YEAR(B264),4)=0,OR(MOD(YEAR(B264),100)&lt;&gt;0,MOD(YEAR(B264),400)=0)),366,365)+(B265-((DATE(YEAR(B264)+1,1,1))))/IF(AND(MOD(YEAR(B265),4)=0,OR(MOD(YEAR(B265),100)&lt;&gt;0,MOD(YEAR(B265),400)=0)),366,365)))</f>
        <v/>
      </c>
      <c r="F265" s="14">
        <f>L264</f>
        <v/>
      </c>
      <c r="G265" s="14">
        <f>M264</f>
        <v/>
      </c>
      <c r="H265" s="14">
        <f>IF((((COB_CA!$B$18-I265)-J265)&gt;D265),I265+J265+K265,COB_CA!$B$18)</f>
        <v/>
      </c>
      <c r="I265" s="14">
        <f>MIN(COB_CA!$B$18,(E265+F265))</f>
        <v/>
      </c>
      <c r="J265" s="14">
        <f>MIN((COB_CA!$B$18-I265),G265)</f>
        <v/>
      </c>
      <c r="K265" s="14">
        <f>MIN(((COB_CA!$B$18-I265)-J265),D265)</f>
        <v/>
      </c>
      <c r="L265" s="14">
        <f>E265+F265-I265</f>
        <v/>
      </c>
      <c r="M265" s="14">
        <f>G265-J265</f>
        <v/>
      </c>
      <c r="N265" s="14">
        <f>D265-K265</f>
        <v/>
      </c>
      <c r="O265" s="6">
        <f>AND(D265&gt;0,B265&lt;=COB_CA!$B$20)</f>
        <v/>
      </c>
    </row>
    <row r="266">
      <c r="A266" s="6" t="n">
        <v>262</v>
      </c>
      <c r="B266" s="15">
        <f>IF(COB_CA!$B$38=12,DATE(YEAR(COB_CA!$B$19)+INT((MONTH(COB_CA!$B$19)-1+261)/12),MOD(MONTH(COB_CA!$B$19)-1+261,12)+1,1)+(DAY(COB_CA!$B$19)-1),IF(COB_CA!$B$38=24,COB_CA!$B$19+ROUND((261*365.25)/24,0),IF(COB_CA!$B$38=26,COB_CA!$B$19+3654,COB_CA!$B$19+1827)))</f>
        <v/>
      </c>
      <c r="C266" s="12">
        <f>B266-B265</f>
        <v/>
      </c>
      <c r="D266" s="14">
        <f>N265</f>
        <v/>
      </c>
      <c r="E266" s="14">
        <f>D266*COB_CA!$B$40/100*(IF(YEAR(B265)=YEAR(B266),(B266-B265)/IF(AND(MOD(YEAR(B266),4)=0,OR(MOD(YEAR(B266),100)&lt;&gt;0,MOD(YEAR(B266),400)=0)),366,365),(((DATE(YEAR(B265)+1,1,1)))-B265)/IF(AND(MOD(YEAR(B265),4)=0,OR(MOD(YEAR(B265),100)&lt;&gt;0,MOD(YEAR(B265),400)=0)),366,365)+(B266-((DATE(YEAR(B265)+1,1,1))))/IF(AND(MOD(YEAR(B266),4)=0,OR(MOD(YEAR(B266),100)&lt;&gt;0,MOD(YEAR(B266),400)=0)),366,365)))</f>
        <v/>
      </c>
      <c r="F266" s="14">
        <f>L265</f>
        <v/>
      </c>
      <c r="G266" s="14">
        <f>M265</f>
        <v/>
      </c>
      <c r="H266" s="14">
        <f>IF((((COB_CA!$B$18-I266)-J266)&gt;D266),I266+J266+K266,COB_CA!$B$18)</f>
        <v/>
      </c>
      <c r="I266" s="14">
        <f>MIN(COB_CA!$B$18,(E266+F266))</f>
        <v/>
      </c>
      <c r="J266" s="14">
        <f>MIN((COB_CA!$B$18-I266),G266)</f>
        <v/>
      </c>
      <c r="K266" s="14">
        <f>MIN(((COB_CA!$B$18-I266)-J266),D266)</f>
        <v/>
      </c>
      <c r="L266" s="14">
        <f>E266+F266-I266</f>
        <v/>
      </c>
      <c r="M266" s="14">
        <f>G266-J266</f>
        <v/>
      </c>
      <c r="N266" s="14">
        <f>D266-K266</f>
        <v/>
      </c>
      <c r="O266" s="6">
        <f>AND(D266&gt;0,B266&lt;=COB_CA!$B$20)</f>
        <v/>
      </c>
    </row>
    <row r="267">
      <c r="A267" s="6" t="n">
        <v>263</v>
      </c>
      <c r="B267" s="15">
        <f>IF(COB_CA!$B$38=12,DATE(YEAR(COB_CA!$B$19)+INT((MONTH(COB_CA!$B$19)-1+262)/12),MOD(MONTH(COB_CA!$B$19)-1+262,12)+1,1)+(DAY(COB_CA!$B$19)-1),IF(COB_CA!$B$38=24,COB_CA!$B$19+ROUND((262*365.25)/24,0),IF(COB_CA!$B$38=26,COB_CA!$B$19+3668,COB_CA!$B$19+1834)))</f>
        <v/>
      </c>
      <c r="C267" s="12">
        <f>B267-B266</f>
        <v/>
      </c>
      <c r="D267" s="14">
        <f>N266</f>
        <v/>
      </c>
      <c r="E267" s="14">
        <f>D267*COB_CA!$B$40/100*(IF(YEAR(B266)=YEAR(B267),(B267-B266)/IF(AND(MOD(YEAR(B267),4)=0,OR(MOD(YEAR(B267),100)&lt;&gt;0,MOD(YEAR(B267),400)=0)),366,365),(((DATE(YEAR(B266)+1,1,1)))-B266)/IF(AND(MOD(YEAR(B266),4)=0,OR(MOD(YEAR(B266),100)&lt;&gt;0,MOD(YEAR(B266),400)=0)),366,365)+(B267-((DATE(YEAR(B266)+1,1,1))))/IF(AND(MOD(YEAR(B267),4)=0,OR(MOD(YEAR(B267),100)&lt;&gt;0,MOD(YEAR(B267),400)=0)),366,365)))</f>
        <v/>
      </c>
      <c r="F267" s="14">
        <f>L266</f>
        <v/>
      </c>
      <c r="G267" s="14">
        <f>M266</f>
        <v/>
      </c>
      <c r="H267" s="14">
        <f>IF((((COB_CA!$B$18-I267)-J267)&gt;D267),I267+J267+K267,COB_CA!$B$18)</f>
        <v/>
      </c>
      <c r="I267" s="14">
        <f>MIN(COB_CA!$B$18,(E267+F267))</f>
        <v/>
      </c>
      <c r="J267" s="14">
        <f>MIN((COB_CA!$B$18-I267),G267)</f>
        <v/>
      </c>
      <c r="K267" s="14">
        <f>MIN(((COB_CA!$B$18-I267)-J267),D267)</f>
        <v/>
      </c>
      <c r="L267" s="14">
        <f>E267+F267-I267</f>
        <v/>
      </c>
      <c r="M267" s="14">
        <f>G267-J267</f>
        <v/>
      </c>
      <c r="N267" s="14">
        <f>D267-K267</f>
        <v/>
      </c>
      <c r="O267" s="6">
        <f>AND(D267&gt;0,B267&lt;=COB_CA!$B$20)</f>
        <v/>
      </c>
    </row>
    <row r="268">
      <c r="A268" s="6" t="n">
        <v>264</v>
      </c>
      <c r="B268" s="15">
        <f>IF(COB_CA!$B$38=12,DATE(YEAR(COB_CA!$B$19)+INT((MONTH(COB_CA!$B$19)-1+263)/12),MOD(MONTH(COB_CA!$B$19)-1+263,12)+1,1)+(DAY(COB_CA!$B$19)-1),IF(COB_CA!$B$38=24,COB_CA!$B$19+ROUND((263*365.25)/24,0),IF(COB_CA!$B$38=26,COB_CA!$B$19+3682,COB_CA!$B$19+1841)))</f>
        <v/>
      </c>
      <c r="C268" s="12">
        <f>B268-B267</f>
        <v/>
      </c>
      <c r="D268" s="14">
        <f>N267</f>
        <v/>
      </c>
      <c r="E268" s="14">
        <f>D268*COB_CA!$B$40/100*(IF(YEAR(B267)=YEAR(B268),(B268-B267)/IF(AND(MOD(YEAR(B268),4)=0,OR(MOD(YEAR(B268),100)&lt;&gt;0,MOD(YEAR(B268),400)=0)),366,365),(((DATE(YEAR(B267)+1,1,1)))-B267)/IF(AND(MOD(YEAR(B267),4)=0,OR(MOD(YEAR(B267),100)&lt;&gt;0,MOD(YEAR(B267),400)=0)),366,365)+(B268-((DATE(YEAR(B267)+1,1,1))))/IF(AND(MOD(YEAR(B268),4)=0,OR(MOD(YEAR(B268),100)&lt;&gt;0,MOD(YEAR(B268),400)=0)),366,365)))</f>
        <v/>
      </c>
      <c r="F268" s="14">
        <f>L267</f>
        <v/>
      </c>
      <c r="G268" s="14">
        <f>M267</f>
        <v/>
      </c>
      <c r="H268" s="14">
        <f>IF((((COB_CA!$B$18-I268)-J268)&gt;D268),I268+J268+K268,COB_CA!$B$18)</f>
        <v/>
      </c>
      <c r="I268" s="14">
        <f>MIN(COB_CA!$B$18,(E268+F268))</f>
        <v/>
      </c>
      <c r="J268" s="14">
        <f>MIN((COB_CA!$B$18-I268),G268)</f>
        <v/>
      </c>
      <c r="K268" s="14">
        <f>MIN(((COB_CA!$B$18-I268)-J268),D268)</f>
        <v/>
      </c>
      <c r="L268" s="14">
        <f>E268+F268-I268</f>
        <v/>
      </c>
      <c r="M268" s="14">
        <f>G268-J268</f>
        <v/>
      </c>
      <c r="N268" s="14">
        <f>D268-K268</f>
        <v/>
      </c>
      <c r="O268" s="6">
        <f>AND(D268&gt;0,B268&lt;=COB_CA!$B$20)</f>
        <v/>
      </c>
    </row>
    <row r="269">
      <c r="A269" s="6" t="n">
        <v>265</v>
      </c>
      <c r="B269" s="15">
        <f>IF(COB_CA!$B$38=12,DATE(YEAR(COB_CA!$B$19)+INT((MONTH(COB_CA!$B$19)-1+264)/12),MOD(MONTH(COB_CA!$B$19)-1+264,12)+1,1)+(DAY(COB_CA!$B$19)-1),IF(COB_CA!$B$38=24,COB_CA!$B$19+ROUND((264*365.25)/24,0),IF(COB_CA!$B$38=26,COB_CA!$B$19+3696,COB_CA!$B$19+1848)))</f>
        <v/>
      </c>
      <c r="C269" s="12">
        <f>B269-B268</f>
        <v/>
      </c>
      <c r="D269" s="14">
        <f>N268</f>
        <v/>
      </c>
      <c r="E269" s="14">
        <f>D269*COB_CA!$B$40/100*(IF(YEAR(B268)=YEAR(B269),(B269-B268)/IF(AND(MOD(YEAR(B269),4)=0,OR(MOD(YEAR(B269),100)&lt;&gt;0,MOD(YEAR(B269),400)=0)),366,365),(((DATE(YEAR(B268)+1,1,1)))-B268)/IF(AND(MOD(YEAR(B268),4)=0,OR(MOD(YEAR(B268),100)&lt;&gt;0,MOD(YEAR(B268),400)=0)),366,365)+(B269-((DATE(YEAR(B268)+1,1,1))))/IF(AND(MOD(YEAR(B269),4)=0,OR(MOD(YEAR(B269),100)&lt;&gt;0,MOD(YEAR(B269),400)=0)),366,365)))</f>
        <v/>
      </c>
      <c r="F269" s="14">
        <f>L268</f>
        <v/>
      </c>
      <c r="G269" s="14">
        <f>M268</f>
        <v/>
      </c>
      <c r="H269" s="14">
        <f>IF((((COB_CA!$B$18-I269)-J269)&gt;D269),I269+J269+K269,COB_CA!$B$18)</f>
        <v/>
      </c>
      <c r="I269" s="14">
        <f>MIN(COB_CA!$B$18,(E269+F269))</f>
        <v/>
      </c>
      <c r="J269" s="14">
        <f>MIN((COB_CA!$B$18-I269),G269)</f>
        <v/>
      </c>
      <c r="K269" s="14">
        <f>MIN(((COB_CA!$B$18-I269)-J269),D269)</f>
        <v/>
      </c>
      <c r="L269" s="14">
        <f>E269+F269-I269</f>
        <v/>
      </c>
      <c r="M269" s="14">
        <f>G269-J269</f>
        <v/>
      </c>
      <c r="N269" s="14">
        <f>D269-K269</f>
        <v/>
      </c>
      <c r="O269" s="6">
        <f>AND(D269&gt;0,B269&lt;=COB_CA!$B$20)</f>
        <v/>
      </c>
    </row>
    <row r="270">
      <c r="A270" s="6" t="n">
        <v>266</v>
      </c>
      <c r="B270" s="15">
        <f>IF(COB_CA!$B$38=12,DATE(YEAR(COB_CA!$B$19)+INT((MONTH(COB_CA!$B$19)-1+265)/12),MOD(MONTH(COB_CA!$B$19)-1+265,12)+1,1)+(DAY(COB_CA!$B$19)-1),IF(COB_CA!$B$38=24,COB_CA!$B$19+ROUND((265*365.25)/24,0),IF(COB_CA!$B$38=26,COB_CA!$B$19+3710,COB_CA!$B$19+1855)))</f>
        <v/>
      </c>
      <c r="C270" s="12">
        <f>B270-B269</f>
        <v/>
      </c>
      <c r="D270" s="14">
        <f>N269</f>
        <v/>
      </c>
      <c r="E270" s="14">
        <f>D270*COB_CA!$B$40/100*(IF(YEAR(B269)=YEAR(B270),(B270-B269)/IF(AND(MOD(YEAR(B270),4)=0,OR(MOD(YEAR(B270),100)&lt;&gt;0,MOD(YEAR(B270),400)=0)),366,365),(((DATE(YEAR(B269)+1,1,1)))-B269)/IF(AND(MOD(YEAR(B269),4)=0,OR(MOD(YEAR(B269),100)&lt;&gt;0,MOD(YEAR(B269),400)=0)),366,365)+(B270-((DATE(YEAR(B269)+1,1,1))))/IF(AND(MOD(YEAR(B270),4)=0,OR(MOD(YEAR(B270),100)&lt;&gt;0,MOD(YEAR(B270),400)=0)),366,365)))</f>
        <v/>
      </c>
      <c r="F270" s="14">
        <f>L269</f>
        <v/>
      </c>
      <c r="G270" s="14">
        <f>M269</f>
        <v/>
      </c>
      <c r="H270" s="14">
        <f>IF((((COB_CA!$B$18-I270)-J270)&gt;D270),I270+J270+K270,COB_CA!$B$18)</f>
        <v/>
      </c>
      <c r="I270" s="14">
        <f>MIN(COB_CA!$B$18,(E270+F270))</f>
        <v/>
      </c>
      <c r="J270" s="14">
        <f>MIN((COB_CA!$B$18-I270),G270)</f>
        <v/>
      </c>
      <c r="K270" s="14">
        <f>MIN(((COB_CA!$B$18-I270)-J270),D270)</f>
        <v/>
      </c>
      <c r="L270" s="14">
        <f>E270+F270-I270</f>
        <v/>
      </c>
      <c r="M270" s="14">
        <f>G270-J270</f>
        <v/>
      </c>
      <c r="N270" s="14">
        <f>D270-K270</f>
        <v/>
      </c>
      <c r="O270" s="6">
        <f>AND(D270&gt;0,B270&lt;=COB_CA!$B$20)</f>
        <v/>
      </c>
    </row>
    <row r="271">
      <c r="A271" s="6" t="n">
        <v>267</v>
      </c>
      <c r="B271" s="15">
        <f>IF(COB_CA!$B$38=12,DATE(YEAR(COB_CA!$B$19)+INT((MONTH(COB_CA!$B$19)-1+266)/12),MOD(MONTH(COB_CA!$B$19)-1+266,12)+1,1)+(DAY(COB_CA!$B$19)-1),IF(COB_CA!$B$38=24,COB_CA!$B$19+ROUND((266*365.25)/24,0),IF(COB_CA!$B$38=26,COB_CA!$B$19+3724,COB_CA!$B$19+1862)))</f>
        <v/>
      </c>
      <c r="C271" s="12">
        <f>B271-B270</f>
        <v/>
      </c>
      <c r="D271" s="14">
        <f>N270</f>
        <v/>
      </c>
      <c r="E271" s="14">
        <f>D271*COB_CA!$B$40/100*(IF(YEAR(B270)=YEAR(B271),(B271-B270)/IF(AND(MOD(YEAR(B271),4)=0,OR(MOD(YEAR(B271),100)&lt;&gt;0,MOD(YEAR(B271),400)=0)),366,365),(((DATE(YEAR(B270)+1,1,1)))-B270)/IF(AND(MOD(YEAR(B270),4)=0,OR(MOD(YEAR(B270),100)&lt;&gt;0,MOD(YEAR(B270),400)=0)),366,365)+(B271-((DATE(YEAR(B270)+1,1,1))))/IF(AND(MOD(YEAR(B271),4)=0,OR(MOD(YEAR(B271),100)&lt;&gt;0,MOD(YEAR(B271),400)=0)),366,365)))</f>
        <v/>
      </c>
      <c r="F271" s="14">
        <f>L270</f>
        <v/>
      </c>
      <c r="G271" s="14">
        <f>M270</f>
        <v/>
      </c>
      <c r="H271" s="14">
        <f>IF((((COB_CA!$B$18-I271)-J271)&gt;D271),I271+J271+K271,COB_CA!$B$18)</f>
        <v/>
      </c>
      <c r="I271" s="14">
        <f>MIN(COB_CA!$B$18,(E271+F271))</f>
        <v/>
      </c>
      <c r="J271" s="14">
        <f>MIN((COB_CA!$B$18-I271),G271)</f>
        <v/>
      </c>
      <c r="K271" s="14">
        <f>MIN(((COB_CA!$B$18-I271)-J271),D271)</f>
        <v/>
      </c>
      <c r="L271" s="14">
        <f>E271+F271-I271</f>
        <v/>
      </c>
      <c r="M271" s="14">
        <f>G271-J271</f>
        <v/>
      </c>
      <c r="N271" s="14">
        <f>D271-K271</f>
        <v/>
      </c>
      <c r="O271" s="6">
        <f>AND(D271&gt;0,B271&lt;=COB_CA!$B$20)</f>
        <v/>
      </c>
    </row>
    <row r="272">
      <c r="A272" s="6" t="n">
        <v>268</v>
      </c>
      <c r="B272" s="15">
        <f>IF(COB_CA!$B$38=12,DATE(YEAR(COB_CA!$B$19)+INT((MONTH(COB_CA!$B$19)-1+267)/12),MOD(MONTH(COB_CA!$B$19)-1+267,12)+1,1)+(DAY(COB_CA!$B$19)-1),IF(COB_CA!$B$38=24,COB_CA!$B$19+ROUND((267*365.25)/24,0),IF(COB_CA!$B$38=26,COB_CA!$B$19+3738,COB_CA!$B$19+1869)))</f>
        <v/>
      </c>
      <c r="C272" s="12">
        <f>B272-B271</f>
        <v/>
      </c>
      <c r="D272" s="14">
        <f>N271</f>
        <v/>
      </c>
      <c r="E272" s="14">
        <f>D272*COB_CA!$B$40/100*(IF(YEAR(B271)=YEAR(B272),(B272-B271)/IF(AND(MOD(YEAR(B272),4)=0,OR(MOD(YEAR(B272),100)&lt;&gt;0,MOD(YEAR(B272),400)=0)),366,365),(((DATE(YEAR(B271)+1,1,1)))-B271)/IF(AND(MOD(YEAR(B271),4)=0,OR(MOD(YEAR(B271),100)&lt;&gt;0,MOD(YEAR(B271),400)=0)),366,365)+(B272-((DATE(YEAR(B271)+1,1,1))))/IF(AND(MOD(YEAR(B272),4)=0,OR(MOD(YEAR(B272),100)&lt;&gt;0,MOD(YEAR(B272),400)=0)),366,365)))</f>
        <v/>
      </c>
      <c r="F272" s="14">
        <f>L271</f>
        <v/>
      </c>
      <c r="G272" s="14">
        <f>M271</f>
        <v/>
      </c>
      <c r="H272" s="14">
        <f>IF((((COB_CA!$B$18-I272)-J272)&gt;D272),I272+J272+K272,COB_CA!$B$18)</f>
        <v/>
      </c>
      <c r="I272" s="14">
        <f>MIN(COB_CA!$B$18,(E272+F272))</f>
        <v/>
      </c>
      <c r="J272" s="14">
        <f>MIN((COB_CA!$B$18-I272),G272)</f>
        <v/>
      </c>
      <c r="K272" s="14">
        <f>MIN(((COB_CA!$B$18-I272)-J272),D272)</f>
        <v/>
      </c>
      <c r="L272" s="14">
        <f>E272+F272-I272</f>
        <v/>
      </c>
      <c r="M272" s="14">
        <f>G272-J272</f>
        <v/>
      </c>
      <c r="N272" s="14">
        <f>D272-K272</f>
        <v/>
      </c>
      <c r="O272" s="6">
        <f>AND(D272&gt;0,B272&lt;=COB_CA!$B$20)</f>
        <v/>
      </c>
    </row>
    <row r="273">
      <c r="A273" s="6" t="n">
        <v>269</v>
      </c>
      <c r="B273" s="15">
        <f>IF(COB_CA!$B$38=12,DATE(YEAR(COB_CA!$B$19)+INT((MONTH(COB_CA!$B$19)-1+268)/12),MOD(MONTH(COB_CA!$B$19)-1+268,12)+1,1)+(DAY(COB_CA!$B$19)-1),IF(COB_CA!$B$38=24,COB_CA!$B$19+ROUND((268*365.25)/24,0),IF(COB_CA!$B$38=26,COB_CA!$B$19+3752,COB_CA!$B$19+1876)))</f>
        <v/>
      </c>
      <c r="C273" s="12">
        <f>B273-B272</f>
        <v/>
      </c>
      <c r="D273" s="14">
        <f>N272</f>
        <v/>
      </c>
      <c r="E273" s="14">
        <f>D273*COB_CA!$B$40/100*(IF(YEAR(B272)=YEAR(B273),(B273-B272)/IF(AND(MOD(YEAR(B273),4)=0,OR(MOD(YEAR(B273),100)&lt;&gt;0,MOD(YEAR(B273),400)=0)),366,365),(((DATE(YEAR(B272)+1,1,1)))-B272)/IF(AND(MOD(YEAR(B272),4)=0,OR(MOD(YEAR(B272),100)&lt;&gt;0,MOD(YEAR(B272),400)=0)),366,365)+(B273-((DATE(YEAR(B272)+1,1,1))))/IF(AND(MOD(YEAR(B273),4)=0,OR(MOD(YEAR(B273),100)&lt;&gt;0,MOD(YEAR(B273),400)=0)),366,365)))</f>
        <v/>
      </c>
      <c r="F273" s="14">
        <f>L272</f>
        <v/>
      </c>
      <c r="G273" s="14">
        <f>M272</f>
        <v/>
      </c>
      <c r="H273" s="14">
        <f>IF((((COB_CA!$B$18-I273)-J273)&gt;D273),I273+J273+K273,COB_CA!$B$18)</f>
        <v/>
      </c>
      <c r="I273" s="14">
        <f>MIN(COB_CA!$B$18,(E273+F273))</f>
        <v/>
      </c>
      <c r="J273" s="14">
        <f>MIN((COB_CA!$B$18-I273),G273)</f>
        <v/>
      </c>
      <c r="K273" s="14">
        <f>MIN(((COB_CA!$B$18-I273)-J273),D273)</f>
        <v/>
      </c>
      <c r="L273" s="14">
        <f>E273+F273-I273</f>
        <v/>
      </c>
      <c r="M273" s="14">
        <f>G273-J273</f>
        <v/>
      </c>
      <c r="N273" s="14">
        <f>D273-K273</f>
        <v/>
      </c>
      <c r="O273" s="6">
        <f>AND(D273&gt;0,B273&lt;=COB_CA!$B$20)</f>
        <v/>
      </c>
    </row>
    <row r="274">
      <c r="A274" s="6" t="n">
        <v>270</v>
      </c>
      <c r="B274" s="15">
        <f>IF(COB_CA!$B$38=12,DATE(YEAR(COB_CA!$B$19)+INT((MONTH(COB_CA!$B$19)-1+269)/12),MOD(MONTH(COB_CA!$B$19)-1+269,12)+1,1)+(DAY(COB_CA!$B$19)-1),IF(COB_CA!$B$38=24,COB_CA!$B$19+ROUND((269*365.25)/24,0),IF(COB_CA!$B$38=26,COB_CA!$B$19+3766,COB_CA!$B$19+1883)))</f>
        <v/>
      </c>
      <c r="C274" s="12">
        <f>B274-B273</f>
        <v/>
      </c>
      <c r="D274" s="14">
        <f>N273</f>
        <v/>
      </c>
      <c r="E274" s="14">
        <f>D274*COB_CA!$B$40/100*(IF(YEAR(B273)=YEAR(B274),(B274-B273)/IF(AND(MOD(YEAR(B274),4)=0,OR(MOD(YEAR(B274),100)&lt;&gt;0,MOD(YEAR(B274),400)=0)),366,365),(((DATE(YEAR(B273)+1,1,1)))-B273)/IF(AND(MOD(YEAR(B273),4)=0,OR(MOD(YEAR(B273),100)&lt;&gt;0,MOD(YEAR(B273),400)=0)),366,365)+(B274-((DATE(YEAR(B273)+1,1,1))))/IF(AND(MOD(YEAR(B274),4)=0,OR(MOD(YEAR(B274),100)&lt;&gt;0,MOD(YEAR(B274),400)=0)),366,365)))</f>
        <v/>
      </c>
      <c r="F274" s="14">
        <f>L273</f>
        <v/>
      </c>
      <c r="G274" s="14">
        <f>M273</f>
        <v/>
      </c>
      <c r="H274" s="14">
        <f>IF((((COB_CA!$B$18-I274)-J274)&gt;D274),I274+J274+K274,COB_CA!$B$18)</f>
        <v/>
      </c>
      <c r="I274" s="14">
        <f>MIN(COB_CA!$B$18,(E274+F274))</f>
        <v/>
      </c>
      <c r="J274" s="14">
        <f>MIN((COB_CA!$B$18-I274),G274)</f>
        <v/>
      </c>
      <c r="K274" s="14">
        <f>MIN(((COB_CA!$B$18-I274)-J274),D274)</f>
        <v/>
      </c>
      <c r="L274" s="14">
        <f>E274+F274-I274</f>
        <v/>
      </c>
      <c r="M274" s="14">
        <f>G274-J274</f>
        <v/>
      </c>
      <c r="N274" s="14">
        <f>D274-K274</f>
        <v/>
      </c>
      <c r="O274" s="6">
        <f>AND(D274&gt;0,B274&lt;=COB_CA!$B$20)</f>
        <v/>
      </c>
    </row>
    <row r="275">
      <c r="A275" s="6" t="n">
        <v>271</v>
      </c>
      <c r="B275" s="15">
        <f>IF(COB_CA!$B$38=12,DATE(YEAR(COB_CA!$B$19)+INT((MONTH(COB_CA!$B$19)-1+270)/12),MOD(MONTH(COB_CA!$B$19)-1+270,12)+1,1)+(DAY(COB_CA!$B$19)-1),IF(COB_CA!$B$38=24,COB_CA!$B$19+ROUND((270*365.25)/24,0),IF(COB_CA!$B$38=26,COB_CA!$B$19+3780,COB_CA!$B$19+1890)))</f>
        <v/>
      </c>
      <c r="C275" s="12">
        <f>B275-B274</f>
        <v/>
      </c>
      <c r="D275" s="14">
        <f>N274</f>
        <v/>
      </c>
      <c r="E275" s="14">
        <f>D275*COB_CA!$B$40/100*(IF(YEAR(B274)=YEAR(B275),(B275-B274)/IF(AND(MOD(YEAR(B275),4)=0,OR(MOD(YEAR(B275),100)&lt;&gt;0,MOD(YEAR(B275),400)=0)),366,365),(((DATE(YEAR(B274)+1,1,1)))-B274)/IF(AND(MOD(YEAR(B274),4)=0,OR(MOD(YEAR(B274),100)&lt;&gt;0,MOD(YEAR(B274),400)=0)),366,365)+(B275-((DATE(YEAR(B274)+1,1,1))))/IF(AND(MOD(YEAR(B275),4)=0,OR(MOD(YEAR(B275),100)&lt;&gt;0,MOD(YEAR(B275),400)=0)),366,365)))</f>
        <v/>
      </c>
      <c r="F275" s="14">
        <f>L274</f>
        <v/>
      </c>
      <c r="G275" s="14">
        <f>M274</f>
        <v/>
      </c>
      <c r="H275" s="14">
        <f>IF((((COB_CA!$B$18-I275)-J275)&gt;D275),I275+J275+K275,COB_CA!$B$18)</f>
        <v/>
      </c>
      <c r="I275" s="14">
        <f>MIN(COB_CA!$B$18,(E275+F275))</f>
        <v/>
      </c>
      <c r="J275" s="14">
        <f>MIN((COB_CA!$B$18-I275),G275)</f>
        <v/>
      </c>
      <c r="K275" s="14">
        <f>MIN(((COB_CA!$B$18-I275)-J275),D275)</f>
        <v/>
      </c>
      <c r="L275" s="14">
        <f>E275+F275-I275</f>
        <v/>
      </c>
      <c r="M275" s="14">
        <f>G275-J275</f>
        <v/>
      </c>
      <c r="N275" s="14">
        <f>D275-K275</f>
        <v/>
      </c>
      <c r="O275" s="6">
        <f>AND(D275&gt;0,B275&lt;=COB_CA!$B$20)</f>
        <v/>
      </c>
    </row>
    <row r="276">
      <c r="A276" s="6" t="n">
        <v>272</v>
      </c>
      <c r="B276" s="15">
        <f>IF(COB_CA!$B$38=12,DATE(YEAR(COB_CA!$B$19)+INT((MONTH(COB_CA!$B$19)-1+271)/12),MOD(MONTH(COB_CA!$B$19)-1+271,12)+1,1)+(DAY(COB_CA!$B$19)-1),IF(COB_CA!$B$38=24,COB_CA!$B$19+ROUND((271*365.25)/24,0),IF(COB_CA!$B$38=26,COB_CA!$B$19+3794,COB_CA!$B$19+1897)))</f>
        <v/>
      </c>
      <c r="C276" s="12">
        <f>B276-B275</f>
        <v/>
      </c>
      <c r="D276" s="14">
        <f>N275</f>
        <v/>
      </c>
      <c r="E276" s="14">
        <f>D276*COB_CA!$B$40/100*(IF(YEAR(B275)=YEAR(B276),(B276-B275)/IF(AND(MOD(YEAR(B276),4)=0,OR(MOD(YEAR(B276),100)&lt;&gt;0,MOD(YEAR(B276),400)=0)),366,365),(((DATE(YEAR(B275)+1,1,1)))-B275)/IF(AND(MOD(YEAR(B275),4)=0,OR(MOD(YEAR(B275),100)&lt;&gt;0,MOD(YEAR(B275),400)=0)),366,365)+(B276-((DATE(YEAR(B275)+1,1,1))))/IF(AND(MOD(YEAR(B276),4)=0,OR(MOD(YEAR(B276),100)&lt;&gt;0,MOD(YEAR(B276),400)=0)),366,365)))</f>
        <v/>
      </c>
      <c r="F276" s="14">
        <f>L275</f>
        <v/>
      </c>
      <c r="G276" s="14">
        <f>M275</f>
        <v/>
      </c>
      <c r="H276" s="14">
        <f>IF((((COB_CA!$B$18-I276)-J276)&gt;D276),I276+J276+K276,COB_CA!$B$18)</f>
        <v/>
      </c>
      <c r="I276" s="14">
        <f>MIN(COB_CA!$B$18,(E276+F276))</f>
        <v/>
      </c>
      <c r="J276" s="14">
        <f>MIN((COB_CA!$B$18-I276),G276)</f>
        <v/>
      </c>
      <c r="K276" s="14">
        <f>MIN(((COB_CA!$B$18-I276)-J276),D276)</f>
        <v/>
      </c>
      <c r="L276" s="14">
        <f>E276+F276-I276</f>
        <v/>
      </c>
      <c r="M276" s="14">
        <f>G276-J276</f>
        <v/>
      </c>
      <c r="N276" s="14">
        <f>D276-K276</f>
        <v/>
      </c>
      <c r="O276" s="6">
        <f>AND(D276&gt;0,B276&lt;=COB_CA!$B$20)</f>
        <v/>
      </c>
    </row>
    <row r="277">
      <c r="A277" s="6" t="n">
        <v>273</v>
      </c>
      <c r="B277" s="15">
        <f>IF(COB_CA!$B$38=12,DATE(YEAR(COB_CA!$B$19)+INT((MONTH(COB_CA!$B$19)-1+272)/12),MOD(MONTH(COB_CA!$B$19)-1+272,12)+1,1)+(DAY(COB_CA!$B$19)-1),IF(COB_CA!$B$38=24,COB_CA!$B$19+ROUND((272*365.25)/24,0),IF(COB_CA!$B$38=26,COB_CA!$B$19+3808,COB_CA!$B$19+1904)))</f>
        <v/>
      </c>
      <c r="C277" s="12">
        <f>B277-B276</f>
        <v/>
      </c>
      <c r="D277" s="14">
        <f>N276</f>
        <v/>
      </c>
      <c r="E277" s="14">
        <f>D277*COB_CA!$B$40/100*(IF(YEAR(B276)=YEAR(B277),(B277-B276)/IF(AND(MOD(YEAR(B277),4)=0,OR(MOD(YEAR(B277),100)&lt;&gt;0,MOD(YEAR(B277),400)=0)),366,365),(((DATE(YEAR(B276)+1,1,1)))-B276)/IF(AND(MOD(YEAR(B276),4)=0,OR(MOD(YEAR(B276),100)&lt;&gt;0,MOD(YEAR(B276),400)=0)),366,365)+(B277-((DATE(YEAR(B276)+1,1,1))))/IF(AND(MOD(YEAR(B277),4)=0,OR(MOD(YEAR(B277),100)&lt;&gt;0,MOD(YEAR(B277),400)=0)),366,365)))</f>
        <v/>
      </c>
      <c r="F277" s="14">
        <f>L276</f>
        <v/>
      </c>
      <c r="G277" s="14">
        <f>M276</f>
        <v/>
      </c>
      <c r="H277" s="14">
        <f>IF((((COB_CA!$B$18-I277)-J277)&gt;D277),I277+J277+K277,COB_CA!$B$18)</f>
        <v/>
      </c>
      <c r="I277" s="14">
        <f>MIN(COB_CA!$B$18,(E277+F277))</f>
        <v/>
      </c>
      <c r="J277" s="14">
        <f>MIN((COB_CA!$B$18-I277),G277)</f>
        <v/>
      </c>
      <c r="K277" s="14">
        <f>MIN(((COB_CA!$B$18-I277)-J277),D277)</f>
        <v/>
      </c>
      <c r="L277" s="14">
        <f>E277+F277-I277</f>
        <v/>
      </c>
      <c r="M277" s="14">
        <f>G277-J277</f>
        <v/>
      </c>
      <c r="N277" s="14">
        <f>D277-K277</f>
        <v/>
      </c>
      <c r="O277" s="6">
        <f>AND(D277&gt;0,B277&lt;=COB_CA!$B$20)</f>
        <v/>
      </c>
    </row>
    <row r="278">
      <c r="A278" s="6" t="n">
        <v>274</v>
      </c>
      <c r="B278" s="15">
        <f>IF(COB_CA!$B$38=12,DATE(YEAR(COB_CA!$B$19)+INT((MONTH(COB_CA!$B$19)-1+273)/12),MOD(MONTH(COB_CA!$B$19)-1+273,12)+1,1)+(DAY(COB_CA!$B$19)-1),IF(COB_CA!$B$38=24,COB_CA!$B$19+ROUND((273*365.25)/24,0),IF(COB_CA!$B$38=26,COB_CA!$B$19+3822,COB_CA!$B$19+1911)))</f>
        <v/>
      </c>
      <c r="C278" s="12">
        <f>B278-B277</f>
        <v/>
      </c>
      <c r="D278" s="14">
        <f>N277</f>
        <v/>
      </c>
      <c r="E278" s="14">
        <f>D278*COB_CA!$B$40/100*(IF(YEAR(B277)=YEAR(B278),(B278-B277)/IF(AND(MOD(YEAR(B278),4)=0,OR(MOD(YEAR(B278),100)&lt;&gt;0,MOD(YEAR(B278),400)=0)),366,365),(((DATE(YEAR(B277)+1,1,1)))-B277)/IF(AND(MOD(YEAR(B277),4)=0,OR(MOD(YEAR(B277),100)&lt;&gt;0,MOD(YEAR(B277),400)=0)),366,365)+(B278-((DATE(YEAR(B277)+1,1,1))))/IF(AND(MOD(YEAR(B278),4)=0,OR(MOD(YEAR(B278),100)&lt;&gt;0,MOD(YEAR(B278),400)=0)),366,365)))</f>
        <v/>
      </c>
      <c r="F278" s="14">
        <f>L277</f>
        <v/>
      </c>
      <c r="G278" s="14">
        <f>M277</f>
        <v/>
      </c>
      <c r="H278" s="14">
        <f>IF((((COB_CA!$B$18-I278)-J278)&gt;D278),I278+J278+K278,COB_CA!$B$18)</f>
        <v/>
      </c>
      <c r="I278" s="14">
        <f>MIN(COB_CA!$B$18,(E278+F278))</f>
        <v/>
      </c>
      <c r="J278" s="14">
        <f>MIN((COB_CA!$B$18-I278),G278)</f>
        <v/>
      </c>
      <c r="K278" s="14">
        <f>MIN(((COB_CA!$B$18-I278)-J278),D278)</f>
        <v/>
      </c>
      <c r="L278" s="14">
        <f>E278+F278-I278</f>
        <v/>
      </c>
      <c r="M278" s="14">
        <f>G278-J278</f>
        <v/>
      </c>
      <c r="N278" s="14">
        <f>D278-K278</f>
        <v/>
      </c>
      <c r="O278" s="6">
        <f>AND(D278&gt;0,B278&lt;=COB_CA!$B$20)</f>
        <v/>
      </c>
    </row>
    <row r="279">
      <c r="A279" s="6" t="n">
        <v>275</v>
      </c>
      <c r="B279" s="15">
        <f>IF(COB_CA!$B$38=12,DATE(YEAR(COB_CA!$B$19)+INT((MONTH(COB_CA!$B$19)-1+274)/12),MOD(MONTH(COB_CA!$B$19)-1+274,12)+1,1)+(DAY(COB_CA!$B$19)-1),IF(COB_CA!$B$38=24,COB_CA!$B$19+ROUND((274*365.25)/24,0),IF(COB_CA!$B$38=26,COB_CA!$B$19+3836,COB_CA!$B$19+1918)))</f>
        <v/>
      </c>
      <c r="C279" s="12">
        <f>B279-B278</f>
        <v/>
      </c>
      <c r="D279" s="14">
        <f>N278</f>
        <v/>
      </c>
      <c r="E279" s="14">
        <f>D279*COB_CA!$B$40/100*(IF(YEAR(B278)=YEAR(B279),(B279-B278)/IF(AND(MOD(YEAR(B279),4)=0,OR(MOD(YEAR(B279),100)&lt;&gt;0,MOD(YEAR(B279),400)=0)),366,365),(((DATE(YEAR(B278)+1,1,1)))-B278)/IF(AND(MOD(YEAR(B278),4)=0,OR(MOD(YEAR(B278),100)&lt;&gt;0,MOD(YEAR(B278),400)=0)),366,365)+(B279-((DATE(YEAR(B278)+1,1,1))))/IF(AND(MOD(YEAR(B279),4)=0,OR(MOD(YEAR(B279),100)&lt;&gt;0,MOD(YEAR(B279),400)=0)),366,365)))</f>
        <v/>
      </c>
      <c r="F279" s="14">
        <f>L278</f>
        <v/>
      </c>
      <c r="G279" s="14">
        <f>M278</f>
        <v/>
      </c>
      <c r="H279" s="14">
        <f>IF((((COB_CA!$B$18-I279)-J279)&gt;D279),I279+J279+K279,COB_CA!$B$18)</f>
        <v/>
      </c>
      <c r="I279" s="14">
        <f>MIN(COB_CA!$B$18,(E279+F279))</f>
        <v/>
      </c>
      <c r="J279" s="14">
        <f>MIN((COB_CA!$B$18-I279),G279)</f>
        <v/>
      </c>
      <c r="K279" s="14">
        <f>MIN(((COB_CA!$B$18-I279)-J279),D279)</f>
        <v/>
      </c>
      <c r="L279" s="14">
        <f>E279+F279-I279</f>
        <v/>
      </c>
      <c r="M279" s="14">
        <f>G279-J279</f>
        <v/>
      </c>
      <c r="N279" s="14">
        <f>D279-K279</f>
        <v/>
      </c>
      <c r="O279" s="6">
        <f>AND(D279&gt;0,B279&lt;=COB_CA!$B$20)</f>
        <v/>
      </c>
    </row>
    <row r="280">
      <c r="A280" s="6" t="n">
        <v>276</v>
      </c>
      <c r="B280" s="15">
        <f>IF(COB_CA!$B$38=12,DATE(YEAR(COB_CA!$B$19)+INT((MONTH(COB_CA!$B$19)-1+275)/12),MOD(MONTH(COB_CA!$B$19)-1+275,12)+1,1)+(DAY(COB_CA!$B$19)-1),IF(COB_CA!$B$38=24,COB_CA!$B$19+ROUND((275*365.25)/24,0),IF(COB_CA!$B$38=26,COB_CA!$B$19+3850,COB_CA!$B$19+1925)))</f>
        <v/>
      </c>
      <c r="C280" s="12">
        <f>B280-B279</f>
        <v/>
      </c>
      <c r="D280" s="14">
        <f>N279</f>
        <v/>
      </c>
      <c r="E280" s="14">
        <f>D280*COB_CA!$B$40/100*(IF(YEAR(B279)=YEAR(B280),(B280-B279)/IF(AND(MOD(YEAR(B280),4)=0,OR(MOD(YEAR(B280),100)&lt;&gt;0,MOD(YEAR(B280),400)=0)),366,365),(((DATE(YEAR(B279)+1,1,1)))-B279)/IF(AND(MOD(YEAR(B279),4)=0,OR(MOD(YEAR(B279),100)&lt;&gt;0,MOD(YEAR(B279),400)=0)),366,365)+(B280-((DATE(YEAR(B279)+1,1,1))))/IF(AND(MOD(YEAR(B280),4)=0,OR(MOD(YEAR(B280),100)&lt;&gt;0,MOD(YEAR(B280),400)=0)),366,365)))</f>
        <v/>
      </c>
      <c r="F280" s="14">
        <f>L279</f>
        <v/>
      </c>
      <c r="G280" s="14">
        <f>M279</f>
        <v/>
      </c>
      <c r="H280" s="14">
        <f>IF((((COB_CA!$B$18-I280)-J280)&gt;D280),I280+J280+K280,COB_CA!$B$18)</f>
        <v/>
      </c>
      <c r="I280" s="14">
        <f>MIN(COB_CA!$B$18,(E280+F280))</f>
        <v/>
      </c>
      <c r="J280" s="14">
        <f>MIN((COB_CA!$B$18-I280),G280)</f>
        <v/>
      </c>
      <c r="K280" s="14">
        <f>MIN(((COB_CA!$B$18-I280)-J280),D280)</f>
        <v/>
      </c>
      <c r="L280" s="14">
        <f>E280+F280-I280</f>
        <v/>
      </c>
      <c r="M280" s="14">
        <f>G280-J280</f>
        <v/>
      </c>
      <c r="N280" s="14">
        <f>D280-K280</f>
        <v/>
      </c>
      <c r="O280" s="6">
        <f>AND(D280&gt;0,B280&lt;=COB_CA!$B$20)</f>
        <v/>
      </c>
    </row>
    <row r="281">
      <c r="A281" s="6" t="n">
        <v>277</v>
      </c>
      <c r="B281" s="15">
        <f>IF(COB_CA!$B$38=12,DATE(YEAR(COB_CA!$B$19)+INT((MONTH(COB_CA!$B$19)-1+276)/12),MOD(MONTH(COB_CA!$B$19)-1+276,12)+1,1)+(DAY(COB_CA!$B$19)-1),IF(COB_CA!$B$38=24,COB_CA!$B$19+ROUND((276*365.25)/24,0),IF(COB_CA!$B$38=26,COB_CA!$B$19+3864,COB_CA!$B$19+1932)))</f>
        <v/>
      </c>
      <c r="C281" s="12">
        <f>B281-B280</f>
        <v/>
      </c>
      <c r="D281" s="14">
        <f>N280</f>
        <v/>
      </c>
      <c r="E281" s="14">
        <f>D281*COB_CA!$B$40/100*(IF(YEAR(B280)=YEAR(B281),(B281-B280)/IF(AND(MOD(YEAR(B281),4)=0,OR(MOD(YEAR(B281),100)&lt;&gt;0,MOD(YEAR(B281),400)=0)),366,365),(((DATE(YEAR(B280)+1,1,1)))-B280)/IF(AND(MOD(YEAR(B280),4)=0,OR(MOD(YEAR(B280),100)&lt;&gt;0,MOD(YEAR(B280),400)=0)),366,365)+(B281-((DATE(YEAR(B280)+1,1,1))))/IF(AND(MOD(YEAR(B281),4)=0,OR(MOD(YEAR(B281),100)&lt;&gt;0,MOD(YEAR(B281),400)=0)),366,365)))</f>
        <v/>
      </c>
      <c r="F281" s="14">
        <f>L280</f>
        <v/>
      </c>
      <c r="G281" s="14">
        <f>M280</f>
        <v/>
      </c>
      <c r="H281" s="14">
        <f>IF((((COB_CA!$B$18-I281)-J281)&gt;D281),I281+J281+K281,COB_CA!$B$18)</f>
        <v/>
      </c>
      <c r="I281" s="14">
        <f>MIN(COB_CA!$B$18,(E281+F281))</f>
        <v/>
      </c>
      <c r="J281" s="14">
        <f>MIN((COB_CA!$B$18-I281),G281)</f>
        <v/>
      </c>
      <c r="K281" s="14">
        <f>MIN(((COB_CA!$B$18-I281)-J281),D281)</f>
        <v/>
      </c>
      <c r="L281" s="14">
        <f>E281+F281-I281</f>
        <v/>
      </c>
      <c r="M281" s="14">
        <f>G281-J281</f>
        <v/>
      </c>
      <c r="N281" s="14">
        <f>D281-K281</f>
        <v/>
      </c>
      <c r="O281" s="6">
        <f>AND(D281&gt;0,B281&lt;=COB_CA!$B$20)</f>
        <v/>
      </c>
    </row>
    <row r="282">
      <c r="A282" s="6" t="n">
        <v>278</v>
      </c>
      <c r="B282" s="15">
        <f>IF(COB_CA!$B$38=12,DATE(YEAR(COB_CA!$B$19)+INT((MONTH(COB_CA!$B$19)-1+277)/12),MOD(MONTH(COB_CA!$B$19)-1+277,12)+1,1)+(DAY(COB_CA!$B$19)-1),IF(COB_CA!$B$38=24,COB_CA!$B$19+ROUND((277*365.25)/24,0),IF(COB_CA!$B$38=26,COB_CA!$B$19+3878,COB_CA!$B$19+1939)))</f>
        <v/>
      </c>
      <c r="C282" s="12">
        <f>B282-B281</f>
        <v/>
      </c>
      <c r="D282" s="14">
        <f>N281</f>
        <v/>
      </c>
      <c r="E282" s="14">
        <f>D282*COB_CA!$B$40/100*(IF(YEAR(B281)=YEAR(B282),(B282-B281)/IF(AND(MOD(YEAR(B282),4)=0,OR(MOD(YEAR(B282),100)&lt;&gt;0,MOD(YEAR(B282),400)=0)),366,365),(((DATE(YEAR(B281)+1,1,1)))-B281)/IF(AND(MOD(YEAR(B281),4)=0,OR(MOD(YEAR(B281),100)&lt;&gt;0,MOD(YEAR(B281),400)=0)),366,365)+(B282-((DATE(YEAR(B281)+1,1,1))))/IF(AND(MOD(YEAR(B282),4)=0,OR(MOD(YEAR(B282),100)&lt;&gt;0,MOD(YEAR(B282),400)=0)),366,365)))</f>
        <v/>
      </c>
      <c r="F282" s="14">
        <f>L281</f>
        <v/>
      </c>
      <c r="G282" s="14">
        <f>M281</f>
        <v/>
      </c>
      <c r="H282" s="14">
        <f>IF((((COB_CA!$B$18-I282)-J282)&gt;D282),I282+J282+K282,COB_CA!$B$18)</f>
        <v/>
      </c>
      <c r="I282" s="14">
        <f>MIN(COB_CA!$B$18,(E282+F282))</f>
        <v/>
      </c>
      <c r="J282" s="14">
        <f>MIN((COB_CA!$B$18-I282),G282)</f>
        <v/>
      </c>
      <c r="K282" s="14">
        <f>MIN(((COB_CA!$B$18-I282)-J282),D282)</f>
        <v/>
      </c>
      <c r="L282" s="14">
        <f>E282+F282-I282</f>
        <v/>
      </c>
      <c r="M282" s="14">
        <f>G282-J282</f>
        <v/>
      </c>
      <c r="N282" s="14">
        <f>D282-K282</f>
        <v/>
      </c>
      <c r="O282" s="6">
        <f>AND(D282&gt;0,B282&lt;=COB_CA!$B$20)</f>
        <v/>
      </c>
    </row>
    <row r="283">
      <c r="A283" s="6" t="n">
        <v>279</v>
      </c>
      <c r="B283" s="15">
        <f>IF(COB_CA!$B$38=12,DATE(YEAR(COB_CA!$B$19)+INT((MONTH(COB_CA!$B$19)-1+278)/12),MOD(MONTH(COB_CA!$B$19)-1+278,12)+1,1)+(DAY(COB_CA!$B$19)-1),IF(COB_CA!$B$38=24,COB_CA!$B$19+ROUND((278*365.25)/24,0),IF(COB_CA!$B$38=26,COB_CA!$B$19+3892,COB_CA!$B$19+1946)))</f>
        <v/>
      </c>
      <c r="C283" s="12">
        <f>B283-B282</f>
        <v/>
      </c>
      <c r="D283" s="14">
        <f>N282</f>
        <v/>
      </c>
      <c r="E283" s="14">
        <f>D283*COB_CA!$B$40/100*(IF(YEAR(B282)=YEAR(B283),(B283-B282)/IF(AND(MOD(YEAR(B283),4)=0,OR(MOD(YEAR(B283),100)&lt;&gt;0,MOD(YEAR(B283),400)=0)),366,365),(((DATE(YEAR(B282)+1,1,1)))-B282)/IF(AND(MOD(YEAR(B282),4)=0,OR(MOD(YEAR(B282),100)&lt;&gt;0,MOD(YEAR(B282),400)=0)),366,365)+(B283-((DATE(YEAR(B282)+1,1,1))))/IF(AND(MOD(YEAR(B283),4)=0,OR(MOD(YEAR(B283),100)&lt;&gt;0,MOD(YEAR(B283),400)=0)),366,365)))</f>
        <v/>
      </c>
      <c r="F283" s="14">
        <f>L282</f>
        <v/>
      </c>
      <c r="G283" s="14">
        <f>M282</f>
        <v/>
      </c>
      <c r="H283" s="14">
        <f>IF((((COB_CA!$B$18-I283)-J283)&gt;D283),I283+J283+K283,COB_CA!$B$18)</f>
        <v/>
      </c>
      <c r="I283" s="14">
        <f>MIN(COB_CA!$B$18,(E283+F283))</f>
        <v/>
      </c>
      <c r="J283" s="14">
        <f>MIN((COB_CA!$B$18-I283),G283)</f>
        <v/>
      </c>
      <c r="K283" s="14">
        <f>MIN(((COB_CA!$B$18-I283)-J283),D283)</f>
        <v/>
      </c>
      <c r="L283" s="14">
        <f>E283+F283-I283</f>
        <v/>
      </c>
      <c r="M283" s="14">
        <f>G283-J283</f>
        <v/>
      </c>
      <c r="N283" s="14">
        <f>D283-K283</f>
        <v/>
      </c>
      <c r="O283" s="6">
        <f>AND(D283&gt;0,B283&lt;=COB_CA!$B$20)</f>
        <v/>
      </c>
    </row>
    <row r="284">
      <c r="A284" s="6" t="n">
        <v>280</v>
      </c>
      <c r="B284" s="15">
        <f>IF(COB_CA!$B$38=12,DATE(YEAR(COB_CA!$B$19)+INT((MONTH(COB_CA!$B$19)-1+279)/12),MOD(MONTH(COB_CA!$B$19)-1+279,12)+1,1)+(DAY(COB_CA!$B$19)-1),IF(COB_CA!$B$38=24,COB_CA!$B$19+ROUND((279*365.25)/24,0),IF(COB_CA!$B$38=26,COB_CA!$B$19+3906,COB_CA!$B$19+1953)))</f>
        <v/>
      </c>
      <c r="C284" s="12">
        <f>B284-B283</f>
        <v/>
      </c>
      <c r="D284" s="14">
        <f>N283</f>
        <v/>
      </c>
      <c r="E284" s="14">
        <f>D284*COB_CA!$B$40/100*(IF(YEAR(B283)=YEAR(B284),(B284-B283)/IF(AND(MOD(YEAR(B284),4)=0,OR(MOD(YEAR(B284),100)&lt;&gt;0,MOD(YEAR(B284),400)=0)),366,365),(((DATE(YEAR(B283)+1,1,1)))-B283)/IF(AND(MOD(YEAR(B283),4)=0,OR(MOD(YEAR(B283),100)&lt;&gt;0,MOD(YEAR(B283),400)=0)),366,365)+(B284-((DATE(YEAR(B283)+1,1,1))))/IF(AND(MOD(YEAR(B284),4)=0,OR(MOD(YEAR(B284),100)&lt;&gt;0,MOD(YEAR(B284),400)=0)),366,365)))</f>
        <v/>
      </c>
      <c r="F284" s="14">
        <f>L283</f>
        <v/>
      </c>
      <c r="G284" s="14">
        <f>M283</f>
        <v/>
      </c>
      <c r="H284" s="14">
        <f>IF((((COB_CA!$B$18-I284)-J284)&gt;D284),I284+J284+K284,COB_CA!$B$18)</f>
        <v/>
      </c>
      <c r="I284" s="14">
        <f>MIN(COB_CA!$B$18,(E284+F284))</f>
        <v/>
      </c>
      <c r="J284" s="14">
        <f>MIN((COB_CA!$B$18-I284),G284)</f>
        <v/>
      </c>
      <c r="K284" s="14">
        <f>MIN(((COB_CA!$B$18-I284)-J284),D284)</f>
        <v/>
      </c>
      <c r="L284" s="14">
        <f>E284+F284-I284</f>
        <v/>
      </c>
      <c r="M284" s="14">
        <f>G284-J284</f>
        <v/>
      </c>
      <c r="N284" s="14">
        <f>D284-K284</f>
        <v/>
      </c>
      <c r="O284" s="6">
        <f>AND(D284&gt;0,B284&lt;=COB_CA!$B$20)</f>
        <v/>
      </c>
    </row>
    <row r="285">
      <c r="A285" s="6" t="n">
        <v>281</v>
      </c>
      <c r="B285" s="15">
        <f>IF(COB_CA!$B$38=12,DATE(YEAR(COB_CA!$B$19)+INT((MONTH(COB_CA!$B$19)-1+280)/12),MOD(MONTH(COB_CA!$B$19)-1+280,12)+1,1)+(DAY(COB_CA!$B$19)-1),IF(COB_CA!$B$38=24,COB_CA!$B$19+ROUND((280*365.25)/24,0),IF(COB_CA!$B$38=26,COB_CA!$B$19+3920,COB_CA!$B$19+1960)))</f>
        <v/>
      </c>
      <c r="C285" s="12">
        <f>B285-B284</f>
        <v/>
      </c>
      <c r="D285" s="14">
        <f>N284</f>
        <v/>
      </c>
      <c r="E285" s="14">
        <f>D285*COB_CA!$B$40/100*(IF(YEAR(B284)=YEAR(B285),(B285-B284)/IF(AND(MOD(YEAR(B285),4)=0,OR(MOD(YEAR(B285),100)&lt;&gt;0,MOD(YEAR(B285),400)=0)),366,365),(((DATE(YEAR(B284)+1,1,1)))-B284)/IF(AND(MOD(YEAR(B284),4)=0,OR(MOD(YEAR(B284),100)&lt;&gt;0,MOD(YEAR(B284),400)=0)),366,365)+(B285-((DATE(YEAR(B284)+1,1,1))))/IF(AND(MOD(YEAR(B285),4)=0,OR(MOD(YEAR(B285),100)&lt;&gt;0,MOD(YEAR(B285),400)=0)),366,365)))</f>
        <v/>
      </c>
      <c r="F285" s="14">
        <f>L284</f>
        <v/>
      </c>
      <c r="G285" s="14">
        <f>M284</f>
        <v/>
      </c>
      <c r="H285" s="14">
        <f>IF((((COB_CA!$B$18-I285)-J285)&gt;D285),I285+J285+K285,COB_CA!$B$18)</f>
        <v/>
      </c>
      <c r="I285" s="14">
        <f>MIN(COB_CA!$B$18,(E285+F285))</f>
        <v/>
      </c>
      <c r="J285" s="14">
        <f>MIN((COB_CA!$B$18-I285),G285)</f>
        <v/>
      </c>
      <c r="K285" s="14">
        <f>MIN(((COB_CA!$B$18-I285)-J285),D285)</f>
        <v/>
      </c>
      <c r="L285" s="14">
        <f>E285+F285-I285</f>
        <v/>
      </c>
      <c r="M285" s="14">
        <f>G285-J285</f>
        <v/>
      </c>
      <c r="N285" s="14">
        <f>D285-K285</f>
        <v/>
      </c>
      <c r="O285" s="6">
        <f>AND(D285&gt;0,B285&lt;=COB_CA!$B$20)</f>
        <v/>
      </c>
    </row>
    <row r="286">
      <c r="A286" s="6" t="n">
        <v>282</v>
      </c>
      <c r="B286" s="15">
        <f>IF(COB_CA!$B$38=12,DATE(YEAR(COB_CA!$B$19)+INT((MONTH(COB_CA!$B$19)-1+281)/12),MOD(MONTH(COB_CA!$B$19)-1+281,12)+1,1)+(DAY(COB_CA!$B$19)-1),IF(COB_CA!$B$38=24,COB_CA!$B$19+ROUND((281*365.25)/24,0),IF(COB_CA!$B$38=26,COB_CA!$B$19+3934,COB_CA!$B$19+1967)))</f>
        <v/>
      </c>
      <c r="C286" s="12">
        <f>B286-B285</f>
        <v/>
      </c>
      <c r="D286" s="14">
        <f>N285</f>
        <v/>
      </c>
      <c r="E286" s="14">
        <f>D286*COB_CA!$B$40/100*(IF(YEAR(B285)=YEAR(B286),(B286-B285)/IF(AND(MOD(YEAR(B286),4)=0,OR(MOD(YEAR(B286),100)&lt;&gt;0,MOD(YEAR(B286),400)=0)),366,365),(((DATE(YEAR(B285)+1,1,1)))-B285)/IF(AND(MOD(YEAR(B285),4)=0,OR(MOD(YEAR(B285),100)&lt;&gt;0,MOD(YEAR(B285),400)=0)),366,365)+(B286-((DATE(YEAR(B285)+1,1,1))))/IF(AND(MOD(YEAR(B286),4)=0,OR(MOD(YEAR(B286),100)&lt;&gt;0,MOD(YEAR(B286),400)=0)),366,365)))</f>
        <v/>
      </c>
      <c r="F286" s="14">
        <f>L285</f>
        <v/>
      </c>
      <c r="G286" s="14">
        <f>M285</f>
        <v/>
      </c>
      <c r="H286" s="14">
        <f>IF((((COB_CA!$B$18-I286)-J286)&gt;D286),I286+J286+K286,COB_CA!$B$18)</f>
        <v/>
      </c>
      <c r="I286" s="14">
        <f>MIN(COB_CA!$B$18,(E286+F286))</f>
        <v/>
      </c>
      <c r="J286" s="14">
        <f>MIN((COB_CA!$B$18-I286),G286)</f>
        <v/>
      </c>
      <c r="K286" s="14">
        <f>MIN(((COB_CA!$B$18-I286)-J286),D286)</f>
        <v/>
      </c>
      <c r="L286" s="14">
        <f>E286+F286-I286</f>
        <v/>
      </c>
      <c r="M286" s="14">
        <f>G286-J286</f>
        <v/>
      </c>
      <c r="N286" s="14">
        <f>D286-K286</f>
        <v/>
      </c>
      <c r="O286" s="6">
        <f>AND(D286&gt;0,B286&lt;=COB_CA!$B$20)</f>
        <v/>
      </c>
    </row>
    <row r="287">
      <c r="A287" s="6" t="n">
        <v>283</v>
      </c>
      <c r="B287" s="15">
        <f>IF(COB_CA!$B$38=12,DATE(YEAR(COB_CA!$B$19)+INT((MONTH(COB_CA!$B$19)-1+282)/12),MOD(MONTH(COB_CA!$B$19)-1+282,12)+1,1)+(DAY(COB_CA!$B$19)-1),IF(COB_CA!$B$38=24,COB_CA!$B$19+ROUND((282*365.25)/24,0),IF(COB_CA!$B$38=26,COB_CA!$B$19+3948,COB_CA!$B$19+1974)))</f>
        <v/>
      </c>
      <c r="C287" s="12">
        <f>B287-B286</f>
        <v/>
      </c>
      <c r="D287" s="14">
        <f>N286</f>
        <v/>
      </c>
      <c r="E287" s="14">
        <f>D287*COB_CA!$B$40/100*(IF(YEAR(B286)=YEAR(B287),(B287-B286)/IF(AND(MOD(YEAR(B287),4)=0,OR(MOD(YEAR(B287),100)&lt;&gt;0,MOD(YEAR(B287),400)=0)),366,365),(((DATE(YEAR(B286)+1,1,1)))-B286)/IF(AND(MOD(YEAR(B286),4)=0,OR(MOD(YEAR(B286),100)&lt;&gt;0,MOD(YEAR(B286),400)=0)),366,365)+(B287-((DATE(YEAR(B286)+1,1,1))))/IF(AND(MOD(YEAR(B287),4)=0,OR(MOD(YEAR(B287),100)&lt;&gt;0,MOD(YEAR(B287),400)=0)),366,365)))</f>
        <v/>
      </c>
      <c r="F287" s="14">
        <f>L286</f>
        <v/>
      </c>
      <c r="G287" s="14">
        <f>M286</f>
        <v/>
      </c>
      <c r="H287" s="14">
        <f>IF((((COB_CA!$B$18-I287)-J287)&gt;D287),I287+J287+K287,COB_CA!$B$18)</f>
        <v/>
      </c>
      <c r="I287" s="14">
        <f>MIN(COB_CA!$B$18,(E287+F287))</f>
        <v/>
      </c>
      <c r="J287" s="14">
        <f>MIN((COB_CA!$B$18-I287),G287)</f>
        <v/>
      </c>
      <c r="K287" s="14">
        <f>MIN(((COB_CA!$B$18-I287)-J287),D287)</f>
        <v/>
      </c>
      <c r="L287" s="14">
        <f>E287+F287-I287</f>
        <v/>
      </c>
      <c r="M287" s="14">
        <f>G287-J287</f>
        <v/>
      </c>
      <c r="N287" s="14">
        <f>D287-K287</f>
        <v/>
      </c>
      <c r="O287" s="6">
        <f>AND(D287&gt;0,B287&lt;=COB_CA!$B$20)</f>
        <v/>
      </c>
    </row>
    <row r="288">
      <c r="A288" s="6" t="n">
        <v>284</v>
      </c>
      <c r="B288" s="15">
        <f>IF(COB_CA!$B$38=12,DATE(YEAR(COB_CA!$B$19)+INT((MONTH(COB_CA!$B$19)-1+283)/12),MOD(MONTH(COB_CA!$B$19)-1+283,12)+1,1)+(DAY(COB_CA!$B$19)-1),IF(COB_CA!$B$38=24,COB_CA!$B$19+ROUND((283*365.25)/24,0),IF(COB_CA!$B$38=26,COB_CA!$B$19+3962,COB_CA!$B$19+1981)))</f>
        <v/>
      </c>
      <c r="C288" s="12">
        <f>B288-B287</f>
        <v/>
      </c>
      <c r="D288" s="14">
        <f>N287</f>
        <v/>
      </c>
      <c r="E288" s="14">
        <f>D288*COB_CA!$B$40/100*(IF(YEAR(B287)=YEAR(B288),(B288-B287)/IF(AND(MOD(YEAR(B288),4)=0,OR(MOD(YEAR(B288),100)&lt;&gt;0,MOD(YEAR(B288),400)=0)),366,365),(((DATE(YEAR(B287)+1,1,1)))-B287)/IF(AND(MOD(YEAR(B287),4)=0,OR(MOD(YEAR(B287),100)&lt;&gt;0,MOD(YEAR(B287),400)=0)),366,365)+(B288-((DATE(YEAR(B287)+1,1,1))))/IF(AND(MOD(YEAR(B288),4)=0,OR(MOD(YEAR(B288),100)&lt;&gt;0,MOD(YEAR(B288),400)=0)),366,365)))</f>
        <v/>
      </c>
      <c r="F288" s="14">
        <f>L287</f>
        <v/>
      </c>
      <c r="G288" s="14">
        <f>M287</f>
        <v/>
      </c>
      <c r="H288" s="14">
        <f>IF((((COB_CA!$B$18-I288)-J288)&gt;D288),I288+J288+K288,COB_CA!$B$18)</f>
        <v/>
      </c>
      <c r="I288" s="14">
        <f>MIN(COB_CA!$B$18,(E288+F288))</f>
        <v/>
      </c>
      <c r="J288" s="14">
        <f>MIN((COB_CA!$B$18-I288),G288)</f>
        <v/>
      </c>
      <c r="K288" s="14">
        <f>MIN(((COB_CA!$B$18-I288)-J288),D288)</f>
        <v/>
      </c>
      <c r="L288" s="14">
        <f>E288+F288-I288</f>
        <v/>
      </c>
      <c r="M288" s="14">
        <f>G288-J288</f>
        <v/>
      </c>
      <c r="N288" s="14">
        <f>D288-K288</f>
        <v/>
      </c>
      <c r="O288" s="6">
        <f>AND(D288&gt;0,B288&lt;=COB_CA!$B$20)</f>
        <v/>
      </c>
    </row>
    <row r="289">
      <c r="A289" s="6" t="n">
        <v>285</v>
      </c>
      <c r="B289" s="15">
        <f>IF(COB_CA!$B$38=12,DATE(YEAR(COB_CA!$B$19)+INT((MONTH(COB_CA!$B$19)-1+284)/12),MOD(MONTH(COB_CA!$B$19)-1+284,12)+1,1)+(DAY(COB_CA!$B$19)-1),IF(COB_CA!$B$38=24,COB_CA!$B$19+ROUND((284*365.25)/24,0),IF(COB_CA!$B$38=26,COB_CA!$B$19+3976,COB_CA!$B$19+1988)))</f>
        <v/>
      </c>
      <c r="C289" s="12">
        <f>B289-B288</f>
        <v/>
      </c>
      <c r="D289" s="14">
        <f>N288</f>
        <v/>
      </c>
      <c r="E289" s="14">
        <f>D289*COB_CA!$B$40/100*(IF(YEAR(B288)=YEAR(B289),(B289-B288)/IF(AND(MOD(YEAR(B289),4)=0,OR(MOD(YEAR(B289),100)&lt;&gt;0,MOD(YEAR(B289),400)=0)),366,365),(((DATE(YEAR(B288)+1,1,1)))-B288)/IF(AND(MOD(YEAR(B288),4)=0,OR(MOD(YEAR(B288),100)&lt;&gt;0,MOD(YEAR(B288),400)=0)),366,365)+(B289-((DATE(YEAR(B288)+1,1,1))))/IF(AND(MOD(YEAR(B289),4)=0,OR(MOD(YEAR(B289),100)&lt;&gt;0,MOD(YEAR(B289),400)=0)),366,365)))</f>
        <v/>
      </c>
      <c r="F289" s="14">
        <f>L288</f>
        <v/>
      </c>
      <c r="G289" s="14">
        <f>M288</f>
        <v/>
      </c>
      <c r="H289" s="14">
        <f>IF((((COB_CA!$B$18-I289)-J289)&gt;D289),I289+J289+K289,COB_CA!$B$18)</f>
        <v/>
      </c>
      <c r="I289" s="14">
        <f>MIN(COB_CA!$B$18,(E289+F289))</f>
        <v/>
      </c>
      <c r="J289" s="14">
        <f>MIN((COB_CA!$B$18-I289),G289)</f>
        <v/>
      </c>
      <c r="K289" s="14">
        <f>MIN(((COB_CA!$B$18-I289)-J289),D289)</f>
        <v/>
      </c>
      <c r="L289" s="14">
        <f>E289+F289-I289</f>
        <v/>
      </c>
      <c r="M289" s="14">
        <f>G289-J289</f>
        <v/>
      </c>
      <c r="N289" s="14">
        <f>D289-K289</f>
        <v/>
      </c>
      <c r="O289" s="6">
        <f>AND(D289&gt;0,B289&lt;=COB_CA!$B$20)</f>
        <v/>
      </c>
    </row>
    <row r="290">
      <c r="A290" s="6" t="n">
        <v>286</v>
      </c>
      <c r="B290" s="15">
        <f>IF(COB_CA!$B$38=12,DATE(YEAR(COB_CA!$B$19)+INT((MONTH(COB_CA!$B$19)-1+285)/12),MOD(MONTH(COB_CA!$B$19)-1+285,12)+1,1)+(DAY(COB_CA!$B$19)-1),IF(COB_CA!$B$38=24,COB_CA!$B$19+ROUND((285*365.25)/24,0),IF(COB_CA!$B$38=26,COB_CA!$B$19+3990,COB_CA!$B$19+1995)))</f>
        <v/>
      </c>
      <c r="C290" s="12">
        <f>B290-B289</f>
        <v/>
      </c>
      <c r="D290" s="14">
        <f>N289</f>
        <v/>
      </c>
      <c r="E290" s="14">
        <f>D290*COB_CA!$B$40/100*(IF(YEAR(B289)=YEAR(B290),(B290-B289)/IF(AND(MOD(YEAR(B290),4)=0,OR(MOD(YEAR(B290),100)&lt;&gt;0,MOD(YEAR(B290),400)=0)),366,365),(((DATE(YEAR(B289)+1,1,1)))-B289)/IF(AND(MOD(YEAR(B289),4)=0,OR(MOD(YEAR(B289),100)&lt;&gt;0,MOD(YEAR(B289),400)=0)),366,365)+(B290-((DATE(YEAR(B289)+1,1,1))))/IF(AND(MOD(YEAR(B290),4)=0,OR(MOD(YEAR(B290),100)&lt;&gt;0,MOD(YEAR(B290),400)=0)),366,365)))</f>
        <v/>
      </c>
      <c r="F290" s="14">
        <f>L289</f>
        <v/>
      </c>
      <c r="G290" s="14">
        <f>M289</f>
        <v/>
      </c>
      <c r="H290" s="14">
        <f>IF((((COB_CA!$B$18-I290)-J290)&gt;D290),I290+J290+K290,COB_CA!$B$18)</f>
        <v/>
      </c>
      <c r="I290" s="14">
        <f>MIN(COB_CA!$B$18,(E290+F290))</f>
        <v/>
      </c>
      <c r="J290" s="14">
        <f>MIN((COB_CA!$B$18-I290),G290)</f>
        <v/>
      </c>
      <c r="K290" s="14">
        <f>MIN(((COB_CA!$B$18-I290)-J290),D290)</f>
        <v/>
      </c>
      <c r="L290" s="14">
        <f>E290+F290-I290</f>
        <v/>
      </c>
      <c r="M290" s="14">
        <f>G290-J290</f>
        <v/>
      </c>
      <c r="N290" s="14">
        <f>D290-K290</f>
        <v/>
      </c>
      <c r="O290" s="6">
        <f>AND(D290&gt;0,B290&lt;=COB_CA!$B$20)</f>
        <v/>
      </c>
    </row>
    <row r="291">
      <c r="A291" s="6" t="n">
        <v>287</v>
      </c>
      <c r="B291" s="15">
        <f>IF(COB_CA!$B$38=12,DATE(YEAR(COB_CA!$B$19)+INT((MONTH(COB_CA!$B$19)-1+286)/12),MOD(MONTH(COB_CA!$B$19)-1+286,12)+1,1)+(DAY(COB_CA!$B$19)-1),IF(COB_CA!$B$38=24,COB_CA!$B$19+ROUND((286*365.25)/24,0),IF(COB_CA!$B$38=26,COB_CA!$B$19+4004,COB_CA!$B$19+2002)))</f>
        <v/>
      </c>
      <c r="C291" s="12">
        <f>B291-B290</f>
        <v/>
      </c>
      <c r="D291" s="14">
        <f>N290</f>
        <v/>
      </c>
      <c r="E291" s="14">
        <f>D291*COB_CA!$B$40/100*(IF(YEAR(B290)=YEAR(B291),(B291-B290)/IF(AND(MOD(YEAR(B291),4)=0,OR(MOD(YEAR(B291),100)&lt;&gt;0,MOD(YEAR(B291),400)=0)),366,365),(((DATE(YEAR(B290)+1,1,1)))-B290)/IF(AND(MOD(YEAR(B290),4)=0,OR(MOD(YEAR(B290),100)&lt;&gt;0,MOD(YEAR(B290),400)=0)),366,365)+(B291-((DATE(YEAR(B290)+1,1,1))))/IF(AND(MOD(YEAR(B291),4)=0,OR(MOD(YEAR(B291),100)&lt;&gt;0,MOD(YEAR(B291),400)=0)),366,365)))</f>
        <v/>
      </c>
      <c r="F291" s="14">
        <f>L290</f>
        <v/>
      </c>
      <c r="G291" s="14">
        <f>M290</f>
        <v/>
      </c>
      <c r="H291" s="14">
        <f>IF((((COB_CA!$B$18-I291)-J291)&gt;D291),I291+J291+K291,COB_CA!$B$18)</f>
        <v/>
      </c>
      <c r="I291" s="14">
        <f>MIN(COB_CA!$B$18,(E291+F291))</f>
        <v/>
      </c>
      <c r="J291" s="14">
        <f>MIN((COB_CA!$B$18-I291),G291)</f>
        <v/>
      </c>
      <c r="K291" s="14">
        <f>MIN(((COB_CA!$B$18-I291)-J291),D291)</f>
        <v/>
      </c>
      <c r="L291" s="14">
        <f>E291+F291-I291</f>
        <v/>
      </c>
      <c r="M291" s="14">
        <f>G291-J291</f>
        <v/>
      </c>
      <c r="N291" s="14">
        <f>D291-K291</f>
        <v/>
      </c>
      <c r="O291" s="6">
        <f>AND(D291&gt;0,B291&lt;=COB_CA!$B$20)</f>
        <v/>
      </c>
    </row>
    <row r="292">
      <c r="A292" s="6" t="n">
        <v>288</v>
      </c>
      <c r="B292" s="15">
        <f>IF(COB_CA!$B$38=12,DATE(YEAR(COB_CA!$B$19)+INT((MONTH(COB_CA!$B$19)-1+287)/12),MOD(MONTH(COB_CA!$B$19)-1+287,12)+1,1)+(DAY(COB_CA!$B$19)-1),IF(COB_CA!$B$38=24,COB_CA!$B$19+ROUND((287*365.25)/24,0),IF(COB_CA!$B$38=26,COB_CA!$B$19+4018,COB_CA!$B$19+2009)))</f>
        <v/>
      </c>
      <c r="C292" s="12">
        <f>B292-B291</f>
        <v/>
      </c>
      <c r="D292" s="14">
        <f>N291</f>
        <v/>
      </c>
      <c r="E292" s="14">
        <f>D292*COB_CA!$B$40/100*(IF(YEAR(B291)=YEAR(B292),(B292-B291)/IF(AND(MOD(YEAR(B292),4)=0,OR(MOD(YEAR(B292),100)&lt;&gt;0,MOD(YEAR(B292),400)=0)),366,365),(((DATE(YEAR(B291)+1,1,1)))-B291)/IF(AND(MOD(YEAR(B291),4)=0,OR(MOD(YEAR(B291),100)&lt;&gt;0,MOD(YEAR(B291),400)=0)),366,365)+(B292-((DATE(YEAR(B291)+1,1,1))))/IF(AND(MOD(YEAR(B292),4)=0,OR(MOD(YEAR(B292),100)&lt;&gt;0,MOD(YEAR(B292),400)=0)),366,365)))</f>
        <v/>
      </c>
      <c r="F292" s="14">
        <f>L291</f>
        <v/>
      </c>
      <c r="G292" s="14">
        <f>M291</f>
        <v/>
      </c>
      <c r="H292" s="14">
        <f>IF((((COB_CA!$B$18-I292)-J292)&gt;D292),I292+J292+K292,COB_CA!$B$18)</f>
        <v/>
      </c>
      <c r="I292" s="14">
        <f>MIN(COB_CA!$B$18,(E292+F292))</f>
        <v/>
      </c>
      <c r="J292" s="14">
        <f>MIN((COB_CA!$B$18-I292),G292)</f>
        <v/>
      </c>
      <c r="K292" s="14">
        <f>MIN(((COB_CA!$B$18-I292)-J292),D292)</f>
        <v/>
      </c>
      <c r="L292" s="14">
        <f>E292+F292-I292</f>
        <v/>
      </c>
      <c r="M292" s="14">
        <f>G292-J292</f>
        <v/>
      </c>
      <c r="N292" s="14">
        <f>D292-K292</f>
        <v/>
      </c>
      <c r="O292" s="6">
        <f>AND(D292&gt;0,B292&lt;=COB_CA!$B$20)</f>
        <v/>
      </c>
    </row>
    <row r="293">
      <c r="A293" s="6" t="n">
        <v>289</v>
      </c>
      <c r="B293" s="15">
        <f>IF(COB_CA!$B$38=12,DATE(YEAR(COB_CA!$B$19)+INT((MONTH(COB_CA!$B$19)-1+288)/12),MOD(MONTH(COB_CA!$B$19)-1+288,12)+1,1)+(DAY(COB_CA!$B$19)-1),IF(COB_CA!$B$38=24,COB_CA!$B$19+ROUND((288*365.25)/24,0),IF(COB_CA!$B$38=26,COB_CA!$B$19+4032,COB_CA!$B$19+2016)))</f>
        <v/>
      </c>
      <c r="C293" s="12">
        <f>B293-B292</f>
        <v/>
      </c>
      <c r="D293" s="14">
        <f>N292</f>
        <v/>
      </c>
      <c r="E293" s="14">
        <f>D293*COB_CA!$B$40/100*(IF(YEAR(B292)=YEAR(B293),(B293-B292)/IF(AND(MOD(YEAR(B293),4)=0,OR(MOD(YEAR(B293),100)&lt;&gt;0,MOD(YEAR(B293),400)=0)),366,365),(((DATE(YEAR(B292)+1,1,1)))-B292)/IF(AND(MOD(YEAR(B292),4)=0,OR(MOD(YEAR(B292),100)&lt;&gt;0,MOD(YEAR(B292),400)=0)),366,365)+(B293-((DATE(YEAR(B292)+1,1,1))))/IF(AND(MOD(YEAR(B293),4)=0,OR(MOD(YEAR(B293),100)&lt;&gt;0,MOD(YEAR(B293),400)=0)),366,365)))</f>
        <v/>
      </c>
      <c r="F293" s="14">
        <f>L292</f>
        <v/>
      </c>
      <c r="G293" s="14">
        <f>M292</f>
        <v/>
      </c>
      <c r="H293" s="14">
        <f>IF((((COB_CA!$B$18-I293)-J293)&gt;D293),I293+J293+K293,COB_CA!$B$18)</f>
        <v/>
      </c>
      <c r="I293" s="14">
        <f>MIN(COB_CA!$B$18,(E293+F293))</f>
        <v/>
      </c>
      <c r="J293" s="14">
        <f>MIN((COB_CA!$B$18-I293),G293)</f>
        <v/>
      </c>
      <c r="K293" s="14">
        <f>MIN(((COB_CA!$B$18-I293)-J293),D293)</f>
        <v/>
      </c>
      <c r="L293" s="14">
        <f>E293+F293-I293</f>
        <v/>
      </c>
      <c r="M293" s="14">
        <f>G293-J293</f>
        <v/>
      </c>
      <c r="N293" s="14">
        <f>D293-K293</f>
        <v/>
      </c>
      <c r="O293" s="6">
        <f>AND(D293&gt;0,B293&lt;=COB_CA!$B$20)</f>
        <v/>
      </c>
    </row>
    <row r="294">
      <c r="A294" s="6" t="n">
        <v>290</v>
      </c>
      <c r="B294" s="15">
        <f>IF(COB_CA!$B$38=12,DATE(YEAR(COB_CA!$B$19)+INT((MONTH(COB_CA!$B$19)-1+289)/12),MOD(MONTH(COB_CA!$B$19)-1+289,12)+1,1)+(DAY(COB_CA!$B$19)-1),IF(COB_CA!$B$38=24,COB_CA!$B$19+ROUND((289*365.25)/24,0),IF(COB_CA!$B$38=26,COB_CA!$B$19+4046,COB_CA!$B$19+2023)))</f>
        <v/>
      </c>
      <c r="C294" s="12">
        <f>B294-B293</f>
        <v/>
      </c>
      <c r="D294" s="14">
        <f>N293</f>
        <v/>
      </c>
      <c r="E294" s="14">
        <f>D294*COB_CA!$B$40/100*(IF(YEAR(B293)=YEAR(B294),(B294-B293)/IF(AND(MOD(YEAR(B294),4)=0,OR(MOD(YEAR(B294),100)&lt;&gt;0,MOD(YEAR(B294),400)=0)),366,365),(((DATE(YEAR(B293)+1,1,1)))-B293)/IF(AND(MOD(YEAR(B293),4)=0,OR(MOD(YEAR(B293),100)&lt;&gt;0,MOD(YEAR(B293),400)=0)),366,365)+(B294-((DATE(YEAR(B293)+1,1,1))))/IF(AND(MOD(YEAR(B294),4)=0,OR(MOD(YEAR(B294),100)&lt;&gt;0,MOD(YEAR(B294),400)=0)),366,365)))</f>
        <v/>
      </c>
      <c r="F294" s="14">
        <f>L293</f>
        <v/>
      </c>
      <c r="G294" s="14">
        <f>M293</f>
        <v/>
      </c>
      <c r="H294" s="14">
        <f>IF((((COB_CA!$B$18-I294)-J294)&gt;D294),I294+J294+K294,COB_CA!$B$18)</f>
        <v/>
      </c>
      <c r="I294" s="14">
        <f>MIN(COB_CA!$B$18,(E294+F294))</f>
        <v/>
      </c>
      <c r="J294" s="14">
        <f>MIN((COB_CA!$B$18-I294),G294)</f>
        <v/>
      </c>
      <c r="K294" s="14">
        <f>MIN(((COB_CA!$B$18-I294)-J294),D294)</f>
        <v/>
      </c>
      <c r="L294" s="14">
        <f>E294+F294-I294</f>
        <v/>
      </c>
      <c r="M294" s="14">
        <f>G294-J294</f>
        <v/>
      </c>
      <c r="N294" s="14">
        <f>D294-K294</f>
        <v/>
      </c>
      <c r="O294" s="6">
        <f>AND(D294&gt;0,B294&lt;=COB_CA!$B$20)</f>
        <v/>
      </c>
    </row>
    <row r="295">
      <c r="A295" s="6" t="n">
        <v>291</v>
      </c>
      <c r="B295" s="15">
        <f>IF(COB_CA!$B$38=12,DATE(YEAR(COB_CA!$B$19)+INT((MONTH(COB_CA!$B$19)-1+290)/12),MOD(MONTH(COB_CA!$B$19)-1+290,12)+1,1)+(DAY(COB_CA!$B$19)-1),IF(COB_CA!$B$38=24,COB_CA!$B$19+ROUND((290*365.25)/24,0),IF(COB_CA!$B$38=26,COB_CA!$B$19+4060,COB_CA!$B$19+2030)))</f>
        <v/>
      </c>
      <c r="C295" s="12">
        <f>B295-B294</f>
        <v/>
      </c>
      <c r="D295" s="14">
        <f>N294</f>
        <v/>
      </c>
      <c r="E295" s="14">
        <f>D295*COB_CA!$B$40/100*(IF(YEAR(B294)=YEAR(B295),(B295-B294)/IF(AND(MOD(YEAR(B295),4)=0,OR(MOD(YEAR(B295),100)&lt;&gt;0,MOD(YEAR(B295),400)=0)),366,365),(((DATE(YEAR(B294)+1,1,1)))-B294)/IF(AND(MOD(YEAR(B294),4)=0,OR(MOD(YEAR(B294),100)&lt;&gt;0,MOD(YEAR(B294),400)=0)),366,365)+(B295-((DATE(YEAR(B294)+1,1,1))))/IF(AND(MOD(YEAR(B295),4)=0,OR(MOD(YEAR(B295),100)&lt;&gt;0,MOD(YEAR(B295),400)=0)),366,365)))</f>
        <v/>
      </c>
      <c r="F295" s="14">
        <f>L294</f>
        <v/>
      </c>
      <c r="G295" s="14">
        <f>M294</f>
        <v/>
      </c>
      <c r="H295" s="14">
        <f>IF((((COB_CA!$B$18-I295)-J295)&gt;D295),I295+J295+K295,COB_CA!$B$18)</f>
        <v/>
      </c>
      <c r="I295" s="14">
        <f>MIN(COB_CA!$B$18,(E295+F295))</f>
        <v/>
      </c>
      <c r="J295" s="14">
        <f>MIN((COB_CA!$B$18-I295),G295)</f>
        <v/>
      </c>
      <c r="K295" s="14">
        <f>MIN(((COB_CA!$B$18-I295)-J295),D295)</f>
        <v/>
      </c>
      <c r="L295" s="14">
        <f>E295+F295-I295</f>
        <v/>
      </c>
      <c r="M295" s="14">
        <f>G295-J295</f>
        <v/>
      </c>
      <c r="N295" s="14">
        <f>D295-K295</f>
        <v/>
      </c>
      <c r="O295" s="6">
        <f>AND(D295&gt;0,B295&lt;=COB_CA!$B$20)</f>
        <v/>
      </c>
    </row>
    <row r="296">
      <c r="A296" s="6" t="n">
        <v>292</v>
      </c>
      <c r="B296" s="15">
        <f>IF(COB_CA!$B$38=12,DATE(YEAR(COB_CA!$B$19)+INT((MONTH(COB_CA!$B$19)-1+291)/12),MOD(MONTH(COB_CA!$B$19)-1+291,12)+1,1)+(DAY(COB_CA!$B$19)-1),IF(COB_CA!$B$38=24,COB_CA!$B$19+ROUND((291*365.25)/24,0),IF(COB_CA!$B$38=26,COB_CA!$B$19+4074,COB_CA!$B$19+2037)))</f>
        <v/>
      </c>
      <c r="C296" s="12">
        <f>B296-B295</f>
        <v/>
      </c>
      <c r="D296" s="14">
        <f>N295</f>
        <v/>
      </c>
      <c r="E296" s="14">
        <f>D296*COB_CA!$B$40/100*(IF(YEAR(B295)=YEAR(B296),(B296-B295)/IF(AND(MOD(YEAR(B296),4)=0,OR(MOD(YEAR(B296),100)&lt;&gt;0,MOD(YEAR(B296),400)=0)),366,365),(((DATE(YEAR(B295)+1,1,1)))-B295)/IF(AND(MOD(YEAR(B295),4)=0,OR(MOD(YEAR(B295),100)&lt;&gt;0,MOD(YEAR(B295),400)=0)),366,365)+(B296-((DATE(YEAR(B295)+1,1,1))))/IF(AND(MOD(YEAR(B296),4)=0,OR(MOD(YEAR(B296),100)&lt;&gt;0,MOD(YEAR(B296),400)=0)),366,365)))</f>
        <v/>
      </c>
      <c r="F296" s="14">
        <f>L295</f>
        <v/>
      </c>
      <c r="G296" s="14">
        <f>M295</f>
        <v/>
      </c>
      <c r="H296" s="14">
        <f>IF((((COB_CA!$B$18-I296)-J296)&gt;D296),I296+J296+K296,COB_CA!$B$18)</f>
        <v/>
      </c>
      <c r="I296" s="14">
        <f>MIN(COB_CA!$B$18,(E296+F296))</f>
        <v/>
      </c>
      <c r="J296" s="14">
        <f>MIN((COB_CA!$B$18-I296),G296)</f>
        <v/>
      </c>
      <c r="K296" s="14">
        <f>MIN(((COB_CA!$B$18-I296)-J296),D296)</f>
        <v/>
      </c>
      <c r="L296" s="14">
        <f>E296+F296-I296</f>
        <v/>
      </c>
      <c r="M296" s="14">
        <f>G296-J296</f>
        <v/>
      </c>
      <c r="N296" s="14">
        <f>D296-K296</f>
        <v/>
      </c>
      <c r="O296" s="6">
        <f>AND(D296&gt;0,B296&lt;=COB_CA!$B$20)</f>
        <v/>
      </c>
    </row>
    <row r="297">
      <c r="A297" s="6" t="n">
        <v>293</v>
      </c>
      <c r="B297" s="15">
        <f>IF(COB_CA!$B$38=12,DATE(YEAR(COB_CA!$B$19)+INT((MONTH(COB_CA!$B$19)-1+292)/12),MOD(MONTH(COB_CA!$B$19)-1+292,12)+1,1)+(DAY(COB_CA!$B$19)-1),IF(COB_CA!$B$38=24,COB_CA!$B$19+ROUND((292*365.25)/24,0),IF(COB_CA!$B$38=26,COB_CA!$B$19+4088,COB_CA!$B$19+2044)))</f>
        <v/>
      </c>
      <c r="C297" s="12">
        <f>B297-B296</f>
        <v/>
      </c>
      <c r="D297" s="14">
        <f>N296</f>
        <v/>
      </c>
      <c r="E297" s="14">
        <f>D297*COB_CA!$B$40/100*(IF(YEAR(B296)=YEAR(B297),(B297-B296)/IF(AND(MOD(YEAR(B297),4)=0,OR(MOD(YEAR(B297),100)&lt;&gt;0,MOD(YEAR(B297),400)=0)),366,365),(((DATE(YEAR(B296)+1,1,1)))-B296)/IF(AND(MOD(YEAR(B296),4)=0,OR(MOD(YEAR(B296),100)&lt;&gt;0,MOD(YEAR(B296),400)=0)),366,365)+(B297-((DATE(YEAR(B296)+1,1,1))))/IF(AND(MOD(YEAR(B297),4)=0,OR(MOD(YEAR(B297),100)&lt;&gt;0,MOD(YEAR(B297),400)=0)),366,365)))</f>
        <v/>
      </c>
      <c r="F297" s="14">
        <f>L296</f>
        <v/>
      </c>
      <c r="G297" s="14">
        <f>M296</f>
        <v/>
      </c>
      <c r="H297" s="14">
        <f>IF((((COB_CA!$B$18-I297)-J297)&gt;D297),I297+J297+K297,COB_CA!$B$18)</f>
        <v/>
      </c>
      <c r="I297" s="14">
        <f>MIN(COB_CA!$B$18,(E297+F297))</f>
        <v/>
      </c>
      <c r="J297" s="14">
        <f>MIN((COB_CA!$B$18-I297),G297)</f>
        <v/>
      </c>
      <c r="K297" s="14">
        <f>MIN(((COB_CA!$B$18-I297)-J297),D297)</f>
        <v/>
      </c>
      <c r="L297" s="14">
        <f>E297+F297-I297</f>
        <v/>
      </c>
      <c r="M297" s="14">
        <f>G297-J297</f>
        <v/>
      </c>
      <c r="N297" s="14">
        <f>D297-K297</f>
        <v/>
      </c>
      <c r="O297" s="6">
        <f>AND(D297&gt;0,B297&lt;=COB_CA!$B$20)</f>
        <v/>
      </c>
    </row>
    <row r="298">
      <c r="A298" s="6" t="n">
        <v>294</v>
      </c>
      <c r="B298" s="15">
        <f>IF(COB_CA!$B$38=12,DATE(YEAR(COB_CA!$B$19)+INT((MONTH(COB_CA!$B$19)-1+293)/12),MOD(MONTH(COB_CA!$B$19)-1+293,12)+1,1)+(DAY(COB_CA!$B$19)-1),IF(COB_CA!$B$38=24,COB_CA!$B$19+ROUND((293*365.25)/24,0),IF(COB_CA!$B$38=26,COB_CA!$B$19+4102,COB_CA!$B$19+2051)))</f>
        <v/>
      </c>
      <c r="C298" s="12">
        <f>B298-B297</f>
        <v/>
      </c>
      <c r="D298" s="14">
        <f>N297</f>
        <v/>
      </c>
      <c r="E298" s="14">
        <f>D298*COB_CA!$B$40/100*(IF(YEAR(B297)=YEAR(B298),(B298-B297)/IF(AND(MOD(YEAR(B298),4)=0,OR(MOD(YEAR(B298),100)&lt;&gt;0,MOD(YEAR(B298),400)=0)),366,365),(((DATE(YEAR(B297)+1,1,1)))-B297)/IF(AND(MOD(YEAR(B297),4)=0,OR(MOD(YEAR(B297),100)&lt;&gt;0,MOD(YEAR(B297),400)=0)),366,365)+(B298-((DATE(YEAR(B297)+1,1,1))))/IF(AND(MOD(YEAR(B298),4)=0,OR(MOD(YEAR(B298),100)&lt;&gt;0,MOD(YEAR(B298),400)=0)),366,365)))</f>
        <v/>
      </c>
      <c r="F298" s="14">
        <f>L297</f>
        <v/>
      </c>
      <c r="G298" s="14">
        <f>M297</f>
        <v/>
      </c>
      <c r="H298" s="14">
        <f>IF((((COB_CA!$B$18-I298)-J298)&gt;D298),I298+J298+K298,COB_CA!$B$18)</f>
        <v/>
      </c>
      <c r="I298" s="14">
        <f>MIN(COB_CA!$B$18,(E298+F298))</f>
        <v/>
      </c>
      <c r="J298" s="14">
        <f>MIN((COB_CA!$B$18-I298),G298)</f>
        <v/>
      </c>
      <c r="K298" s="14">
        <f>MIN(((COB_CA!$B$18-I298)-J298),D298)</f>
        <v/>
      </c>
      <c r="L298" s="14">
        <f>E298+F298-I298</f>
        <v/>
      </c>
      <c r="M298" s="14">
        <f>G298-J298</f>
        <v/>
      </c>
      <c r="N298" s="14">
        <f>D298-K298</f>
        <v/>
      </c>
      <c r="O298" s="6">
        <f>AND(D298&gt;0,B298&lt;=COB_CA!$B$20)</f>
        <v/>
      </c>
    </row>
    <row r="299">
      <c r="A299" s="6" t="n">
        <v>295</v>
      </c>
      <c r="B299" s="15">
        <f>IF(COB_CA!$B$38=12,DATE(YEAR(COB_CA!$B$19)+INT((MONTH(COB_CA!$B$19)-1+294)/12),MOD(MONTH(COB_CA!$B$19)-1+294,12)+1,1)+(DAY(COB_CA!$B$19)-1),IF(COB_CA!$B$38=24,COB_CA!$B$19+ROUND((294*365.25)/24,0),IF(COB_CA!$B$38=26,COB_CA!$B$19+4116,COB_CA!$B$19+2058)))</f>
        <v/>
      </c>
      <c r="C299" s="12">
        <f>B299-B298</f>
        <v/>
      </c>
      <c r="D299" s="14">
        <f>N298</f>
        <v/>
      </c>
      <c r="E299" s="14">
        <f>D299*COB_CA!$B$40/100*(IF(YEAR(B298)=YEAR(B299),(B299-B298)/IF(AND(MOD(YEAR(B299),4)=0,OR(MOD(YEAR(B299),100)&lt;&gt;0,MOD(YEAR(B299),400)=0)),366,365),(((DATE(YEAR(B298)+1,1,1)))-B298)/IF(AND(MOD(YEAR(B298),4)=0,OR(MOD(YEAR(B298),100)&lt;&gt;0,MOD(YEAR(B298),400)=0)),366,365)+(B299-((DATE(YEAR(B298)+1,1,1))))/IF(AND(MOD(YEAR(B299),4)=0,OR(MOD(YEAR(B299),100)&lt;&gt;0,MOD(YEAR(B299),400)=0)),366,365)))</f>
        <v/>
      </c>
      <c r="F299" s="14">
        <f>L298</f>
        <v/>
      </c>
      <c r="G299" s="14">
        <f>M298</f>
        <v/>
      </c>
      <c r="H299" s="14">
        <f>IF((((COB_CA!$B$18-I299)-J299)&gt;D299),I299+J299+K299,COB_CA!$B$18)</f>
        <v/>
      </c>
      <c r="I299" s="14">
        <f>MIN(COB_CA!$B$18,(E299+F299))</f>
        <v/>
      </c>
      <c r="J299" s="14">
        <f>MIN((COB_CA!$B$18-I299),G299)</f>
        <v/>
      </c>
      <c r="K299" s="14">
        <f>MIN(((COB_CA!$B$18-I299)-J299),D299)</f>
        <v/>
      </c>
      <c r="L299" s="14">
        <f>E299+F299-I299</f>
        <v/>
      </c>
      <c r="M299" s="14">
        <f>G299-J299</f>
        <v/>
      </c>
      <c r="N299" s="14">
        <f>D299-K299</f>
        <v/>
      </c>
      <c r="O299" s="6">
        <f>AND(D299&gt;0,B299&lt;=COB_CA!$B$20)</f>
        <v/>
      </c>
    </row>
    <row r="300">
      <c r="A300" s="6" t="n">
        <v>296</v>
      </c>
      <c r="B300" s="15">
        <f>IF(COB_CA!$B$38=12,DATE(YEAR(COB_CA!$B$19)+INT((MONTH(COB_CA!$B$19)-1+295)/12),MOD(MONTH(COB_CA!$B$19)-1+295,12)+1,1)+(DAY(COB_CA!$B$19)-1),IF(COB_CA!$B$38=24,COB_CA!$B$19+ROUND((295*365.25)/24,0),IF(COB_CA!$B$38=26,COB_CA!$B$19+4130,COB_CA!$B$19+2065)))</f>
        <v/>
      </c>
      <c r="C300" s="12">
        <f>B300-B299</f>
        <v/>
      </c>
      <c r="D300" s="14">
        <f>N299</f>
        <v/>
      </c>
      <c r="E300" s="14">
        <f>D300*COB_CA!$B$40/100*(IF(YEAR(B299)=YEAR(B300),(B300-B299)/IF(AND(MOD(YEAR(B300),4)=0,OR(MOD(YEAR(B300),100)&lt;&gt;0,MOD(YEAR(B300),400)=0)),366,365),(((DATE(YEAR(B299)+1,1,1)))-B299)/IF(AND(MOD(YEAR(B299),4)=0,OR(MOD(YEAR(B299),100)&lt;&gt;0,MOD(YEAR(B299),400)=0)),366,365)+(B300-((DATE(YEAR(B299)+1,1,1))))/IF(AND(MOD(YEAR(B300),4)=0,OR(MOD(YEAR(B300),100)&lt;&gt;0,MOD(YEAR(B300),400)=0)),366,365)))</f>
        <v/>
      </c>
      <c r="F300" s="14">
        <f>L299</f>
        <v/>
      </c>
      <c r="G300" s="14">
        <f>M299</f>
        <v/>
      </c>
      <c r="H300" s="14">
        <f>IF((((COB_CA!$B$18-I300)-J300)&gt;D300),I300+J300+K300,COB_CA!$B$18)</f>
        <v/>
      </c>
      <c r="I300" s="14">
        <f>MIN(COB_CA!$B$18,(E300+F300))</f>
        <v/>
      </c>
      <c r="J300" s="14">
        <f>MIN((COB_CA!$B$18-I300),G300)</f>
        <v/>
      </c>
      <c r="K300" s="14">
        <f>MIN(((COB_CA!$B$18-I300)-J300),D300)</f>
        <v/>
      </c>
      <c r="L300" s="14">
        <f>E300+F300-I300</f>
        <v/>
      </c>
      <c r="M300" s="14">
        <f>G300-J300</f>
        <v/>
      </c>
      <c r="N300" s="14">
        <f>D300-K300</f>
        <v/>
      </c>
      <c r="O300" s="6">
        <f>AND(D300&gt;0,B300&lt;=COB_CA!$B$20)</f>
        <v/>
      </c>
    </row>
    <row r="301">
      <c r="A301" s="6" t="n">
        <v>297</v>
      </c>
      <c r="B301" s="15">
        <f>IF(COB_CA!$B$38=12,DATE(YEAR(COB_CA!$B$19)+INT((MONTH(COB_CA!$B$19)-1+296)/12),MOD(MONTH(COB_CA!$B$19)-1+296,12)+1,1)+(DAY(COB_CA!$B$19)-1),IF(COB_CA!$B$38=24,COB_CA!$B$19+ROUND((296*365.25)/24,0),IF(COB_CA!$B$38=26,COB_CA!$B$19+4144,COB_CA!$B$19+2072)))</f>
        <v/>
      </c>
      <c r="C301" s="12">
        <f>B301-B300</f>
        <v/>
      </c>
      <c r="D301" s="14">
        <f>N300</f>
        <v/>
      </c>
      <c r="E301" s="14">
        <f>D301*COB_CA!$B$40/100*(IF(YEAR(B300)=YEAR(B301),(B301-B300)/IF(AND(MOD(YEAR(B301),4)=0,OR(MOD(YEAR(B301),100)&lt;&gt;0,MOD(YEAR(B301),400)=0)),366,365),(((DATE(YEAR(B300)+1,1,1)))-B300)/IF(AND(MOD(YEAR(B300),4)=0,OR(MOD(YEAR(B300),100)&lt;&gt;0,MOD(YEAR(B300),400)=0)),366,365)+(B301-((DATE(YEAR(B300)+1,1,1))))/IF(AND(MOD(YEAR(B301),4)=0,OR(MOD(YEAR(B301),100)&lt;&gt;0,MOD(YEAR(B301),400)=0)),366,365)))</f>
        <v/>
      </c>
      <c r="F301" s="14">
        <f>L300</f>
        <v/>
      </c>
      <c r="G301" s="14">
        <f>M300</f>
        <v/>
      </c>
      <c r="H301" s="14">
        <f>IF((((COB_CA!$B$18-I301)-J301)&gt;D301),I301+J301+K301,COB_CA!$B$18)</f>
        <v/>
      </c>
      <c r="I301" s="14">
        <f>MIN(COB_CA!$B$18,(E301+F301))</f>
        <v/>
      </c>
      <c r="J301" s="14">
        <f>MIN((COB_CA!$B$18-I301),G301)</f>
        <v/>
      </c>
      <c r="K301" s="14">
        <f>MIN(((COB_CA!$B$18-I301)-J301),D301)</f>
        <v/>
      </c>
      <c r="L301" s="14">
        <f>E301+F301-I301</f>
        <v/>
      </c>
      <c r="M301" s="14">
        <f>G301-J301</f>
        <v/>
      </c>
      <c r="N301" s="14">
        <f>D301-K301</f>
        <v/>
      </c>
      <c r="O301" s="6">
        <f>AND(D301&gt;0,B301&lt;=COB_CA!$B$20)</f>
        <v/>
      </c>
    </row>
    <row r="302">
      <c r="A302" s="6" t="n">
        <v>298</v>
      </c>
      <c r="B302" s="15">
        <f>IF(COB_CA!$B$38=12,DATE(YEAR(COB_CA!$B$19)+INT((MONTH(COB_CA!$B$19)-1+297)/12),MOD(MONTH(COB_CA!$B$19)-1+297,12)+1,1)+(DAY(COB_CA!$B$19)-1),IF(COB_CA!$B$38=24,COB_CA!$B$19+ROUND((297*365.25)/24,0),IF(COB_CA!$B$38=26,COB_CA!$B$19+4158,COB_CA!$B$19+2079)))</f>
        <v/>
      </c>
      <c r="C302" s="12">
        <f>B302-B301</f>
        <v/>
      </c>
      <c r="D302" s="14">
        <f>N301</f>
        <v/>
      </c>
      <c r="E302" s="14">
        <f>D302*COB_CA!$B$40/100*(IF(YEAR(B301)=YEAR(B302),(B302-B301)/IF(AND(MOD(YEAR(B302),4)=0,OR(MOD(YEAR(B302),100)&lt;&gt;0,MOD(YEAR(B302),400)=0)),366,365),(((DATE(YEAR(B301)+1,1,1)))-B301)/IF(AND(MOD(YEAR(B301),4)=0,OR(MOD(YEAR(B301),100)&lt;&gt;0,MOD(YEAR(B301),400)=0)),366,365)+(B302-((DATE(YEAR(B301)+1,1,1))))/IF(AND(MOD(YEAR(B302),4)=0,OR(MOD(YEAR(B302),100)&lt;&gt;0,MOD(YEAR(B302),400)=0)),366,365)))</f>
        <v/>
      </c>
      <c r="F302" s="14">
        <f>L301</f>
        <v/>
      </c>
      <c r="G302" s="14">
        <f>M301</f>
        <v/>
      </c>
      <c r="H302" s="14">
        <f>IF((((COB_CA!$B$18-I302)-J302)&gt;D302),I302+J302+K302,COB_CA!$B$18)</f>
        <v/>
      </c>
      <c r="I302" s="14">
        <f>MIN(COB_CA!$B$18,(E302+F302))</f>
        <v/>
      </c>
      <c r="J302" s="14">
        <f>MIN((COB_CA!$B$18-I302),G302)</f>
        <v/>
      </c>
      <c r="K302" s="14">
        <f>MIN(((COB_CA!$B$18-I302)-J302),D302)</f>
        <v/>
      </c>
      <c r="L302" s="14">
        <f>E302+F302-I302</f>
        <v/>
      </c>
      <c r="M302" s="14">
        <f>G302-J302</f>
        <v/>
      </c>
      <c r="N302" s="14">
        <f>D302-K302</f>
        <v/>
      </c>
      <c r="O302" s="6">
        <f>AND(D302&gt;0,B302&lt;=COB_CA!$B$20)</f>
        <v/>
      </c>
    </row>
    <row r="303">
      <c r="A303" s="6" t="n">
        <v>299</v>
      </c>
      <c r="B303" s="15">
        <f>IF(COB_CA!$B$38=12,DATE(YEAR(COB_CA!$B$19)+INT((MONTH(COB_CA!$B$19)-1+298)/12),MOD(MONTH(COB_CA!$B$19)-1+298,12)+1,1)+(DAY(COB_CA!$B$19)-1),IF(COB_CA!$B$38=24,COB_CA!$B$19+ROUND((298*365.25)/24,0),IF(COB_CA!$B$38=26,COB_CA!$B$19+4172,COB_CA!$B$19+2086)))</f>
        <v/>
      </c>
      <c r="C303" s="12">
        <f>B303-B302</f>
        <v/>
      </c>
      <c r="D303" s="14">
        <f>N302</f>
        <v/>
      </c>
      <c r="E303" s="14">
        <f>D303*COB_CA!$B$40/100*(IF(YEAR(B302)=YEAR(B303),(B303-B302)/IF(AND(MOD(YEAR(B303),4)=0,OR(MOD(YEAR(B303),100)&lt;&gt;0,MOD(YEAR(B303),400)=0)),366,365),(((DATE(YEAR(B302)+1,1,1)))-B302)/IF(AND(MOD(YEAR(B302),4)=0,OR(MOD(YEAR(B302),100)&lt;&gt;0,MOD(YEAR(B302),400)=0)),366,365)+(B303-((DATE(YEAR(B302)+1,1,1))))/IF(AND(MOD(YEAR(B303),4)=0,OR(MOD(YEAR(B303),100)&lt;&gt;0,MOD(YEAR(B303),400)=0)),366,365)))</f>
        <v/>
      </c>
      <c r="F303" s="14">
        <f>L302</f>
        <v/>
      </c>
      <c r="G303" s="14">
        <f>M302</f>
        <v/>
      </c>
      <c r="H303" s="14">
        <f>IF((((COB_CA!$B$18-I303)-J303)&gt;D303),I303+J303+K303,COB_CA!$B$18)</f>
        <v/>
      </c>
      <c r="I303" s="14">
        <f>MIN(COB_CA!$B$18,(E303+F303))</f>
        <v/>
      </c>
      <c r="J303" s="14">
        <f>MIN((COB_CA!$B$18-I303),G303)</f>
        <v/>
      </c>
      <c r="K303" s="14">
        <f>MIN(((COB_CA!$B$18-I303)-J303),D303)</f>
        <v/>
      </c>
      <c r="L303" s="14">
        <f>E303+F303-I303</f>
        <v/>
      </c>
      <c r="M303" s="14">
        <f>G303-J303</f>
        <v/>
      </c>
      <c r="N303" s="14">
        <f>D303-K303</f>
        <v/>
      </c>
      <c r="O303" s="6">
        <f>AND(D303&gt;0,B303&lt;=COB_CA!$B$20)</f>
        <v/>
      </c>
    </row>
    <row r="304">
      <c r="A304" s="6" t="n">
        <v>300</v>
      </c>
      <c r="B304" s="15">
        <f>IF(COB_CA!$B$38=12,DATE(YEAR(COB_CA!$B$19)+INT((MONTH(COB_CA!$B$19)-1+299)/12),MOD(MONTH(COB_CA!$B$19)-1+299,12)+1,1)+(DAY(COB_CA!$B$19)-1),IF(COB_CA!$B$38=24,COB_CA!$B$19+ROUND((299*365.25)/24,0),IF(COB_CA!$B$38=26,COB_CA!$B$19+4186,COB_CA!$B$19+2093)))</f>
        <v/>
      </c>
      <c r="C304" s="12">
        <f>B304-B303</f>
        <v/>
      </c>
      <c r="D304" s="14">
        <f>N303</f>
        <v/>
      </c>
      <c r="E304" s="14">
        <f>D304*COB_CA!$B$40/100*(IF(YEAR(B303)=YEAR(B304),(B304-B303)/IF(AND(MOD(YEAR(B304),4)=0,OR(MOD(YEAR(B304),100)&lt;&gt;0,MOD(YEAR(B304),400)=0)),366,365),(((DATE(YEAR(B303)+1,1,1)))-B303)/IF(AND(MOD(YEAR(B303),4)=0,OR(MOD(YEAR(B303),100)&lt;&gt;0,MOD(YEAR(B303),400)=0)),366,365)+(B304-((DATE(YEAR(B303)+1,1,1))))/IF(AND(MOD(YEAR(B304),4)=0,OR(MOD(YEAR(B304),100)&lt;&gt;0,MOD(YEAR(B304),400)=0)),366,365)))</f>
        <v/>
      </c>
      <c r="F304" s="14">
        <f>L303</f>
        <v/>
      </c>
      <c r="G304" s="14">
        <f>M303</f>
        <v/>
      </c>
      <c r="H304" s="14">
        <f>IF((((COB_CA!$B$18-I304)-J304)&gt;D304),I304+J304+K304,COB_CA!$B$18)</f>
        <v/>
      </c>
      <c r="I304" s="14">
        <f>MIN(COB_CA!$B$18,(E304+F304))</f>
        <v/>
      </c>
      <c r="J304" s="14">
        <f>MIN((COB_CA!$B$18-I304),G304)</f>
        <v/>
      </c>
      <c r="K304" s="14">
        <f>MIN(((COB_CA!$B$18-I304)-J304),D304)</f>
        <v/>
      </c>
      <c r="L304" s="14">
        <f>E304+F304-I304</f>
        <v/>
      </c>
      <c r="M304" s="14">
        <f>G304-J304</f>
        <v/>
      </c>
      <c r="N304" s="14">
        <f>D304-K304</f>
        <v/>
      </c>
      <c r="O304" s="6">
        <f>AND(D304&gt;0,B304&lt;=COB_CA!$B$20)</f>
        <v/>
      </c>
    </row>
    <row r="305">
      <c r="A305" s="6" t="n">
        <v>301</v>
      </c>
      <c r="B305" s="15">
        <f>IF(COB_CA!$B$38=12,DATE(YEAR(COB_CA!$B$19)+INT((MONTH(COB_CA!$B$19)-1+300)/12),MOD(MONTH(COB_CA!$B$19)-1+300,12)+1,1)+(DAY(COB_CA!$B$19)-1),IF(COB_CA!$B$38=24,COB_CA!$B$19+ROUND((300*365.25)/24,0),IF(COB_CA!$B$38=26,COB_CA!$B$19+4200,COB_CA!$B$19+2100)))</f>
        <v/>
      </c>
      <c r="C305" s="12">
        <f>B305-B304</f>
        <v/>
      </c>
      <c r="D305" s="14">
        <f>N304</f>
        <v/>
      </c>
      <c r="E305" s="14">
        <f>D305*COB_CA!$B$40/100*(IF(YEAR(B304)=YEAR(B305),(B305-B304)/IF(AND(MOD(YEAR(B305),4)=0,OR(MOD(YEAR(B305),100)&lt;&gt;0,MOD(YEAR(B305),400)=0)),366,365),(((DATE(YEAR(B304)+1,1,1)))-B304)/IF(AND(MOD(YEAR(B304),4)=0,OR(MOD(YEAR(B304),100)&lt;&gt;0,MOD(YEAR(B304),400)=0)),366,365)+(B305-((DATE(YEAR(B304)+1,1,1))))/IF(AND(MOD(YEAR(B305),4)=0,OR(MOD(YEAR(B305),100)&lt;&gt;0,MOD(YEAR(B305),400)=0)),366,365)))</f>
        <v/>
      </c>
      <c r="F305" s="14">
        <f>L304</f>
        <v/>
      </c>
      <c r="G305" s="14">
        <f>M304</f>
        <v/>
      </c>
      <c r="H305" s="14">
        <f>IF((((COB_CA!$B$18-I305)-J305)&gt;D305),I305+J305+K305,COB_CA!$B$18)</f>
        <v/>
      </c>
      <c r="I305" s="14">
        <f>MIN(COB_CA!$B$18,(E305+F305))</f>
        <v/>
      </c>
      <c r="J305" s="14">
        <f>MIN((COB_CA!$B$18-I305),G305)</f>
        <v/>
      </c>
      <c r="K305" s="14">
        <f>MIN(((COB_CA!$B$18-I305)-J305),D305)</f>
        <v/>
      </c>
      <c r="L305" s="14">
        <f>E305+F305-I305</f>
        <v/>
      </c>
      <c r="M305" s="14">
        <f>G305-J305</f>
        <v/>
      </c>
      <c r="N305" s="14">
        <f>D305-K305</f>
        <v/>
      </c>
      <c r="O305" s="6">
        <f>AND(D305&gt;0,B305&lt;=COB_CA!$B$20)</f>
        <v/>
      </c>
    </row>
    <row r="306">
      <c r="A306" s="6" t="n">
        <v>302</v>
      </c>
      <c r="B306" s="15">
        <f>IF(COB_CA!$B$38=12,DATE(YEAR(COB_CA!$B$19)+INT((MONTH(COB_CA!$B$19)-1+301)/12),MOD(MONTH(COB_CA!$B$19)-1+301,12)+1,1)+(DAY(COB_CA!$B$19)-1),IF(COB_CA!$B$38=24,COB_CA!$B$19+ROUND((301*365.25)/24,0),IF(COB_CA!$B$38=26,COB_CA!$B$19+4214,COB_CA!$B$19+2107)))</f>
        <v/>
      </c>
      <c r="C306" s="12">
        <f>B306-B305</f>
        <v/>
      </c>
      <c r="D306" s="14">
        <f>N305</f>
        <v/>
      </c>
      <c r="E306" s="14">
        <f>D306*COB_CA!$B$40/100*(IF(YEAR(B305)=YEAR(B306),(B306-B305)/IF(AND(MOD(YEAR(B306),4)=0,OR(MOD(YEAR(B306),100)&lt;&gt;0,MOD(YEAR(B306),400)=0)),366,365),(((DATE(YEAR(B305)+1,1,1)))-B305)/IF(AND(MOD(YEAR(B305),4)=0,OR(MOD(YEAR(B305),100)&lt;&gt;0,MOD(YEAR(B305),400)=0)),366,365)+(B306-((DATE(YEAR(B305)+1,1,1))))/IF(AND(MOD(YEAR(B306),4)=0,OR(MOD(YEAR(B306),100)&lt;&gt;0,MOD(YEAR(B306),400)=0)),366,365)))</f>
        <v/>
      </c>
      <c r="F306" s="14">
        <f>L305</f>
        <v/>
      </c>
      <c r="G306" s="14">
        <f>M305</f>
        <v/>
      </c>
      <c r="H306" s="14">
        <f>IF((((COB_CA!$B$18-I306)-J306)&gt;D306),I306+J306+K306,COB_CA!$B$18)</f>
        <v/>
      </c>
      <c r="I306" s="14">
        <f>MIN(COB_CA!$B$18,(E306+F306))</f>
        <v/>
      </c>
      <c r="J306" s="14">
        <f>MIN((COB_CA!$B$18-I306),G306)</f>
        <v/>
      </c>
      <c r="K306" s="14">
        <f>MIN(((COB_CA!$B$18-I306)-J306),D306)</f>
        <v/>
      </c>
      <c r="L306" s="14">
        <f>E306+F306-I306</f>
        <v/>
      </c>
      <c r="M306" s="14">
        <f>G306-J306</f>
        <v/>
      </c>
      <c r="N306" s="14">
        <f>D306-K306</f>
        <v/>
      </c>
      <c r="O306" s="6">
        <f>AND(D306&gt;0,B306&lt;=COB_CA!$B$20)</f>
        <v/>
      </c>
    </row>
    <row r="307">
      <c r="A307" s="6" t="n">
        <v>303</v>
      </c>
      <c r="B307" s="15">
        <f>IF(COB_CA!$B$38=12,DATE(YEAR(COB_CA!$B$19)+INT((MONTH(COB_CA!$B$19)-1+302)/12),MOD(MONTH(COB_CA!$B$19)-1+302,12)+1,1)+(DAY(COB_CA!$B$19)-1),IF(COB_CA!$B$38=24,COB_CA!$B$19+ROUND((302*365.25)/24,0),IF(COB_CA!$B$38=26,COB_CA!$B$19+4228,COB_CA!$B$19+2114)))</f>
        <v/>
      </c>
      <c r="C307" s="12">
        <f>B307-B306</f>
        <v/>
      </c>
      <c r="D307" s="14">
        <f>N306</f>
        <v/>
      </c>
      <c r="E307" s="14">
        <f>D307*COB_CA!$B$40/100*(IF(YEAR(B306)=YEAR(B307),(B307-B306)/IF(AND(MOD(YEAR(B307),4)=0,OR(MOD(YEAR(B307),100)&lt;&gt;0,MOD(YEAR(B307),400)=0)),366,365),(((DATE(YEAR(B306)+1,1,1)))-B306)/IF(AND(MOD(YEAR(B306),4)=0,OR(MOD(YEAR(B306),100)&lt;&gt;0,MOD(YEAR(B306),400)=0)),366,365)+(B307-((DATE(YEAR(B306)+1,1,1))))/IF(AND(MOD(YEAR(B307),4)=0,OR(MOD(YEAR(B307),100)&lt;&gt;0,MOD(YEAR(B307),400)=0)),366,365)))</f>
        <v/>
      </c>
      <c r="F307" s="14">
        <f>L306</f>
        <v/>
      </c>
      <c r="G307" s="14">
        <f>M306</f>
        <v/>
      </c>
      <c r="H307" s="14">
        <f>IF((((COB_CA!$B$18-I307)-J307)&gt;D307),I307+J307+K307,COB_CA!$B$18)</f>
        <v/>
      </c>
      <c r="I307" s="14">
        <f>MIN(COB_CA!$B$18,(E307+F307))</f>
        <v/>
      </c>
      <c r="J307" s="14">
        <f>MIN((COB_CA!$B$18-I307),G307)</f>
        <v/>
      </c>
      <c r="K307" s="14">
        <f>MIN(((COB_CA!$B$18-I307)-J307),D307)</f>
        <v/>
      </c>
      <c r="L307" s="14">
        <f>E307+F307-I307</f>
        <v/>
      </c>
      <c r="M307" s="14">
        <f>G307-J307</f>
        <v/>
      </c>
      <c r="N307" s="14">
        <f>D307-K307</f>
        <v/>
      </c>
      <c r="O307" s="6">
        <f>AND(D307&gt;0,B307&lt;=COB_CA!$B$20)</f>
        <v/>
      </c>
    </row>
    <row r="308">
      <c r="A308" s="6" t="n">
        <v>304</v>
      </c>
      <c r="B308" s="15">
        <f>IF(COB_CA!$B$38=12,DATE(YEAR(COB_CA!$B$19)+INT((MONTH(COB_CA!$B$19)-1+303)/12),MOD(MONTH(COB_CA!$B$19)-1+303,12)+1,1)+(DAY(COB_CA!$B$19)-1),IF(COB_CA!$B$38=24,COB_CA!$B$19+ROUND((303*365.25)/24,0),IF(COB_CA!$B$38=26,COB_CA!$B$19+4242,COB_CA!$B$19+2121)))</f>
        <v/>
      </c>
      <c r="C308" s="12">
        <f>B308-B307</f>
        <v/>
      </c>
      <c r="D308" s="14">
        <f>N307</f>
        <v/>
      </c>
      <c r="E308" s="14">
        <f>D308*COB_CA!$B$40/100*(IF(YEAR(B307)=YEAR(B308),(B308-B307)/IF(AND(MOD(YEAR(B308),4)=0,OR(MOD(YEAR(B308),100)&lt;&gt;0,MOD(YEAR(B308),400)=0)),366,365),(((DATE(YEAR(B307)+1,1,1)))-B307)/IF(AND(MOD(YEAR(B307),4)=0,OR(MOD(YEAR(B307),100)&lt;&gt;0,MOD(YEAR(B307),400)=0)),366,365)+(B308-((DATE(YEAR(B307)+1,1,1))))/IF(AND(MOD(YEAR(B308),4)=0,OR(MOD(YEAR(B308),100)&lt;&gt;0,MOD(YEAR(B308),400)=0)),366,365)))</f>
        <v/>
      </c>
      <c r="F308" s="14">
        <f>L307</f>
        <v/>
      </c>
      <c r="G308" s="14">
        <f>M307</f>
        <v/>
      </c>
      <c r="H308" s="14">
        <f>IF((((COB_CA!$B$18-I308)-J308)&gt;D308),I308+J308+K308,COB_CA!$B$18)</f>
        <v/>
      </c>
      <c r="I308" s="14">
        <f>MIN(COB_CA!$B$18,(E308+F308))</f>
        <v/>
      </c>
      <c r="J308" s="14">
        <f>MIN((COB_CA!$B$18-I308),G308)</f>
        <v/>
      </c>
      <c r="K308" s="14">
        <f>MIN(((COB_CA!$B$18-I308)-J308),D308)</f>
        <v/>
      </c>
      <c r="L308" s="14">
        <f>E308+F308-I308</f>
        <v/>
      </c>
      <c r="M308" s="14">
        <f>G308-J308</f>
        <v/>
      </c>
      <c r="N308" s="14">
        <f>D308-K308</f>
        <v/>
      </c>
      <c r="O308" s="6">
        <f>AND(D308&gt;0,B308&lt;=COB_CA!$B$20)</f>
        <v/>
      </c>
    </row>
    <row r="309">
      <c r="A309" s="6" t="n">
        <v>305</v>
      </c>
      <c r="B309" s="15">
        <f>IF(COB_CA!$B$38=12,DATE(YEAR(COB_CA!$B$19)+INT((MONTH(COB_CA!$B$19)-1+304)/12),MOD(MONTH(COB_CA!$B$19)-1+304,12)+1,1)+(DAY(COB_CA!$B$19)-1),IF(COB_CA!$B$38=24,COB_CA!$B$19+ROUND((304*365.25)/24,0),IF(COB_CA!$B$38=26,COB_CA!$B$19+4256,COB_CA!$B$19+2128)))</f>
        <v/>
      </c>
      <c r="C309" s="12">
        <f>B309-B308</f>
        <v/>
      </c>
      <c r="D309" s="14">
        <f>N308</f>
        <v/>
      </c>
      <c r="E309" s="14">
        <f>D309*COB_CA!$B$40/100*(IF(YEAR(B308)=YEAR(B309),(B309-B308)/IF(AND(MOD(YEAR(B309),4)=0,OR(MOD(YEAR(B309),100)&lt;&gt;0,MOD(YEAR(B309),400)=0)),366,365),(((DATE(YEAR(B308)+1,1,1)))-B308)/IF(AND(MOD(YEAR(B308),4)=0,OR(MOD(YEAR(B308),100)&lt;&gt;0,MOD(YEAR(B308),400)=0)),366,365)+(B309-((DATE(YEAR(B308)+1,1,1))))/IF(AND(MOD(YEAR(B309),4)=0,OR(MOD(YEAR(B309),100)&lt;&gt;0,MOD(YEAR(B309),400)=0)),366,365)))</f>
        <v/>
      </c>
      <c r="F309" s="14">
        <f>L308</f>
        <v/>
      </c>
      <c r="G309" s="14">
        <f>M308</f>
        <v/>
      </c>
      <c r="H309" s="14">
        <f>IF((((COB_CA!$B$18-I309)-J309)&gt;D309),I309+J309+K309,COB_CA!$B$18)</f>
        <v/>
      </c>
      <c r="I309" s="14">
        <f>MIN(COB_CA!$B$18,(E309+F309))</f>
        <v/>
      </c>
      <c r="J309" s="14">
        <f>MIN((COB_CA!$B$18-I309),G309)</f>
        <v/>
      </c>
      <c r="K309" s="14">
        <f>MIN(((COB_CA!$B$18-I309)-J309),D309)</f>
        <v/>
      </c>
      <c r="L309" s="14">
        <f>E309+F309-I309</f>
        <v/>
      </c>
      <c r="M309" s="14">
        <f>G309-J309</f>
        <v/>
      </c>
      <c r="N309" s="14">
        <f>D309-K309</f>
        <v/>
      </c>
      <c r="O309" s="6">
        <f>AND(D309&gt;0,B309&lt;=COB_CA!$B$20)</f>
        <v/>
      </c>
    </row>
    <row r="310">
      <c r="A310" s="6" t="n">
        <v>306</v>
      </c>
      <c r="B310" s="15">
        <f>IF(COB_CA!$B$38=12,DATE(YEAR(COB_CA!$B$19)+INT((MONTH(COB_CA!$B$19)-1+305)/12),MOD(MONTH(COB_CA!$B$19)-1+305,12)+1,1)+(DAY(COB_CA!$B$19)-1),IF(COB_CA!$B$38=24,COB_CA!$B$19+ROUND((305*365.25)/24,0),IF(COB_CA!$B$38=26,COB_CA!$B$19+4270,COB_CA!$B$19+2135)))</f>
        <v/>
      </c>
      <c r="C310" s="12">
        <f>B310-B309</f>
        <v/>
      </c>
      <c r="D310" s="14">
        <f>N309</f>
        <v/>
      </c>
      <c r="E310" s="14">
        <f>D310*COB_CA!$B$40/100*(IF(YEAR(B309)=YEAR(B310),(B310-B309)/IF(AND(MOD(YEAR(B310),4)=0,OR(MOD(YEAR(B310),100)&lt;&gt;0,MOD(YEAR(B310),400)=0)),366,365),(((DATE(YEAR(B309)+1,1,1)))-B309)/IF(AND(MOD(YEAR(B309),4)=0,OR(MOD(YEAR(B309),100)&lt;&gt;0,MOD(YEAR(B309),400)=0)),366,365)+(B310-((DATE(YEAR(B309)+1,1,1))))/IF(AND(MOD(YEAR(B310),4)=0,OR(MOD(YEAR(B310),100)&lt;&gt;0,MOD(YEAR(B310),400)=0)),366,365)))</f>
        <v/>
      </c>
      <c r="F310" s="14">
        <f>L309</f>
        <v/>
      </c>
      <c r="G310" s="14">
        <f>M309</f>
        <v/>
      </c>
      <c r="H310" s="14">
        <f>IF((((COB_CA!$B$18-I310)-J310)&gt;D310),I310+J310+K310,COB_CA!$B$18)</f>
        <v/>
      </c>
      <c r="I310" s="14">
        <f>MIN(COB_CA!$B$18,(E310+F310))</f>
        <v/>
      </c>
      <c r="J310" s="14">
        <f>MIN((COB_CA!$B$18-I310),G310)</f>
        <v/>
      </c>
      <c r="K310" s="14">
        <f>MIN(((COB_CA!$B$18-I310)-J310),D310)</f>
        <v/>
      </c>
      <c r="L310" s="14">
        <f>E310+F310-I310</f>
        <v/>
      </c>
      <c r="M310" s="14">
        <f>G310-J310</f>
        <v/>
      </c>
      <c r="N310" s="14">
        <f>D310-K310</f>
        <v/>
      </c>
      <c r="O310" s="6">
        <f>AND(D310&gt;0,B310&lt;=COB_CA!$B$20)</f>
        <v/>
      </c>
    </row>
    <row r="311">
      <c r="A311" s="6" t="n">
        <v>307</v>
      </c>
      <c r="B311" s="15">
        <f>IF(COB_CA!$B$38=12,DATE(YEAR(COB_CA!$B$19)+INT((MONTH(COB_CA!$B$19)-1+306)/12),MOD(MONTH(COB_CA!$B$19)-1+306,12)+1,1)+(DAY(COB_CA!$B$19)-1),IF(COB_CA!$B$38=24,COB_CA!$B$19+ROUND((306*365.25)/24,0),IF(COB_CA!$B$38=26,COB_CA!$B$19+4284,COB_CA!$B$19+2142)))</f>
        <v/>
      </c>
      <c r="C311" s="12">
        <f>B311-B310</f>
        <v/>
      </c>
      <c r="D311" s="14">
        <f>N310</f>
        <v/>
      </c>
      <c r="E311" s="14">
        <f>D311*COB_CA!$B$40/100*(IF(YEAR(B310)=YEAR(B311),(B311-B310)/IF(AND(MOD(YEAR(B311),4)=0,OR(MOD(YEAR(B311),100)&lt;&gt;0,MOD(YEAR(B311),400)=0)),366,365),(((DATE(YEAR(B310)+1,1,1)))-B310)/IF(AND(MOD(YEAR(B310),4)=0,OR(MOD(YEAR(B310),100)&lt;&gt;0,MOD(YEAR(B310),400)=0)),366,365)+(B311-((DATE(YEAR(B310)+1,1,1))))/IF(AND(MOD(YEAR(B311),4)=0,OR(MOD(YEAR(B311),100)&lt;&gt;0,MOD(YEAR(B311),400)=0)),366,365)))</f>
        <v/>
      </c>
      <c r="F311" s="14">
        <f>L310</f>
        <v/>
      </c>
      <c r="G311" s="14">
        <f>M310</f>
        <v/>
      </c>
      <c r="H311" s="14">
        <f>IF((((COB_CA!$B$18-I311)-J311)&gt;D311),I311+J311+K311,COB_CA!$B$18)</f>
        <v/>
      </c>
      <c r="I311" s="14">
        <f>MIN(COB_CA!$B$18,(E311+F311))</f>
        <v/>
      </c>
      <c r="J311" s="14">
        <f>MIN((COB_CA!$B$18-I311),G311)</f>
        <v/>
      </c>
      <c r="K311" s="14">
        <f>MIN(((COB_CA!$B$18-I311)-J311),D311)</f>
        <v/>
      </c>
      <c r="L311" s="14">
        <f>E311+F311-I311</f>
        <v/>
      </c>
      <c r="M311" s="14">
        <f>G311-J311</f>
        <v/>
      </c>
      <c r="N311" s="14">
        <f>D311-K311</f>
        <v/>
      </c>
      <c r="O311" s="6">
        <f>AND(D311&gt;0,B311&lt;=COB_CA!$B$20)</f>
        <v/>
      </c>
    </row>
    <row r="312">
      <c r="A312" s="6" t="n">
        <v>308</v>
      </c>
      <c r="B312" s="15">
        <f>IF(COB_CA!$B$38=12,DATE(YEAR(COB_CA!$B$19)+INT((MONTH(COB_CA!$B$19)-1+307)/12),MOD(MONTH(COB_CA!$B$19)-1+307,12)+1,1)+(DAY(COB_CA!$B$19)-1),IF(COB_CA!$B$38=24,COB_CA!$B$19+ROUND((307*365.25)/24,0),IF(COB_CA!$B$38=26,COB_CA!$B$19+4298,COB_CA!$B$19+2149)))</f>
        <v/>
      </c>
      <c r="C312" s="12">
        <f>B312-B311</f>
        <v/>
      </c>
      <c r="D312" s="14">
        <f>N311</f>
        <v/>
      </c>
      <c r="E312" s="14">
        <f>D312*COB_CA!$B$40/100*(IF(YEAR(B311)=YEAR(B312),(B312-B311)/IF(AND(MOD(YEAR(B312),4)=0,OR(MOD(YEAR(B312),100)&lt;&gt;0,MOD(YEAR(B312),400)=0)),366,365),(((DATE(YEAR(B311)+1,1,1)))-B311)/IF(AND(MOD(YEAR(B311),4)=0,OR(MOD(YEAR(B311),100)&lt;&gt;0,MOD(YEAR(B311),400)=0)),366,365)+(B312-((DATE(YEAR(B311)+1,1,1))))/IF(AND(MOD(YEAR(B312),4)=0,OR(MOD(YEAR(B312),100)&lt;&gt;0,MOD(YEAR(B312),400)=0)),366,365)))</f>
        <v/>
      </c>
      <c r="F312" s="14">
        <f>L311</f>
        <v/>
      </c>
      <c r="G312" s="14">
        <f>M311</f>
        <v/>
      </c>
      <c r="H312" s="14">
        <f>IF((((COB_CA!$B$18-I312)-J312)&gt;D312),I312+J312+K312,COB_CA!$B$18)</f>
        <v/>
      </c>
      <c r="I312" s="14">
        <f>MIN(COB_CA!$B$18,(E312+F312))</f>
        <v/>
      </c>
      <c r="J312" s="14">
        <f>MIN((COB_CA!$B$18-I312),G312)</f>
        <v/>
      </c>
      <c r="K312" s="14">
        <f>MIN(((COB_CA!$B$18-I312)-J312),D312)</f>
        <v/>
      </c>
      <c r="L312" s="14">
        <f>E312+F312-I312</f>
        <v/>
      </c>
      <c r="M312" s="14">
        <f>G312-J312</f>
        <v/>
      </c>
      <c r="N312" s="14">
        <f>D312-K312</f>
        <v/>
      </c>
      <c r="O312" s="6">
        <f>AND(D312&gt;0,B312&lt;=COB_CA!$B$20)</f>
        <v/>
      </c>
    </row>
    <row r="313">
      <c r="A313" s="6" t="n">
        <v>309</v>
      </c>
      <c r="B313" s="15">
        <f>IF(COB_CA!$B$38=12,DATE(YEAR(COB_CA!$B$19)+INT((MONTH(COB_CA!$B$19)-1+308)/12),MOD(MONTH(COB_CA!$B$19)-1+308,12)+1,1)+(DAY(COB_CA!$B$19)-1),IF(COB_CA!$B$38=24,COB_CA!$B$19+ROUND((308*365.25)/24,0),IF(COB_CA!$B$38=26,COB_CA!$B$19+4312,COB_CA!$B$19+2156)))</f>
        <v/>
      </c>
      <c r="C313" s="12">
        <f>B313-B312</f>
        <v/>
      </c>
      <c r="D313" s="14">
        <f>N312</f>
        <v/>
      </c>
      <c r="E313" s="14">
        <f>D313*COB_CA!$B$40/100*(IF(YEAR(B312)=YEAR(B313),(B313-B312)/IF(AND(MOD(YEAR(B313),4)=0,OR(MOD(YEAR(B313),100)&lt;&gt;0,MOD(YEAR(B313),400)=0)),366,365),(((DATE(YEAR(B312)+1,1,1)))-B312)/IF(AND(MOD(YEAR(B312),4)=0,OR(MOD(YEAR(B312),100)&lt;&gt;0,MOD(YEAR(B312),400)=0)),366,365)+(B313-((DATE(YEAR(B312)+1,1,1))))/IF(AND(MOD(YEAR(B313),4)=0,OR(MOD(YEAR(B313),100)&lt;&gt;0,MOD(YEAR(B313),400)=0)),366,365)))</f>
        <v/>
      </c>
      <c r="F313" s="14">
        <f>L312</f>
        <v/>
      </c>
      <c r="G313" s="14">
        <f>M312</f>
        <v/>
      </c>
      <c r="H313" s="14">
        <f>IF((((COB_CA!$B$18-I313)-J313)&gt;D313),I313+J313+K313,COB_CA!$B$18)</f>
        <v/>
      </c>
      <c r="I313" s="14">
        <f>MIN(COB_CA!$B$18,(E313+F313))</f>
        <v/>
      </c>
      <c r="J313" s="14">
        <f>MIN((COB_CA!$B$18-I313),G313)</f>
        <v/>
      </c>
      <c r="K313" s="14">
        <f>MIN(((COB_CA!$B$18-I313)-J313),D313)</f>
        <v/>
      </c>
      <c r="L313" s="14">
        <f>E313+F313-I313</f>
        <v/>
      </c>
      <c r="M313" s="14">
        <f>G313-J313</f>
        <v/>
      </c>
      <c r="N313" s="14">
        <f>D313-K313</f>
        <v/>
      </c>
      <c r="O313" s="6">
        <f>AND(D313&gt;0,B313&lt;=COB_CA!$B$20)</f>
        <v/>
      </c>
    </row>
    <row r="314">
      <c r="A314" s="6" t="n">
        <v>310</v>
      </c>
      <c r="B314" s="15">
        <f>IF(COB_CA!$B$38=12,DATE(YEAR(COB_CA!$B$19)+INT((MONTH(COB_CA!$B$19)-1+309)/12),MOD(MONTH(COB_CA!$B$19)-1+309,12)+1,1)+(DAY(COB_CA!$B$19)-1),IF(COB_CA!$B$38=24,COB_CA!$B$19+ROUND((309*365.25)/24,0),IF(COB_CA!$B$38=26,COB_CA!$B$19+4326,COB_CA!$B$19+2163)))</f>
        <v/>
      </c>
      <c r="C314" s="12">
        <f>B314-B313</f>
        <v/>
      </c>
      <c r="D314" s="14">
        <f>N313</f>
        <v/>
      </c>
      <c r="E314" s="14">
        <f>D314*COB_CA!$B$40/100*(IF(YEAR(B313)=YEAR(B314),(B314-B313)/IF(AND(MOD(YEAR(B314),4)=0,OR(MOD(YEAR(B314),100)&lt;&gt;0,MOD(YEAR(B314),400)=0)),366,365),(((DATE(YEAR(B313)+1,1,1)))-B313)/IF(AND(MOD(YEAR(B313),4)=0,OR(MOD(YEAR(B313),100)&lt;&gt;0,MOD(YEAR(B313),400)=0)),366,365)+(B314-((DATE(YEAR(B313)+1,1,1))))/IF(AND(MOD(YEAR(B314),4)=0,OR(MOD(YEAR(B314),100)&lt;&gt;0,MOD(YEAR(B314),400)=0)),366,365)))</f>
        <v/>
      </c>
      <c r="F314" s="14">
        <f>L313</f>
        <v/>
      </c>
      <c r="G314" s="14">
        <f>M313</f>
        <v/>
      </c>
      <c r="H314" s="14">
        <f>IF((((COB_CA!$B$18-I314)-J314)&gt;D314),I314+J314+K314,COB_CA!$B$18)</f>
        <v/>
      </c>
      <c r="I314" s="14">
        <f>MIN(COB_CA!$B$18,(E314+F314))</f>
        <v/>
      </c>
      <c r="J314" s="14">
        <f>MIN((COB_CA!$B$18-I314),G314)</f>
        <v/>
      </c>
      <c r="K314" s="14">
        <f>MIN(((COB_CA!$B$18-I314)-J314),D314)</f>
        <v/>
      </c>
      <c r="L314" s="14">
        <f>E314+F314-I314</f>
        <v/>
      </c>
      <c r="M314" s="14">
        <f>G314-J314</f>
        <v/>
      </c>
      <c r="N314" s="14">
        <f>D314-K314</f>
        <v/>
      </c>
      <c r="O314" s="6">
        <f>AND(D314&gt;0,B314&lt;=COB_CA!$B$20)</f>
        <v/>
      </c>
    </row>
    <row r="315">
      <c r="A315" s="6" t="n">
        <v>311</v>
      </c>
      <c r="B315" s="15">
        <f>IF(COB_CA!$B$38=12,DATE(YEAR(COB_CA!$B$19)+INT((MONTH(COB_CA!$B$19)-1+310)/12),MOD(MONTH(COB_CA!$B$19)-1+310,12)+1,1)+(DAY(COB_CA!$B$19)-1),IF(COB_CA!$B$38=24,COB_CA!$B$19+ROUND((310*365.25)/24,0),IF(COB_CA!$B$38=26,COB_CA!$B$19+4340,COB_CA!$B$19+2170)))</f>
        <v/>
      </c>
      <c r="C315" s="12">
        <f>B315-B314</f>
        <v/>
      </c>
      <c r="D315" s="14">
        <f>N314</f>
        <v/>
      </c>
      <c r="E315" s="14">
        <f>D315*COB_CA!$B$40/100*(IF(YEAR(B314)=YEAR(B315),(B315-B314)/IF(AND(MOD(YEAR(B315),4)=0,OR(MOD(YEAR(B315),100)&lt;&gt;0,MOD(YEAR(B315),400)=0)),366,365),(((DATE(YEAR(B314)+1,1,1)))-B314)/IF(AND(MOD(YEAR(B314),4)=0,OR(MOD(YEAR(B314),100)&lt;&gt;0,MOD(YEAR(B314),400)=0)),366,365)+(B315-((DATE(YEAR(B314)+1,1,1))))/IF(AND(MOD(YEAR(B315),4)=0,OR(MOD(YEAR(B315),100)&lt;&gt;0,MOD(YEAR(B315),400)=0)),366,365)))</f>
        <v/>
      </c>
      <c r="F315" s="14">
        <f>L314</f>
        <v/>
      </c>
      <c r="G315" s="14">
        <f>M314</f>
        <v/>
      </c>
      <c r="H315" s="14">
        <f>IF((((COB_CA!$B$18-I315)-J315)&gt;D315),I315+J315+K315,COB_CA!$B$18)</f>
        <v/>
      </c>
      <c r="I315" s="14">
        <f>MIN(COB_CA!$B$18,(E315+F315))</f>
        <v/>
      </c>
      <c r="J315" s="14">
        <f>MIN((COB_CA!$B$18-I315),G315)</f>
        <v/>
      </c>
      <c r="K315" s="14">
        <f>MIN(((COB_CA!$B$18-I315)-J315),D315)</f>
        <v/>
      </c>
      <c r="L315" s="14">
        <f>E315+F315-I315</f>
        <v/>
      </c>
      <c r="M315" s="14">
        <f>G315-J315</f>
        <v/>
      </c>
      <c r="N315" s="14">
        <f>D315-K315</f>
        <v/>
      </c>
      <c r="O315" s="6">
        <f>AND(D315&gt;0,B315&lt;=COB_CA!$B$20)</f>
        <v/>
      </c>
    </row>
    <row r="316">
      <c r="A316" s="6" t="n">
        <v>312</v>
      </c>
      <c r="B316" s="15">
        <f>IF(COB_CA!$B$38=12,DATE(YEAR(COB_CA!$B$19)+INT((MONTH(COB_CA!$B$19)-1+311)/12),MOD(MONTH(COB_CA!$B$19)-1+311,12)+1,1)+(DAY(COB_CA!$B$19)-1),IF(COB_CA!$B$38=24,COB_CA!$B$19+ROUND((311*365.25)/24,0),IF(COB_CA!$B$38=26,COB_CA!$B$19+4354,COB_CA!$B$19+2177)))</f>
        <v/>
      </c>
      <c r="C316" s="12">
        <f>B316-B315</f>
        <v/>
      </c>
      <c r="D316" s="14">
        <f>N315</f>
        <v/>
      </c>
      <c r="E316" s="14">
        <f>D316*COB_CA!$B$40/100*(IF(YEAR(B315)=YEAR(B316),(B316-B315)/IF(AND(MOD(YEAR(B316),4)=0,OR(MOD(YEAR(B316),100)&lt;&gt;0,MOD(YEAR(B316),400)=0)),366,365),(((DATE(YEAR(B315)+1,1,1)))-B315)/IF(AND(MOD(YEAR(B315),4)=0,OR(MOD(YEAR(B315),100)&lt;&gt;0,MOD(YEAR(B315),400)=0)),366,365)+(B316-((DATE(YEAR(B315)+1,1,1))))/IF(AND(MOD(YEAR(B316),4)=0,OR(MOD(YEAR(B316),100)&lt;&gt;0,MOD(YEAR(B316),400)=0)),366,365)))</f>
        <v/>
      </c>
      <c r="F316" s="14">
        <f>L315</f>
        <v/>
      </c>
      <c r="G316" s="14">
        <f>M315</f>
        <v/>
      </c>
      <c r="H316" s="14">
        <f>IF((((COB_CA!$B$18-I316)-J316)&gt;D316),I316+J316+K316,COB_CA!$B$18)</f>
        <v/>
      </c>
      <c r="I316" s="14">
        <f>MIN(COB_CA!$B$18,(E316+F316))</f>
        <v/>
      </c>
      <c r="J316" s="14">
        <f>MIN((COB_CA!$B$18-I316),G316)</f>
        <v/>
      </c>
      <c r="K316" s="14">
        <f>MIN(((COB_CA!$B$18-I316)-J316),D316)</f>
        <v/>
      </c>
      <c r="L316" s="14">
        <f>E316+F316-I316</f>
        <v/>
      </c>
      <c r="M316" s="14">
        <f>G316-J316</f>
        <v/>
      </c>
      <c r="N316" s="14">
        <f>D316-K316</f>
        <v/>
      </c>
      <c r="O316" s="6">
        <f>AND(D316&gt;0,B316&lt;=COB_CA!$B$20)</f>
        <v/>
      </c>
    </row>
    <row r="317">
      <c r="A317" s="6" t="n">
        <v>313</v>
      </c>
      <c r="B317" s="15">
        <f>IF(COB_CA!$B$38=12,DATE(YEAR(COB_CA!$B$19)+INT((MONTH(COB_CA!$B$19)-1+312)/12),MOD(MONTH(COB_CA!$B$19)-1+312,12)+1,1)+(DAY(COB_CA!$B$19)-1),IF(COB_CA!$B$38=24,COB_CA!$B$19+ROUND((312*365.25)/24,0),IF(COB_CA!$B$38=26,COB_CA!$B$19+4368,COB_CA!$B$19+2184)))</f>
        <v/>
      </c>
      <c r="C317" s="12">
        <f>B317-B316</f>
        <v/>
      </c>
      <c r="D317" s="14">
        <f>N316</f>
        <v/>
      </c>
      <c r="E317" s="14">
        <f>D317*COB_CA!$B$40/100*(IF(YEAR(B316)=YEAR(B317),(B317-B316)/IF(AND(MOD(YEAR(B317),4)=0,OR(MOD(YEAR(B317),100)&lt;&gt;0,MOD(YEAR(B317),400)=0)),366,365),(((DATE(YEAR(B316)+1,1,1)))-B316)/IF(AND(MOD(YEAR(B316),4)=0,OR(MOD(YEAR(B316),100)&lt;&gt;0,MOD(YEAR(B316),400)=0)),366,365)+(B317-((DATE(YEAR(B316)+1,1,1))))/IF(AND(MOD(YEAR(B317),4)=0,OR(MOD(YEAR(B317),100)&lt;&gt;0,MOD(YEAR(B317),400)=0)),366,365)))</f>
        <v/>
      </c>
      <c r="F317" s="14">
        <f>L316</f>
        <v/>
      </c>
      <c r="G317" s="14">
        <f>M316</f>
        <v/>
      </c>
      <c r="H317" s="14">
        <f>IF((((COB_CA!$B$18-I317)-J317)&gt;D317),I317+J317+K317,COB_CA!$B$18)</f>
        <v/>
      </c>
      <c r="I317" s="14">
        <f>MIN(COB_CA!$B$18,(E317+F317))</f>
        <v/>
      </c>
      <c r="J317" s="14">
        <f>MIN((COB_CA!$B$18-I317),G317)</f>
        <v/>
      </c>
      <c r="K317" s="14">
        <f>MIN(((COB_CA!$B$18-I317)-J317),D317)</f>
        <v/>
      </c>
      <c r="L317" s="14">
        <f>E317+F317-I317</f>
        <v/>
      </c>
      <c r="M317" s="14">
        <f>G317-J317</f>
        <v/>
      </c>
      <c r="N317" s="14">
        <f>D317-K317</f>
        <v/>
      </c>
      <c r="O317" s="6">
        <f>AND(D317&gt;0,B317&lt;=COB_CA!$B$20)</f>
        <v/>
      </c>
    </row>
    <row r="318">
      <c r="A318" s="6" t="n">
        <v>314</v>
      </c>
      <c r="B318" s="15">
        <f>IF(COB_CA!$B$38=12,DATE(YEAR(COB_CA!$B$19)+INT((MONTH(COB_CA!$B$19)-1+313)/12),MOD(MONTH(COB_CA!$B$19)-1+313,12)+1,1)+(DAY(COB_CA!$B$19)-1),IF(COB_CA!$B$38=24,COB_CA!$B$19+ROUND((313*365.25)/24,0),IF(COB_CA!$B$38=26,COB_CA!$B$19+4382,COB_CA!$B$19+2191)))</f>
        <v/>
      </c>
      <c r="C318" s="12">
        <f>B318-B317</f>
        <v/>
      </c>
      <c r="D318" s="14">
        <f>N317</f>
        <v/>
      </c>
      <c r="E318" s="14">
        <f>D318*COB_CA!$B$40/100*(IF(YEAR(B317)=YEAR(B318),(B318-B317)/IF(AND(MOD(YEAR(B318),4)=0,OR(MOD(YEAR(B318),100)&lt;&gt;0,MOD(YEAR(B318),400)=0)),366,365),(((DATE(YEAR(B317)+1,1,1)))-B317)/IF(AND(MOD(YEAR(B317),4)=0,OR(MOD(YEAR(B317),100)&lt;&gt;0,MOD(YEAR(B317),400)=0)),366,365)+(B318-((DATE(YEAR(B317)+1,1,1))))/IF(AND(MOD(YEAR(B318),4)=0,OR(MOD(YEAR(B318),100)&lt;&gt;0,MOD(YEAR(B318),400)=0)),366,365)))</f>
        <v/>
      </c>
      <c r="F318" s="14">
        <f>L317</f>
        <v/>
      </c>
      <c r="G318" s="14">
        <f>M317</f>
        <v/>
      </c>
      <c r="H318" s="14">
        <f>IF((((COB_CA!$B$18-I318)-J318)&gt;D318),I318+J318+K318,COB_CA!$B$18)</f>
        <v/>
      </c>
      <c r="I318" s="14">
        <f>MIN(COB_CA!$B$18,(E318+F318))</f>
        <v/>
      </c>
      <c r="J318" s="14">
        <f>MIN((COB_CA!$B$18-I318),G318)</f>
        <v/>
      </c>
      <c r="K318" s="14">
        <f>MIN(((COB_CA!$B$18-I318)-J318),D318)</f>
        <v/>
      </c>
      <c r="L318" s="14">
        <f>E318+F318-I318</f>
        <v/>
      </c>
      <c r="M318" s="14">
        <f>G318-J318</f>
        <v/>
      </c>
      <c r="N318" s="14">
        <f>D318-K318</f>
        <v/>
      </c>
      <c r="O318" s="6">
        <f>AND(D318&gt;0,B318&lt;=COB_CA!$B$20)</f>
        <v/>
      </c>
    </row>
    <row r="319">
      <c r="A319" s="6" t="n">
        <v>315</v>
      </c>
      <c r="B319" s="15">
        <f>IF(COB_CA!$B$38=12,DATE(YEAR(COB_CA!$B$19)+INT((MONTH(COB_CA!$B$19)-1+314)/12),MOD(MONTH(COB_CA!$B$19)-1+314,12)+1,1)+(DAY(COB_CA!$B$19)-1),IF(COB_CA!$B$38=24,COB_CA!$B$19+ROUND((314*365.25)/24,0),IF(COB_CA!$B$38=26,COB_CA!$B$19+4396,COB_CA!$B$19+2198)))</f>
        <v/>
      </c>
      <c r="C319" s="12">
        <f>B319-B318</f>
        <v/>
      </c>
      <c r="D319" s="14">
        <f>N318</f>
        <v/>
      </c>
      <c r="E319" s="14">
        <f>D319*COB_CA!$B$40/100*(IF(YEAR(B318)=YEAR(B319),(B319-B318)/IF(AND(MOD(YEAR(B319),4)=0,OR(MOD(YEAR(B319),100)&lt;&gt;0,MOD(YEAR(B319),400)=0)),366,365),(((DATE(YEAR(B318)+1,1,1)))-B318)/IF(AND(MOD(YEAR(B318),4)=0,OR(MOD(YEAR(B318),100)&lt;&gt;0,MOD(YEAR(B318),400)=0)),366,365)+(B319-((DATE(YEAR(B318)+1,1,1))))/IF(AND(MOD(YEAR(B319),4)=0,OR(MOD(YEAR(B319),100)&lt;&gt;0,MOD(YEAR(B319),400)=0)),366,365)))</f>
        <v/>
      </c>
      <c r="F319" s="14">
        <f>L318</f>
        <v/>
      </c>
      <c r="G319" s="14">
        <f>M318</f>
        <v/>
      </c>
      <c r="H319" s="14">
        <f>IF((((COB_CA!$B$18-I319)-J319)&gt;D319),I319+J319+K319,COB_CA!$B$18)</f>
        <v/>
      </c>
      <c r="I319" s="14">
        <f>MIN(COB_CA!$B$18,(E319+F319))</f>
        <v/>
      </c>
      <c r="J319" s="14">
        <f>MIN((COB_CA!$B$18-I319),G319)</f>
        <v/>
      </c>
      <c r="K319" s="14">
        <f>MIN(((COB_CA!$B$18-I319)-J319),D319)</f>
        <v/>
      </c>
      <c r="L319" s="14">
        <f>E319+F319-I319</f>
        <v/>
      </c>
      <c r="M319" s="14">
        <f>G319-J319</f>
        <v/>
      </c>
      <c r="N319" s="14">
        <f>D319-K319</f>
        <v/>
      </c>
      <c r="O319" s="6">
        <f>AND(D319&gt;0,B319&lt;=COB_CA!$B$20)</f>
        <v/>
      </c>
    </row>
    <row r="320">
      <c r="A320" s="6" t="n">
        <v>316</v>
      </c>
      <c r="B320" s="15">
        <f>IF(COB_CA!$B$38=12,DATE(YEAR(COB_CA!$B$19)+INT((MONTH(COB_CA!$B$19)-1+315)/12),MOD(MONTH(COB_CA!$B$19)-1+315,12)+1,1)+(DAY(COB_CA!$B$19)-1),IF(COB_CA!$B$38=24,COB_CA!$B$19+ROUND((315*365.25)/24,0),IF(COB_CA!$B$38=26,COB_CA!$B$19+4410,COB_CA!$B$19+2205)))</f>
        <v/>
      </c>
      <c r="C320" s="12">
        <f>B320-B319</f>
        <v/>
      </c>
      <c r="D320" s="14">
        <f>N319</f>
        <v/>
      </c>
      <c r="E320" s="14">
        <f>D320*COB_CA!$B$40/100*(IF(YEAR(B319)=YEAR(B320),(B320-B319)/IF(AND(MOD(YEAR(B320),4)=0,OR(MOD(YEAR(B320),100)&lt;&gt;0,MOD(YEAR(B320),400)=0)),366,365),(((DATE(YEAR(B319)+1,1,1)))-B319)/IF(AND(MOD(YEAR(B319),4)=0,OR(MOD(YEAR(B319),100)&lt;&gt;0,MOD(YEAR(B319),400)=0)),366,365)+(B320-((DATE(YEAR(B319)+1,1,1))))/IF(AND(MOD(YEAR(B320),4)=0,OR(MOD(YEAR(B320),100)&lt;&gt;0,MOD(YEAR(B320),400)=0)),366,365)))</f>
        <v/>
      </c>
      <c r="F320" s="14">
        <f>L319</f>
        <v/>
      </c>
      <c r="G320" s="14">
        <f>M319</f>
        <v/>
      </c>
      <c r="H320" s="14">
        <f>IF((((COB_CA!$B$18-I320)-J320)&gt;D320),I320+J320+K320,COB_CA!$B$18)</f>
        <v/>
      </c>
      <c r="I320" s="14">
        <f>MIN(COB_CA!$B$18,(E320+F320))</f>
        <v/>
      </c>
      <c r="J320" s="14">
        <f>MIN((COB_CA!$B$18-I320),G320)</f>
        <v/>
      </c>
      <c r="K320" s="14">
        <f>MIN(((COB_CA!$B$18-I320)-J320),D320)</f>
        <v/>
      </c>
      <c r="L320" s="14">
        <f>E320+F320-I320</f>
        <v/>
      </c>
      <c r="M320" s="14">
        <f>G320-J320</f>
        <v/>
      </c>
      <c r="N320" s="14">
        <f>D320-K320</f>
        <v/>
      </c>
      <c r="O320" s="6">
        <f>AND(D320&gt;0,B320&lt;=COB_CA!$B$20)</f>
        <v/>
      </c>
    </row>
    <row r="321">
      <c r="A321" s="6" t="n">
        <v>317</v>
      </c>
      <c r="B321" s="15">
        <f>IF(COB_CA!$B$38=12,DATE(YEAR(COB_CA!$B$19)+INT((MONTH(COB_CA!$B$19)-1+316)/12),MOD(MONTH(COB_CA!$B$19)-1+316,12)+1,1)+(DAY(COB_CA!$B$19)-1),IF(COB_CA!$B$38=24,COB_CA!$B$19+ROUND((316*365.25)/24,0),IF(COB_CA!$B$38=26,COB_CA!$B$19+4424,COB_CA!$B$19+2212)))</f>
        <v/>
      </c>
      <c r="C321" s="12">
        <f>B321-B320</f>
        <v/>
      </c>
      <c r="D321" s="14">
        <f>N320</f>
        <v/>
      </c>
      <c r="E321" s="14">
        <f>D321*COB_CA!$B$40/100*(IF(YEAR(B320)=YEAR(B321),(B321-B320)/IF(AND(MOD(YEAR(B321),4)=0,OR(MOD(YEAR(B321),100)&lt;&gt;0,MOD(YEAR(B321),400)=0)),366,365),(((DATE(YEAR(B320)+1,1,1)))-B320)/IF(AND(MOD(YEAR(B320),4)=0,OR(MOD(YEAR(B320),100)&lt;&gt;0,MOD(YEAR(B320),400)=0)),366,365)+(B321-((DATE(YEAR(B320)+1,1,1))))/IF(AND(MOD(YEAR(B321),4)=0,OR(MOD(YEAR(B321),100)&lt;&gt;0,MOD(YEAR(B321),400)=0)),366,365)))</f>
        <v/>
      </c>
      <c r="F321" s="14">
        <f>L320</f>
        <v/>
      </c>
      <c r="G321" s="14">
        <f>M320</f>
        <v/>
      </c>
      <c r="H321" s="14">
        <f>IF((((COB_CA!$B$18-I321)-J321)&gt;D321),I321+J321+K321,COB_CA!$B$18)</f>
        <v/>
      </c>
      <c r="I321" s="14">
        <f>MIN(COB_CA!$B$18,(E321+F321))</f>
        <v/>
      </c>
      <c r="J321" s="14">
        <f>MIN((COB_CA!$B$18-I321),G321)</f>
        <v/>
      </c>
      <c r="K321" s="14">
        <f>MIN(((COB_CA!$B$18-I321)-J321),D321)</f>
        <v/>
      </c>
      <c r="L321" s="14">
        <f>E321+F321-I321</f>
        <v/>
      </c>
      <c r="M321" s="14">
        <f>G321-J321</f>
        <v/>
      </c>
      <c r="N321" s="14">
        <f>D321-K321</f>
        <v/>
      </c>
      <c r="O321" s="6">
        <f>AND(D321&gt;0,B321&lt;=COB_CA!$B$20)</f>
        <v/>
      </c>
    </row>
    <row r="322">
      <c r="A322" s="6" t="n">
        <v>318</v>
      </c>
      <c r="B322" s="15">
        <f>IF(COB_CA!$B$38=12,DATE(YEAR(COB_CA!$B$19)+INT((MONTH(COB_CA!$B$19)-1+317)/12),MOD(MONTH(COB_CA!$B$19)-1+317,12)+1,1)+(DAY(COB_CA!$B$19)-1),IF(COB_CA!$B$38=24,COB_CA!$B$19+ROUND((317*365.25)/24,0),IF(COB_CA!$B$38=26,COB_CA!$B$19+4438,COB_CA!$B$19+2219)))</f>
        <v/>
      </c>
      <c r="C322" s="12">
        <f>B322-B321</f>
        <v/>
      </c>
      <c r="D322" s="14">
        <f>N321</f>
        <v/>
      </c>
      <c r="E322" s="14">
        <f>D322*COB_CA!$B$40/100*(IF(YEAR(B321)=YEAR(B322),(B322-B321)/IF(AND(MOD(YEAR(B322),4)=0,OR(MOD(YEAR(B322),100)&lt;&gt;0,MOD(YEAR(B322),400)=0)),366,365),(((DATE(YEAR(B321)+1,1,1)))-B321)/IF(AND(MOD(YEAR(B321),4)=0,OR(MOD(YEAR(B321),100)&lt;&gt;0,MOD(YEAR(B321),400)=0)),366,365)+(B322-((DATE(YEAR(B321)+1,1,1))))/IF(AND(MOD(YEAR(B322),4)=0,OR(MOD(YEAR(B322),100)&lt;&gt;0,MOD(YEAR(B322),400)=0)),366,365)))</f>
        <v/>
      </c>
      <c r="F322" s="14">
        <f>L321</f>
        <v/>
      </c>
      <c r="G322" s="14">
        <f>M321</f>
        <v/>
      </c>
      <c r="H322" s="14">
        <f>IF((((COB_CA!$B$18-I322)-J322)&gt;D322),I322+J322+K322,COB_CA!$B$18)</f>
        <v/>
      </c>
      <c r="I322" s="14">
        <f>MIN(COB_CA!$B$18,(E322+F322))</f>
        <v/>
      </c>
      <c r="J322" s="14">
        <f>MIN((COB_CA!$B$18-I322),G322)</f>
        <v/>
      </c>
      <c r="K322" s="14">
        <f>MIN(((COB_CA!$B$18-I322)-J322),D322)</f>
        <v/>
      </c>
      <c r="L322" s="14">
        <f>E322+F322-I322</f>
        <v/>
      </c>
      <c r="M322" s="14">
        <f>G322-J322</f>
        <v/>
      </c>
      <c r="N322" s="14">
        <f>D322-K322</f>
        <v/>
      </c>
      <c r="O322" s="6">
        <f>AND(D322&gt;0,B322&lt;=COB_CA!$B$20)</f>
        <v/>
      </c>
    </row>
    <row r="323">
      <c r="A323" s="6" t="n">
        <v>319</v>
      </c>
      <c r="B323" s="15">
        <f>IF(COB_CA!$B$38=12,DATE(YEAR(COB_CA!$B$19)+INT((MONTH(COB_CA!$B$19)-1+318)/12),MOD(MONTH(COB_CA!$B$19)-1+318,12)+1,1)+(DAY(COB_CA!$B$19)-1),IF(COB_CA!$B$38=24,COB_CA!$B$19+ROUND((318*365.25)/24,0),IF(COB_CA!$B$38=26,COB_CA!$B$19+4452,COB_CA!$B$19+2226)))</f>
        <v/>
      </c>
      <c r="C323" s="12">
        <f>B323-B322</f>
        <v/>
      </c>
      <c r="D323" s="14">
        <f>N322</f>
        <v/>
      </c>
      <c r="E323" s="14">
        <f>D323*COB_CA!$B$40/100*(IF(YEAR(B322)=YEAR(B323),(B323-B322)/IF(AND(MOD(YEAR(B323),4)=0,OR(MOD(YEAR(B323),100)&lt;&gt;0,MOD(YEAR(B323),400)=0)),366,365),(((DATE(YEAR(B322)+1,1,1)))-B322)/IF(AND(MOD(YEAR(B322),4)=0,OR(MOD(YEAR(B322),100)&lt;&gt;0,MOD(YEAR(B322),400)=0)),366,365)+(B323-((DATE(YEAR(B322)+1,1,1))))/IF(AND(MOD(YEAR(B323),4)=0,OR(MOD(YEAR(B323),100)&lt;&gt;0,MOD(YEAR(B323),400)=0)),366,365)))</f>
        <v/>
      </c>
      <c r="F323" s="14">
        <f>L322</f>
        <v/>
      </c>
      <c r="G323" s="14">
        <f>M322</f>
        <v/>
      </c>
      <c r="H323" s="14">
        <f>IF((((COB_CA!$B$18-I323)-J323)&gt;D323),I323+J323+K323,COB_CA!$B$18)</f>
        <v/>
      </c>
      <c r="I323" s="14">
        <f>MIN(COB_CA!$B$18,(E323+F323))</f>
        <v/>
      </c>
      <c r="J323" s="14">
        <f>MIN((COB_CA!$B$18-I323),G323)</f>
        <v/>
      </c>
      <c r="K323" s="14">
        <f>MIN(((COB_CA!$B$18-I323)-J323),D323)</f>
        <v/>
      </c>
      <c r="L323" s="14">
        <f>E323+F323-I323</f>
        <v/>
      </c>
      <c r="M323" s="14">
        <f>G323-J323</f>
        <v/>
      </c>
      <c r="N323" s="14">
        <f>D323-K323</f>
        <v/>
      </c>
      <c r="O323" s="6">
        <f>AND(D323&gt;0,B323&lt;=COB_CA!$B$20)</f>
        <v/>
      </c>
    </row>
    <row r="324">
      <c r="A324" s="6" t="n">
        <v>320</v>
      </c>
      <c r="B324" s="15">
        <f>IF(COB_CA!$B$38=12,DATE(YEAR(COB_CA!$B$19)+INT((MONTH(COB_CA!$B$19)-1+319)/12),MOD(MONTH(COB_CA!$B$19)-1+319,12)+1,1)+(DAY(COB_CA!$B$19)-1),IF(COB_CA!$B$38=24,COB_CA!$B$19+ROUND((319*365.25)/24,0),IF(COB_CA!$B$38=26,COB_CA!$B$19+4466,COB_CA!$B$19+2233)))</f>
        <v/>
      </c>
      <c r="C324" s="12">
        <f>B324-B323</f>
        <v/>
      </c>
      <c r="D324" s="14">
        <f>N323</f>
        <v/>
      </c>
      <c r="E324" s="14">
        <f>D324*COB_CA!$B$40/100*(IF(YEAR(B323)=YEAR(B324),(B324-B323)/IF(AND(MOD(YEAR(B324),4)=0,OR(MOD(YEAR(B324),100)&lt;&gt;0,MOD(YEAR(B324),400)=0)),366,365),(((DATE(YEAR(B323)+1,1,1)))-B323)/IF(AND(MOD(YEAR(B323),4)=0,OR(MOD(YEAR(B323),100)&lt;&gt;0,MOD(YEAR(B323),400)=0)),366,365)+(B324-((DATE(YEAR(B323)+1,1,1))))/IF(AND(MOD(YEAR(B324),4)=0,OR(MOD(YEAR(B324),100)&lt;&gt;0,MOD(YEAR(B324),400)=0)),366,365)))</f>
        <v/>
      </c>
      <c r="F324" s="14">
        <f>L323</f>
        <v/>
      </c>
      <c r="G324" s="14">
        <f>M323</f>
        <v/>
      </c>
      <c r="H324" s="14">
        <f>IF((((COB_CA!$B$18-I324)-J324)&gt;D324),I324+J324+K324,COB_CA!$B$18)</f>
        <v/>
      </c>
      <c r="I324" s="14">
        <f>MIN(COB_CA!$B$18,(E324+F324))</f>
        <v/>
      </c>
      <c r="J324" s="14">
        <f>MIN((COB_CA!$B$18-I324),G324)</f>
        <v/>
      </c>
      <c r="K324" s="14">
        <f>MIN(((COB_CA!$B$18-I324)-J324),D324)</f>
        <v/>
      </c>
      <c r="L324" s="14">
        <f>E324+F324-I324</f>
        <v/>
      </c>
      <c r="M324" s="14">
        <f>G324-J324</f>
        <v/>
      </c>
      <c r="N324" s="14">
        <f>D324-K324</f>
        <v/>
      </c>
      <c r="O324" s="6">
        <f>AND(D324&gt;0,B324&lt;=COB_CA!$B$20)</f>
        <v/>
      </c>
    </row>
    <row r="325">
      <c r="A325" s="6" t="n">
        <v>321</v>
      </c>
      <c r="B325" s="15">
        <f>IF(COB_CA!$B$38=12,DATE(YEAR(COB_CA!$B$19)+INT((MONTH(COB_CA!$B$19)-1+320)/12),MOD(MONTH(COB_CA!$B$19)-1+320,12)+1,1)+(DAY(COB_CA!$B$19)-1),IF(COB_CA!$B$38=24,COB_CA!$B$19+ROUND((320*365.25)/24,0),IF(COB_CA!$B$38=26,COB_CA!$B$19+4480,COB_CA!$B$19+2240)))</f>
        <v/>
      </c>
      <c r="C325" s="12">
        <f>B325-B324</f>
        <v/>
      </c>
      <c r="D325" s="14">
        <f>N324</f>
        <v/>
      </c>
      <c r="E325" s="14">
        <f>D325*COB_CA!$B$40/100*(IF(YEAR(B324)=YEAR(B325),(B325-B324)/IF(AND(MOD(YEAR(B325),4)=0,OR(MOD(YEAR(B325),100)&lt;&gt;0,MOD(YEAR(B325),400)=0)),366,365),(((DATE(YEAR(B324)+1,1,1)))-B324)/IF(AND(MOD(YEAR(B324),4)=0,OR(MOD(YEAR(B324),100)&lt;&gt;0,MOD(YEAR(B324),400)=0)),366,365)+(B325-((DATE(YEAR(B324)+1,1,1))))/IF(AND(MOD(YEAR(B325),4)=0,OR(MOD(YEAR(B325),100)&lt;&gt;0,MOD(YEAR(B325),400)=0)),366,365)))</f>
        <v/>
      </c>
      <c r="F325" s="14">
        <f>L324</f>
        <v/>
      </c>
      <c r="G325" s="14">
        <f>M324</f>
        <v/>
      </c>
      <c r="H325" s="14">
        <f>IF((((COB_CA!$B$18-I325)-J325)&gt;D325),I325+J325+K325,COB_CA!$B$18)</f>
        <v/>
      </c>
      <c r="I325" s="14">
        <f>MIN(COB_CA!$B$18,(E325+F325))</f>
        <v/>
      </c>
      <c r="J325" s="14">
        <f>MIN((COB_CA!$B$18-I325),G325)</f>
        <v/>
      </c>
      <c r="K325" s="14">
        <f>MIN(((COB_CA!$B$18-I325)-J325),D325)</f>
        <v/>
      </c>
      <c r="L325" s="14">
        <f>E325+F325-I325</f>
        <v/>
      </c>
      <c r="M325" s="14">
        <f>G325-J325</f>
        <v/>
      </c>
      <c r="N325" s="14">
        <f>D325-K325</f>
        <v/>
      </c>
      <c r="O325" s="6">
        <f>AND(D325&gt;0,B325&lt;=COB_CA!$B$20)</f>
        <v/>
      </c>
    </row>
    <row r="326">
      <c r="A326" s="6" t="n">
        <v>322</v>
      </c>
      <c r="B326" s="15">
        <f>IF(COB_CA!$B$38=12,DATE(YEAR(COB_CA!$B$19)+INT((MONTH(COB_CA!$B$19)-1+321)/12),MOD(MONTH(COB_CA!$B$19)-1+321,12)+1,1)+(DAY(COB_CA!$B$19)-1),IF(COB_CA!$B$38=24,COB_CA!$B$19+ROUND((321*365.25)/24,0),IF(COB_CA!$B$38=26,COB_CA!$B$19+4494,COB_CA!$B$19+2247)))</f>
        <v/>
      </c>
      <c r="C326" s="12">
        <f>B326-B325</f>
        <v/>
      </c>
      <c r="D326" s="14">
        <f>N325</f>
        <v/>
      </c>
      <c r="E326" s="14">
        <f>D326*COB_CA!$B$40/100*(IF(YEAR(B325)=YEAR(B326),(B326-B325)/IF(AND(MOD(YEAR(B326),4)=0,OR(MOD(YEAR(B326),100)&lt;&gt;0,MOD(YEAR(B326),400)=0)),366,365),(((DATE(YEAR(B325)+1,1,1)))-B325)/IF(AND(MOD(YEAR(B325),4)=0,OR(MOD(YEAR(B325),100)&lt;&gt;0,MOD(YEAR(B325),400)=0)),366,365)+(B326-((DATE(YEAR(B325)+1,1,1))))/IF(AND(MOD(YEAR(B326),4)=0,OR(MOD(YEAR(B326),100)&lt;&gt;0,MOD(YEAR(B326),400)=0)),366,365)))</f>
        <v/>
      </c>
      <c r="F326" s="14">
        <f>L325</f>
        <v/>
      </c>
      <c r="G326" s="14">
        <f>M325</f>
        <v/>
      </c>
      <c r="H326" s="14">
        <f>IF((((COB_CA!$B$18-I326)-J326)&gt;D326),I326+J326+K326,COB_CA!$B$18)</f>
        <v/>
      </c>
      <c r="I326" s="14">
        <f>MIN(COB_CA!$B$18,(E326+F326))</f>
        <v/>
      </c>
      <c r="J326" s="14">
        <f>MIN((COB_CA!$B$18-I326),G326)</f>
        <v/>
      </c>
      <c r="K326" s="14">
        <f>MIN(((COB_CA!$B$18-I326)-J326),D326)</f>
        <v/>
      </c>
      <c r="L326" s="14">
        <f>E326+F326-I326</f>
        <v/>
      </c>
      <c r="M326" s="14">
        <f>G326-J326</f>
        <v/>
      </c>
      <c r="N326" s="14">
        <f>D326-K326</f>
        <v/>
      </c>
      <c r="O326" s="6">
        <f>AND(D326&gt;0,B326&lt;=COB_CA!$B$20)</f>
        <v/>
      </c>
    </row>
    <row r="327">
      <c r="A327" s="6" t="n">
        <v>323</v>
      </c>
      <c r="B327" s="15">
        <f>IF(COB_CA!$B$38=12,DATE(YEAR(COB_CA!$B$19)+INT((MONTH(COB_CA!$B$19)-1+322)/12),MOD(MONTH(COB_CA!$B$19)-1+322,12)+1,1)+(DAY(COB_CA!$B$19)-1),IF(COB_CA!$B$38=24,COB_CA!$B$19+ROUND((322*365.25)/24,0),IF(COB_CA!$B$38=26,COB_CA!$B$19+4508,COB_CA!$B$19+2254)))</f>
        <v/>
      </c>
      <c r="C327" s="12">
        <f>B327-B326</f>
        <v/>
      </c>
      <c r="D327" s="14">
        <f>N326</f>
        <v/>
      </c>
      <c r="E327" s="14">
        <f>D327*COB_CA!$B$40/100*(IF(YEAR(B326)=YEAR(B327),(B327-B326)/IF(AND(MOD(YEAR(B327),4)=0,OR(MOD(YEAR(B327),100)&lt;&gt;0,MOD(YEAR(B327),400)=0)),366,365),(((DATE(YEAR(B326)+1,1,1)))-B326)/IF(AND(MOD(YEAR(B326),4)=0,OR(MOD(YEAR(B326),100)&lt;&gt;0,MOD(YEAR(B326),400)=0)),366,365)+(B327-((DATE(YEAR(B326)+1,1,1))))/IF(AND(MOD(YEAR(B327),4)=0,OR(MOD(YEAR(B327),100)&lt;&gt;0,MOD(YEAR(B327),400)=0)),366,365)))</f>
        <v/>
      </c>
      <c r="F327" s="14">
        <f>L326</f>
        <v/>
      </c>
      <c r="G327" s="14">
        <f>M326</f>
        <v/>
      </c>
      <c r="H327" s="14">
        <f>IF((((COB_CA!$B$18-I327)-J327)&gt;D327),I327+J327+K327,COB_CA!$B$18)</f>
        <v/>
      </c>
      <c r="I327" s="14">
        <f>MIN(COB_CA!$B$18,(E327+F327))</f>
        <v/>
      </c>
      <c r="J327" s="14">
        <f>MIN((COB_CA!$B$18-I327),G327)</f>
        <v/>
      </c>
      <c r="K327" s="14">
        <f>MIN(((COB_CA!$B$18-I327)-J327),D327)</f>
        <v/>
      </c>
      <c r="L327" s="14">
        <f>E327+F327-I327</f>
        <v/>
      </c>
      <c r="M327" s="14">
        <f>G327-J327</f>
        <v/>
      </c>
      <c r="N327" s="14">
        <f>D327-K327</f>
        <v/>
      </c>
      <c r="O327" s="6">
        <f>AND(D327&gt;0,B327&lt;=COB_CA!$B$20)</f>
        <v/>
      </c>
    </row>
    <row r="328">
      <c r="A328" s="6" t="n">
        <v>324</v>
      </c>
      <c r="B328" s="15">
        <f>IF(COB_CA!$B$38=12,DATE(YEAR(COB_CA!$B$19)+INT((MONTH(COB_CA!$B$19)-1+323)/12),MOD(MONTH(COB_CA!$B$19)-1+323,12)+1,1)+(DAY(COB_CA!$B$19)-1),IF(COB_CA!$B$38=24,COB_CA!$B$19+ROUND((323*365.25)/24,0),IF(COB_CA!$B$38=26,COB_CA!$B$19+4522,COB_CA!$B$19+2261)))</f>
        <v/>
      </c>
      <c r="C328" s="12">
        <f>B328-B327</f>
        <v/>
      </c>
      <c r="D328" s="14">
        <f>N327</f>
        <v/>
      </c>
      <c r="E328" s="14">
        <f>D328*COB_CA!$B$40/100*(IF(YEAR(B327)=YEAR(B328),(B328-B327)/IF(AND(MOD(YEAR(B328),4)=0,OR(MOD(YEAR(B328),100)&lt;&gt;0,MOD(YEAR(B328),400)=0)),366,365),(((DATE(YEAR(B327)+1,1,1)))-B327)/IF(AND(MOD(YEAR(B327),4)=0,OR(MOD(YEAR(B327),100)&lt;&gt;0,MOD(YEAR(B327),400)=0)),366,365)+(B328-((DATE(YEAR(B327)+1,1,1))))/IF(AND(MOD(YEAR(B328),4)=0,OR(MOD(YEAR(B328),100)&lt;&gt;0,MOD(YEAR(B328),400)=0)),366,365)))</f>
        <v/>
      </c>
      <c r="F328" s="14">
        <f>L327</f>
        <v/>
      </c>
      <c r="G328" s="14">
        <f>M327</f>
        <v/>
      </c>
      <c r="H328" s="14">
        <f>IF((((COB_CA!$B$18-I328)-J328)&gt;D328),I328+J328+K328,COB_CA!$B$18)</f>
        <v/>
      </c>
      <c r="I328" s="14">
        <f>MIN(COB_CA!$B$18,(E328+F328))</f>
        <v/>
      </c>
      <c r="J328" s="14">
        <f>MIN((COB_CA!$B$18-I328),G328)</f>
        <v/>
      </c>
      <c r="K328" s="14">
        <f>MIN(((COB_CA!$B$18-I328)-J328),D328)</f>
        <v/>
      </c>
      <c r="L328" s="14">
        <f>E328+F328-I328</f>
        <v/>
      </c>
      <c r="M328" s="14">
        <f>G328-J328</f>
        <v/>
      </c>
      <c r="N328" s="14">
        <f>D328-K328</f>
        <v/>
      </c>
      <c r="O328" s="6">
        <f>AND(D328&gt;0,B328&lt;=COB_CA!$B$20)</f>
        <v/>
      </c>
    </row>
    <row r="329">
      <c r="A329" s="6" t="n">
        <v>325</v>
      </c>
      <c r="B329" s="15">
        <f>IF(COB_CA!$B$38=12,DATE(YEAR(COB_CA!$B$19)+INT((MONTH(COB_CA!$B$19)-1+324)/12),MOD(MONTH(COB_CA!$B$19)-1+324,12)+1,1)+(DAY(COB_CA!$B$19)-1),IF(COB_CA!$B$38=24,COB_CA!$B$19+ROUND((324*365.25)/24,0),IF(COB_CA!$B$38=26,COB_CA!$B$19+4536,COB_CA!$B$19+2268)))</f>
        <v/>
      </c>
      <c r="C329" s="12">
        <f>B329-B328</f>
        <v/>
      </c>
      <c r="D329" s="14">
        <f>N328</f>
        <v/>
      </c>
      <c r="E329" s="14">
        <f>D329*COB_CA!$B$40/100*(IF(YEAR(B328)=YEAR(B329),(B329-B328)/IF(AND(MOD(YEAR(B329),4)=0,OR(MOD(YEAR(B329),100)&lt;&gt;0,MOD(YEAR(B329),400)=0)),366,365),(((DATE(YEAR(B328)+1,1,1)))-B328)/IF(AND(MOD(YEAR(B328),4)=0,OR(MOD(YEAR(B328),100)&lt;&gt;0,MOD(YEAR(B328),400)=0)),366,365)+(B329-((DATE(YEAR(B328)+1,1,1))))/IF(AND(MOD(YEAR(B329),4)=0,OR(MOD(YEAR(B329),100)&lt;&gt;0,MOD(YEAR(B329),400)=0)),366,365)))</f>
        <v/>
      </c>
      <c r="F329" s="14">
        <f>L328</f>
        <v/>
      </c>
      <c r="G329" s="14">
        <f>M328</f>
        <v/>
      </c>
      <c r="H329" s="14">
        <f>IF((((COB_CA!$B$18-I329)-J329)&gt;D329),I329+J329+K329,COB_CA!$B$18)</f>
        <v/>
      </c>
      <c r="I329" s="14">
        <f>MIN(COB_CA!$B$18,(E329+F329))</f>
        <v/>
      </c>
      <c r="J329" s="14">
        <f>MIN((COB_CA!$B$18-I329),G329)</f>
        <v/>
      </c>
      <c r="K329" s="14">
        <f>MIN(((COB_CA!$B$18-I329)-J329),D329)</f>
        <v/>
      </c>
      <c r="L329" s="14">
        <f>E329+F329-I329</f>
        <v/>
      </c>
      <c r="M329" s="14">
        <f>G329-J329</f>
        <v/>
      </c>
      <c r="N329" s="14">
        <f>D329-K329</f>
        <v/>
      </c>
      <c r="O329" s="6">
        <f>AND(D329&gt;0,B329&lt;=COB_CA!$B$20)</f>
        <v/>
      </c>
    </row>
    <row r="330">
      <c r="A330" s="6" t="n">
        <v>326</v>
      </c>
      <c r="B330" s="15">
        <f>IF(COB_CA!$B$38=12,DATE(YEAR(COB_CA!$B$19)+INT((MONTH(COB_CA!$B$19)-1+325)/12),MOD(MONTH(COB_CA!$B$19)-1+325,12)+1,1)+(DAY(COB_CA!$B$19)-1),IF(COB_CA!$B$38=24,COB_CA!$B$19+ROUND((325*365.25)/24,0),IF(COB_CA!$B$38=26,COB_CA!$B$19+4550,COB_CA!$B$19+2275)))</f>
        <v/>
      </c>
      <c r="C330" s="12">
        <f>B330-B329</f>
        <v/>
      </c>
      <c r="D330" s="14">
        <f>N329</f>
        <v/>
      </c>
      <c r="E330" s="14">
        <f>D330*COB_CA!$B$40/100*(IF(YEAR(B329)=YEAR(B330),(B330-B329)/IF(AND(MOD(YEAR(B330),4)=0,OR(MOD(YEAR(B330),100)&lt;&gt;0,MOD(YEAR(B330),400)=0)),366,365),(((DATE(YEAR(B329)+1,1,1)))-B329)/IF(AND(MOD(YEAR(B329),4)=0,OR(MOD(YEAR(B329),100)&lt;&gt;0,MOD(YEAR(B329),400)=0)),366,365)+(B330-((DATE(YEAR(B329)+1,1,1))))/IF(AND(MOD(YEAR(B330),4)=0,OR(MOD(YEAR(B330),100)&lt;&gt;0,MOD(YEAR(B330),400)=0)),366,365)))</f>
        <v/>
      </c>
      <c r="F330" s="14">
        <f>L329</f>
        <v/>
      </c>
      <c r="G330" s="14">
        <f>M329</f>
        <v/>
      </c>
      <c r="H330" s="14">
        <f>IF((((COB_CA!$B$18-I330)-J330)&gt;D330),I330+J330+K330,COB_CA!$B$18)</f>
        <v/>
      </c>
      <c r="I330" s="14">
        <f>MIN(COB_CA!$B$18,(E330+F330))</f>
        <v/>
      </c>
      <c r="J330" s="14">
        <f>MIN((COB_CA!$B$18-I330),G330)</f>
        <v/>
      </c>
      <c r="K330" s="14">
        <f>MIN(((COB_CA!$B$18-I330)-J330),D330)</f>
        <v/>
      </c>
      <c r="L330" s="14">
        <f>E330+F330-I330</f>
        <v/>
      </c>
      <c r="M330" s="14">
        <f>G330-J330</f>
        <v/>
      </c>
      <c r="N330" s="14">
        <f>D330-K330</f>
        <v/>
      </c>
      <c r="O330" s="6">
        <f>AND(D330&gt;0,B330&lt;=COB_CA!$B$20)</f>
        <v/>
      </c>
    </row>
    <row r="331">
      <c r="A331" s="6" t="n">
        <v>327</v>
      </c>
      <c r="B331" s="15">
        <f>IF(COB_CA!$B$38=12,DATE(YEAR(COB_CA!$B$19)+INT((MONTH(COB_CA!$B$19)-1+326)/12),MOD(MONTH(COB_CA!$B$19)-1+326,12)+1,1)+(DAY(COB_CA!$B$19)-1),IF(COB_CA!$B$38=24,COB_CA!$B$19+ROUND((326*365.25)/24,0),IF(COB_CA!$B$38=26,COB_CA!$B$19+4564,COB_CA!$B$19+2282)))</f>
        <v/>
      </c>
      <c r="C331" s="12">
        <f>B331-B330</f>
        <v/>
      </c>
      <c r="D331" s="14">
        <f>N330</f>
        <v/>
      </c>
      <c r="E331" s="14">
        <f>D331*COB_CA!$B$40/100*(IF(YEAR(B330)=YEAR(B331),(B331-B330)/IF(AND(MOD(YEAR(B331),4)=0,OR(MOD(YEAR(B331),100)&lt;&gt;0,MOD(YEAR(B331),400)=0)),366,365),(((DATE(YEAR(B330)+1,1,1)))-B330)/IF(AND(MOD(YEAR(B330),4)=0,OR(MOD(YEAR(B330),100)&lt;&gt;0,MOD(YEAR(B330),400)=0)),366,365)+(B331-((DATE(YEAR(B330)+1,1,1))))/IF(AND(MOD(YEAR(B331),4)=0,OR(MOD(YEAR(B331),100)&lt;&gt;0,MOD(YEAR(B331),400)=0)),366,365)))</f>
        <v/>
      </c>
      <c r="F331" s="14">
        <f>L330</f>
        <v/>
      </c>
      <c r="G331" s="14">
        <f>M330</f>
        <v/>
      </c>
      <c r="H331" s="14">
        <f>IF((((COB_CA!$B$18-I331)-J331)&gt;D331),I331+J331+K331,COB_CA!$B$18)</f>
        <v/>
      </c>
      <c r="I331" s="14">
        <f>MIN(COB_CA!$B$18,(E331+F331))</f>
        <v/>
      </c>
      <c r="J331" s="14">
        <f>MIN((COB_CA!$B$18-I331),G331)</f>
        <v/>
      </c>
      <c r="K331" s="14">
        <f>MIN(((COB_CA!$B$18-I331)-J331),D331)</f>
        <v/>
      </c>
      <c r="L331" s="14">
        <f>E331+F331-I331</f>
        <v/>
      </c>
      <c r="M331" s="14">
        <f>G331-J331</f>
        <v/>
      </c>
      <c r="N331" s="14">
        <f>D331-K331</f>
        <v/>
      </c>
      <c r="O331" s="6">
        <f>AND(D331&gt;0,B331&lt;=COB_CA!$B$20)</f>
        <v/>
      </c>
    </row>
    <row r="332">
      <c r="A332" s="6" t="n">
        <v>328</v>
      </c>
      <c r="B332" s="15">
        <f>IF(COB_CA!$B$38=12,DATE(YEAR(COB_CA!$B$19)+INT((MONTH(COB_CA!$B$19)-1+327)/12),MOD(MONTH(COB_CA!$B$19)-1+327,12)+1,1)+(DAY(COB_CA!$B$19)-1),IF(COB_CA!$B$38=24,COB_CA!$B$19+ROUND((327*365.25)/24,0),IF(COB_CA!$B$38=26,COB_CA!$B$19+4578,COB_CA!$B$19+2289)))</f>
        <v/>
      </c>
      <c r="C332" s="12">
        <f>B332-B331</f>
        <v/>
      </c>
      <c r="D332" s="14">
        <f>N331</f>
        <v/>
      </c>
      <c r="E332" s="14">
        <f>D332*COB_CA!$B$40/100*(IF(YEAR(B331)=YEAR(B332),(B332-B331)/IF(AND(MOD(YEAR(B332),4)=0,OR(MOD(YEAR(B332),100)&lt;&gt;0,MOD(YEAR(B332),400)=0)),366,365),(((DATE(YEAR(B331)+1,1,1)))-B331)/IF(AND(MOD(YEAR(B331),4)=0,OR(MOD(YEAR(B331),100)&lt;&gt;0,MOD(YEAR(B331),400)=0)),366,365)+(B332-((DATE(YEAR(B331)+1,1,1))))/IF(AND(MOD(YEAR(B332),4)=0,OR(MOD(YEAR(B332),100)&lt;&gt;0,MOD(YEAR(B332),400)=0)),366,365)))</f>
        <v/>
      </c>
      <c r="F332" s="14">
        <f>L331</f>
        <v/>
      </c>
      <c r="G332" s="14">
        <f>M331</f>
        <v/>
      </c>
      <c r="H332" s="14">
        <f>IF((((COB_CA!$B$18-I332)-J332)&gt;D332),I332+J332+K332,COB_CA!$B$18)</f>
        <v/>
      </c>
      <c r="I332" s="14">
        <f>MIN(COB_CA!$B$18,(E332+F332))</f>
        <v/>
      </c>
      <c r="J332" s="14">
        <f>MIN((COB_CA!$B$18-I332),G332)</f>
        <v/>
      </c>
      <c r="K332" s="14">
        <f>MIN(((COB_CA!$B$18-I332)-J332),D332)</f>
        <v/>
      </c>
      <c r="L332" s="14">
        <f>E332+F332-I332</f>
        <v/>
      </c>
      <c r="M332" s="14">
        <f>G332-J332</f>
        <v/>
      </c>
      <c r="N332" s="14">
        <f>D332-K332</f>
        <v/>
      </c>
      <c r="O332" s="6">
        <f>AND(D332&gt;0,B332&lt;=COB_CA!$B$20)</f>
        <v/>
      </c>
    </row>
    <row r="333">
      <c r="A333" s="6" t="n">
        <v>329</v>
      </c>
      <c r="B333" s="15">
        <f>IF(COB_CA!$B$38=12,DATE(YEAR(COB_CA!$B$19)+INT((MONTH(COB_CA!$B$19)-1+328)/12),MOD(MONTH(COB_CA!$B$19)-1+328,12)+1,1)+(DAY(COB_CA!$B$19)-1),IF(COB_CA!$B$38=24,COB_CA!$B$19+ROUND((328*365.25)/24,0),IF(COB_CA!$B$38=26,COB_CA!$B$19+4592,COB_CA!$B$19+2296)))</f>
        <v/>
      </c>
      <c r="C333" s="12">
        <f>B333-B332</f>
        <v/>
      </c>
      <c r="D333" s="14">
        <f>N332</f>
        <v/>
      </c>
      <c r="E333" s="14">
        <f>D333*COB_CA!$B$40/100*(IF(YEAR(B332)=YEAR(B333),(B333-B332)/IF(AND(MOD(YEAR(B333),4)=0,OR(MOD(YEAR(B333),100)&lt;&gt;0,MOD(YEAR(B333),400)=0)),366,365),(((DATE(YEAR(B332)+1,1,1)))-B332)/IF(AND(MOD(YEAR(B332),4)=0,OR(MOD(YEAR(B332),100)&lt;&gt;0,MOD(YEAR(B332),400)=0)),366,365)+(B333-((DATE(YEAR(B332)+1,1,1))))/IF(AND(MOD(YEAR(B333),4)=0,OR(MOD(YEAR(B333),100)&lt;&gt;0,MOD(YEAR(B333),400)=0)),366,365)))</f>
        <v/>
      </c>
      <c r="F333" s="14">
        <f>L332</f>
        <v/>
      </c>
      <c r="G333" s="14">
        <f>M332</f>
        <v/>
      </c>
      <c r="H333" s="14">
        <f>IF((((COB_CA!$B$18-I333)-J333)&gt;D333),I333+J333+K333,COB_CA!$B$18)</f>
        <v/>
      </c>
      <c r="I333" s="14">
        <f>MIN(COB_CA!$B$18,(E333+F333))</f>
        <v/>
      </c>
      <c r="J333" s="14">
        <f>MIN((COB_CA!$B$18-I333),G333)</f>
        <v/>
      </c>
      <c r="K333" s="14">
        <f>MIN(((COB_CA!$B$18-I333)-J333),D333)</f>
        <v/>
      </c>
      <c r="L333" s="14">
        <f>E333+F333-I333</f>
        <v/>
      </c>
      <c r="M333" s="14">
        <f>G333-J333</f>
        <v/>
      </c>
      <c r="N333" s="14">
        <f>D333-K333</f>
        <v/>
      </c>
      <c r="O333" s="6">
        <f>AND(D333&gt;0,B333&lt;=COB_CA!$B$20)</f>
        <v/>
      </c>
    </row>
    <row r="334">
      <c r="A334" s="6" t="n">
        <v>330</v>
      </c>
      <c r="B334" s="15">
        <f>IF(COB_CA!$B$38=12,DATE(YEAR(COB_CA!$B$19)+INT((MONTH(COB_CA!$B$19)-1+329)/12),MOD(MONTH(COB_CA!$B$19)-1+329,12)+1,1)+(DAY(COB_CA!$B$19)-1),IF(COB_CA!$B$38=24,COB_CA!$B$19+ROUND((329*365.25)/24,0),IF(COB_CA!$B$38=26,COB_CA!$B$19+4606,COB_CA!$B$19+2303)))</f>
        <v/>
      </c>
      <c r="C334" s="12">
        <f>B334-B333</f>
        <v/>
      </c>
      <c r="D334" s="14">
        <f>N333</f>
        <v/>
      </c>
      <c r="E334" s="14">
        <f>D334*COB_CA!$B$40/100*(IF(YEAR(B333)=YEAR(B334),(B334-B333)/IF(AND(MOD(YEAR(B334),4)=0,OR(MOD(YEAR(B334),100)&lt;&gt;0,MOD(YEAR(B334),400)=0)),366,365),(((DATE(YEAR(B333)+1,1,1)))-B333)/IF(AND(MOD(YEAR(B333),4)=0,OR(MOD(YEAR(B333),100)&lt;&gt;0,MOD(YEAR(B333),400)=0)),366,365)+(B334-((DATE(YEAR(B333)+1,1,1))))/IF(AND(MOD(YEAR(B334),4)=0,OR(MOD(YEAR(B334),100)&lt;&gt;0,MOD(YEAR(B334),400)=0)),366,365)))</f>
        <v/>
      </c>
      <c r="F334" s="14">
        <f>L333</f>
        <v/>
      </c>
      <c r="G334" s="14">
        <f>M333</f>
        <v/>
      </c>
      <c r="H334" s="14">
        <f>IF((((COB_CA!$B$18-I334)-J334)&gt;D334),I334+J334+K334,COB_CA!$B$18)</f>
        <v/>
      </c>
      <c r="I334" s="14">
        <f>MIN(COB_CA!$B$18,(E334+F334))</f>
        <v/>
      </c>
      <c r="J334" s="14">
        <f>MIN((COB_CA!$B$18-I334),G334)</f>
        <v/>
      </c>
      <c r="K334" s="14">
        <f>MIN(((COB_CA!$B$18-I334)-J334),D334)</f>
        <v/>
      </c>
      <c r="L334" s="14">
        <f>E334+F334-I334</f>
        <v/>
      </c>
      <c r="M334" s="14">
        <f>G334-J334</f>
        <v/>
      </c>
      <c r="N334" s="14">
        <f>D334-K334</f>
        <v/>
      </c>
      <c r="O334" s="6">
        <f>AND(D334&gt;0,B334&lt;=COB_CA!$B$20)</f>
        <v/>
      </c>
    </row>
    <row r="335">
      <c r="A335" s="6" t="n">
        <v>331</v>
      </c>
      <c r="B335" s="15">
        <f>IF(COB_CA!$B$38=12,DATE(YEAR(COB_CA!$B$19)+INT((MONTH(COB_CA!$B$19)-1+330)/12),MOD(MONTH(COB_CA!$B$19)-1+330,12)+1,1)+(DAY(COB_CA!$B$19)-1),IF(COB_CA!$B$38=24,COB_CA!$B$19+ROUND((330*365.25)/24,0),IF(COB_CA!$B$38=26,COB_CA!$B$19+4620,COB_CA!$B$19+2310)))</f>
        <v/>
      </c>
      <c r="C335" s="12">
        <f>B335-B334</f>
        <v/>
      </c>
      <c r="D335" s="14">
        <f>N334</f>
        <v/>
      </c>
      <c r="E335" s="14">
        <f>D335*COB_CA!$B$40/100*(IF(YEAR(B334)=YEAR(B335),(B335-B334)/IF(AND(MOD(YEAR(B335),4)=0,OR(MOD(YEAR(B335),100)&lt;&gt;0,MOD(YEAR(B335),400)=0)),366,365),(((DATE(YEAR(B334)+1,1,1)))-B334)/IF(AND(MOD(YEAR(B334),4)=0,OR(MOD(YEAR(B334),100)&lt;&gt;0,MOD(YEAR(B334),400)=0)),366,365)+(B335-((DATE(YEAR(B334)+1,1,1))))/IF(AND(MOD(YEAR(B335),4)=0,OR(MOD(YEAR(B335),100)&lt;&gt;0,MOD(YEAR(B335),400)=0)),366,365)))</f>
        <v/>
      </c>
      <c r="F335" s="14">
        <f>L334</f>
        <v/>
      </c>
      <c r="G335" s="14">
        <f>M334</f>
        <v/>
      </c>
      <c r="H335" s="14">
        <f>IF((((COB_CA!$B$18-I335)-J335)&gt;D335),I335+J335+K335,COB_CA!$B$18)</f>
        <v/>
      </c>
      <c r="I335" s="14">
        <f>MIN(COB_CA!$B$18,(E335+F335))</f>
        <v/>
      </c>
      <c r="J335" s="14">
        <f>MIN((COB_CA!$B$18-I335),G335)</f>
        <v/>
      </c>
      <c r="K335" s="14">
        <f>MIN(((COB_CA!$B$18-I335)-J335),D335)</f>
        <v/>
      </c>
      <c r="L335" s="14">
        <f>E335+F335-I335</f>
        <v/>
      </c>
      <c r="M335" s="14">
        <f>G335-J335</f>
        <v/>
      </c>
      <c r="N335" s="14">
        <f>D335-K335</f>
        <v/>
      </c>
      <c r="O335" s="6">
        <f>AND(D335&gt;0,B335&lt;=COB_CA!$B$20)</f>
        <v/>
      </c>
    </row>
    <row r="336">
      <c r="A336" s="6" t="n">
        <v>332</v>
      </c>
      <c r="B336" s="15">
        <f>IF(COB_CA!$B$38=12,DATE(YEAR(COB_CA!$B$19)+INT((MONTH(COB_CA!$B$19)-1+331)/12),MOD(MONTH(COB_CA!$B$19)-1+331,12)+1,1)+(DAY(COB_CA!$B$19)-1),IF(COB_CA!$B$38=24,COB_CA!$B$19+ROUND((331*365.25)/24,0),IF(COB_CA!$B$38=26,COB_CA!$B$19+4634,COB_CA!$B$19+2317)))</f>
        <v/>
      </c>
      <c r="C336" s="12">
        <f>B336-B335</f>
        <v/>
      </c>
      <c r="D336" s="14">
        <f>N335</f>
        <v/>
      </c>
      <c r="E336" s="14">
        <f>D336*COB_CA!$B$40/100*(IF(YEAR(B335)=YEAR(B336),(B336-B335)/IF(AND(MOD(YEAR(B336),4)=0,OR(MOD(YEAR(B336),100)&lt;&gt;0,MOD(YEAR(B336),400)=0)),366,365),(((DATE(YEAR(B335)+1,1,1)))-B335)/IF(AND(MOD(YEAR(B335),4)=0,OR(MOD(YEAR(B335),100)&lt;&gt;0,MOD(YEAR(B335),400)=0)),366,365)+(B336-((DATE(YEAR(B335)+1,1,1))))/IF(AND(MOD(YEAR(B336),4)=0,OR(MOD(YEAR(B336),100)&lt;&gt;0,MOD(YEAR(B336),400)=0)),366,365)))</f>
        <v/>
      </c>
      <c r="F336" s="14">
        <f>L335</f>
        <v/>
      </c>
      <c r="G336" s="14">
        <f>M335</f>
        <v/>
      </c>
      <c r="H336" s="14">
        <f>IF((((COB_CA!$B$18-I336)-J336)&gt;D336),I336+J336+K336,COB_CA!$B$18)</f>
        <v/>
      </c>
      <c r="I336" s="14">
        <f>MIN(COB_CA!$B$18,(E336+F336))</f>
        <v/>
      </c>
      <c r="J336" s="14">
        <f>MIN((COB_CA!$B$18-I336),G336)</f>
        <v/>
      </c>
      <c r="K336" s="14">
        <f>MIN(((COB_CA!$B$18-I336)-J336),D336)</f>
        <v/>
      </c>
      <c r="L336" s="14">
        <f>E336+F336-I336</f>
        <v/>
      </c>
      <c r="M336" s="14">
        <f>G336-J336</f>
        <v/>
      </c>
      <c r="N336" s="14">
        <f>D336-K336</f>
        <v/>
      </c>
      <c r="O336" s="6">
        <f>AND(D336&gt;0,B336&lt;=COB_CA!$B$20)</f>
        <v/>
      </c>
    </row>
    <row r="337">
      <c r="A337" s="6" t="n">
        <v>333</v>
      </c>
      <c r="B337" s="15">
        <f>IF(COB_CA!$B$38=12,DATE(YEAR(COB_CA!$B$19)+INT((MONTH(COB_CA!$B$19)-1+332)/12),MOD(MONTH(COB_CA!$B$19)-1+332,12)+1,1)+(DAY(COB_CA!$B$19)-1),IF(COB_CA!$B$38=24,COB_CA!$B$19+ROUND((332*365.25)/24,0),IF(COB_CA!$B$38=26,COB_CA!$B$19+4648,COB_CA!$B$19+2324)))</f>
        <v/>
      </c>
      <c r="C337" s="12">
        <f>B337-B336</f>
        <v/>
      </c>
      <c r="D337" s="14">
        <f>N336</f>
        <v/>
      </c>
      <c r="E337" s="14">
        <f>D337*COB_CA!$B$40/100*(IF(YEAR(B336)=YEAR(B337),(B337-B336)/IF(AND(MOD(YEAR(B337),4)=0,OR(MOD(YEAR(B337),100)&lt;&gt;0,MOD(YEAR(B337),400)=0)),366,365),(((DATE(YEAR(B336)+1,1,1)))-B336)/IF(AND(MOD(YEAR(B336),4)=0,OR(MOD(YEAR(B336),100)&lt;&gt;0,MOD(YEAR(B336),400)=0)),366,365)+(B337-((DATE(YEAR(B336)+1,1,1))))/IF(AND(MOD(YEAR(B337),4)=0,OR(MOD(YEAR(B337),100)&lt;&gt;0,MOD(YEAR(B337),400)=0)),366,365)))</f>
        <v/>
      </c>
      <c r="F337" s="14">
        <f>L336</f>
        <v/>
      </c>
      <c r="G337" s="14">
        <f>M336</f>
        <v/>
      </c>
      <c r="H337" s="14">
        <f>IF((((COB_CA!$B$18-I337)-J337)&gt;D337),I337+J337+K337,COB_CA!$B$18)</f>
        <v/>
      </c>
      <c r="I337" s="14">
        <f>MIN(COB_CA!$B$18,(E337+F337))</f>
        <v/>
      </c>
      <c r="J337" s="14">
        <f>MIN((COB_CA!$B$18-I337),G337)</f>
        <v/>
      </c>
      <c r="K337" s="14">
        <f>MIN(((COB_CA!$B$18-I337)-J337),D337)</f>
        <v/>
      </c>
      <c r="L337" s="14">
        <f>E337+F337-I337</f>
        <v/>
      </c>
      <c r="M337" s="14">
        <f>G337-J337</f>
        <v/>
      </c>
      <c r="N337" s="14">
        <f>D337-K337</f>
        <v/>
      </c>
      <c r="O337" s="6">
        <f>AND(D337&gt;0,B337&lt;=COB_CA!$B$20)</f>
        <v/>
      </c>
    </row>
    <row r="338">
      <c r="A338" s="6" t="n">
        <v>334</v>
      </c>
      <c r="B338" s="15">
        <f>IF(COB_CA!$B$38=12,DATE(YEAR(COB_CA!$B$19)+INT((MONTH(COB_CA!$B$19)-1+333)/12),MOD(MONTH(COB_CA!$B$19)-1+333,12)+1,1)+(DAY(COB_CA!$B$19)-1),IF(COB_CA!$B$38=24,COB_CA!$B$19+ROUND((333*365.25)/24,0),IF(COB_CA!$B$38=26,COB_CA!$B$19+4662,COB_CA!$B$19+2331)))</f>
        <v/>
      </c>
      <c r="C338" s="12">
        <f>B338-B337</f>
        <v/>
      </c>
      <c r="D338" s="14">
        <f>N337</f>
        <v/>
      </c>
      <c r="E338" s="14">
        <f>D338*COB_CA!$B$40/100*(IF(YEAR(B337)=YEAR(B338),(B338-B337)/IF(AND(MOD(YEAR(B338),4)=0,OR(MOD(YEAR(B338),100)&lt;&gt;0,MOD(YEAR(B338),400)=0)),366,365),(((DATE(YEAR(B337)+1,1,1)))-B337)/IF(AND(MOD(YEAR(B337),4)=0,OR(MOD(YEAR(B337),100)&lt;&gt;0,MOD(YEAR(B337),400)=0)),366,365)+(B338-((DATE(YEAR(B337)+1,1,1))))/IF(AND(MOD(YEAR(B338),4)=0,OR(MOD(YEAR(B338),100)&lt;&gt;0,MOD(YEAR(B338),400)=0)),366,365)))</f>
        <v/>
      </c>
      <c r="F338" s="14">
        <f>L337</f>
        <v/>
      </c>
      <c r="G338" s="14">
        <f>M337</f>
        <v/>
      </c>
      <c r="H338" s="14">
        <f>IF((((COB_CA!$B$18-I338)-J338)&gt;D338),I338+J338+K338,COB_CA!$B$18)</f>
        <v/>
      </c>
      <c r="I338" s="14">
        <f>MIN(COB_CA!$B$18,(E338+F338))</f>
        <v/>
      </c>
      <c r="J338" s="14">
        <f>MIN((COB_CA!$B$18-I338),G338)</f>
        <v/>
      </c>
      <c r="K338" s="14">
        <f>MIN(((COB_CA!$B$18-I338)-J338),D338)</f>
        <v/>
      </c>
      <c r="L338" s="14">
        <f>E338+F338-I338</f>
        <v/>
      </c>
      <c r="M338" s="14">
        <f>G338-J338</f>
        <v/>
      </c>
      <c r="N338" s="14">
        <f>D338-K338</f>
        <v/>
      </c>
      <c r="O338" s="6">
        <f>AND(D338&gt;0,B338&lt;=COB_CA!$B$20)</f>
        <v/>
      </c>
    </row>
    <row r="339">
      <c r="A339" s="6" t="n">
        <v>335</v>
      </c>
      <c r="B339" s="15">
        <f>IF(COB_CA!$B$38=12,DATE(YEAR(COB_CA!$B$19)+INT((MONTH(COB_CA!$B$19)-1+334)/12),MOD(MONTH(COB_CA!$B$19)-1+334,12)+1,1)+(DAY(COB_CA!$B$19)-1),IF(COB_CA!$B$38=24,COB_CA!$B$19+ROUND((334*365.25)/24,0),IF(COB_CA!$B$38=26,COB_CA!$B$19+4676,COB_CA!$B$19+2338)))</f>
        <v/>
      </c>
      <c r="C339" s="12">
        <f>B339-B338</f>
        <v/>
      </c>
      <c r="D339" s="14">
        <f>N338</f>
        <v/>
      </c>
      <c r="E339" s="14">
        <f>D339*COB_CA!$B$40/100*(IF(YEAR(B338)=YEAR(B339),(B339-B338)/IF(AND(MOD(YEAR(B339),4)=0,OR(MOD(YEAR(B339),100)&lt;&gt;0,MOD(YEAR(B339),400)=0)),366,365),(((DATE(YEAR(B338)+1,1,1)))-B338)/IF(AND(MOD(YEAR(B338),4)=0,OR(MOD(YEAR(B338),100)&lt;&gt;0,MOD(YEAR(B338),400)=0)),366,365)+(B339-((DATE(YEAR(B338)+1,1,1))))/IF(AND(MOD(YEAR(B339),4)=0,OR(MOD(YEAR(B339),100)&lt;&gt;0,MOD(YEAR(B339),400)=0)),366,365)))</f>
        <v/>
      </c>
      <c r="F339" s="14">
        <f>L338</f>
        <v/>
      </c>
      <c r="G339" s="14">
        <f>M338</f>
        <v/>
      </c>
      <c r="H339" s="14">
        <f>IF((((COB_CA!$B$18-I339)-J339)&gt;D339),I339+J339+K339,COB_CA!$B$18)</f>
        <v/>
      </c>
      <c r="I339" s="14">
        <f>MIN(COB_CA!$B$18,(E339+F339))</f>
        <v/>
      </c>
      <c r="J339" s="14">
        <f>MIN((COB_CA!$B$18-I339),G339)</f>
        <v/>
      </c>
      <c r="K339" s="14">
        <f>MIN(((COB_CA!$B$18-I339)-J339),D339)</f>
        <v/>
      </c>
      <c r="L339" s="14">
        <f>E339+F339-I339</f>
        <v/>
      </c>
      <c r="M339" s="14">
        <f>G339-J339</f>
        <v/>
      </c>
      <c r="N339" s="14">
        <f>D339-K339</f>
        <v/>
      </c>
      <c r="O339" s="6">
        <f>AND(D339&gt;0,B339&lt;=COB_CA!$B$20)</f>
        <v/>
      </c>
    </row>
    <row r="340">
      <c r="A340" s="6" t="n">
        <v>336</v>
      </c>
      <c r="B340" s="15">
        <f>IF(COB_CA!$B$38=12,DATE(YEAR(COB_CA!$B$19)+INT((MONTH(COB_CA!$B$19)-1+335)/12),MOD(MONTH(COB_CA!$B$19)-1+335,12)+1,1)+(DAY(COB_CA!$B$19)-1),IF(COB_CA!$B$38=24,COB_CA!$B$19+ROUND((335*365.25)/24,0),IF(COB_CA!$B$38=26,COB_CA!$B$19+4690,COB_CA!$B$19+2345)))</f>
        <v/>
      </c>
      <c r="C340" s="12">
        <f>B340-B339</f>
        <v/>
      </c>
      <c r="D340" s="14">
        <f>N339</f>
        <v/>
      </c>
      <c r="E340" s="14">
        <f>D340*COB_CA!$B$40/100*(IF(YEAR(B339)=YEAR(B340),(B340-B339)/IF(AND(MOD(YEAR(B340),4)=0,OR(MOD(YEAR(B340),100)&lt;&gt;0,MOD(YEAR(B340),400)=0)),366,365),(((DATE(YEAR(B339)+1,1,1)))-B339)/IF(AND(MOD(YEAR(B339),4)=0,OR(MOD(YEAR(B339),100)&lt;&gt;0,MOD(YEAR(B339),400)=0)),366,365)+(B340-((DATE(YEAR(B339)+1,1,1))))/IF(AND(MOD(YEAR(B340),4)=0,OR(MOD(YEAR(B340),100)&lt;&gt;0,MOD(YEAR(B340),400)=0)),366,365)))</f>
        <v/>
      </c>
      <c r="F340" s="14">
        <f>L339</f>
        <v/>
      </c>
      <c r="G340" s="14">
        <f>M339</f>
        <v/>
      </c>
      <c r="H340" s="14">
        <f>IF((((COB_CA!$B$18-I340)-J340)&gt;D340),I340+J340+K340,COB_CA!$B$18)</f>
        <v/>
      </c>
      <c r="I340" s="14">
        <f>MIN(COB_CA!$B$18,(E340+F340))</f>
        <v/>
      </c>
      <c r="J340" s="14">
        <f>MIN((COB_CA!$B$18-I340),G340)</f>
        <v/>
      </c>
      <c r="K340" s="14">
        <f>MIN(((COB_CA!$B$18-I340)-J340),D340)</f>
        <v/>
      </c>
      <c r="L340" s="14">
        <f>E340+F340-I340</f>
        <v/>
      </c>
      <c r="M340" s="14">
        <f>G340-J340</f>
        <v/>
      </c>
      <c r="N340" s="14">
        <f>D340-K340</f>
        <v/>
      </c>
      <c r="O340" s="6">
        <f>AND(D340&gt;0,B340&lt;=COB_CA!$B$20)</f>
        <v/>
      </c>
    </row>
    <row r="341">
      <c r="A341" s="6" t="n">
        <v>337</v>
      </c>
      <c r="B341" s="15">
        <f>IF(COB_CA!$B$38=12,DATE(YEAR(COB_CA!$B$19)+INT((MONTH(COB_CA!$B$19)-1+336)/12),MOD(MONTH(COB_CA!$B$19)-1+336,12)+1,1)+(DAY(COB_CA!$B$19)-1),IF(COB_CA!$B$38=24,COB_CA!$B$19+ROUND((336*365.25)/24,0),IF(COB_CA!$B$38=26,COB_CA!$B$19+4704,COB_CA!$B$19+2352)))</f>
        <v/>
      </c>
      <c r="C341" s="12">
        <f>B341-B340</f>
        <v/>
      </c>
      <c r="D341" s="14">
        <f>N340</f>
        <v/>
      </c>
      <c r="E341" s="14">
        <f>D341*COB_CA!$B$40/100*(IF(YEAR(B340)=YEAR(B341),(B341-B340)/IF(AND(MOD(YEAR(B341),4)=0,OR(MOD(YEAR(B341),100)&lt;&gt;0,MOD(YEAR(B341),400)=0)),366,365),(((DATE(YEAR(B340)+1,1,1)))-B340)/IF(AND(MOD(YEAR(B340),4)=0,OR(MOD(YEAR(B340),100)&lt;&gt;0,MOD(YEAR(B340),400)=0)),366,365)+(B341-((DATE(YEAR(B340)+1,1,1))))/IF(AND(MOD(YEAR(B341),4)=0,OR(MOD(YEAR(B341),100)&lt;&gt;0,MOD(YEAR(B341),400)=0)),366,365)))</f>
        <v/>
      </c>
      <c r="F341" s="14">
        <f>L340</f>
        <v/>
      </c>
      <c r="G341" s="14">
        <f>M340</f>
        <v/>
      </c>
      <c r="H341" s="14">
        <f>IF((((COB_CA!$B$18-I341)-J341)&gt;D341),I341+J341+K341,COB_CA!$B$18)</f>
        <v/>
      </c>
      <c r="I341" s="14">
        <f>MIN(COB_CA!$B$18,(E341+F341))</f>
        <v/>
      </c>
      <c r="J341" s="14">
        <f>MIN((COB_CA!$B$18-I341),G341)</f>
        <v/>
      </c>
      <c r="K341" s="14">
        <f>MIN(((COB_CA!$B$18-I341)-J341),D341)</f>
        <v/>
      </c>
      <c r="L341" s="14">
        <f>E341+F341-I341</f>
        <v/>
      </c>
      <c r="M341" s="14">
        <f>G341-J341</f>
        <v/>
      </c>
      <c r="N341" s="14">
        <f>D341-K341</f>
        <v/>
      </c>
      <c r="O341" s="6">
        <f>AND(D341&gt;0,B341&lt;=COB_CA!$B$20)</f>
        <v/>
      </c>
    </row>
    <row r="342">
      <c r="A342" s="6" t="n">
        <v>338</v>
      </c>
      <c r="B342" s="15">
        <f>IF(COB_CA!$B$38=12,DATE(YEAR(COB_CA!$B$19)+INT((MONTH(COB_CA!$B$19)-1+337)/12),MOD(MONTH(COB_CA!$B$19)-1+337,12)+1,1)+(DAY(COB_CA!$B$19)-1),IF(COB_CA!$B$38=24,COB_CA!$B$19+ROUND((337*365.25)/24,0),IF(COB_CA!$B$38=26,COB_CA!$B$19+4718,COB_CA!$B$19+2359)))</f>
        <v/>
      </c>
      <c r="C342" s="12">
        <f>B342-B341</f>
        <v/>
      </c>
      <c r="D342" s="14">
        <f>N341</f>
        <v/>
      </c>
      <c r="E342" s="14">
        <f>D342*COB_CA!$B$40/100*(IF(YEAR(B341)=YEAR(B342),(B342-B341)/IF(AND(MOD(YEAR(B342),4)=0,OR(MOD(YEAR(B342),100)&lt;&gt;0,MOD(YEAR(B342),400)=0)),366,365),(((DATE(YEAR(B341)+1,1,1)))-B341)/IF(AND(MOD(YEAR(B341),4)=0,OR(MOD(YEAR(B341),100)&lt;&gt;0,MOD(YEAR(B341),400)=0)),366,365)+(B342-((DATE(YEAR(B341)+1,1,1))))/IF(AND(MOD(YEAR(B342),4)=0,OR(MOD(YEAR(B342),100)&lt;&gt;0,MOD(YEAR(B342),400)=0)),366,365)))</f>
        <v/>
      </c>
      <c r="F342" s="14">
        <f>L341</f>
        <v/>
      </c>
      <c r="G342" s="14">
        <f>M341</f>
        <v/>
      </c>
      <c r="H342" s="14">
        <f>IF((((COB_CA!$B$18-I342)-J342)&gt;D342),I342+J342+K342,COB_CA!$B$18)</f>
        <v/>
      </c>
      <c r="I342" s="14">
        <f>MIN(COB_CA!$B$18,(E342+F342))</f>
        <v/>
      </c>
      <c r="J342" s="14">
        <f>MIN((COB_CA!$B$18-I342),G342)</f>
        <v/>
      </c>
      <c r="K342" s="14">
        <f>MIN(((COB_CA!$B$18-I342)-J342),D342)</f>
        <v/>
      </c>
      <c r="L342" s="14">
        <f>E342+F342-I342</f>
        <v/>
      </c>
      <c r="M342" s="14">
        <f>G342-J342</f>
        <v/>
      </c>
      <c r="N342" s="14">
        <f>D342-K342</f>
        <v/>
      </c>
      <c r="O342" s="6">
        <f>AND(D342&gt;0,B342&lt;=COB_CA!$B$20)</f>
        <v/>
      </c>
    </row>
    <row r="343">
      <c r="A343" s="6" t="n">
        <v>339</v>
      </c>
      <c r="B343" s="15">
        <f>IF(COB_CA!$B$38=12,DATE(YEAR(COB_CA!$B$19)+INT((MONTH(COB_CA!$B$19)-1+338)/12),MOD(MONTH(COB_CA!$B$19)-1+338,12)+1,1)+(DAY(COB_CA!$B$19)-1),IF(COB_CA!$B$38=24,COB_CA!$B$19+ROUND((338*365.25)/24,0),IF(COB_CA!$B$38=26,COB_CA!$B$19+4732,COB_CA!$B$19+2366)))</f>
        <v/>
      </c>
      <c r="C343" s="12">
        <f>B343-B342</f>
        <v/>
      </c>
      <c r="D343" s="14">
        <f>N342</f>
        <v/>
      </c>
      <c r="E343" s="14">
        <f>D343*COB_CA!$B$40/100*(IF(YEAR(B342)=YEAR(B343),(B343-B342)/IF(AND(MOD(YEAR(B343),4)=0,OR(MOD(YEAR(B343),100)&lt;&gt;0,MOD(YEAR(B343),400)=0)),366,365),(((DATE(YEAR(B342)+1,1,1)))-B342)/IF(AND(MOD(YEAR(B342),4)=0,OR(MOD(YEAR(B342),100)&lt;&gt;0,MOD(YEAR(B342),400)=0)),366,365)+(B343-((DATE(YEAR(B342)+1,1,1))))/IF(AND(MOD(YEAR(B343),4)=0,OR(MOD(YEAR(B343),100)&lt;&gt;0,MOD(YEAR(B343),400)=0)),366,365)))</f>
        <v/>
      </c>
      <c r="F343" s="14">
        <f>L342</f>
        <v/>
      </c>
      <c r="G343" s="14">
        <f>M342</f>
        <v/>
      </c>
      <c r="H343" s="14">
        <f>IF((((COB_CA!$B$18-I343)-J343)&gt;D343),I343+J343+K343,COB_CA!$B$18)</f>
        <v/>
      </c>
      <c r="I343" s="14">
        <f>MIN(COB_CA!$B$18,(E343+F343))</f>
        <v/>
      </c>
      <c r="J343" s="14">
        <f>MIN((COB_CA!$B$18-I343),G343)</f>
        <v/>
      </c>
      <c r="K343" s="14">
        <f>MIN(((COB_CA!$B$18-I343)-J343),D343)</f>
        <v/>
      </c>
      <c r="L343" s="14">
        <f>E343+F343-I343</f>
        <v/>
      </c>
      <c r="M343" s="14">
        <f>G343-J343</f>
        <v/>
      </c>
      <c r="N343" s="14">
        <f>D343-K343</f>
        <v/>
      </c>
      <c r="O343" s="6">
        <f>AND(D343&gt;0,B343&lt;=COB_CA!$B$20)</f>
        <v/>
      </c>
    </row>
    <row r="344">
      <c r="A344" s="6" t="n">
        <v>340</v>
      </c>
      <c r="B344" s="15">
        <f>IF(COB_CA!$B$38=12,DATE(YEAR(COB_CA!$B$19)+INT((MONTH(COB_CA!$B$19)-1+339)/12),MOD(MONTH(COB_CA!$B$19)-1+339,12)+1,1)+(DAY(COB_CA!$B$19)-1),IF(COB_CA!$B$38=24,COB_CA!$B$19+ROUND((339*365.25)/24,0),IF(COB_CA!$B$38=26,COB_CA!$B$19+4746,COB_CA!$B$19+2373)))</f>
        <v/>
      </c>
      <c r="C344" s="12">
        <f>B344-B343</f>
        <v/>
      </c>
      <c r="D344" s="14">
        <f>N343</f>
        <v/>
      </c>
      <c r="E344" s="14">
        <f>D344*COB_CA!$B$40/100*(IF(YEAR(B343)=YEAR(B344),(B344-B343)/IF(AND(MOD(YEAR(B344),4)=0,OR(MOD(YEAR(B344),100)&lt;&gt;0,MOD(YEAR(B344),400)=0)),366,365),(((DATE(YEAR(B343)+1,1,1)))-B343)/IF(AND(MOD(YEAR(B343),4)=0,OR(MOD(YEAR(B343),100)&lt;&gt;0,MOD(YEAR(B343),400)=0)),366,365)+(B344-((DATE(YEAR(B343)+1,1,1))))/IF(AND(MOD(YEAR(B344),4)=0,OR(MOD(YEAR(B344),100)&lt;&gt;0,MOD(YEAR(B344),400)=0)),366,365)))</f>
        <v/>
      </c>
      <c r="F344" s="14">
        <f>L343</f>
        <v/>
      </c>
      <c r="G344" s="14">
        <f>M343</f>
        <v/>
      </c>
      <c r="H344" s="14">
        <f>IF((((COB_CA!$B$18-I344)-J344)&gt;D344),I344+J344+K344,COB_CA!$B$18)</f>
        <v/>
      </c>
      <c r="I344" s="14">
        <f>MIN(COB_CA!$B$18,(E344+F344))</f>
        <v/>
      </c>
      <c r="J344" s="14">
        <f>MIN((COB_CA!$B$18-I344),G344)</f>
        <v/>
      </c>
      <c r="K344" s="14">
        <f>MIN(((COB_CA!$B$18-I344)-J344),D344)</f>
        <v/>
      </c>
      <c r="L344" s="14">
        <f>E344+F344-I344</f>
        <v/>
      </c>
      <c r="M344" s="14">
        <f>G344-J344</f>
        <v/>
      </c>
      <c r="N344" s="14">
        <f>D344-K344</f>
        <v/>
      </c>
      <c r="O344" s="6">
        <f>AND(D344&gt;0,B344&lt;=COB_CA!$B$20)</f>
        <v/>
      </c>
    </row>
    <row r="345">
      <c r="A345" s="6" t="n">
        <v>341</v>
      </c>
      <c r="B345" s="15">
        <f>IF(COB_CA!$B$38=12,DATE(YEAR(COB_CA!$B$19)+INT((MONTH(COB_CA!$B$19)-1+340)/12),MOD(MONTH(COB_CA!$B$19)-1+340,12)+1,1)+(DAY(COB_CA!$B$19)-1),IF(COB_CA!$B$38=24,COB_CA!$B$19+ROUND((340*365.25)/24,0),IF(COB_CA!$B$38=26,COB_CA!$B$19+4760,COB_CA!$B$19+2380)))</f>
        <v/>
      </c>
      <c r="C345" s="12">
        <f>B345-B344</f>
        <v/>
      </c>
      <c r="D345" s="14">
        <f>N344</f>
        <v/>
      </c>
      <c r="E345" s="14">
        <f>D345*COB_CA!$B$40/100*(IF(YEAR(B344)=YEAR(B345),(B345-B344)/IF(AND(MOD(YEAR(B345),4)=0,OR(MOD(YEAR(B345),100)&lt;&gt;0,MOD(YEAR(B345),400)=0)),366,365),(((DATE(YEAR(B344)+1,1,1)))-B344)/IF(AND(MOD(YEAR(B344),4)=0,OR(MOD(YEAR(B344),100)&lt;&gt;0,MOD(YEAR(B344),400)=0)),366,365)+(B345-((DATE(YEAR(B344)+1,1,1))))/IF(AND(MOD(YEAR(B345),4)=0,OR(MOD(YEAR(B345),100)&lt;&gt;0,MOD(YEAR(B345),400)=0)),366,365)))</f>
        <v/>
      </c>
      <c r="F345" s="14">
        <f>L344</f>
        <v/>
      </c>
      <c r="G345" s="14">
        <f>M344</f>
        <v/>
      </c>
      <c r="H345" s="14">
        <f>IF((((COB_CA!$B$18-I345)-J345)&gt;D345),I345+J345+K345,COB_CA!$B$18)</f>
        <v/>
      </c>
      <c r="I345" s="14">
        <f>MIN(COB_CA!$B$18,(E345+F345))</f>
        <v/>
      </c>
      <c r="J345" s="14">
        <f>MIN((COB_CA!$B$18-I345),G345)</f>
        <v/>
      </c>
      <c r="K345" s="14">
        <f>MIN(((COB_CA!$B$18-I345)-J345),D345)</f>
        <v/>
      </c>
      <c r="L345" s="14">
        <f>E345+F345-I345</f>
        <v/>
      </c>
      <c r="M345" s="14">
        <f>G345-J345</f>
        <v/>
      </c>
      <c r="N345" s="14">
        <f>D345-K345</f>
        <v/>
      </c>
      <c r="O345" s="6">
        <f>AND(D345&gt;0,B345&lt;=COB_CA!$B$20)</f>
        <v/>
      </c>
    </row>
    <row r="346">
      <c r="A346" s="6" t="n">
        <v>342</v>
      </c>
      <c r="B346" s="15">
        <f>IF(COB_CA!$B$38=12,DATE(YEAR(COB_CA!$B$19)+INT((MONTH(COB_CA!$B$19)-1+341)/12),MOD(MONTH(COB_CA!$B$19)-1+341,12)+1,1)+(DAY(COB_CA!$B$19)-1),IF(COB_CA!$B$38=24,COB_CA!$B$19+ROUND((341*365.25)/24,0),IF(COB_CA!$B$38=26,COB_CA!$B$19+4774,COB_CA!$B$19+2387)))</f>
        <v/>
      </c>
      <c r="C346" s="12">
        <f>B346-B345</f>
        <v/>
      </c>
      <c r="D346" s="14">
        <f>N345</f>
        <v/>
      </c>
      <c r="E346" s="14">
        <f>D346*COB_CA!$B$40/100*(IF(YEAR(B345)=YEAR(B346),(B346-B345)/IF(AND(MOD(YEAR(B346),4)=0,OR(MOD(YEAR(B346),100)&lt;&gt;0,MOD(YEAR(B346),400)=0)),366,365),(((DATE(YEAR(B345)+1,1,1)))-B345)/IF(AND(MOD(YEAR(B345),4)=0,OR(MOD(YEAR(B345),100)&lt;&gt;0,MOD(YEAR(B345),400)=0)),366,365)+(B346-((DATE(YEAR(B345)+1,1,1))))/IF(AND(MOD(YEAR(B346),4)=0,OR(MOD(YEAR(B346),100)&lt;&gt;0,MOD(YEAR(B346),400)=0)),366,365)))</f>
        <v/>
      </c>
      <c r="F346" s="14">
        <f>L345</f>
        <v/>
      </c>
      <c r="G346" s="14">
        <f>M345</f>
        <v/>
      </c>
      <c r="H346" s="14">
        <f>IF((((COB_CA!$B$18-I346)-J346)&gt;D346),I346+J346+K346,COB_CA!$B$18)</f>
        <v/>
      </c>
      <c r="I346" s="14">
        <f>MIN(COB_CA!$B$18,(E346+F346))</f>
        <v/>
      </c>
      <c r="J346" s="14">
        <f>MIN((COB_CA!$B$18-I346),G346)</f>
        <v/>
      </c>
      <c r="K346" s="14">
        <f>MIN(((COB_CA!$B$18-I346)-J346),D346)</f>
        <v/>
      </c>
      <c r="L346" s="14">
        <f>E346+F346-I346</f>
        <v/>
      </c>
      <c r="M346" s="14">
        <f>G346-J346</f>
        <v/>
      </c>
      <c r="N346" s="14">
        <f>D346-K346</f>
        <v/>
      </c>
      <c r="O346" s="6">
        <f>AND(D346&gt;0,B346&lt;=COB_CA!$B$20)</f>
        <v/>
      </c>
    </row>
    <row r="347">
      <c r="A347" s="6" t="n">
        <v>343</v>
      </c>
      <c r="B347" s="15">
        <f>IF(COB_CA!$B$38=12,DATE(YEAR(COB_CA!$B$19)+INT((MONTH(COB_CA!$B$19)-1+342)/12),MOD(MONTH(COB_CA!$B$19)-1+342,12)+1,1)+(DAY(COB_CA!$B$19)-1),IF(COB_CA!$B$38=24,COB_CA!$B$19+ROUND((342*365.25)/24,0),IF(COB_CA!$B$38=26,COB_CA!$B$19+4788,COB_CA!$B$19+2394)))</f>
        <v/>
      </c>
      <c r="C347" s="12">
        <f>B347-B346</f>
        <v/>
      </c>
      <c r="D347" s="14">
        <f>N346</f>
        <v/>
      </c>
      <c r="E347" s="14">
        <f>D347*COB_CA!$B$40/100*(IF(YEAR(B346)=YEAR(B347),(B347-B346)/IF(AND(MOD(YEAR(B347),4)=0,OR(MOD(YEAR(B347),100)&lt;&gt;0,MOD(YEAR(B347),400)=0)),366,365),(((DATE(YEAR(B346)+1,1,1)))-B346)/IF(AND(MOD(YEAR(B346),4)=0,OR(MOD(YEAR(B346),100)&lt;&gt;0,MOD(YEAR(B346),400)=0)),366,365)+(B347-((DATE(YEAR(B346)+1,1,1))))/IF(AND(MOD(YEAR(B347),4)=0,OR(MOD(YEAR(B347),100)&lt;&gt;0,MOD(YEAR(B347),400)=0)),366,365)))</f>
        <v/>
      </c>
      <c r="F347" s="14">
        <f>L346</f>
        <v/>
      </c>
      <c r="G347" s="14">
        <f>M346</f>
        <v/>
      </c>
      <c r="H347" s="14">
        <f>IF((((COB_CA!$B$18-I347)-J347)&gt;D347),I347+J347+K347,COB_CA!$B$18)</f>
        <v/>
      </c>
      <c r="I347" s="14">
        <f>MIN(COB_CA!$B$18,(E347+F347))</f>
        <v/>
      </c>
      <c r="J347" s="14">
        <f>MIN((COB_CA!$B$18-I347),G347)</f>
        <v/>
      </c>
      <c r="K347" s="14">
        <f>MIN(((COB_CA!$B$18-I347)-J347),D347)</f>
        <v/>
      </c>
      <c r="L347" s="14">
        <f>E347+F347-I347</f>
        <v/>
      </c>
      <c r="M347" s="14">
        <f>G347-J347</f>
        <v/>
      </c>
      <c r="N347" s="14">
        <f>D347-K347</f>
        <v/>
      </c>
      <c r="O347" s="6">
        <f>AND(D347&gt;0,B347&lt;=COB_CA!$B$20)</f>
        <v/>
      </c>
    </row>
    <row r="348">
      <c r="A348" s="6" t="n">
        <v>344</v>
      </c>
      <c r="B348" s="15">
        <f>IF(COB_CA!$B$38=12,DATE(YEAR(COB_CA!$B$19)+INT((MONTH(COB_CA!$B$19)-1+343)/12),MOD(MONTH(COB_CA!$B$19)-1+343,12)+1,1)+(DAY(COB_CA!$B$19)-1),IF(COB_CA!$B$38=24,COB_CA!$B$19+ROUND((343*365.25)/24,0),IF(COB_CA!$B$38=26,COB_CA!$B$19+4802,COB_CA!$B$19+2401)))</f>
        <v/>
      </c>
      <c r="C348" s="12">
        <f>B348-B347</f>
        <v/>
      </c>
      <c r="D348" s="14">
        <f>N347</f>
        <v/>
      </c>
      <c r="E348" s="14">
        <f>D348*COB_CA!$B$40/100*(IF(YEAR(B347)=YEAR(B348),(B348-B347)/IF(AND(MOD(YEAR(B348),4)=0,OR(MOD(YEAR(B348),100)&lt;&gt;0,MOD(YEAR(B348),400)=0)),366,365),(((DATE(YEAR(B347)+1,1,1)))-B347)/IF(AND(MOD(YEAR(B347),4)=0,OR(MOD(YEAR(B347),100)&lt;&gt;0,MOD(YEAR(B347),400)=0)),366,365)+(B348-((DATE(YEAR(B347)+1,1,1))))/IF(AND(MOD(YEAR(B348),4)=0,OR(MOD(YEAR(B348),100)&lt;&gt;0,MOD(YEAR(B348),400)=0)),366,365)))</f>
        <v/>
      </c>
      <c r="F348" s="14">
        <f>L347</f>
        <v/>
      </c>
      <c r="G348" s="14">
        <f>M347</f>
        <v/>
      </c>
      <c r="H348" s="14">
        <f>IF((((COB_CA!$B$18-I348)-J348)&gt;D348),I348+J348+K348,COB_CA!$B$18)</f>
        <v/>
      </c>
      <c r="I348" s="14">
        <f>MIN(COB_CA!$B$18,(E348+F348))</f>
        <v/>
      </c>
      <c r="J348" s="14">
        <f>MIN((COB_CA!$B$18-I348),G348)</f>
        <v/>
      </c>
      <c r="K348" s="14">
        <f>MIN(((COB_CA!$B$18-I348)-J348),D348)</f>
        <v/>
      </c>
      <c r="L348" s="14">
        <f>E348+F348-I348</f>
        <v/>
      </c>
      <c r="M348" s="14">
        <f>G348-J348</f>
        <v/>
      </c>
      <c r="N348" s="14">
        <f>D348-K348</f>
        <v/>
      </c>
      <c r="O348" s="6">
        <f>AND(D348&gt;0,B348&lt;=COB_CA!$B$20)</f>
        <v/>
      </c>
    </row>
    <row r="349">
      <c r="A349" s="6" t="n">
        <v>345</v>
      </c>
      <c r="B349" s="15">
        <f>IF(COB_CA!$B$38=12,DATE(YEAR(COB_CA!$B$19)+INT((MONTH(COB_CA!$B$19)-1+344)/12),MOD(MONTH(COB_CA!$B$19)-1+344,12)+1,1)+(DAY(COB_CA!$B$19)-1),IF(COB_CA!$B$38=24,COB_CA!$B$19+ROUND((344*365.25)/24,0),IF(COB_CA!$B$38=26,COB_CA!$B$19+4816,COB_CA!$B$19+2408)))</f>
        <v/>
      </c>
      <c r="C349" s="12">
        <f>B349-B348</f>
        <v/>
      </c>
      <c r="D349" s="14">
        <f>N348</f>
        <v/>
      </c>
      <c r="E349" s="14">
        <f>D349*COB_CA!$B$40/100*(IF(YEAR(B348)=YEAR(B349),(B349-B348)/IF(AND(MOD(YEAR(B349),4)=0,OR(MOD(YEAR(B349),100)&lt;&gt;0,MOD(YEAR(B349),400)=0)),366,365),(((DATE(YEAR(B348)+1,1,1)))-B348)/IF(AND(MOD(YEAR(B348),4)=0,OR(MOD(YEAR(B348),100)&lt;&gt;0,MOD(YEAR(B348),400)=0)),366,365)+(B349-((DATE(YEAR(B348)+1,1,1))))/IF(AND(MOD(YEAR(B349),4)=0,OR(MOD(YEAR(B349),100)&lt;&gt;0,MOD(YEAR(B349),400)=0)),366,365)))</f>
        <v/>
      </c>
      <c r="F349" s="14">
        <f>L348</f>
        <v/>
      </c>
      <c r="G349" s="14">
        <f>M348</f>
        <v/>
      </c>
      <c r="H349" s="14">
        <f>IF((((COB_CA!$B$18-I349)-J349)&gt;D349),I349+J349+K349,COB_CA!$B$18)</f>
        <v/>
      </c>
      <c r="I349" s="14">
        <f>MIN(COB_CA!$B$18,(E349+F349))</f>
        <v/>
      </c>
      <c r="J349" s="14">
        <f>MIN((COB_CA!$B$18-I349),G349)</f>
        <v/>
      </c>
      <c r="K349" s="14">
        <f>MIN(((COB_CA!$B$18-I349)-J349),D349)</f>
        <v/>
      </c>
      <c r="L349" s="14">
        <f>E349+F349-I349</f>
        <v/>
      </c>
      <c r="M349" s="14">
        <f>G349-J349</f>
        <v/>
      </c>
      <c r="N349" s="14">
        <f>D349-K349</f>
        <v/>
      </c>
      <c r="O349" s="6">
        <f>AND(D349&gt;0,B349&lt;=COB_CA!$B$20)</f>
        <v/>
      </c>
    </row>
    <row r="350">
      <c r="A350" s="6" t="n">
        <v>346</v>
      </c>
      <c r="B350" s="15">
        <f>IF(COB_CA!$B$38=12,DATE(YEAR(COB_CA!$B$19)+INT((MONTH(COB_CA!$B$19)-1+345)/12),MOD(MONTH(COB_CA!$B$19)-1+345,12)+1,1)+(DAY(COB_CA!$B$19)-1),IF(COB_CA!$B$38=24,COB_CA!$B$19+ROUND((345*365.25)/24,0),IF(COB_CA!$B$38=26,COB_CA!$B$19+4830,COB_CA!$B$19+2415)))</f>
        <v/>
      </c>
      <c r="C350" s="12">
        <f>B350-B349</f>
        <v/>
      </c>
      <c r="D350" s="14">
        <f>N349</f>
        <v/>
      </c>
      <c r="E350" s="14">
        <f>D350*COB_CA!$B$40/100*(IF(YEAR(B349)=YEAR(B350),(B350-B349)/IF(AND(MOD(YEAR(B350),4)=0,OR(MOD(YEAR(B350),100)&lt;&gt;0,MOD(YEAR(B350),400)=0)),366,365),(((DATE(YEAR(B349)+1,1,1)))-B349)/IF(AND(MOD(YEAR(B349),4)=0,OR(MOD(YEAR(B349),100)&lt;&gt;0,MOD(YEAR(B349),400)=0)),366,365)+(B350-((DATE(YEAR(B349)+1,1,1))))/IF(AND(MOD(YEAR(B350),4)=0,OR(MOD(YEAR(B350),100)&lt;&gt;0,MOD(YEAR(B350),400)=0)),366,365)))</f>
        <v/>
      </c>
      <c r="F350" s="14">
        <f>L349</f>
        <v/>
      </c>
      <c r="G350" s="14">
        <f>M349</f>
        <v/>
      </c>
      <c r="H350" s="14">
        <f>IF((((COB_CA!$B$18-I350)-J350)&gt;D350),I350+J350+K350,COB_CA!$B$18)</f>
        <v/>
      </c>
      <c r="I350" s="14">
        <f>MIN(COB_CA!$B$18,(E350+F350))</f>
        <v/>
      </c>
      <c r="J350" s="14">
        <f>MIN((COB_CA!$B$18-I350),G350)</f>
        <v/>
      </c>
      <c r="K350" s="14">
        <f>MIN(((COB_CA!$B$18-I350)-J350),D350)</f>
        <v/>
      </c>
      <c r="L350" s="14">
        <f>E350+F350-I350</f>
        <v/>
      </c>
      <c r="M350" s="14">
        <f>G350-J350</f>
        <v/>
      </c>
      <c r="N350" s="14">
        <f>D350-K350</f>
        <v/>
      </c>
      <c r="O350" s="6">
        <f>AND(D350&gt;0,B350&lt;=COB_CA!$B$20)</f>
        <v/>
      </c>
    </row>
    <row r="351">
      <c r="A351" s="6" t="n">
        <v>347</v>
      </c>
      <c r="B351" s="15">
        <f>IF(COB_CA!$B$38=12,DATE(YEAR(COB_CA!$B$19)+INT((MONTH(COB_CA!$B$19)-1+346)/12),MOD(MONTH(COB_CA!$B$19)-1+346,12)+1,1)+(DAY(COB_CA!$B$19)-1),IF(COB_CA!$B$38=24,COB_CA!$B$19+ROUND((346*365.25)/24,0),IF(COB_CA!$B$38=26,COB_CA!$B$19+4844,COB_CA!$B$19+2422)))</f>
        <v/>
      </c>
      <c r="C351" s="12">
        <f>B351-B350</f>
        <v/>
      </c>
      <c r="D351" s="14">
        <f>N350</f>
        <v/>
      </c>
      <c r="E351" s="14">
        <f>D351*COB_CA!$B$40/100*(IF(YEAR(B350)=YEAR(B351),(B351-B350)/IF(AND(MOD(YEAR(B351),4)=0,OR(MOD(YEAR(B351),100)&lt;&gt;0,MOD(YEAR(B351),400)=0)),366,365),(((DATE(YEAR(B350)+1,1,1)))-B350)/IF(AND(MOD(YEAR(B350),4)=0,OR(MOD(YEAR(B350),100)&lt;&gt;0,MOD(YEAR(B350),400)=0)),366,365)+(B351-((DATE(YEAR(B350)+1,1,1))))/IF(AND(MOD(YEAR(B351),4)=0,OR(MOD(YEAR(B351),100)&lt;&gt;0,MOD(YEAR(B351),400)=0)),366,365)))</f>
        <v/>
      </c>
      <c r="F351" s="14">
        <f>L350</f>
        <v/>
      </c>
      <c r="G351" s="14">
        <f>M350</f>
        <v/>
      </c>
      <c r="H351" s="14">
        <f>IF((((COB_CA!$B$18-I351)-J351)&gt;D351),I351+J351+K351,COB_CA!$B$18)</f>
        <v/>
      </c>
      <c r="I351" s="14">
        <f>MIN(COB_CA!$B$18,(E351+F351))</f>
        <v/>
      </c>
      <c r="J351" s="14">
        <f>MIN((COB_CA!$B$18-I351),G351)</f>
        <v/>
      </c>
      <c r="K351" s="14">
        <f>MIN(((COB_CA!$B$18-I351)-J351),D351)</f>
        <v/>
      </c>
      <c r="L351" s="14">
        <f>E351+F351-I351</f>
        <v/>
      </c>
      <c r="M351" s="14">
        <f>G351-J351</f>
        <v/>
      </c>
      <c r="N351" s="14">
        <f>D351-K351</f>
        <v/>
      </c>
      <c r="O351" s="6">
        <f>AND(D351&gt;0,B351&lt;=COB_CA!$B$20)</f>
        <v/>
      </c>
    </row>
    <row r="352">
      <c r="A352" s="6" t="n">
        <v>348</v>
      </c>
      <c r="B352" s="15">
        <f>IF(COB_CA!$B$38=12,DATE(YEAR(COB_CA!$B$19)+INT((MONTH(COB_CA!$B$19)-1+347)/12),MOD(MONTH(COB_CA!$B$19)-1+347,12)+1,1)+(DAY(COB_CA!$B$19)-1),IF(COB_CA!$B$38=24,COB_CA!$B$19+ROUND((347*365.25)/24,0),IF(COB_CA!$B$38=26,COB_CA!$B$19+4858,COB_CA!$B$19+2429)))</f>
        <v/>
      </c>
      <c r="C352" s="12">
        <f>B352-B351</f>
        <v/>
      </c>
      <c r="D352" s="14">
        <f>N351</f>
        <v/>
      </c>
      <c r="E352" s="14">
        <f>D352*COB_CA!$B$40/100*(IF(YEAR(B351)=YEAR(B352),(B352-B351)/IF(AND(MOD(YEAR(B352),4)=0,OR(MOD(YEAR(B352),100)&lt;&gt;0,MOD(YEAR(B352),400)=0)),366,365),(((DATE(YEAR(B351)+1,1,1)))-B351)/IF(AND(MOD(YEAR(B351),4)=0,OR(MOD(YEAR(B351),100)&lt;&gt;0,MOD(YEAR(B351),400)=0)),366,365)+(B352-((DATE(YEAR(B351)+1,1,1))))/IF(AND(MOD(YEAR(B352),4)=0,OR(MOD(YEAR(B352),100)&lt;&gt;0,MOD(YEAR(B352),400)=0)),366,365)))</f>
        <v/>
      </c>
      <c r="F352" s="14">
        <f>L351</f>
        <v/>
      </c>
      <c r="G352" s="14">
        <f>M351</f>
        <v/>
      </c>
      <c r="H352" s="14">
        <f>IF((((COB_CA!$B$18-I352)-J352)&gt;D352),I352+J352+K352,COB_CA!$B$18)</f>
        <v/>
      </c>
      <c r="I352" s="14">
        <f>MIN(COB_CA!$B$18,(E352+F352))</f>
        <v/>
      </c>
      <c r="J352" s="14">
        <f>MIN((COB_CA!$B$18-I352),G352)</f>
        <v/>
      </c>
      <c r="K352" s="14">
        <f>MIN(((COB_CA!$B$18-I352)-J352),D352)</f>
        <v/>
      </c>
      <c r="L352" s="14">
        <f>E352+F352-I352</f>
        <v/>
      </c>
      <c r="M352" s="14">
        <f>G352-J352</f>
        <v/>
      </c>
      <c r="N352" s="14">
        <f>D352-K352</f>
        <v/>
      </c>
      <c r="O352" s="6">
        <f>AND(D352&gt;0,B352&lt;=COB_CA!$B$20)</f>
        <v/>
      </c>
    </row>
    <row r="353">
      <c r="A353" s="6" t="n">
        <v>349</v>
      </c>
      <c r="B353" s="15">
        <f>IF(COB_CA!$B$38=12,DATE(YEAR(COB_CA!$B$19)+INT((MONTH(COB_CA!$B$19)-1+348)/12),MOD(MONTH(COB_CA!$B$19)-1+348,12)+1,1)+(DAY(COB_CA!$B$19)-1),IF(COB_CA!$B$38=24,COB_CA!$B$19+ROUND((348*365.25)/24,0),IF(COB_CA!$B$38=26,COB_CA!$B$19+4872,COB_CA!$B$19+2436)))</f>
        <v/>
      </c>
      <c r="C353" s="12">
        <f>B353-B352</f>
        <v/>
      </c>
      <c r="D353" s="14">
        <f>N352</f>
        <v/>
      </c>
      <c r="E353" s="14">
        <f>D353*COB_CA!$B$40/100*(IF(YEAR(B352)=YEAR(B353),(B353-B352)/IF(AND(MOD(YEAR(B353),4)=0,OR(MOD(YEAR(B353),100)&lt;&gt;0,MOD(YEAR(B353),400)=0)),366,365),(((DATE(YEAR(B352)+1,1,1)))-B352)/IF(AND(MOD(YEAR(B352),4)=0,OR(MOD(YEAR(B352),100)&lt;&gt;0,MOD(YEAR(B352),400)=0)),366,365)+(B353-((DATE(YEAR(B352)+1,1,1))))/IF(AND(MOD(YEAR(B353),4)=0,OR(MOD(YEAR(B353),100)&lt;&gt;0,MOD(YEAR(B353),400)=0)),366,365)))</f>
        <v/>
      </c>
      <c r="F353" s="14">
        <f>L352</f>
        <v/>
      </c>
      <c r="G353" s="14">
        <f>M352</f>
        <v/>
      </c>
      <c r="H353" s="14">
        <f>IF((((COB_CA!$B$18-I353)-J353)&gt;D353),I353+J353+K353,COB_CA!$B$18)</f>
        <v/>
      </c>
      <c r="I353" s="14">
        <f>MIN(COB_CA!$B$18,(E353+F353))</f>
        <v/>
      </c>
      <c r="J353" s="14">
        <f>MIN((COB_CA!$B$18-I353),G353)</f>
        <v/>
      </c>
      <c r="K353" s="14">
        <f>MIN(((COB_CA!$B$18-I353)-J353),D353)</f>
        <v/>
      </c>
      <c r="L353" s="14">
        <f>E353+F353-I353</f>
        <v/>
      </c>
      <c r="M353" s="14">
        <f>G353-J353</f>
        <v/>
      </c>
      <c r="N353" s="14">
        <f>D353-K353</f>
        <v/>
      </c>
      <c r="O353" s="6">
        <f>AND(D353&gt;0,B353&lt;=COB_CA!$B$20)</f>
        <v/>
      </c>
    </row>
    <row r="354">
      <c r="A354" s="6" t="n">
        <v>350</v>
      </c>
      <c r="B354" s="15">
        <f>IF(COB_CA!$B$38=12,DATE(YEAR(COB_CA!$B$19)+INT((MONTH(COB_CA!$B$19)-1+349)/12),MOD(MONTH(COB_CA!$B$19)-1+349,12)+1,1)+(DAY(COB_CA!$B$19)-1),IF(COB_CA!$B$38=24,COB_CA!$B$19+ROUND((349*365.25)/24,0),IF(COB_CA!$B$38=26,COB_CA!$B$19+4886,COB_CA!$B$19+2443)))</f>
        <v/>
      </c>
      <c r="C354" s="12">
        <f>B354-B353</f>
        <v/>
      </c>
      <c r="D354" s="14">
        <f>N353</f>
        <v/>
      </c>
      <c r="E354" s="14">
        <f>D354*COB_CA!$B$40/100*(IF(YEAR(B353)=YEAR(B354),(B354-B353)/IF(AND(MOD(YEAR(B354),4)=0,OR(MOD(YEAR(B354),100)&lt;&gt;0,MOD(YEAR(B354),400)=0)),366,365),(((DATE(YEAR(B353)+1,1,1)))-B353)/IF(AND(MOD(YEAR(B353),4)=0,OR(MOD(YEAR(B353),100)&lt;&gt;0,MOD(YEAR(B353),400)=0)),366,365)+(B354-((DATE(YEAR(B353)+1,1,1))))/IF(AND(MOD(YEAR(B354),4)=0,OR(MOD(YEAR(B354),100)&lt;&gt;0,MOD(YEAR(B354),400)=0)),366,365)))</f>
        <v/>
      </c>
      <c r="F354" s="14">
        <f>L353</f>
        <v/>
      </c>
      <c r="G354" s="14">
        <f>M353</f>
        <v/>
      </c>
      <c r="H354" s="14">
        <f>IF((((COB_CA!$B$18-I354)-J354)&gt;D354),I354+J354+K354,COB_CA!$B$18)</f>
        <v/>
      </c>
      <c r="I354" s="14">
        <f>MIN(COB_CA!$B$18,(E354+F354))</f>
        <v/>
      </c>
      <c r="J354" s="14">
        <f>MIN((COB_CA!$B$18-I354),G354)</f>
        <v/>
      </c>
      <c r="K354" s="14">
        <f>MIN(((COB_CA!$B$18-I354)-J354),D354)</f>
        <v/>
      </c>
      <c r="L354" s="14">
        <f>E354+F354-I354</f>
        <v/>
      </c>
      <c r="M354" s="14">
        <f>G354-J354</f>
        <v/>
      </c>
      <c r="N354" s="14">
        <f>D354-K354</f>
        <v/>
      </c>
      <c r="O354" s="6">
        <f>AND(D354&gt;0,B354&lt;=COB_CA!$B$20)</f>
        <v/>
      </c>
    </row>
    <row r="355">
      <c r="A355" s="6" t="n">
        <v>351</v>
      </c>
      <c r="B355" s="15">
        <f>IF(COB_CA!$B$38=12,DATE(YEAR(COB_CA!$B$19)+INT((MONTH(COB_CA!$B$19)-1+350)/12),MOD(MONTH(COB_CA!$B$19)-1+350,12)+1,1)+(DAY(COB_CA!$B$19)-1),IF(COB_CA!$B$38=24,COB_CA!$B$19+ROUND((350*365.25)/24,0),IF(COB_CA!$B$38=26,COB_CA!$B$19+4900,COB_CA!$B$19+2450)))</f>
        <v/>
      </c>
      <c r="C355" s="12">
        <f>B355-B354</f>
        <v/>
      </c>
      <c r="D355" s="14">
        <f>N354</f>
        <v/>
      </c>
      <c r="E355" s="14">
        <f>D355*COB_CA!$B$40/100*(IF(YEAR(B354)=YEAR(B355),(B355-B354)/IF(AND(MOD(YEAR(B355),4)=0,OR(MOD(YEAR(B355),100)&lt;&gt;0,MOD(YEAR(B355),400)=0)),366,365),(((DATE(YEAR(B354)+1,1,1)))-B354)/IF(AND(MOD(YEAR(B354),4)=0,OR(MOD(YEAR(B354),100)&lt;&gt;0,MOD(YEAR(B354),400)=0)),366,365)+(B355-((DATE(YEAR(B354)+1,1,1))))/IF(AND(MOD(YEAR(B355),4)=0,OR(MOD(YEAR(B355),100)&lt;&gt;0,MOD(YEAR(B355),400)=0)),366,365)))</f>
        <v/>
      </c>
      <c r="F355" s="14">
        <f>L354</f>
        <v/>
      </c>
      <c r="G355" s="14">
        <f>M354</f>
        <v/>
      </c>
      <c r="H355" s="14">
        <f>IF((((COB_CA!$B$18-I355)-J355)&gt;D355),I355+J355+K355,COB_CA!$B$18)</f>
        <v/>
      </c>
      <c r="I355" s="14">
        <f>MIN(COB_CA!$B$18,(E355+F355))</f>
        <v/>
      </c>
      <c r="J355" s="14">
        <f>MIN((COB_CA!$B$18-I355),G355)</f>
        <v/>
      </c>
      <c r="K355" s="14">
        <f>MIN(((COB_CA!$B$18-I355)-J355),D355)</f>
        <v/>
      </c>
      <c r="L355" s="14">
        <f>E355+F355-I355</f>
        <v/>
      </c>
      <c r="M355" s="14">
        <f>G355-J355</f>
        <v/>
      </c>
      <c r="N355" s="14">
        <f>D355-K355</f>
        <v/>
      </c>
      <c r="O355" s="6">
        <f>AND(D355&gt;0,B355&lt;=COB_CA!$B$20)</f>
        <v/>
      </c>
    </row>
    <row r="356">
      <c r="A356" s="6" t="n">
        <v>352</v>
      </c>
      <c r="B356" s="15">
        <f>IF(COB_CA!$B$38=12,DATE(YEAR(COB_CA!$B$19)+INT((MONTH(COB_CA!$B$19)-1+351)/12),MOD(MONTH(COB_CA!$B$19)-1+351,12)+1,1)+(DAY(COB_CA!$B$19)-1),IF(COB_CA!$B$38=24,COB_CA!$B$19+ROUND((351*365.25)/24,0),IF(COB_CA!$B$38=26,COB_CA!$B$19+4914,COB_CA!$B$19+2457)))</f>
        <v/>
      </c>
      <c r="C356" s="12">
        <f>B356-B355</f>
        <v/>
      </c>
      <c r="D356" s="14">
        <f>N355</f>
        <v/>
      </c>
      <c r="E356" s="14">
        <f>D356*COB_CA!$B$40/100*(IF(YEAR(B355)=YEAR(B356),(B356-B355)/IF(AND(MOD(YEAR(B356),4)=0,OR(MOD(YEAR(B356),100)&lt;&gt;0,MOD(YEAR(B356),400)=0)),366,365),(((DATE(YEAR(B355)+1,1,1)))-B355)/IF(AND(MOD(YEAR(B355),4)=0,OR(MOD(YEAR(B355),100)&lt;&gt;0,MOD(YEAR(B355),400)=0)),366,365)+(B356-((DATE(YEAR(B355)+1,1,1))))/IF(AND(MOD(YEAR(B356),4)=0,OR(MOD(YEAR(B356),100)&lt;&gt;0,MOD(YEAR(B356),400)=0)),366,365)))</f>
        <v/>
      </c>
      <c r="F356" s="14">
        <f>L355</f>
        <v/>
      </c>
      <c r="G356" s="14">
        <f>M355</f>
        <v/>
      </c>
      <c r="H356" s="14">
        <f>IF((((COB_CA!$B$18-I356)-J356)&gt;D356),I356+J356+K356,COB_CA!$B$18)</f>
        <v/>
      </c>
      <c r="I356" s="14">
        <f>MIN(COB_CA!$B$18,(E356+F356))</f>
        <v/>
      </c>
      <c r="J356" s="14">
        <f>MIN((COB_CA!$B$18-I356),G356)</f>
        <v/>
      </c>
      <c r="K356" s="14">
        <f>MIN(((COB_CA!$B$18-I356)-J356),D356)</f>
        <v/>
      </c>
      <c r="L356" s="14">
        <f>E356+F356-I356</f>
        <v/>
      </c>
      <c r="M356" s="14">
        <f>G356-J356</f>
        <v/>
      </c>
      <c r="N356" s="14">
        <f>D356-K356</f>
        <v/>
      </c>
      <c r="O356" s="6">
        <f>AND(D356&gt;0,B356&lt;=COB_CA!$B$20)</f>
        <v/>
      </c>
    </row>
    <row r="357">
      <c r="A357" s="6" t="n">
        <v>353</v>
      </c>
      <c r="B357" s="15">
        <f>IF(COB_CA!$B$38=12,DATE(YEAR(COB_CA!$B$19)+INT((MONTH(COB_CA!$B$19)-1+352)/12),MOD(MONTH(COB_CA!$B$19)-1+352,12)+1,1)+(DAY(COB_CA!$B$19)-1),IF(COB_CA!$B$38=24,COB_CA!$B$19+ROUND((352*365.25)/24,0),IF(COB_CA!$B$38=26,COB_CA!$B$19+4928,COB_CA!$B$19+2464)))</f>
        <v/>
      </c>
      <c r="C357" s="12">
        <f>B357-B356</f>
        <v/>
      </c>
      <c r="D357" s="14">
        <f>N356</f>
        <v/>
      </c>
      <c r="E357" s="14">
        <f>D357*COB_CA!$B$40/100*(IF(YEAR(B356)=YEAR(B357),(B357-B356)/IF(AND(MOD(YEAR(B357),4)=0,OR(MOD(YEAR(B357),100)&lt;&gt;0,MOD(YEAR(B357),400)=0)),366,365),(((DATE(YEAR(B356)+1,1,1)))-B356)/IF(AND(MOD(YEAR(B356),4)=0,OR(MOD(YEAR(B356),100)&lt;&gt;0,MOD(YEAR(B356),400)=0)),366,365)+(B357-((DATE(YEAR(B356)+1,1,1))))/IF(AND(MOD(YEAR(B357),4)=0,OR(MOD(YEAR(B357),100)&lt;&gt;0,MOD(YEAR(B357),400)=0)),366,365)))</f>
        <v/>
      </c>
      <c r="F357" s="14">
        <f>L356</f>
        <v/>
      </c>
      <c r="G357" s="14">
        <f>M356</f>
        <v/>
      </c>
      <c r="H357" s="14">
        <f>IF((((COB_CA!$B$18-I357)-J357)&gt;D357),I357+J357+K357,COB_CA!$B$18)</f>
        <v/>
      </c>
      <c r="I357" s="14">
        <f>MIN(COB_CA!$B$18,(E357+F357))</f>
        <v/>
      </c>
      <c r="J357" s="14">
        <f>MIN((COB_CA!$B$18-I357),G357)</f>
        <v/>
      </c>
      <c r="K357" s="14">
        <f>MIN(((COB_CA!$B$18-I357)-J357),D357)</f>
        <v/>
      </c>
      <c r="L357" s="14">
        <f>E357+F357-I357</f>
        <v/>
      </c>
      <c r="M357" s="14">
        <f>G357-J357</f>
        <v/>
      </c>
      <c r="N357" s="14">
        <f>D357-K357</f>
        <v/>
      </c>
      <c r="O357" s="6">
        <f>AND(D357&gt;0,B357&lt;=COB_CA!$B$20)</f>
        <v/>
      </c>
    </row>
    <row r="358">
      <c r="A358" s="6" t="n">
        <v>354</v>
      </c>
      <c r="B358" s="15">
        <f>IF(COB_CA!$B$38=12,DATE(YEAR(COB_CA!$B$19)+INT((MONTH(COB_CA!$B$19)-1+353)/12),MOD(MONTH(COB_CA!$B$19)-1+353,12)+1,1)+(DAY(COB_CA!$B$19)-1),IF(COB_CA!$B$38=24,COB_CA!$B$19+ROUND((353*365.25)/24,0),IF(COB_CA!$B$38=26,COB_CA!$B$19+4942,COB_CA!$B$19+2471)))</f>
        <v/>
      </c>
      <c r="C358" s="12">
        <f>B358-B357</f>
        <v/>
      </c>
      <c r="D358" s="14">
        <f>N357</f>
        <v/>
      </c>
      <c r="E358" s="14">
        <f>D358*COB_CA!$B$40/100*(IF(YEAR(B357)=YEAR(B358),(B358-B357)/IF(AND(MOD(YEAR(B358),4)=0,OR(MOD(YEAR(B358),100)&lt;&gt;0,MOD(YEAR(B358),400)=0)),366,365),(((DATE(YEAR(B357)+1,1,1)))-B357)/IF(AND(MOD(YEAR(B357),4)=0,OR(MOD(YEAR(B357),100)&lt;&gt;0,MOD(YEAR(B357),400)=0)),366,365)+(B358-((DATE(YEAR(B357)+1,1,1))))/IF(AND(MOD(YEAR(B358),4)=0,OR(MOD(YEAR(B358),100)&lt;&gt;0,MOD(YEAR(B358),400)=0)),366,365)))</f>
        <v/>
      </c>
      <c r="F358" s="14">
        <f>L357</f>
        <v/>
      </c>
      <c r="G358" s="14">
        <f>M357</f>
        <v/>
      </c>
      <c r="H358" s="14">
        <f>IF((((COB_CA!$B$18-I358)-J358)&gt;D358),I358+J358+K358,COB_CA!$B$18)</f>
        <v/>
      </c>
      <c r="I358" s="14">
        <f>MIN(COB_CA!$B$18,(E358+F358))</f>
        <v/>
      </c>
      <c r="J358" s="14">
        <f>MIN((COB_CA!$B$18-I358),G358)</f>
        <v/>
      </c>
      <c r="K358" s="14">
        <f>MIN(((COB_CA!$B$18-I358)-J358),D358)</f>
        <v/>
      </c>
      <c r="L358" s="14">
        <f>E358+F358-I358</f>
        <v/>
      </c>
      <c r="M358" s="14">
        <f>G358-J358</f>
        <v/>
      </c>
      <c r="N358" s="14">
        <f>D358-K358</f>
        <v/>
      </c>
      <c r="O358" s="6">
        <f>AND(D358&gt;0,B358&lt;=COB_CA!$B$20)</f>
        <v/>
      </c>
    </row>
    <row r="359">
      <c r="A359" s="6" t="n">
        <v>355</v>
      </c>
      <c r="B359" s="15">
        <f>IF(COB_CA!$B$38=12,DATE(YEAR(COB_CA!$B$19)+INT((MONTH(COB_CA!$B$19)-1+354)/12),MOD(MONTH(COB_CA!$B$19)-1+354,12)+1,1)+(DAY(COB_CA!$B$19)-1),IF(COB_CA!$B$38=24,COB_CA!$B$19+ROUND((354*365.25)/24,0),IF(COB_CA!$B$38=26,COB_CA!$B$19+4956,COB_CA!$B$19+2478)))</f>
        <v/>
      </c>
      <c r="C359" s="12">
        <f>B359-B358</f>
        <v/>
      </c>
      <c r="D359" s="14">
        <f>N358</f>
        <v/>
      </c>
      <c r="E359" s="14">
        <f>D359*COB_CA!$B$40/100*(IF(YEAR(B358)=YEAR(B359),(B359-B358)/IF(AND(MOD(YEAR(B359),4)=0,OR(MOD(YEAR(B359),100)&lt;&gt;0,MOD(YEAR(B359),400)=0)),366,365),(((DATE(YEAR(B358)+1,1,1)))-B358)/IF(AND(MOD(YEAR(B358),4)=0,OR(MOD(YEAR(B358),100)&lt;&gt;0,MOD(YEAR(B358),400)=0)),366,365)+(B359-((DATE(YEAR(B358)+1,1,1))))/IF(AND(MOD(YEAR(B359),4)=0,OR(MOD(YEAR(B359),100)&lt;&gt;0,MOD(YEAR(B359),400)=0)),366,365)))</f>
        <v/>
      </c>
      <c r="F359" s="14">
        <f>L358</f>
        <v/>
      </c>
      <c r="G359" s="14">
        <f>M358</f>
        <v/>
      </c>
      <c r="H359" s="14">
        <f>IF((((COB_CA!$B$18-I359)-J359)&gt;D359),I359+J359+K359,COB_CA!$B$18)</f>
        <v/>
      </c>
      <c r="I359" s="14">
        <f>MIN(COB_CA!$B$18,(E359+F359))</f>
        <v/>
      </c>
      <c r="J359" s="14">
        <f>MIN((COB_CA!$B$18-I359),G359)</f>
        <v/>
      </c>
      <c r="K359" s="14">
        <f>MIN(((COB_CA!$B$18-I359)-J359),D359)</f>
        <v/>
      </c>
      <c r="L359" s="14">
        <f>E359+F359-I359</f>
        <v/>
      </c>
      <c r="M359" s="14">
        <f>G359-J359</f>
        <v/>
      </c>
      <c r="N359" s="14">
        <f>D359-K359</f>
        <v/>
      </c>
      <c r="O359" s="6">
        <f>AND(D359&gt;0,B359&lt;=COB_CA!$B$20)</f>
        <v/>
      </c>
    </row>
    <row r="360">
      <c r="A360" s="6" t="n">
        <v>356</v>
      </c>
      <c r="B360" s="15">
        <f>IF(COB_CA!$B$38=12,DATE(YEAR(COB_CA!$B$19)+INT((MONTH(COB_CA!$B$19)-1+355)/12),MOD(MONTH(COB_CA!$B$19)-1+355,12)+1,1)+(DAY(COB_CA!$B$19)-1),IF(COB_CA!$B$38=24,COB_CA!$B$19+ROUND((355*365.25)/24,0),IF(COB_CA!$B$38=26,COB_CA!$B$19+4970,COB_CA!$B$19+2485)))</f>
        <v/>
      </c>
      <c r="C360" s="12">
        <f>B360-B359</f>
        <v/>
      </c>
      <c r="D360" s="14">
        <f>N359</f>
        <v/>
      </c>
      <c r="E360" s="14">
        <f>D360*COB_CA!$B$40/100*(IF(YEAR(B359)=YEAR(B360),(B360-B359)/IF(AND(MOD(YEAR(B360),4)=0,OR(MOD(YEAR(B360),100)&lt;&gt;0,MOD(YEAR(B360),400)=0)),366,365),(((DATE(YEAR(B359)+1,1,1)))-B359)/IF(AND(MOD(YEAR(B359),4)=0,OR(MOD(YEAR(B359),100)&lt;&gt;0,MOD(YEAR(B359),400)=0)),366,365)+(B360-((DATE(YEAR(B359)+1,1,1))))/IF(AND(MOD(YEAR(B360),4)=0,OR(MOD(YEAR(B360),100)&lt;&gt;0,MOD(YEAR(B360),400)=0)),366,365)))</f>
        <v/>
      </c>
      <c r="F360" s="14">
        <f>L359</f>
        <v/>
      </c>
      <c r="G360" s="14">
        <f>M359</f>
        <v/>
      </c>
      <c r="H360" s="14">
        <f>IF((((COB_CA!$B$18-I360)-J360)&gt;D360),I360+J360+K360,COB_CA!$B$18)</f>
        <v/>
      </c>
      <c r="I360" s="14">
        <f>MIN(COB_CA!$B$18,(E360+F360))</f>
        <v/>
      </c>
      <c r="J360" s="14">
        <f>MIN((COB_CA!$B$18-I360),G360)</f>
        <v/>
      </c>
      <c r="K360" s="14">
        <f>MIN(((COB_CA!$B$18-I360)-J360),D360)</f>
        <v/>
      </c>
      <c r="L360" s="14">
        <f>E360+F360-I360</f>
        <v/>
      </c>
      <c r="M360" s="14">
        <f>G360-J360</f>
        <v/>
      </c>
      <c r="N360" s="14">
        <f>D360-K360</f>
        <v/>
      </c>
      <c r="O360" s="6">
        <f>AND(D360&gt;0,B360&lt;=COB_CA!$B$20)</f>
        <v/>
      </c>
    </row>
    <row r="361">
      <c r="A361" s="6" t="n">
        <v>357</v>
      </c>
      <c r="B361" s="15">
        <f>IF(COB_CA!$B$38=12,DATE(YEAR(COB_CA!$B$19)+INT((MONTH(COB_CA!$B$19)-1+356)/12),MOD(MONTH(COB_CA!$B$19)-1+356,12)+1,1)+(DAY(COB_CA!$B$19)-1),IF(COB_CA!$B$38=24,COB_CA!$B$19+ROUND((356*365.25)/24,0),IF(COB_CA!$B$38=26,COB_CA!$B$19+4984,COB_CA!$B$19+2492)))</f>
        <v/>
      </c>
      <c r="C361" s="12">
        <f>B361-B360</f>
        <v/>
      </c>
      <c r="D361" s="14">
        <f>N360</f>
        <v/>
      </c>
      <c r="E361" s="14">
        <f>D361*COB_CA!$B$40/100*(IF(YEAR(B360)=YEAR(B361),(B361-B360)/IF(AND(MOD(YEAR(B361),4)=0,OR(MOD(YEAR(B361),100)&lt;&gt;0,MOD(YEAR(B361),400)=0)),366,365),(((DATE(YEAR(B360)+1,1,1)))-B360)/IF(AND(MOD(YEAR(B360),4)=0,OR(MOD(YEAR(B360),100)&lt;&gt;0,MOD(YEAR(B360),400)=0)),366,365)+(B361-((DATE(YEAR(B360)+1,1,1))))/IF(AND(MOD(YEAR(B361),4)=0,OR(MOD(YEAR(B361),100)&lt;&gt;0,MOD(YEAR(B361),400)=0)),366,365)))</f>
        <v/>
      </c>
      <c r="F361" s="14">
        <f>L360</f>
        <v/>
      </c>
      <c r="G361" s="14">
        <f>M360</f>
        <v/>
      </c>
      <c r="H361" s="14">
        <f>IF((((COB_CA!$B$18-I361)-J361)&gt;D361),I361+J361+K361,COB_CA!$B$18)</f>
        <v/>
      </c>
      <c r="I361" s="14">
        <f>MIN(COB_CA!$B$18,(E361+F361))</f>
        <v/>
      </c>
      <c r="J361" s="14">
        <f>MIN((COB_CA!$B$18-I361),G361)</f>
        <v/>
      </c>
      <c r="K361" s="14">
        <f>MIN(((COB_CA!$B$18-I361)-J361),D361)</f>
        <v/>
      </c>
      <c r="L361" s="14">
        <f>E361+F361-I361</f>
        <v/>
      </c>
      <c r="M361" s="14">
        <f>G361-J361</f>
        <v/>
      </c>
      <c r="N361" s="14">
        <f>D361-K361</f>
        <v/>
      </c>
      <c r="O361" s="6">
        <f>AND(D361&gt;0,B361&lt;=COB_CA!$B$20)</f>
        <v/>
      </c>
    </row>
    <row r="362">
      <c r="A362" s="6" t="n">
        <v>358</v>
      </c>
      <c r="B362" s="15">
        <f>IF(COB_CA!$B$38=12,DATE(YEAR(COB_CA!$B$19)+INT((MONTH(COB_CA!$B$19)-1+357)/12),MOD(MONTH(COB_CA!$B$19)-1+357,12)+1,1)+(DAY(COB_CA!$B$19)-1),IF(COB_CA!$B$38=24,COB_CA!$B$19+ROUND((357*365.25)/24,0),IF(COB_CA!$B$38=26,COB_CA!$B$19+4998,COB_CA!$B$19+2499)))</f>
        <v/>
      </c>
      <c r="C362" s="12">
        <f>B362-B361</f>
        <v/>
      </c>
      <c r="D362" s="14">
        <f>N361</f>
        <v/>
      </c>
      <c r="E362" s="14">
        <f>D362*COB_CA!$B$40/100*(IF(YEAR(B361)=YEAR(B362),(B362-B361)/IF(AND(MOD(YEAR(B362),4)=0,OR(MOD(YEAR(B362),100)&lt;&gt;0,MOD(YEAR(B362),400)=0)),366,365),(((DATE(YEAR(B361)+1,1,1)))-B361)/IF(AND(MOD(YEAR(B361),4)=0,OR(MOD(YEAR(B361),100)&lt;&gt;0,MOD(YEAR(B361),400)=0)),366,365)+(B362-((DATE(YEAR(B361)+1,1,1))))/IF(AND(MOD(YEAR(B362),4)=0,OR(MOD(YEAR(B362),100)&lt;&gt;0,MOD(YEAR(B362),400)=0)),366,365)))</f>
        <v/>
      </c>
      <c r="F362" s="14">
        <f>L361</f>
        <v/>
      </c>
      <c r="G362" s="14">
        <f>M361</f>
        <v/>
      </c>
      <c r="H362" s="14">
        <f>IF((((COB_CA!$B$18-I362)-J362)&gt;D362),I362+J362+K362,COB_CA!$B$18)</f>
        <v/>
      </c>
      <c r="I362" s="14">
        <f>MIN(COB_CA!$B$18,(E362+F362))</f>
        <v/>
      </c>
      <c r="J362" s="14">
        <f>MIN((COB_CA!$B$18-I362),G362)</f>
        <v/>
      </c>
      <c r="K362" s="14">
        <f>MIN(((COB_CA!$B$18-I362)-J362),D362)</f>
        <v/>
      </c>
      <c r="L362" s="14">
        <f>E362+F362-I362</f>
        <v/>
      </c>
      <c r="M362" s="14">
        <f>G362-J362</f>
        <v/>
      </c>
      <c r="N362" s="14">
        <f>D362-K362</f>
        <v/>
      </c>
      <c r="O362" s="6">
        <f>AND(D362&gt;0,B362&lt;=COB_CA!$B$20)</f>
        <v/>
      </c>
    </row>
    <row r="363">
      <c r="A363" s="6" t="n">
        <v>359</v>
      </c>
      <c r="B363" s="15">
        <f>IF(COB_CA!$B$38=12,DATE(YEAR(COB_CA!$B$19)+INT((MONTH(COB_CA!$B$19)-1+358)/12),MOD(MONTH(COB_CA!$B$19)-1+358,12)+1,1)+(DAY(COB_CA!$B$19)-1),IF(COB_CA!$B$38=24,COB_CA!$B$19+ROUND((358*365.25)/24,0),IF(COB_CA!$B$38=26,COB_CA!$B$19+5012,COB_CA!$B$19+2506)))</f>
        <v/>
      </c>
      <c r="C363" s="12">
        <f>B363-B362</f>
        <v/>
      </c>
      <c r="D363" s="14">
        <f>N362</f>
        <v/>
      </c>
      <c r="E363" s="14">
        <f>D363*COB_CA!$B$40/100*(IF(YEAR(B362)=YEAR(B363),(B363-B362)/IF(AND(MOD(YEAR(B363),4)=0,OR(MOD(YEAR(B363),100)&lt;&gt;0,MOD(YEAR(B363),400)=0)),366,365),(((DATE(YEAR(B362)+1,1,1)))-B362)/IF(AND(MOD(YEAR(B362),4)=0,OR(MOD(YEAR(B362),100)&lt;&gt;0,MOD(YEAR(B362),400)=0)),366,365)+(B363-((DATE(YEAR(B362)+1,1,1))))/IF(AND(MOD(YEAR(B363),4)=0,OR(MOD(YEAR(B363),100)&lt;&gt;0,MOD(YEAR(B363),400)=0)),366,365)))</f>
        <v/>
      </c>
      <c r="F363" s="14">
        <f>L362</f>
        <v/>
      </c>
      <c r="G363" s="14">
        <f>M362</f>
        <v/>
      </c>
      <c r="H363" s="14">
        <f>IF((((COB_CA!$B$18-I363)-J363)&gt;D363),I363+J363+K363,COB_CA!$B$18)</f>
        <v/>
      </c>
      <c r="I363" s="14">
        <f>MIN(COB_CA!$B$18,(E363+F363))</f>
        <v/>
      </c>
      <c r="J363" s="14">
        <f>MIN((COB_CA!$B$18-I363),G363)</f>
        <v/>
      </c>
      <c r="K363" s="14">
        <f>MIN(((COB_CA!$B$18-I363)-J363),D363)</f>
        <v/>
      </c>
      <c r="L363" s="14">
        <f>E363+F363-I363</f>
        <v/>
      </c>
      <c r="M363" s="14">
        <f>G363-J363</f>
        <v/>
      </c>
      <c r="N363" s="14">
        <f>D363-K363</f>
        <v/>
      </c>
      <c r="O363" s="6">
        <f>AND(D363&gt;0,B363&lt;=COB_CA!$B$20)</f>
        <v/>
      </c>
    </row>
    <row r="364">
      <c r="A364" s="6" t="n">
        <v>360</v>
      </c>
      <c r="B364" s="15">
        <f>IF(COB_CA!$B$38=12,DATE(YEAR(COB_CA!$B$19)+INT((MONTH(COB_CA!$B$19)-1+359)/12),MOD(MONTH(COB_CA!$B$19)-1+359,12)+1,1)+(DAY(COB_CA!$B$19)-1),IF(COB_CA!$B$38=24,COB_CA!$B$19+ROUND((359*365.25)/24,0),IF(COB_CA!$B$38=26,COB_CA!$B$19+5026,COB_CA!$B$19+2513)))</f>
        <v/>
      </c>
      <c r="C364" s="12">
        <f>B364-B363</f>
        <v/>
      </c>
      <c r="D364" s="14">
        <f>N363</f>
        <v/>
      </c>
      <c r="E364" s="14">
        <f>D364*COB_CA!$B$40/100*(IF(YEAR(B363)=YEAR(B364),(B364-B363)/IF(AND(MOD(YEAR(B364),4)=0,OR(MOD(YEAR(B364),100)&lt;&gt;0,MOD(YEAR(B364),400)=0)),366,365),(((DATE(YEAR(B363)+1,1,1)))-B363)/IF(AND(MOD(YEAR(B363),4)=0,OR(MOD(YEAR(B363),100)&lt;&gt;0,MOD(YEAR(B363),400)=0)),366,365)+(B364-((DATE(YEAR(B363)+1,1,1))))/IF(AND(MOD(YEAR(B364),4)=0,OR(MOD(YEAR(B364),100)&lt;&gt;0,MOD(YEAR(B364),400)=0)),366,365)))</f>
        <v/>
      </c>
      <c r="F364" s="14">
        <f>L363</f>
        <v/>
      </c>
      <c r="G364" s="14">
        <f>M363</f>
        <v/>
      </c>
      <c r="H364" s="14">
        <f>IF((((COB_CA!$B$18-I364)-J364)&gt;D364),I364+J364+K364,COB_CA!$B$18)</f>
        <v/>
      </c>
      <c r="I364" s="14">
        <f>MIN(COB_CA!$B$18,(E364+F364))</f>
        <v/>
      </c>
      <c r="J364" s="14">
        <f>MIN((COB_CA!$B$18-I364),G364)</f>
        <v/>
      </c>
      <c r="K364" s="14">
        <f>MIN(((COB_CA!$B$18-I364)-J364),D364)</f>
        <v/>
      </c>
      <c r="L364" s="14">
        <f>E364+F364-I364</f>
        <v/>
      </c>
      <c r="M364" s="14">
        <f>G364-J364</f>
        <v/>
      </c>
      <c r="N364" s="14">
        <f>D364-K364</f>
        <v/>
      </c>
      <c r="O364" s="6">
        <f>AND(D364&gt;0,B364&lt;=COB_CA!$B$20)</f>
        <v/>
      </c>
    </row>
    <row r="365">
      <c r="A365" s="6" t="n">
        <v>361</v>
      </c>
      <c r="B365" s="15">
        <f>IF(COB_CA!$B$38=12,DATE(YEAR(COB_CA!$B$19)+INT((MONTH(COB_CA!$B$19)-1+360)/12),MOD(MONTH(COB_CA!$B$19)-1+360,12)+1,1)+(DAY(COB_CA!$B$19)-1),IF(COB_CA!$B$38=24,COB_CA!$B$19+ROUND((360*365.25)/24,0),IF(COB_CA!$B$38=26,COB_CA!$B$19+5040,COB_CA!$B$19+2520)))</f>
        <v/>
      </c>
      <c r="C365" s="12">
        <f>B365-B364</f>
        <v/>
      </c>
      <c r="D365" s="14">
        <f>N364</f>
        <v/>
      </c>
      <c r="E365" s="14">
        <f>D365*COB_CA!$B$40/100*(IF(YEAR(B364)=YEAR(B365),(B365-B364)/IF(AND(MOD(YEAR(B365),4)=0,OR(MOD(YEAR(B365),100)&lt;&gt;0,MOD(YEAR(B365),400)=0)),366,365),(((DATE(YEAR(B364)+1,1,1)))-B364)/IF(AND(MOD(YEAR(B364),4)=0,OR(MOD(YEAR(B364),100)&lt;&gt;0,MOD(YEAR(B364),400)=0)),366,365)+(B365-((DATE(YEAR(B364)+1,1,1))))/IF(AND(MOD(YEAR(B365),4)=0,OR(MOD(YEAR(B365),100)&lt;&gt;0,MOD(YEAR(B365),400)=0)),366,365)))</f>
        <v/>
      </c>
      <c r="F365" s="14">
        <f>L364</f>
        <v/>
      </c>
      <c r="G365" s="14">
        <f>M364</f>
        <v/>
      </c>
      <c r="H365" s="14">
        <f>IF((((COB_CA!$B$18-I365)-J365)&gt;D365),I365+J365+K365,COB_CA!$B$18)</f>
        <v/>
      </c>
      <c r="I365" s="14">
        <f>MIN(COB_CA!$B$18,(E365+F365))</f>
        <v/>
      </c>
      <c r="J365" s="14">
        <f>MIN((COB_CA!$B$18-I365),G365)</f>
        <v/>
      </c>
      <c r="K365" s="14">
        <f>MIN(((COB_CA!$B$18-I365)-J365),D365)</f>
        <v/>
      </c>
      <c r="L365" s="14">
        <f>E365+F365-I365</f>
        <v/>
      </c>
      <c r="M365" s="14">
        <f>G365-J365</f>
        <v/>
      </c>
      <c r="N365" s="14">
        <f>D365-K365</f>
        <v/>
      </c>
      <c r="O365" s="6">
        <f>AND(D365&gt;0,B365&lt;=COB_CA!$B$20)</f>
        <v/>
      </c>
    </row>
    <row r="366">
      <c r="A366" s="6" t="n">
        <v>362</v>
      </c>
      <c r="B366" s="15">
        <f>IF(COB_CA!$B$38=12,DATE(YEAR(COB_CA!$B$19)+INT((MONTH(COB_CA!$B$19)-1+361)/12),MOD(MONTH(COB_CA!$B$19)-1+361,12)+1,1)+(DAY(COB_CA!$B$19)-1),IF(COB_CA!$B$38=24,COB_CA!$B$19+ROUND((361*365.25)/24,0),IF(COB_CA!$B$38=26,COB_CA!$B$19+5054,COB_CA!$B$19+2527)))</f>
        <v/>
      </c>
      <c r="C366" s="12">
        <f>B366-B365</f>
        <v/>
      </c>
      <c r="D366" s="14">
        <f>N365</f>
        <v/>
      </c>
      <c r="E366" s="14">
        <f>D366*COB_CA!$B$40/100*(IF(YEAR(B365)=YEAR(B366),(B366-B365)/IF(AND(MOD(YEAR(B366),4)=0,OR(MOD(YEAR(B366),100)&lt;&gt;0,MOD(YEAR(B366),400)=0)),366,365),(((DATE(YEAR(B365)+1,1,1)))-B365)/IF(AND(MOD(YEAR(B365),4)=0,OR(MOD(YEAR(B365),100)&lt;&gt;0,MOD(YEAR(B365),400)=0)),366,365)+(B366-((DATE(YEAR(B365)+1,1,1))))/IF(AND(MOD(YEAR(B366),4)=0,OR(MOD(YEAR(B366),100)&lt;&gt;0,MOD(YEAR(B366),400)=0)),366,365)))</f>
        <v/>
      </c>
      <c r="F366" s="14">
        <f>L365</f>
        <v/>
      </c>
      <c r="G366" s="14">
        <f>M365</f>
        <v/>
      </c>
      <c r="H366" s="14">
        <f>IF((((COB_CA!$B$18-I366)-J366)&gt;D366),I366+J366+K366,COB_CA!$B$18)</f>
        <v/>
      </c>
      <c r="I366" s="14">
        <f>MIN(COB_CA!$B$18,(E366+F366))</f>
        <v/>
      </c>
      <c r="J366" s="14">
        <f>MIN((COB_CA!$B$18-I366),G366)</f>
        <v/>
      </c>
      <c r="K366" s="14">
        <f>MIN(((COB_CA!$B$18-I366)-J366),D366)</f>
        <v/>
      </c>
      <c r="L366" s="14">
        <f>E366+F366-I366</f>
        <v/>
      </c>
      <c r="M366" s="14">
        <f>G366-J366</f>
        <v/>
      </c>
      <c r="N366" s="14">
        <f>D366-K366</f>
        <v/>
      </c>
      <c r="O366" s="6">
        <f>AND(D366&gt;0,B366&lt;=COB_CA!$B$20)</f>
        <v/>
      </c>
    </row>
    <row r="367">
      <c r="A367" s="6" t="n">
        <v>363</v>
      </c>
      <c r="B367" s="15">
        <f>IF(COB_CA!$B$38=12,DATE(YEAR(COB_CA!$B$19)+INT((MONTH(COB_CA!$B$19)-1+362)/12),MOD(MONTH(COB_CA!$B$19)-1+362,12)+1,1)+(DAY(COB_CA!$B$19)-1),IF(COB_CA!$B$38=24,COB_CA!$B$19+ROUND((362*365.25)/24,0),IF(COB_CA!$B$38=26,COB_CA!$B$19+5068,COB_CA!$B$19+2534)))</f>
        <v/>
      </c>
      <c r="C367" s="12">
        <f>B367-B366</f>
        <v/>
      </c>
      <c r="D367" s="14">
        <f>N366</f>
        <v/>
      </c>
      <c r="E367" s="14">
        <f>D367*COB_CA!$B$40/100*(IF(YEAR(B366)=YEAR(B367),(B367-B366)/IF(AND(MOD(YEAR(B367),4)=0,OR(MOD(YEAR(B367),100)&lt;&gt;0,MOD(YEAR(B367),400)=0)),366,365),(((DATE(YEAR(B366)+1,1,1)))-B366)/IF(AND(MOD(YEAR(B366),4)=0,OR(MOD(YEAR(B366),100)&lt;&gt;0,MOD(YEAR(B366),400)=0)),366,365)+(B367-((DATE(YEAR(B366)+1,1,1))))/IF(AND(MOD(YEAR(B367),4)=0,OR(MOD(YEAR(B367),100)&lt;&gt;0,MOD(YEAR(B367),400)=0)),366,365)))</f>
        <v/>
      </c>
      <c r="F367" s="14">
        <f>L366</f>
        <v/>
      </c>
      <c r="G367" s="14">
        <f>M366</f>
        <v/>
      </c>
      <c r="H367" s="14">
        <f>IF((((COB_CA!$B$18-I367)-J367)&gt;D367),I367+J367+K367,COB_CA!$B$18)</f>
        <v/>
      </c>
      <c r="I367" s="14">
        <f>MIN(COB_CA!$B$18,(E367+F367))</f>
        <v/>
      </c>
      <c r="J367" s="14">
        <f>MIN((COB_CA!$B$18-I367),G367)</f>
        <v/>
      </c>
      <c r="K367" s="14">
        <f>MIN(((COB_CA!$B$18-I367)-J367),D367)</f>
        <v/>
      </c>
      <c r="L367" s="14">
        <f>E367+F367-I367</f>
        <v/>
      </c>
      <c r="M367" s="14">
        <f>G367-J367</f>
        <v/>
      </c>
      <c r="N367" s="14">
        <f>D367-K367</f>
        <v/>
      </c>
      <c r="O367" s="6">
        <f>AND(D367&gt;0,B367&lt;=COB_CA!$B$20)</f>
        <v/>
      </c>
    </row>
    <row r="368">
      <c r="A368" s="6" t="n">
        <v>364</v>
      </c>
      <c r="B368" s="15">
        <f>IF(COB_CA!$B$38=12,DATE(YEAR(COB_CA!$B$19)+INT((MONTH(COB_CA!$B$19)-1+363)/12),MOD(MONTH(COB_CA!$B$19)-1+363,12)+1,1)+(DAY(COB_CA!$B$19)-1),IF(COB_CA!$B$38=24,COB_CA!$B$19+ROUND((363*365.25)/24,0),IF(COB_CA!$B$38=26,COB_CA!$B$19+5082,COB_CA!$B$19+2541)))</f>
        <v/>
      </c>
      <c r="C368" s="12">
        <f>B368-B367</f>
        <v/>
      </c>
      <c r="D368" s="14">
        <f>N367</f>
        <v/>
      </c>
      <c r="E368" s="14">
        <f>D368*COB_CA!$B$40/100*(IF(YEAR(B367)=YEAR(B368),(B368-B367)/IF(AND(MOD(YEAR(B368),4)=0,OR(MOD(YEAR(B368),100)&lt;&gt;0,MOD(YEAR(B368),400)=0)),366,365),(((DATE(YEAR(B367)+1,1,1)))-B367)/IF(AND(MOD(YEAR(B367),4)=0,OR(MOD(YEAR(B367),100)&lt;&gt;0,MOD(YEAR(B367),400)=0)),366,365)+(B368-((DATE(YEAR(B367)+1,1,1))))/IF(AND(MOD(YEAR(B368),4)=0,OR(MOD(YEAR(B368),100)&lt;&gt;0,MOD(YEAR(B368),400)=0)),366,365)))</f>
        <v/>
      </c>
      <c r="F368" s="14">
        <f>L367</f>
        <v/>
      </c>
      <c r="G368" s="14">
        <f>M367</f>
        <v/>
      </c>
      <c r="H368" s="14">
        <f>IF((((COB_CA!$B$18-I368)-J368)&gt;D368),I368+J368+K368,COB_CA!$B$18)</f>
        <v/>
      </c>
      <c r="I368" s="14">
        <f>MIN(COB_CA!$B$18,(E368+F368))</f>
        <v/>
      </c>
      <c r="J368" s="14">
        <f>MIN((COB_CA!$B$18-I368),G368)</f>
        <v/>
      </c>
      <c r="K368" s="14">
        <f>MIN(((COB_CA!$B$18-I368)-J368),D368)</f>
        <v/>
      </c>
      <c r="L368" s="14">
        <f>E368+F368-I368</f>
        <v/>
      </c>
      <c r="M368" s="14">
        <f>G368-J368</f>
        <v/>
      </c>
      <c r="N368" s="14">
        <f>D368-K368</f>
        <v/>
      </c>
      <c r="O368" s="6">
        <f>AND(D368&gt;0,B368&lt;=COB_CA!$B$20)</f>
        <v/>
      </c>
    </row>
    <row r="369">
      <c r="A369" s="6" t="n">
        <v>365</v>
      </c>
      <c r="B369" s="15">
        <f>IF(COB_CA!$B$38=12,DATE(YEAR(COB_CA!$B$19)+INT((MONTH(COB_CA!$B$19)-1+364)/12),MOD(MONTH(COB_CA!$B$19)-1+364,12)+1,1)+(DAY(COB_CA!$B$19)-1),IF(COB_CA!$B$38=24,COB_CA!$B$19+ROUND((364*365.25)/24,0),IF(COB_CA!$B$38=26,COB_CA!$B$19+5096,COB_CA!$B$19+2548)))</f>
        <v/>
      </c>
      <c r="C369" s="12">
        <f>B369-B368</f>
        <v/>
      </c>
      <c r="D369" s="14">
        <f>N368</f>
        <v/>
      </c>
      <c r="E369" s="14">
        <f>D369*COB_CA!$B$40/100*(IF(YEAR(B368)=YEAR(B369),(B369-B368)/IF(AND(MOD(YEAR(B369),4)=0,OR(MOD(YEAR(B369),100)&lt;&gt;0,MOD(YEAR(B369),400)=0)),366,365),(((DATE(YEAR(B368)+1,1,1)))-B368)/IF(AND(MOD(YEAR(B368),4)=0,OR(MOD(YEAR(B368),100)&lt;&gt;0,MOD(YEAR(B368),400)=0)),366,365)+(B369-((DATE(YEAR(B368)+1,1,1))))/IF(AND(MOD(YEAR(B369),4)=0,OR(MOD(YEAR(B369),100)&lt;&gt;0,MOD(YEAR(B369),400)=0)),366,365)))</f>
        <v/>
      </c>
      <c r="F369" s="14">
        <f>L368</f>
        <v/>
      </c>
      <c r="G369" s="14">
        <f>M368</f>
        <v/>
      </c>
      <c r="H369" s="14">
        <f>IF((((COB_CA!$B$18-I369)-J369)&gt;D369),I369+J369+K369,COB_CA!$B$18)</f>
        <v/>
      </c>
      <c r="I369" s="14">
        <f>MIN(COB_CA!$B$18,(E369+F369))</f>
        <v/>
      </c>
      <c r="J369" s="14">
        <f>MIN((COB_CA!$B$18-I369),G369)</f>
        <v/>
      </c>
      <c r="K369" s="14">
        <f>MIN(((COB_CA!$B$18-I369)-J369),D369)</f>
        <v/>
      </c>
      <c r="L369" s="14">
        <f>E369+F369-I369</f>
        <v/>
      </c>
      <c r="M369" s="14">
        <f>G369-J369</f>
        <v/>
      </c>
      <c r="N369" s="14">
        <f>D369-K369</f>
        <v/>
      </c>
      <c r="O369" s="6">
        <f>AND(D369&gt;0,B369&lt;=COB_CA!$B$20)</f>
        <v/>
      </c>
    </row>
    <row r="370">
      <c r="A370" s="6" t="n">
        <v>366</v>
      </c>
      <c r="B370" s="15">
        <f>IF(COB_CA!$B$38=12,DATE(YEAR(COB_CA!$B$19)+INT((MONTH(COB_CA!$B$19)-1+365)/12),MOD(MONTH(COB_CA!$B$19)-1+365,12)+1,1)+(DAY(COB_CA!$B$19)-1),IF(COB_CA!$B$38=24,COB_CA!$B$19+ROUND((365*365.25)/24,0),IF(COB_CA!$B$38=26,COB_CA!$B$19+5110,COB_CA!$B$19+2555)))</f>
        <v/>
      </c>
      <c r="C370" s="12">
        <f>B370-B369</f>
        <v/>
      </c>
      <c r="D370" s="14">
        <f>N369</f>
        <v/>
      </c>
      <c r="E370" s="14">
        <f>D370*COB_CA!$B$40/100*(IF(YEAR(B369)=YEAR(B370),(B370-B369)/IF(AND(MOD(YEAR(B370),4)=0,OR(MOD(YEAR(B370),100)&lt;&gt;0,MOD(YEAR(B370),400)=0)),366,365),(((DATE(YEAR(B369)+1,1,1)))-B369)/IF(AND(MOD(YEAR(B369),4)=0,OR(MOD(YEAR(B369),100)&lt;&gt;0,MOD(YEAR(B369),400)=0)),366,365)+(B370-((DATE(YEAR(B369)+1,1,1))))/IF(AND(MOD(YEAR(B370),4)=0,OR(MOD(YEAR(B370),100)&lt;&gt;0,MOD(YEAR(B370),400)=0)),366,365)))</f>
        <v/>
      </c>
      <c r="F370" s="14">
        <f>L369</f>
        <v/>
      </c>
      <c r="G370" s="14">
        <f>M369</f>
        <v/>
      </c>
      <c r="H370" s="14">
        <f>IF((((COB_CA!$B$18-I370)-J370)&gt;D370),I370+J370+K370,COB_CA!$B$18)</f>
        <v/>
      </c>
      <c r="I370" s="14">
        <f>MIN(COB_CA!$B$18,(E370+F370))</f>
        <v/>
      </c>
      <c r="J370" s="14">
        <f>MIN((COB_CA!$B$18-I370),G370)</f>
        <v/>
      </c>
      <c r="K370" s="14">
        <f>MIN(((COB_CA!$B$18-I370)-J370),D370)</f>
        <v/>
      </c>
      <c r="L370" s="14">
        <f>E370+F370-I370</f>
        <v/>
      </c>
      <c r="M370" s="14">
        <f>G370-J370</f>
        <v/>
      </c>
      <c r="N370" s="14">
        <f>D370-K370</f>
        <v/>
      </c>
      <c r="O370" s="6">
        <f>AND(D370&gt;0,B370&lt;=COB_CA!$B$20)</f>
        <v/>
      </c>
    </row>
    <row r="371">
      <c r="A371" s="6" t="n">
        <v>367</v>
      </c>
      <c r="B371" s="15">
        <f>IF(COB_CA!$B$38=12,DATE(YEAR(COB_CA!$B$19)+INT((MONTH(COB_CA!$B$19)-1+366)/12),MOD(MONTH(COB_CA!$B$19)-1+366,12)+1,1)+(DAY(COB_CA!$B$19)-1),IF(COB_CA!$B$38=24,COB_CA!$B$19+ROUND((366*365.25)/24,0),IF(COB_CA!$B$38=26,COB_CA!$B$19+5124,COB_CA!$B$19+2562)))</f>
        <v/>
      </c>
      <c r="C371" s="12">
        <f>B371-B370</f>
        <v/>
      </c>
      <c r="D371" s="14">
        <f>N370</f>
        <v/>
      </c>
      <c r="E371" s="14">
        <f>D371*COB_CA!$B$40/100*(IF(YEAR(B370)=YEAR(B371),(B371-B370)/IF(AND(MOD(YEAR(B371),4)=0,OR(MOD(YEAR(B371),100)&lt;&gt;0,MOD(YEAR(B371),400)=0)),366,365),(((DATE(YEAR(B370)+1,1,1)))-B370)/IF(AND(MOD(YEAR(B370),4)=0,OR(MOD(YEAR(B370),100)&lt;&gt;0,MOD(YEAR(B370),400)=0)),366,365)+(B371-((DATE(YEAR(B370)+1,1,1))))/IF(AND(MOD(YEAR(B371),4)=0,OR(MOD(YEAR(B371),100)&lt;&gt;0,MOD(YEAR(B371),400)=0)),366,365)))</f>
        <v/>
      </c>
      <c r="F371" s="14">
        <f>L370</f>
        <v/>
      </c>
      <c r="G371" s="14">
        <f>M370</f>
        <v/>
      </c>
      <c r="H371" s="14">
        <f>IF((((COB_CA!$B$18-I371)-J371)&gt;D371),I371+J371+K371,COB_CA!$B$18)</f>
        <v/>
      </c>
      <c r="I371" s="14">
        <f>MIN(COB_CA!$B$18,(E371+F371))</f>
        <v/>
      </c>
      <c r="J371" s="14">
        <f>MIN((COB_CA!$B$18-I371),G371)</f>
        <v/>
      </c>
      <c r="K371" s="14">
        <f>MIN(((COB_CA!$B$18-I371)-J371),D371)</f>
        <v/>
      </c>
      <c r="L371" s="14">
        <f>E371+F371-I371</f>
        <v/>
      </c>
      <c r="M371" s="14">
        <f>G371-J371</f>
        <v/>
      </c>
      <c r="N371" s="14">
        <f>D371-K371</f>
        <v/>
      </c>
      <c r="O371" s="6">
        <f>AND(D371&gt;0,B371&lt;=COB_CA!$B$20)</f>
        <v/>
      </c>
    </row>
    <row r="372">
      <c r="A372" s="6" t="n">
        <v>368</v>
      </c>
      <c r="B372" s="15">
        <f>IF(COB_CA!$B$38=12,DATE(YEAR(COB_CA!$B$19)+INT((MONTH(COB_CA!$B$19)-1+367)/12),MOD(MONTH(COB_CA!$B$19)-1+367,12)+1,1)+(DAY(COB_CA!$B$19)-1),IF(COB_CA!$B$38=24,COB_CA!$B$19+ROUND((367*365.25)/24,0),IF(COB_CA!$B$38=26,COB_CA!$B$19+5138,COB_CA!$B$19+2569)))</f>
        <v/>
      </c>
      <c r="C372" s="12">
        <f>B372-B371</f>
        <v/>
      </c>
      <c r="D372" s="14">
        <f>N371</f>
        <v/>
      </c>
      <c r="E372" s="14">
        <f>D372*COB_CA!$B$40/100*(IF(YEAR(B371)=YEAR(B372),(B372-B371)/IF(AND(MOD(YEAR(B372),4)=0,OR(MOD(YEAR(B372),100)&lt;&gt;0,MOD(YEAR(B372),400)=0)),366,365),(((DATE(YEAR(B371)+1,1,1)))-B371)/IF(AND(MOD(YEAR(B371),4)=0,OR(MOD(YEAR(B371),100)&lt;&gt;0,MOD(YEAR(B371),400)=0)),366,365)+(B372-((DATE(YEAR(B371)+1,1,1))))/IF(AND(MOD(YEAR(B372),4)=0,OR(MOD(YEAR(B372),100)&lt;&gt;0,MOD(YEAR(B372),400)=0)),366,365)))</f>
        <v/>
      </c>
      <c r="F372" s="14">
        <f>L371</f>
        <v/>
      </c>
      <c r="G372" s="14">
        <f>M371</f>
        <v/>
      </c>
      <c r="H372" s="14">
        <f>IF((((COB_CA!$B$18-I372)-J372)&gt;D372),I372+J372+K372,COB_CA!$B$18)</f>
        <v/>
      </c>
      <c r="I372" s="14">
        <f>MIN(COB_CA!$B$18,(E372+F372))</f>
        <v/>
      </c>
      <c r="J372" s="14">
        <f>MIN((COB_CA!$B$18-I372),G372)</f>
        <v/>
      </c>
      <c r="K372" s="14">
        <f>MIN(((COB_CA!$B$18-I372)-J372),D372)</f>
        <v/>
      </c>
      <c r="L372" s="14">
        <f>E372+F372-I372</f>
        <v/>
      </c>
      <c r="M372" s="14">
        <f>G372-J372</f>
        <v/>
      </c>
      <c r="N372" s="14">
        <f>D372-K372</f>
        <v/>
      </c>
      <c r="O372" s="6">
        <f>AND(D372&gt;0,B372&lt;=COB_CA!$B$20)</f>
        <v/>
      </c>
    </row>
    <row r="373">
      <c r="A373" s="6" t="n">
        <v>369</v>
      </c>
      <c r="B373" s="15">
        <f>IF(COB_CA!$B$38=12,DATE(YEAR(COB_CA!$B$19)+INT((MONTH(COB_CA!$B$19)-1+368)/12),MOD(MONTH(COB_CA!$B$19)-1+368,12)+1,1)+(DAY(COB_CA!$B$19)-1),IF(COB_CA!$B$38=24,COB_CA!$B$19+ROUND((368*365.25)/24,0),IF(COB_CA!$B$38=26,COB_CA!$B$19+5152,COB_CA!$B$19+2576)))</f>
        <v/>
      </c>
      <c r="C373" s="12">
        <f>B373-B372</f>
        <v/>
      </c>
      <c r="D373" s="14">
        <f>N372</f>
        <v/>
      </c>
      <c r="E373" s="14">
        <f>D373*COB_CA!$B$40/100*(IF(YEAR(B372)=YEAR(B373),(B373-B372)/IF(AND(MOD(YEAR(B373),4)=0,OR(MOD(YEAR(B373),100)&lt;&gt;0,MOD(YEAR(B373),400)=0)),366,365),(((DATE(YEAR(B372)+1,1,1)))-B372)/IF(AND(MOD(YEAR(B372),4)=0,OR(MOD(YEAR(B372),100)&lt;&gt;0,MOD(YEAR(B372),400)=0)),366,365)+(B373-((DATE(YEAR(B372)+1,1,1))))/IF(AND(MOD(YEAR(B373),4)=0,OR(MOD(YEAR(B373),100)&lt;&gt;0,MOD(YEAR(B373),400)=0)),366,365)))</f>
        <v/>
      </c>
      <c r="F373" s="14">
        <f>L372</f>
        <v/>
      </c>
      <c r="G373" s="14">
        <f>M372</f>
        <v/>
      </c>
      <c r="H373" s="14">
        <f>IF((((COB_CA!$B$18-I373)-J373)&gt;D373),I373+J373+K373,COB_CA!$B$18)</f>
        <v/>
      </c>
      <c r="I373" s="14">
        <f>MIN(COB_CA!$B$18,(E373+F373))</f>
        <v/>
      </c>
      <c r="J373" s="14">
        <f>MIN((COB_CA!$B$18-I373),G373)</f>
        <v/>
      </c>
      <c r="K373" s="14">
        <f>MIN(((COB_CA!$B$18-I373)-J373),D373)</f>
        <v/>
      </c>
      <c r="L373" s="14">
        <f>E373+F373-I373</f>
        <v/>
      </c>
      <c r="M373" s="14">
        <f>G373-J373</f>
        <v/>
      </c>
      <c r="N373" s="14">
        <f>D373-K373</f>
        <v/>
      </c>
      <c r="O373" s="6">
        <f>AND(D373&gt;0,B373&lt;=COB_CA!$B$20)</f>
        <v/>
      </c>
    </row>
    <row r="374">
      <c r="A374" s="6" t="n">
        <v>370</v>
      </c>
      <c r="B374" s="15">
        <f>IF(COB_CA!$B$38=12,DATE(YEAR(COB_CA!$B$19)+INT((MONTH(COB_CA!$B$19)-1+369)/12),MOD(MONTH(COB_CA!$B$19)-1+369,12)+1,1)+(DAY(COB_CA!$B$19)-1),IF(COB_CA!$B$38=24,COB_CA!$B$19+ROUND((369*365.25)/24,0),IF(COB_CA!$B$38=26,COB_CA!$B$19+5166,COB_CA!$B$19+2583)))</f>
        <v/>
      </c>
      <c r="C374" s="12">
        <f>B374-B373</f>
        <v/>
      </c>
      <c r="D374" s="14">
        <f>N373</f>
        <v/>
      </c>
      <c r="E374" s="14">
        <f>D374*COB_CA!$B$40/100*(IF(YEAR(B373)=YEAR(B374),(B374-B373)/IF(AND(MOD(YEAR(B374),4)=0,OR(MOD(YEAR(B374),100)&lt;&gt;0,MOD(YEAR(B374),400)=0)),366,365),(((DATE(YEAR(B373)+1,1,1)))-B373)/IF(AND(MOD(YEAR(B373),4)=0,OR(MOD(YEAR(B373),100)&lt;&gt;0,MOD(YEAR(B373),400)=0)),366,365)+(B374-((DATE(YEAR(B373)+1,1,1))))/IF(AND(MOD(YEAR(B374),4)=0,OR(MOD(YEAR(B374),100)&lt;&gt;0,MOD(YEAR(B374),400)=0)),366,365)))</f>
        <v/>
      </c>
      <c r="F374" s="14">
        <f>L373</f>
        <v/>
      </c>
      <c r="G374" s="14">
        <f>M373</f>
        <v/>
      </c>
      <c r="H374" s="14">
        <f>IF((((COB_CA!$B$18-I374)-J374)&gt;D374),I374+J374+K374,COB_CA!$B$18)</f>
        <v/>
      </c>
      <c r="I374" s="14">
        <f>MIN(COB_CA!$B$18,(E374+F374))</f>
        <v/>
      </c>
      <c r="J374" s="14">
        <f>MIN((COB_CA!$B$18-I374),G374)</f>
        <v/>
      </c>
      <c r="K374" s="14">
        <f>MIN(((COB_CA!$B$18-I374)-J374),D374)</f>
        <v/>
      </c>
      <c r="L374" s="14">
        <f>E374+F374-I374</f>
        <v/>
      </c>
      <c r="M374" s="14">
        <f>G374-J374</f>
        <v/>
      </c>
      <c r="N374" s="14">
        <f>D374-K374</f>
        <v/>
      </c>
      <c r="O374" s="6">
        <f>AND(D374&gt;0,B374&lt;=COB_CA!$B$20)</f>
        <v/>
      </c>
    </row>
    <row r="375">
      <c r="A375" s="6" t="n">
        <v>371</v>
      </c>
      <c r="B375" s="15">
        <f>IF(COB_CA!$B$38=12,DATE(YEAR(COB_CA!$B$19)+INT((MONTH(COB_CA!$B$19)-1+370)/12),MOD(MONTH(COB_CA!$B$19)-1+370,12)+1,1)+(DAY(COB_CA!$B$19)-1),IF(COB_CA!$B$38=24,COB_CA!$B$19+ROUND((370*365.25)/24,0),IF(COB_CA!$B$38=26,COB_CA!$B$19+5180,COB_CA!$B$19+2590)))</f>
        <v/>
      </c>
      <c r="C375" s="12">
        <f>B375-B374</f>
        <v/>
      </c>
      <c r="D375" s="14">
        <f>N374</f>
        <v/>
      </c>
      <c r="E375" s="14">
        <f>D375*COB_CA!$B$40/100*(IF(YEAR(B374)=YEAR(B375),(B375-B374)/IF(AND(MOD(YEAR(B375),4)=0,OR(MOD(YEAR(B375),100)&lt;&gt;0,MOD(YEAR(B375),400)=0)),366,365),(((DATE(YEAR(B374)+1,1,1)))-B374)/IF(AND(MOD(YEAR(B374),4)=0,OR(MOD(YEAR(B374),100)&lt;&gt;0,MOD(YEAR(B374),400)=0)),366,365)+(B375-((DATE(YEAR(B374)+1,1,1))))/IF(AND(MOD(YEAR(B375),4)=0,OR(MOD(YEAR(B375),100)&lt;&gt;0,MOD(YEAR(B375),400)=0)),366,365)))</f>
        <v/>
      </c>
      <c r="F375" s="14">
        <f>L374</f>
        <v/>
      </c>
      <c r="G375" s="14">
        <f>M374</f>
        <v/>
      </c>
      <c r="H375" s="14">
        <f>IF((((COB_CA!$B$18-I375)-J375)&gt;D375),I375+J375+K375,COB_CA!$B$18)</f>
        <v/>
      </c>
      <c r="I375" s="14">
        <f>MIN(COB_CA!$B$18,(E375+F375))</f>
        <v/>
      </c>
      <c r="J375" s="14">
        <f>MIN((COB_CA!$B$18-I375),G375)</f>
        <v/>
      </c>
      <c r="K375" s="14">
        <f>MIN(((COB_CA!$B$18-I375)-J375),D375)</f>
        <v/>
      </c>
      <c r="L375" s="14">
        <f>E375+F375-I375</f>
        <v/>
      </c>
      <c r="M375" s="14">
        <f>G375-J375</f>
        <v/>
      </c>
      <c r="N375" s="14">
        <f>D375-K375</f>
        <v/>
      </c>
      <c r="O375" s="6">
        <f>AND(D375&gt;0,B375&lt;=COB_CA!$B$20)</f>
        <v/>
      </c>
    </row>
    <row r="376">
      <c r="A376" s="6" t="n">
        <v>372</v>
      </c>
      <c r="B376" s="15">
        <f>IF(COB_CA!$B$38=12,DATE(YEAR(COB_CA!$B$19)+INT((MONTH(COB_CA!$B$19)-1+371)/12),MOD(MONTH(COB_CA!$B$19)-1+371,12)+1,1)+(DAY(COB_CA!$B$19)-1),IF(COB_CA!$B$38=24,COB_CA!$B$19+ROUND((371*365.25)/24,0),IF(COB_CA!$B$38=26,COB_CA!$B$19+5194,COB_CA!$B$19+2597)))</f>
        <v/>
      </c>
      <c r="C376" s="12">
        <f>B376-B375</f>
        <v/>
      </c>
      <c r="D376" s="14">
        <f>N375</f>
        <v/>
      </c>
      <c r="E376" s="14">
        <f>D376*COB_CA!$B$40/100*(IF(YEAR(B375)=YEAR(B376),(B376-B375)/IF(AND(MOD(YEAR(B376),4)=0,OR(MOD(YEAR(B376),100)&lt;&gt;0,MOD(YEAR(B376),400)=0)),366,365),(((DATE(YEAR(B375)+1,1,1)))-B375)/IF(AND(MOD(YEAR(B375),4)=0,OR(MOD(YEAR(B375),100)&lt;&gt;0,MOD(YEAR(B375),400)=0)),366,365)+(B376-((DATE(YEAR(B375)+1,1,1))))/IF(AND(MOD(YEAR(B376),4)=0,OR(MOD(YEAR(B376),100)&lt;&gt;0,MOD(YEAR(B376),400)=0)),366,365)))</f>
        <v/>
      </c>
      <c r="F376" s="14">
        <f>L375</f>
        <v/>
      </c>
      <c r="G376" s="14">
        <f>M375</f>
        <v/>
      </c>
      <c r="H376" s="14">
        <f>IF((((COB_CA!$B$18-I376)-J376)&gt;D376),I376+J376+K376,COB_CA!$B$18)</f>
        <v/>
      </c>
      <c r="I376" s="14">
        <f>MIN(COB_CA!$B$18,(E376+F376))</f>
        <v/>
      </c>
      <c r="J376" s="14">
        <f>MIN((COB_CA!$B$18-I376),G376)</f>
        <v/>
      </c>
      <c r="K376" s="14">
        <f>MIN(((COB_CA!$B$18-I376)-J376),D376)</f>
        <v/>
      </c>
      <c r="L376" s="14">
        <f>E376+F376-I376</f>
        <v/>
      </c>
      <c r="M376" s="14">
        <f>G376-J376</f>
        <v/>
      </c>
      <c r="N376" s="14">
        <f>D376-K376</f>
        <v/>
      </c>
      <c r="O376" s="6">
        <f>AND(D376&gt;0,B376&lt;=COB_CA!$B$20)</f>
        <v/>
      </c>
    </row>
    <row r="377">
      <c r="A377" s="6" t="n">
        <v>373</v>
      </c>
      <c r="B377" s="15">
        <f>IF(COB_CA!$B$38=12,DATE(YEAR(COB_CA!$B$19)+INT((MONTH(COB_CA!$B$19)-1+372)/12),MOD(MONTH(COB_CA!$B$19)-1+372,12)+1,1)+(DAY(COB_CA!$B$19)-1),IF(COB_CA!$B$38=24,COB_CA!$B$19+ROUND((372*365.25)/24,0),IF(COB_CA!$B$38=26,COB_CA!$B$19+5208,COB_CA!$B$19+2604)))</f>
        <v/>
      </c>
      <c r="C377" s="12">
        <f>B377-B376</f>
        <v/>
      </c>
      <c r="D377" s="14">
        <f>N376</f>
        <v/>
      </c>
      <c r="E377" s="14">
        <f>D377*COB_CA!$B$40/100*(IF(YEAR(B376)=YEAR(B377),(B377-B376)/IF(AND(MOD(YEAR(B377),4)=0,OR(MOD(YEAR(B377),100)&lt;&gt;0,MOD(YEAR(B377),400)=0)),366,365),(((DATE(YEAR(B376)+1,1,1)))-B376)/IF(AND(MOD(YEAR(B376),4)=0,OR(MOD(YEAR(B376),100)&lt;&gt;0,MOD(YEAR(B376),400)=0)),366,365)+(B377-((DATE(YEAR(B376)+1,1,1))))/IF(AND(MOD(YEAR(B377),4)=0,OR(MOD(YEAR(B377),100)&lt;&gt;0,MOD(YEAR(B377),400)=0)),366,365)))</f>
        <v/>
      </c>
      <c r="F377" s="14">
        <f>L376</f>
        <v/>
      </c>
      <c r="G377" s="14">
        <f>M376</f>
        <v/>
      </c>
      <c r="H377" s="14">
        <f>IF((((COB_CA!$B$18-I377)-J377)&gt;D377),I377+J377+K377,COB_CA!$B$18)</f>
        <v/>
      </c>
      <c r="I377" s="14">
        <f>MIN(COB_CA!$B$18,(E377+F377))</f>
        <v/>
      </c>
      <c r="J377" s="14">
        <f>MIN((COB_CA!$B$18-I377),G377)</f>
        <v/>
      </c>
      <c r="K377" s="14">
        <f>MIN(((COB_CA!$B$18-I377)-J377),D377)</f>
        <v/>
      </c>
      <c r="L377" s="14">
        <f>E377+F377-I377</f>
        <v/>
      </c>
      <c r="M377" s="14">
        <f>G377-J377</f>
        <v/>
      </c>
      <c r="N377" s="14">
        <f>D377-K377</f>
        <v/>
      </c>
      <c r="O377" s="6">
        <f>AND(D377&gt;0,B377&lt;=COB_CA!$B$20)</f>
        <v/>
      </c>
    </row>
    <row r="378">
      <c r="A378" s="6" t="n">
        <v>374</v>
      </c>
      <c r="B378" s="15">
        <f>IF(COB_CA!$B$38=12,DATE(YEAR(COB_CA!$B$19)+INT((MONTH(COB_CA!$B$19)-1+373)/12),MOD(MONTH(COB_CA!$B$19)-1+373,12)+1,1)+(DAY(COB_CA!$B$19)-1),IF(COB_CA!$B$38=24,COB_CA!$B$19+ROUND((373*365.25)/24,0),IF(COB_CA!$B$38=26,COB_CA!$B$19+5222,COB_CA!$B$19+2611)))</f>
        <v/>
      </c>
      <c r="C378" s="12">
        <f>B378-B377</f>
        <v/>
      </c>
      <c r="D378" s="14">
        <f>N377</f>
        <v/>
      </c>
      <c r="E378" s="14">
        <f>D378*COB_CA!$B$40/100*(IF(YEAR(B377)=YEAR(B378),(B378-B377)/IF(AND(MOD(YEAR(B378),4)=0,OR(MOD(YEAR(B378),100)&lt;&gt;0,MOD(YEAR(B378),400)=0)),366,365),(((DATE(YEAR(B377)+1,1,1)))-B377)/IF(AND(MOD(YEAR(B377),4)=0,OR(MOD(YEAR(B377),100)&lt;&gt;0,MOD(YEAR(B377),400)=0)),366,365)+(B378-((DATE(YEAR(B377)+1,1,1))))/IF(AND(MOD(YEAR(B378),4)=0,OR(MOD(YEAR(B378),100)&lt;&gt;0,MOD(YEAR(B378),400)=0)),366,365)))</f>
        <v/>
      </c>
      <c r="F378" s="14">
        <f>L377</f>
        <v/>
      </c>
      <c r="G378" s="14">
        <f>M377</f>
        <v/>
      </c>
      <c r="H378" s="14">
        <f>IF((((COB_CA!$B$18-I378)-J378)&gt;D378),I378+J378+K378,COB_CA!$B$18)</f>
        <v/>
      </c>
      <c r="I378" s="14">
        <f>MIN(COB_CA!$B$18,(E378+F378))</f>
        <v/>
      </c>
      <c r="J378" s="14">
        <f>MIN((COB_CA!$B$18-I378),G378)</f>
        <v/>
      </c>
      <c r="K378" s="14">
        <f>MIN(((COB_CA!$B$18-I378)-J378),D378)</f>
        <v/>
      </c>
      <c r="L378" s="14">
        <f>E378+F378-I378</f>
        <v/>
      </c>
      <c r="M378" s="14">
        <f>G378-J378</f>
        <v/>
      </c>
      <c r="N378" s="14">
        <f>D378-K378</f>
        <v/>
      </c>
      <c r="O378" s="6">
        <f>AND(D378&gt;0,B378&lt;=COB_CA!$B$20)</f>
        <v/>
      </c>
    </row>
    <row r="379">
      <c r="A379" s="6" t="n">
        <v>375</v>
      </c>
      <c r="B379" s="15">
        <f>IF(COB_CA!$B$38=12,DATE(YEAR(COB_CA!$B$19)+INT((MONTH(COB_CA!$B$19)-1+374)/12),MOD(MONTH(COB_CA!$B$19)-1+374,12)+1,1)+(DAY(COB_CA!$B$19)-1),IF(COB_CA!$B$38=24,COB_CA!$B$19+ROUND((374*365.25)/24,0),IF(COB_CA!$B$38=26,COB_CA!$B$19+5236,COB_CA!$B$19+2618)))</f>
        <v/>
      </c>
      <c r="C379" s="12">
        <f>B379-B378</f>
        <v/>
      </c>
      <c r="D379" s="14">
        <f>N378</f>
        <v/>
      </c>
      <c r="E379" s="14">
        <f>D379*COB_CA!$B$40/100*(IF(YEAR(B378)=YEAR(B379),(B379-B378)/IF(AND(MOD(YEAR(B379),4)=0,OR(MOD(YEAR(B379),100)&lt;&gt;0,MOD(YEAR(B379),400)=0)),366,365),(((DATE(YEAR(B378)+1,1,1)))-B378)/IF(AND(MOD(YEAR(B378),4)=0,OR(MOD(YEAR(B378),100)&lt;&gt;0,MOD(YEAR(B378),400)=0)),366,365)+(B379-((DATE(YEAR(B378)+1,1,1))))/IF(AND(MOD(YEAR(B379),4)=0,OR(MOD(YEAR(B379),100)&lt;&gt;0,MOD(YEAR(B379),400)=0)),366,365)))</f>
        <v/>
      </c>
      <c r="F379" s="14">
        <f>L378</f>
        <v/>
      </c>
      <c r="G379" s="14">
        <f>M378</f>
        <v/>
      </c>
      <c r="H379" s="14">
        <f>IF((((COB_CA!$B$18-I379)-J379)&gt;D379),I379+J379+K379,COB_CA!$B$18)</f>
        <v/>
      </c>
      <c r="I379" s="14">
        <f>MIN(COB_CA!$B$18,(E379+F379))</f>
        <v/>
      </c>
      <c r="J379" s="14">
        <f>MIN((COB_CA!$B$18-I379),G379)</f>
        <v/>
      </c>
      <c r="K379" s="14">
        <f>MIN(((COB_CA!$B$18-I379)-J379),D379)</f>
        <v/>
      </c>
      <c r="L379" s="14">
        <f>E379+F379-I379</f>
        <v/>
      </c>
      <c r="M379" s="14">
        <f>G379-J379</f>
        <v/>
      </c>
      <c r="N379" s="14">
        <f>D379-K379</f>
        <v/>
      </c>
      <c r="O379" s="6">
        <f>AND(D379&gt;0,B379&lt;=COB_CA!$B$20)</f>
        <v/>
      </c>
    </row>
    <row r="380">
      <c r="A380" s="6" t="n">
        <v>376</v>
      </c>
      <c r="B380" s="15">
        <f>IF(COB_CA!$B$38=12,DATE(YEAR(COB_CA!$B$19)+INT((MONTH(COB_CA!$B$19)-1+375)/12),MOD(MONTH(COB_CA!$B$19)-1+375,12)+1,1)+(DAY(COB_CA!$B$19)-1),IF(COB_CA!$B$38=24,COB_CA!$B$19+ROUND((375*365.25)/24,0),IF(COB_CA!$B$38=26,COB_CA!$B$19+5250,COB_CA!$B$19+2625)))</f>
        <v/>
      </c>
      <c r="C380" s="12">
        <f>B380-B379</f>
        <v/>
      </c>
      <c r="D380" s="14">
        <f>N379</f>
        <v/>
      </c>
      <c r="E380" s="14">
        <f>D380*COB_CA!$B$40/100*(IF(YEAR(B379)=YEAR(B380),(B380-B379)/IF(AND(MOD(YEAR(B380),4)=0,OR(MOD(YEAR(B380),100)&lt;&gt;0,MOD(YEAR(B380),400)=0)),366,365),(((DATE(YEAR(B379)+1,1,1)))-B379)/IF(AND(MOD(YEAR(B379),4)=0,OR(MOD(YEAR(B379),100)&lt;&gt;0,MOD(YEAR(B379),400)=0)),366,365)+(B380-((DATE(YEAR(B379)+1,1,1))))/IF(AND(MOD(YEAR(B380),4)=0,OR(MOD(YEAR(B380),100)&lt;&gt;0,MOD(YEAR(B380),400)=0)),366,365)))</f>
        <v/>
      </c>
      <c r="F380" s="14">
        <f>L379</f>
        <v/>
      </c>
      <c r="G380" s="14">
        <f>M379</f>
        <v/>
      </c>
      <c r="H380" s="14">
        <f>IF((((COB_CA!$B$18-I380)-J380)&gt;D380),I380+J380+K380,COB_CA!$B$18)</f>
        <v/>
      </c>
      <c r="I380" s="14">
        <f>MIN(COB_CA!$B$18,(E380+F380))</f>
        <v/>
      </c>
      <c r="J380" s="14">
        <f>MIN((COB_CA!$B$18-I380),G380)</f>
        <v/>
      </c>
      <c r="K380" s="14">
        <f>MIN(((COB_CA!$B$18-I380)-J380),D380)</f>
        <v/>
      </c>
      <c r="L380" s="14">
        <f>E380+F380-I380</f>
        <v/>
      </c>
      <c r="M380" s="14">
        <f>G380-J380</f>
        <v/>
      </c>
      <c r="N380" s="14">
        <f>D380-K380</f>
        <v/>
      </c>
      <c r="O380" s="6">
        <f>AND(D380&gt;0,B380&lt;=COB_CA!$B$20)</f>
        <v/>
      </c>
    </row>
    <row r="381">
      <c r="A381" s="6" t="n">
        <v>377</v>
      </c>
      <c r="B381" s="15">
        <f>IF(COB_CA!$B$38=12,DATE(YEAR(COB_CA!$B$19)+INT((MONTH(COB_CA!$B$19)-1+376)/12),MOD(MONTH(COB_CA!$B$19)-1+376,12)+1,1)+(DAY(COB_CA!$B$19)-1),IF(COB_CA!$B$38=24,COB_CA!$B$19+ROUND((376*365.25)/24,0),IF(COB_CA!$B$38=26,COB_CA!$B$19+5264,COB_CA!$B$19+2632)))</f>
        <v/>
      </c>
      <c r="C381" s="12">
        <f>B381-B380</f>
        <v/>
      </c>
      <c r="D381" s="14">
        <f>N380</f>
        <v/>
      </c>
      <c r="E381" s="14">
        <f>D381*COB_CA!$B$40/100*(IF(YEAR(B380)=YEAR(B381),(B381-B380)/IF(AND(MOD(YEAR(B381),4)=0,OR(MOD(YEAR(B381),100)&lt;&gt;0,MOD(YEAR(B381),400)=0)),366,365),(((DATE(YEAR(B380)+1,1,1)))-B380)/IF(AND(MOD(YEAR(B380),4)=0,OR(MOD(YEAR(B380),100)&lt;&gt;0,MOD(YEAR(B380),400)=0)),366,365)+(B381-((DATE(YEAR(B380)+1,1,1))))/IF(AND(MOD(YEAR(B381),4)=0,OR(MOD(YEAR(B381),100)&lt;&gt;0,MOD(YEAR(B381),400)=0)),366,365)))</f>
        <v/>
      </c>
      <c r="F381" s="14">
        <f>L380</f>
        <v/>
      </c>
      <c r="G381" s="14">
        <f>M380</f>
        <v/>
      </c>
      <c r="H381" s="14">
        <f>IF((((COB_CA!$B$18-I381)-J381)&gt;D381),I381+J381+K381,COB_CA!$B$18)</f>
        <v/>
      </c>
      <c r="I381" s="14">
        <f>MIN(COB_CA!$B$18,(E381+F381))</f>
        <v/>
      </c>
      <c r="J381" s="14">
        <f>MIN((COB_CA!$B$18-I381),G381)</f>
        <v/>
      </c>
      <c r="K381" s="14">
        <f>MIN(((COB_CA!$B$18-I381)-J381),D381)</f>
        <v/>
      </c>
      <c r="L381" s="14">
        <f>E381+F381-I381</f>
        <v/>
      </c>
      <c r="M381" s="14">
        <f>G381-J381</f>
        <v/>
      </c>
      <c r="N381" s="14">
        <f>D381-K381</f>
        <v/>
      </c>
      <c r="O381" s="6">
        <f>AND(D381&gt;0,B381&lt;=COB_CA!$B$20)</f>
        <v/>
      </c>
    </row>
    <row r="382">
      <c r="A382" s="6" t="n">
        <v>378</v>
      </c>
      <c r="B382" s="15">
        <f>IF(COB_CA!$B$38=12,DATE(YEAR(COB_CA!$B$19)+INT((MONTH(COB_CA!$B$19)-1+377)/12),MOD(MONTH(COB_CA!$B$19)-1+377,12)+1,1)+(DAY(COB_CA!$B$19)-1),IF(COB_CA!$B$38=24,COB_CA!$B$19+ROUND((377*365.25)/24,0),IF(COB_CA!$B$38=26,COB_CA!$B$19+5278,COB_CA!$B$19+2639)))</f>
        <v/>
      </c>
      <c r="C382" s="12">
        <f>B382-B381</f>
        <v/>
      </c>
      <c r="D382" s="14">
        <f>N381</f>
        <v/>
      </c>
      <c r="E382" s="14">
        <f>D382*COB_CA!$B$40/100*(IF(YEAR(B381)=YEAR(B382),(B382-B381)/IF(AND(MOD(YEAR(B382),4)=0,OR(MOD(YEAR(B382),100)&lt;&gt;0,MOD(YEAR(B382),400)=0)),366,365),(((DATE(YEAR(B381)+1,1,1)))-B381)/IF(AND(MOD(YEAR(B381),4)=0,OR(MOD(YEAR(B381),100)&lt;&gt;0,MOD(YEAR(B381),400)=0)),366,365)+(B382-((DATE(YEAR(B381)+1,1,1))))/IF(AND(MOD(YEAR(B382),4)=0,OR(MOD(YEAR(B382),100)&lt;&gt;0,MOD(YEAR(B382),400)=0)),366,365)))</f>
        <v/>
      </c>
      <c r="F382" s="14">
        <f>L381</f>
        <v/>
      </c>
      <c r="G382" s="14">
        <f>M381</f>
        <v/>
      </c>
      <c r="H382" s="14">
        <f>IF((((COB_CA!$B$18-I382)-J382)&gt;D382),I382+J382+K382,COB_CA!$B$18)</f>
        <v/>
      </c>
      <c r="I382" s="14">
        <f>MIN(COB_CA!$B$18,(E382+F382))</f>
        <v/>
      </c>
      <c r="J382" s="14">
        <f>MIN((COB_CA!$B$18-I382),G382)</f>
        <v/>
      </c>
      <c r="K382" s="14">
        <f>MIN(((COB_CA!$B$18-I382)-J382),D382)</f>
        <v/>
      </c>
      <c r="L382" s="14">
        <f>E382+F382-I382</f>
        <v/>
      </c>
      <c r="M382" s="14">
        <f>G382-J382</f>
        <v/>
      </c>
      <c r="N382" s="14">
        <f>D382-K382</f>
        <v/>
      </c>
      <c r="O382" s="6">
        <f>AND(D382&gt;0,B382&lt;=COB_CA!$B$20)</f>
        <v/>
      </c>
    </row>
    <row r="383">
      <c r="A383" s="6" t="n">
        <v>379</v>
      </c>
      <c r="B383" s="15">
        <f>IF(COB_CA!$B$38=12,DATE(YEAR(COB_CA!$B$19)+INT((MONTH(COB_CA!$B$19)-1+378)/12),MOD(MONTH(COB_CA!$B$19)-1+378,12)+1,1)+(DAY(COB_CA!$B$19)-1),IF(COB_CA!$B$38=24,COB_CA!$B$19+ROUND((378*365.25)/24,0),IF(COB_CA!$B$38=26,COB_CA!$B$19+5292,COB_CA!$B$19+2646)))</f>
        <v/>
      </c>
      <c r="C383" s="12">
        <f>B383-B382</f>
        <v/>
      </c>
      <c r="D383" s="14">
        <f>N382</f>
        <v/>
      </c>
      <c r="E383" s="14">
        <f>D383*COB_CA!$B$40/100*(IF(YEAR(B382)=YEAR(B383),(B383-B382)/IF(AND(MOD(YEAR(B383),4)=0,OR(MOD(YEAR(B383),100)&lt;&gt;0,MOD(YEAR(B383),400)=0)),366,365),(((DATE(YEAR(B382)+1,1,1)))-B382)/IF(AND(MOD(YEAR(B382),4)=0,OR(MOD(YEAR(B382),100)&lt;&gt;0,MOD(YEAR(B382),400)=0)),366,365)+(B383-((DATE(YEAR(B382)+1,1,1))))/IF(AND(MOD(YEAR(B383),4)=0,OR(MOD(YEAR(B383),100)&lt;&gt;0,MOD(YEAR(B383),400)=0)),366,365)))</f>
        <v/>
      </c>
      <c r="F383" s="14">
        <f>L382</f>
        <v/>
      </c>
      <c r="G383" s="14">
        <f>M382</f>
        <v/>
      </c>
      <c r="H383" s="14">
        <f>IF((((COB_CA!$B$18-I383)-J383)&gt;D383),I383+J383+K383,COB_CA!$B$18)</f>
        <v/>
      </c>
      <c r="I383" s="14">
        <f>MIN(COB_CA!$B$18,(E383+F383))</f>
        <v/>
      </c>
      <c r="J383" s="14">
        <f>MIN((COB_CA!$B$18-I383),G383)</f>
        <v/>
      </c>
      <c r="K383" s="14">
        <f>MIN(((COB_CA!$B$18-I383)-J383),D383)</f>
        <v/>
      </c>
      <c r="L383" s="14">
        <f>E383+F383-I383</f>
        <v/>
      </c>
      <c r="M383" s="14">
        <f>G383-J383</f>
        <v/>
      </c>
      <c r="N383" s="14">
        <f>D383-K383</f>
        <v/>
      </c>
      <c r="O383" s="6">
        <f>AND(D383&gt;0,B383&lt;=COB_CA!$B$20)</f>
        <v/>
      </c>
    </row>
    <row r="384">
      <c r="A384" s="6" t="n">
        <v>380</v>
      </c>
      <c r="B384" s="15">
        <f>IF(COB_CA!$B$38=12,DATE(YEAR(COB_CA!$B$19)+INT((MONTH(COB_CA!$B$19)-1+379)/12),MOD(MONTH(COB_CA!$B$19)-1+379,12)+1,1)+(DAY(COB_CA!$B$19)-1),IF(COB_CA!$B$38=24,COB_CA!$B$19+ROUND((379*365.25)/24,0),IF(COB_CA!$B$38=26,COB_CA!$B$19+5306,COB_CA!$B$19+2653)))</f>
        <v/>
      </c>
      <c r="C384" s="12">
        <f>B384-B383</f>
        <v/>
      </c>
      <c r="D384" s="14">
        <f>N383</f>
        <v/>
      </c>
      <c r="E384" s="14">
        <f>D384*COB_CA!$B$40/100*(IF(YEAR(B383)=YEAR(B384),(B384-B383)/IF(AND(MOD(YEAR(B384),4)=0,OR(MOD(YEAR(B384),100)&lt;&gt;0,MOD(YEAR(B384),400)=0)),366,365),(((DATE(YEAR(B383)+1,1,1)))-B383)/IF(AND(MOD(YEAR(B383),4)=0,OR(MOD(YEAR(B383),100)&lt;&gt;0,MOD(YEAR(B383),400)=0)),366,365)+(B384-((DATE(YEAR(B383)+1,1,1))))/IF(AND(MOD(YEAR(B384),4)=0,OR(MOD(YEAR(B384),100)&lt;&gt;0,MOD(YEAR(B384),400)=0)),366,365)))</f>
        <v/>
      </c>
      <c r="F384" s="14">
        <f>L383</f>
        <v/>
      </c>
      <c r="G384" s="14">
        <f>M383</f>
        <v/>
      </c>
      <c r="H384" s="14">
        <f>IF((((COB_CA!$B$18-I384)-J384)&gt;D384),I384+J384+K384,COB_CA!$B$18)</f>
        <v/>
      </c>
      <c r="I384" s="14">
        <f>MIN(COB_CA!$B$18,(E384+F384))</f>
        <v/>
      </c>
      <c r="J384" s="14">
        <f>MIN((COB_CA!$B$18-I384),G384)</f>
        <v/>
      </c>
      <c r="K384" s="14">
        <f>MIN(((COB_CA!$B$18-I384)-J384),D384)</f>
        <v/>
      </c>
      <c r="L384" s="14">
        <f>E384+F384-I384</f>
        <v/>
      </c>
      <c r="M384" s="14">
        <f>G384-J384</f>
        <v/>
      </c>
      <c r="N384" s="14">
        <f>D384-K384</f>
        <v/>
      </c>
      <c r="O384" s="6">
        <f>AND(D384&gt;0,B384&lt;=COB_CA!$B$20)</f>
        <v/>
      </c>
    </row>
    <row r="385">
      <c r="A385" s="6" t="n">
        <v>381</v>
      </c>
      <c r="B385" s="15">
        <f>IF(COB_CA!$B$38=12,DATE(YEAR(COB_CA!$B$19)+INT((MONTH(COB_CA!$B$19)-1+380)/12),MOD(MONTH(COB_CA!$B$19)-1+380,12)+1,1)+(DAY(COB_CA!$B$19)-1),IF(COB_CA!$B$38=24,COB_CA!$B$19+ROUND((380*365.25)/24,0),IF(COB_CA!$B$38=26,COB_CA!$B$19+5320,COB_CA!$B$19+2660)))</f>
        <v/>
      </c>
      <c r="C385" s="12">
        <f>B385-B384</f>
        <v/>
      </c>
      <c r="D385" s="14">
        <f>N384</f>
        <v/>
      </c>
      <c r="E385" s="14">
        <f>D385*COB_CA!$B$40/100*(IF(YEAR(B384)=YEAR(B385),(B385-B384)/IF(AND(MOD(YEAR(B385),4)=0,OR(MOD(YEAR(B385),100)&lt;&gt;0,MOD(YEAR(B385),400)=0)),366,365),(((DATE(YEAR(B384)+1,1,1)))-B384)/IF(AND(MOD(YEAR(B384),4)=0,OR(MOD(YEAR(B384),100)&lt;&gt;0,MOD(YEAR(B384),400)=0)),366,365)+(B385-((DATE(YEAR(B384)+1,1,1))))/IF(AND(MOD(YEAR(B385),4)=0,OR(MOD(YEAR(B385),100)&lt;&gt;0,MOD(YEAR(B385),400)=0)),366,365)))</f>
        <v/>
      </c>
      <c r="F385" s="14">
        <f>L384</f>
        <v/>
      </c>
      <c r="G385" s="14">
        <f>M384</f>
        <v/>
      </c>
      <c r="H385" s="14">
        <f>IF((((COB_CA!$B$18-I385)-J385)&gt;D385),I385+J385+K385,COB_CA!$B$18)</f>
        <v/>
      </c>
      <c r="I385" s="14">
        <f>MIN(COB_CA!$B$18,(E385+F385))</f>
        <v/>
      </c>
      <c r="J385" s="14">
        <f>MIN((COB_CA!$B$18-I385),G385)</f>
        <v/>
      </c>
      <c r="K385" s="14">
        <f>MIN(((COB_CA!$B$18-I385)-J385),D385)</f>
        <v/>
      </c>
      <c r="L385" s="14">
        <f>E385+F385-I385</f>
        <v/>
      </c>
      <c r="M385" s="14">
        <f>G385-J385</f>
        <v/>
      </c>
      <c r="N385" s="14">
        <f>D385-K385</f>
        <v/>
      </c>
      <c r="O385" s="6">
        <f>AND(D385&gt;0,B385&lt;=COB_CA!$B$20)</f>
        <v/>
      </c>
    </row>
    <row r="386">
      <c r="A386" s="6" t="n">
        <v>382</v>
      </c>
      <c r="B386" s="15">
        <f>IF(COB_CA!$B$38=12,DATE(YEAR(COB_CA!$B$19)+INT((MONTH(COB_CA!$B$19)-1+381)/12),MOD(MONTH(COB_CA!$B$19)-1+381,12)+1,1)+(DAY(COB_CA!$B$19)-1),IF(COB_CA!$B$38=24,COB_CA!$B$19+ROUND((381*365.25)/24,0),IF(COB_CA!$B$38=26,COB_CA!$B$19+5334,COB_CA!$B$19+2667)))</f>
        <v/>
      </c>
      <c r="C386" s="12">
        <f>B386-B385</f>
        <v/>
      </c>
      <c r="D386" s="14">
        <f>N385</f>
        <v/>
      </c>
      <c r="E386" s="14">
        <f>D386*COB_CA!$B$40/100*(IF(YEAR(B385)=YEAR(B386),(B386-B385)/IF(AND(MOD(YEAR(B386),4)=0,OR(MOD(YEAR(B386),100)&lt;&gt;0,MOD(YEAR(B386),400)=0)),366,365),(((DATE(YEAR(B385)+1,1,1)))-B385)/IF(AND(MOD(YEAR(B385),4)=0,OR(MOD(YEAR(B385),100)&lt;&gt;0,MOD(YEAR(B385),400)=0)),366,365)+(B386-((DATE(YEAR(B385)+1,1,1))))/IF(AND(MOD(YEAR(B386),4)=0,OR(MOD(YEAR(B386),100)&lt;&gt;0,MOD(YEAR(B386),400)=0)),366,365)))</f>
        <v/>
      </c>
      <c r="F386" s="14">
        <f>L385</f>
        <v/>
      </c>
      <c r="G386" s="14">
        <f>M385</f>
        <v/>
      </c>
      <c r="H386" s="14">
        <f>IF((((COB_CA!$B$18-I386)-J386)&gt;D386),I386+J386+K386,COB_CA!$B$18)</f>
        <v/>
      </c>
      <c r="I386" s="14">
        <f>MIN(COB_CA!$B$18,(E386+F386))</f>
        <v/>
      </c>
      <c r="J386" s="14">
        <f>MIN((COB_CA!$B$18-I386),G386)</f>
        <v/>
      </c>
      <c r="K386" s="14">
        <f>MIN(((COB_CA!$B$18-I386)-J386),D386)</f>
        <v/>
      </c>
      <c r="L386" s="14">
        <f>E386+F386-I386</f>
        <v/>
      </c>
      <c r="M386" s="14">
        <f>G386-J386</f>
        <v/>
      </c>
      <c r="N386" s="14">
        <f>D386-K386</f>
        <v/>
      </c>
      <c r="O386" s="6">
        <f>AND(D386&gt;0,B386&lt;=COB_CA!$B$20)</f>
        <v/>
      </c>
    </row>
    <row r="387">
      <c r="A387" s="6" t="n">
        <v>383</v>
      </c>
      <c r="B387" s="15">
        <f>IF(COB_CA!$B$38=12,DATE(YEAR(COB_CA!$B$19)+INT((MONTH(COB_CA!$B$19)-1+382)/12),MOD(MONTH(COB_CA!$B$19)-1+382,12)+1,1)+(DAY(COB_CA!$B$19)-1),IF(COB_CA!$B$38=24,COB_CA!$B$19+ROUND((382*365.25)/24,0),IF(COB_CA!$B$38=26,COB_CA!$B$19+5348,COB_CA!$B$19+2674)))</f>
        <v/>
      </c>
      <c r="C387" s="12">
        <f>B387-B386</f>
        <v/>
      </c>
      <c r="D387" s="14">
        <f>N386</f>
        <v/>
      </c>
      <c r="E387" s="14">
        <f>D387*COB_CA!$B$40/100*(IF(YEAR(B386)=YEAR(B387),(B387-B386)/IF(AND(MOD(YEAR(B387),4)=0,OR(MOD(YEAR(B387),100)&lt;&gt;0,MOD(YEAR(B387),400)=0)),366,365),(((DATE(YEAR(B386)+1,1,1)))-B386)/IF(AND(MOD(YEAR(B386),4)=0,OR(MOD(YEAR(B386),100)&lt;&gt;0,MOD(YEAR(B386),400)=0)),366,365)+(B387-((DATE(YEAR(B386)+1,1,1))))/IF(AND(MOD(YEAR(B387),4)=0,OR(MOD(YEAR(B387),100)&lt;&gt;0,MOD(YEAR(B387),400)=0)),366,365)))</f>
        <v/>
      </c>
      <c r="F387" s="14">
        <f>L386</f>
        <v/>
      </c>
      <c r="G387" s="14">
        <f>M386</f>
        <v/>
      </c>
      <c r="H387" s="14">
        <f>IF((((COB_CA!$B$18-I387)-J387)&gt;D387),I387+J387+K387,COB_CA!$B$18)</f>
        <v/>
      </c>
      <c r="I387" s="14">
        <f>MIN(COB_CA!$B$18,(E387+F387))</f>
        <v/>
      </c>
      <c r="J387" s="14">
        <f>MIN((COB_CA!$B$18-I387),G387)</f>
        <v/>
      </c>
      <c r="K387" s="14">
        <f>MIN(((COB_CA!$B$18-I387)-J387),D387)</f>
        <v/>
      </c>
      <c r="L387" s="14">
        <f>E387+F387-I387</f>
        <v/>
      </c>
      <c r="M387" s="14">
        <f>G387-J387</f>
        <v/>
      </c>
      <c r="N387" s="14">
        <f>D387-K387</f>
        <v/>
      </c>
      <c r="O387" s="6">
        <f>AND(D387&gt;0,B387&lt;=COB_CA!$B$20)</f>
        <v/>
      </c>
    </row>
    <row r="388">
      <c r="A388" s="6" t="n">
        <v>384</v>
      </c>
      <c r="B388" s="15">
        <f>IF(COB_CA!$B$38=12,DATE(YEAR(COB_CA!$B$19)+INT((MONTH(COB_CA!$B$19)-1+383)/12),MOD(MONTH(COB_CA!$B$19)-1+383,12)+1,1)+(DAY(COB_CA!$B$19)-1),IF(COB_CA!$B$38=24,COB_CA!$B$19+ROUND((383*365.25)/24,0),IF(COB_CA!$B$38=26,COB_CA!$B$19+5362,COB_CA!$B$19+2681)))</f>
        <v/>
      </c>
      <c r="C388" s="12">
        <f>B388-B387</f>
        <v/>
      </c>
      <c r="D388" s="14">
        <f>N387</f>
        <v/>
      </c>
      <c r="E388" s="14">
        <f>D388*COB_CA!$B$40/100*(IF(YEAR(B387)=YEAR(B388),(B388-B387)/IF(AND(MOD(YEAR(B388),4)=0,OR(MOD(YEAR(B388),100)&lt;&gt;0,MOD(YEAR(B388),400)=0)),366,365),(((DATE(YEAR(B387)+1,1,1)))-B387)/IF(AND(MOD(YEAR(B387),4)=0,OR(MOD(YEAR(B387),100)&lt;&gt;0,MOD(YEAR(B387),400)=0)),366,365)+(B388-((DATE(YEAR(B387)+1,1,1))))/IF(AND(MOD(YEAR(B388),4)=0,OR(MOD(YEAR(B388),100)&lt;&gt;0,MOD(YEAR(B388),400)=0)),366,365)))</f>
        <v/>
      </c>
      <c r="F388" s="14">
        <f>L387</f>
        <v/>
      </c>
      <c r="G388" s="14">
        <f>M387</f>
        <v/>
      </c>
      <c r="H388" s="14">
        <f>IF((((COB_CA!$B$18-I388)-J388)&gt;D388),I388+J388+K388,COB_CA!$B$18)</f>
        <v/>
      </c>
      <c r="I388" s="14">
        <f>MIN(COB_CA!$B$18,(E388+F388))</f>
        <v/>
      </c>
      <c r="J388" s="14">
        <f>MIN((COB_CA!$B$18-I388),G388)</f>
        <v/>
      </c>
      <c r="K388" s="14">
        <f>MIN(((COB_CA!$B$18-I388)-J388),D388)</f>
        <v/>
      </c>
      <c r="L388" s="14">
        <f>E388+F388-I388</f>
        <v/>
      </c>
      <c r="M388" s="14">
        <f>G388-J388</f>
        <v/>
      </c>
      <c r="N388" s="14">
        <f>D388-K388</f>
        <v/>
      </c>
      <c r="O388" s="6">
        <f>AND(D388&gt;0,B388&lt;=COB_CA!$B$20)</f>
        <v/>
      </c>
    </row>
    <row r="389">
      <c r="A389" s="6" t="n">
        <v>385</v>
      </c>
      <c r="B389" s="15">
        <f>IF(COB_CA!$B$38=12,DATE(YEAR(COB_CA!$B$19)+INT((MONTH(COB_CA!$B$19)-1+384)/12),MOD(MONTH(COB_CA!$B$19)-1+384,12)+1,1)+(DAY(COB_CA!$B$19)-1),IF(COB_CA!$B$38=24,COB_CA!$B$19+ROUND((384*365.25)/24,0),IF(COB_CA!$B$38=26,COB_CA!$B$19+5376,COB_CA!$B$19+2688)))</f>
        <v/>
      </c>
      <c r="C389" s="12">
        <f>B389-B388</f>
        <v/>
      </c>
      <c r="D389" s="14">
        <f>N388</f>
        <v/>
      </c>
      <c r="E389" s="14">
        <f>D389*COB_CA!$B$40/100*(IF(YEAR(B388)=YEAR(B389),(B389-B388)/IF(AND(MOD(YEAR(B389),4)=0,OR(MOD(YEAR(B389),100)&lt;&gt;0,MOD(YEAR(B389),400)=0)),366,365),(((DATE(YEAR(B388)+1,1,1)))-B388)/IF(AND(MOD(YEAR(B388),4)=0,OR(MOD(YEAR(B388),100)&lt;&gt;0,MOD(YEAR(B388),400)=0)),366,365)+(B389-((DATE(YEAR(B388)+1,1,1))))/IF(AND(MOD(YEAR(B389),4)=0,OR(MOD(YEAR(B389),100)&lt;&gt;0,MOD(YEAR(B389),400)=0)),366,365)))</f>
        <v/>
      </c>
      <c r="F389" s="14">
        <f>L388</f>
        <v/>
      </c>
      <c r="G389" s="14">
        <f>M388</f>
        <v/>
      </c>
      <c r="H389" s="14">
        <f>IF((((COB_CA!$B$18-I389)-J389)&gt;D389),I389+J389+K389,COB_CA!$B$18)</f>
        <v/>
      </c>
      <c r="I389" s="14">
        <f>MIN(COB_CA!$B$18,(E389+F389))</f>
        <v/>
      </c>
      <c r="J389" s="14">
        <f>MIN((COB_CA!$B$18-I389),G389)</f>
        <v/>
      </c>
      <c r="K389" s="14">
        <f>MIN(((COB_CA!$B$18-I389)-J389),D389)</f>
        <v/>
      </c>
      <c r="L389" s="14">
        <f>E389+F389-I389</f>
        <v/>
      </c>
      <c r="M389" s="14">
        <f>G389-J389</f>
        <v/>
      </c>
      <c r="N389" s="14">
        <f>D389-K389</f>
        <v/>
      </c>
      <c r="O389" s="6">
        <f>AND(D389&gt;0,B389&lt;=COB_CA!$B$20)</f>
        <v/>
      </c>
    </row>
    <row r="390">
      <c r="A390" s="6" t="n">
        <v>386</v>
      </c>
      <c r="B390" s="15">
        <f>IF(COB_CA!$B$38=12,DATE(YEAR(COB_CA!$B$19)+INT((MONTH(COB_CA!$B$19)-1+385)/12),MOD(MONTH(COB_CA!$B$19)-1+385,12)+1,1)+(DAY(COB_CA!$B$19)-1),IF(COB_CA!$B$38=24,COB_CA!$B$19+ROUND((385*365.25)/24,0),IF(COB_CA!$B$38=26,COB_CA!$B$19+5390,COB_CA!$B$19+2695)))</f>
        <v/>
      </c>
      <c r="C390" s="12">
        <f>B390-B389</f>
        <v/>
      </c>
      <c r="D390" s="14">
        <f>N389</f>
        <v/>
      </c>
      <c r="E390" s="14">
        <f>D390*COB_CA!$B$40/100*(IF(YEAR(B389)=YEAR(B390),(B390-B389)/IF(AND(MOD(YEAR(B390),4)=0,OR(MOD(YEAR(B390),100)&lt;&gt;0,MOD(YEAR(B390),400)=0)),366,365),(((DATE(YEAR(B389)+1,1,1)))-B389)/IF(AND(MOD(YEAR(B389),4)=0,OR(MOD(YEAR(B389),100)&lt;&gt;0,MOD(YEAR(B389),400)=0)),366,365)+(B390-((DATE(YEAR(B389)+1,1,1))))/IF(AND(MOD(YEAR(B390),4)=0,OR(MOD(YEAR(B390),100)&lt;&gt;0,MOD(YEAR(B390),400)=0)),366,365)))</f>
        <v/>
      </c>
      <c r="F390" s="14">
        <f>L389</f>
        <v/>
      </c>
      <c r="G390" s="14">
        <f>M389</f>
        <v/>
      </c>
      <c r="H390" s="14">
        <f>IF((((COB_CA!$B$18-I390)-J390)&gt;D390),I390+J390+K390,COB_CA!$B$18)</f>
        <v/>
      </c>
      <c r="I390" s="14">
        <f>MIN(COB_CA!$B$18,(E390+F390))</f>
        <v/>
      </c>
      <c r="J390" s="14">
        <f>MIN((COB_CA!$B$18-I390),G390)</f>
        <v/>
      </c>
      <c r="K390" s="14">
        <f>MIN(((COB_CA!$B$18-I390)-J390),D390)</f>
        <v/>
      </c>
      <c r="L390" s="14">
        <f>E390+F390-I390</f>
        <v/>
      </c>
      <c r="M390" s="14">
        <f>G390-J390</f>
        <v/>
      </c>
      <c r="N390" s="14">
        <f>D390-K390</f>
        <v/>
      </c>
      <c r="O390" s="6">
        <f>AND(D390&gt;0,B390&lt;=COB_CA!$B$20)</f>
        <v/>
      </c>
    </row>
    <row r="391">
      <c r="A391" s="6" t="n">
        <v>387</v>
      </c>
      <c r="B391" s="15">
        <f>IF(COB_CA!$B$38=12,DATE(YEAR(COB_CA!$B$19)+INT((MONTH(COB_CA!$B$19)-1+386)/12),MOD(MONTH(COB_CA!$B$19)-1+386,12)+1,1)+(DAY(COB_CA!$B$19)-1),IF(COB_CA!$B$38=24,COB_CA!$B$19+ROUND((386*365.25)/24,0),IF(COB_CA!$B$38=26,COB_CA!$B$19+5404,COB_CA!$B$19+2702)))</f>
        <v/>
      </c>
      <c r="C391" s="12">
        <f>B391-B390</f>
        <v/>
      </c>
      <c r="D391" s="14">
        <f>N390</f>
        <v/>
      </c>
      <c r="E391" s="14">
        <f>D391*COB_CA!$B$40/100*(IF(YEAR(B390)=YEAR(B391),(B391-B390)/IF(AND(MOD(YEAR(B391),4)=0,OR(MOD(YEAR(B391),100)&lt;&gt;0,MOD(YEAR(B391),400)=0)),366,365),(((DATE(YEAR(B390)+1,1,1)))-B390)/IF(AND(MOD(YEAR(B390),4)=0,OR(MOD(YEAR(B390),100)&lt;&gt;0,MOD(YEAR(B390),400)=0)),366,365)+(B391-((DATE(YEAR(B390)+1,1,1))))/IF(AND(MOD(YEAR(B391),4)=0,OR(MOD(YEAR(B391),100)&lt;&gt;0,MOD(YEAR(B391),400)=0)),366,365)))</f>
        <v/>
      </c>
      <c r="F391" s="14">
        <f>L390</f>
        <v/>
      </c>
      <c r="G391" s="14">
        <f>M390</f>
        <v/>
      </c>
      <c r="H391" s="14">
        <f>IF((((COB_CA!$B$18-I391)-J391)&gt;D391),I391+J391+K391,COB_CA!$B$18)</f>
        <v/>
      </c>
      <c r="I391" s="14">
        <f>MIN(COB_CA!$B$18,(E391+F391))</f>
        <v/>
      </c>
      <c r="J391" s="14">
        <f>MIN((COB_CA!$B$18-I391),G391)</f>
        <v/>
      </c>
      <c r="K391" s="14">
        <f>MIN(((COB_CA!$B$18-I391)-J391),D391)</f>
        <v/>
      </c>
      <c r="L391" s="14">
        <f>E391+F391-I391</f>
        <v/>
      </c>
      <c r="M391" s="14">
        <f>G391-J391</f>
        <v/>
      </c>
      <c r="N391" s="14">
        <f>D391-K391</f>
        <v/>
      </c>
      <c r="O391" s="6">
        <f>AND(D391&gt;0,B391&lt;=COB_CA!$B$20)</f>
        <v/>
      </c>
    </row>
    <row r="392">
      <c r="A392" s="6" t="n">
        <v>388</v>
      </c>
      <c r="B392" s="15">
        <f>IF(COB_CA!$B$38=12,DATE(YEAR(COB_CA!$B$19)+INT((MONTH(COB_CA!$B$19)-1+387)/12),MOD(MONTH(COB_CA!$B$19)-1+387,12)+1,1)+(DAY(COB_CA!$B$19)-1),IF(COB_CA!$B$38=24,COB_CA!$B$19+ROUND((387*365.25)/24,0),IF(COB_CA!$B$38=26,COB_CA!$B$19+5418,COB_CA!$B$19+2709)))</f>
        <v/>
      </c>
      <c r="C392" s="12">
        <f>B392-B391</f>
        <v/>
      </c>
      <c r="D392" s="14">
        <f>N391</f>
        <v/>
      </c>
      <c r="E392" s="14">
        <f>D392*COB_CA!$B$40/100*(IF(YEAR(B391)=YEAR(B392),(B392-B391)/IF(AND(MOD(YEAR(B392),4)=0,OR(MOD(YEAR(B392),100)&lt;&gt;0,MOD(YEAR(B392),400)=0)),366,365),(((DATE(YEAR(B391)+1,1,1)))-B391)/IF(AND(MOD(YEAR(B391),4)=0,OR(MOD(YEAR(B391),100)&lt;&gt;0,MOD(YEAR(B391),400)=0)),366,365)+(B392-((DATE(YEAR(B391)+1,1,1))))/IF(AND(MOD(YEAR(B392),4)=0,OR(MOD(YEAR(B392),100)&lt;&gt;0,MOD(YEAR(B392),400)=0)),366,365)))</f>
        <v/>
      </c>
      <c r="F392" s="14">
        <f>L391</f>
        <v/>
      </c>
      <c r="G392" s="14">
        <f>M391</f>
        <v/>
      </c>
      <c r="H392" s="14">
        <f>IF((((COB_CA!$B$18-I392)-J392)&gt;D392),I392+J392+K392,COB_CA!$B$18)</f>
        <v/>
      </c>
      <c r="I392" s="14">
        <f>MIN(COB_CA!$B$18,(E392+F392))</f>
        <v/>
      </c>
      <c r="J392" s="14">
        <f>MIN((COB_CA!$B$18-I392),G392)</f>
        <v/>
      </c>
      <c r="K392" s="14">
        <f>MIN(((COB_CA!$B$18-I392)-J392),D392)</f>
        <v/>
      </c>
      <c r="L392" s="14">
        <f>E392+F392-I392</f>
        <v/>
      </c>
      <c r="M392" s="14">
        <f>G392-J392</f>
        <v/>
      </c>
      <c r="N392" s="14">
        <f>D392-K392</f>
        <v/>
      </c>
      <c r="O392" s="6">
        <f>AND(D392&gt;0,B392&lt;=COB_CA!$B$20)</f>
        <v/>
      </c>
    </row>
    <row r="393">
      <c r="A393" s="6" t="n">
        <v>389</v>
      </c>
      <c r="B393" s="15">
        <f>IF(COB_CA!$B$38=12,DATE(YEAR(COB_CA!$B$19)+INT((MONTH(COB_CA!$B$19)-1+388)/12),MOD(MONTH(COB_CA!$B$19)-1+388,12)+1,1)+(DAY(COB_CA!$B$19)-1),IF(COB_CA!$B$38=24,COB_CA!$B$19+ROUND((388*365.25)/24,0),IF(COB_CA!$B$38=26,COB_CA!$B$19+5432,COB_CA!$B$19+2716)))</f>
        <v/>
      </c>
      <c r="C393" s="12">
        <f>B393-B392</f>
        <v/>
      </c>
      <c r="D393" s="14">
        <f>N392</f>
        <v/>
      </c>
      <c r="E393" s="14">
        <f>D393*COB_CA!$B$40/100*(IF(YEAR(B392)=YEAR(B393),(B393-B392)/IF(AND(MOD(YEAR(B393),4)=0,OR(MOD(YEAR(B393),100)&lt;&gt;0,MOD(YEAR(B393),400)=0)),366,365),(((DATE(YEAR(B392)+1,1,1)))-B392)/IF(AND(MOD(YEAR(B392),4)=0,OR(MOD(YEAR(B392),100)&lt;&gt;0,MOD(YEAR(B392),400)=0)),366,365)+(B393-((DATE(YEAR(B392)+1,1,1))))/IF(AND(MOD(YEAR(B393),4)=0,OR(MOD(YEAR(B393),100)&lt;&gt;0,MOD(YEAR(B393),400)=0)),366,365)))</f>
        <v/>
      </c>
      <c r="F393" s="14">
        <f>L392</f>
        <v/>
      </c>
      <c r="G393" s="14">
        <f>M392</f>
        <v/>
      </c>
      <c r="H393" s="14">
        <f>IF((((COB_CA!$B$18-I393)-J393)&gt;D393),I393+J393+K393,COB_CA!$B$18)</f>
        <v/>
      </c>
      <c r="I393" s="14">
        <f>MIN(COB_CA!$B$18,(E393+F393))</f>
        <v/>
      </c>
      <c r="J393" s="14">
        <f>MIN((COB_CA!$B$18-I393),G393)</f>
        <v/>
      </c>
      <c r="K393" s="14">
        <f>MIN(((COB_CA!$B$18-I393)-J393),D393)</f>
        <v/>
      </c>
      <c r="L393" s="14">
        <f>E393+F393-I393</f>
        <v/>
      </c>
      <c r="M393" s="14">
        <f>G393-J393</f>
        <v/>
      </c>
      <c r="N393" s="14">
        <f>D393-K393</f>
        <v/>
      </c>
      <c r="O393" s="6">
        <f>AND(D393&gt;0,B393&lt;=COB_CA!$B$20)</f>
        <v/>
      </c>
    </row>
    <row r="394">
      <c r="A394" s="6" t="n">
        <v>390</v>
      </c>
      <c r="B394" s="15">
        <f>IF(COB_CA!$B$38=12,DATE(YEAR(COB_CA!$B$19)+INT((MONTH(COB_CA!$B$19)-1+389)/12),MOD(MONTH(COB_CA!$B$19)-1+389,12)+1,1)+(DAY(COB_CA!$B$19)-1),IF(COB_CA!$B$38=24,COB_CA!$B$19+ROUND((389*365.25)/24,0),IF(COB_CA!$B$38=26,COB_CA!$B$19+5446,COB_CA!$B$19+2723)))</f>
        <v/>
      </c>
      <c r="C394" s="12">
        <f>B394-B393</f>
        <v/>
      </c>
      <c r="D394" s="14">
        <f>N393</f>
        <v/>
      </c>
      <c r="E394" s="14">
        <f>D394*COB_CA!$B$40/100*(IF(YEAR(B393)=YEAR(B394),(B394-B393)/IF(AND(MOD(YEAR(B394),4)=0,OR(MOD(YEAR(B394),100)&lt;&gt;0,MOD(YEAR(B394),400)=0)),366,365),(((DATE(YEAR(B393)+1,1,1)))-B393)/IF(AND(MOD(YEAR(B393),4)=0,OR(MOD(YEAR(B393),100)&lt;&gt;0,MOD(YEAR(B393),400)=0)),366,365)+(B394-((DATE(YEAR(B393)+1,1,1))))/IF(AND(MOD(YEAR(B394),4)=0,OR(MOD(YEAR(B394),100)&lt;&gt;0,MOD(YEAR(B394),400)=0)),366,365)))</f>
        <v/>
      </c>
      <c r="F394" s="14">
        <f>L393</f>
        <v/>
      </c>
      <c r="G394" s="14">
        <f>M393</f>
        <v/>
      </c>
      <c r="H394" s="14">
        <f>IF((((COB_CA!$B$18-I394)-J394)&gt;D394),I394+J394+K394,COB_CA!$B$18)</f>
        <v/>
      </c>
      <c r="I394" s="14">
        <f>MIN(COB_CA!$B$18,(E394+F394))</f>
        <v/>
      </c>
      <c r="J394" s="14">
        <f>MIN((COB_CA!$B$18-I394),G394)</f>
        <v/>
      </c>
      <c r="K394" s="14">
        <f>MIN(((COB_CA!$B$18-I394)-J394),D394)</f>
        <v/>
      </c>
      <c r="L394" s="14">
        <f>E394+F394-I394</f>
        <v/>
      </c>
      <c r="M394" s="14">
        <f>G394-J394</f>
        <v/>
      </c>
      <c r="N394" s="14">
        <f>D394-K394</f>
        <v/>
      </c>
      <c r="O394" s="6">
        <f>AND(D394&gt;0,B394&lt;=COB_CA!$B$20)</f>
        <v/>
      </c>
    </row>
    <row r="395">
      <c r="A395" s="6" t="n">
        <v>391</v>
      </c>
      <c r="B395" s="15">
        <f>IF(COB_CA!$B$38=12,DATE(YEAR(COB_CA!$B$19)+INT((MONTH(COB_CA!$B$19)-1+390)/12),MOD(MONTH(COB_CA!$B$19)-1+390,12)+1,1)+(DAY(COB_CA!$B$19)-1),IF(COB_CA!$B$38=24,COB_CA!$B$19+ROUND((390*365.25)/24,0),IF(COB_CA!$B$38=26,COB_CA!$B$19+5460,COB_CA!$B$19+2730)))</f>
        <v/>
      </c>
      <c r="C395" s="12">
        <f>B395-B394</f>
        <v/>
      </c>
      <c r="D395" s="14">
        <f>N394</f>
        <v/>
      </c>
      <c r="E395" s="14">
        <f>D395*COB_CA!$B$40/100*(IF(YEAR(B394)=YEAR(B395),(B395-B394)/IF(AND(MOD(YEAR(B395),4)=0,OR(MOD(YEAR(B395),100)&lt;&gt;0,MOD(YEAR(B395),400)=0)),366,365),(((DATE(YEAR(B394)+1,1,1)))-B394)/IF(AND(MOD(YEAR(B394),4)=0,OR(MOD(YEAR(B394),100)&lt;&gt;0,MOD(YEAR(B394),400)=0)),366,365)+(B395-((DATE(YEAR(B394)+1,1,1))))/IF(AND(MOD(YEAR(B395),4)=0,OR(MOD(YEAR(B395),100)&lt;&gt;0,MOD(YEAR(B395),400)=0)),366,365)))</f>
        <v/>
      </c>
      <c r="F395" s="14">
        <f>L394</f>
        <v/>
      </c>
      <c r="G395" s="14">
        <f>M394</f>
        <v/>
      </c>
      <c r="H395" s="14">
        <f>IF((((COB_CA!$B$18-I395)-J395)&gt;D395),I395+J395+K395,COB_CA!$B$18)</f>
        <v/>
      </c>
      <c r="I395" s="14">
        <f>MIN(COB_CA!$B$18,(E395+F395))</f>
        <v/>
      </c>
      <c r="J395" s="14">
        <f>MIN((COB_CA!$B$18-I395),G395)</f>
        <v/>
      </c>
      <c r="K395" s="14">
        <f>MIN(((COB_CA!$B$18-I395)-J395),D395)</f>
        <v/>
      </c>
      <c r="L395" s="14">
        <f>E395+F395-I395</f>
        <v/>
      </c>
      <c r="M395" s="14">
        <f>G395-J395</f>
        <v/>
      </c>
      <c r="N395" s="14">
        <f>D395-K395</f>
        <v/>
      </c>
      <c r="O395" s="6">
        <f>AND(D395&gt;0,B395&lt;=COB_CA!$B$20)</f>
        <v/>
      </c>
    </row>
    <row r="396">
      <c r="A396" s="6" t="n">
        <v>392</v>
      </c>
      <c r="B396" s="15">
        <f>IF(COB_CA!$B$38=12,DATE(YEAR(COB_CA!$B$19)+INT((MONTH(COB_CA!$B$19)-1+391)/12),MOD(MONTH(COB_CA!$B$19)-1+391,12)+1,1)+(DAY(COB_CA!$B$19)-1),IF(COB_CA!$B$38=24,COB_CA!$B$19+ROUND((391*365.25)/24,0),IF(COB_CA!$B$38=26,COB_CA!$B$19+5474,COB_CA!$B$19+2737)))</f>
        <v/>
      </c>
      <c r="C396" s="12">
        <f>B396-B395</f>
        <v/>
      </c>
      <c r="D396" s="14">
        <f>N395</f>
        <v/>
      </c>
      <c r="E396" s="14">
        <f>D396*COB_CA!$B$40/100*(IF(YEAR(B395)=YEAR(B396),(B396-B395)/IF(AND(MOD(YEAR(B396),4)=0,OR(MOD(YEAR(B396),100)&lt;&gt;0,MOD(YEAR(B396),400)=0)),366,365),(((DATE(YEAR(B395)+1,1,1)))-B395)/IF(AND(MOD(YEAR(B395),4)=0,OR(MOD(YEAR(B395),100)&lt;&gt;0,MOD(YEAR(B395),400)=0)),366,365)+(B396-((DATE(YEAR(B395)+1,1,1))))/IF(AND(MOD(YEAR(B396),4)=0,OR(MOD(YEAR(B396),100)&lt;&gt;0,MOD(YEAR(B396),400)=0)),366,365)))</f>
        <v/>
      </c>
      <c r="F396" s="14">
        <f>L395</f>
        <v/>
      </c>
      <c r="G396" s="14">
        <f>M395</f>
        <v/>
      </c>
      <c r="H396" s="14">
        <f>IF((((COB_CA!$B$18-I396)-J396)&gt;D396),I396+J396+K396,COB_CA!$B$18)</f>
        <v/>
      </c>
      <c r="I396" s="14">
        <f>MIN(COB_CA!$B$18,(E396+F396))</f>
        <v/>
      </c>
      <c r="J396" s="14">
        <f>MIN((COB_CA!$B$18-I396),G396)</f>
        <v/>
      </c>
      <c r="K396" s="14">
        <f>MIN(((COB_CA!$B$18-I396)-J396),D396)</f>
        <v/>
      </c>
      <c r="L396" s="14">
        <f>E396+F396-I396</f>
        <v/>
      </c>
      <c r="M396" s="14">
        <f>G396-J396</f>
        <v/>
      </c>
      <c r="N396" s="14">
        <f>D396-K396</f>
        <v/>
      </c>
      <c r="O396" s="6">
        <f>AND(D396&gt;0,B396&lt;=COB_CA!$B$20)</f>
        <v/>
      </c>
    </row>
    <row r="397">
      <c r="A397" s="6" t="n">
        <v>393</v>
      </c>
      <c r="B397" s="15">
        <f>IF(COB_CA!$B$38=12,DATE(YEAR(COB_CA!$B$19)+INT((MONTH(COB_CA!$B$19)-1+392)/12),MOD(MONTH(COB_CA!$B$19)-1+392,12)+1,1)+(DAY(COB_CA!$B$19)-1),IF(COB_CA!$B$38=24,COB_CA!$B$19+ROUND((392*365.25)/24,0),IF(COB_CA!$B$38=26,COB_CA!$B$19+5488,COB_CA!$B$19+2744)))</f>
        <v/>
      </c>
      <c r="C397" s="12">
        <f>B397-B396</f>
        <v/>
      </c>
      <c r="D397" s="14">
        <f>N396</f>
        <v/>
      </c>
      <c r="E397" s="14">
        <f>D397*COB_CA!$B$40/100*(IF(YEAR(B396)=YEAR(B397),(B397-B396)/IF(AND(MOD(YEAR(B397),4)=0,OR(MOD(YEAR(B397),100)&lt;&gt;0,MOD(YEAR(B397),400)=0)),366,365),(((DATE(YEAR(B396)+1,1,1)))-B396)/IF(AND(MOD(YEAR(B396),4)=0,OR(MOD(YEAR(B396),100)&lt;&gt;0,MOD(YEAR(B396),400)=0)),366,365)+(B397-((DATE(YEAR(B396)+1,1,1))))/IF(AND(MOD(YEAR(B397),4)=0,OR(MOD(YEAR(B397),100)&lt;&gt;0,MOD(YEAR(B397),400)=0)),366,365)))</f>
        <v/>
      </c>
      <c r="F397" s="14">
        <f>L396</f>
        <v/>
      </c>
      <c r="G397" s="14">
        <f>M396</f>
        <v/>
      </c>
      <c r="H397" s="14">
        <f>IF((((COB_CA!$B$18-I397)-J397)&gt;D397),I397+J397+K397,COB_CA!$B$18)</f>
        <v/>
      </c>
      <c r="I397" s="14">
        <f>MIN(COB_CA!$B$18,(E397+F397))</f>
        <v/>
      </c>
      <c r="J397" s="14">
        <f>MIN((COB_CA!$B$18-I397),G397)</f>
        <v/>
      </c>
      <c r="K397" s="14">
        <f>MIN(((COB_CA!$B$18-I397)-J397),D397)</f>
        <v/>
      </c>
      <c r="L397" s="14">
        <f>E397+F397-I397</f>
        <v/>
      </c>
      <c r="M397" s="14">
        <f>G397-J397</f>
        <v/>
      </c>
      <c r="N397" s="14">
        <f>D397-K397</f>
        <v/>
      </c>
      <c r="O397" s="6">
        <f>AND(D397&gt;0,B397&lt;=COB_CA!$B$20)</f>
        <v/>
      </c>
    </row>
    <row r="398">
      <c r="A398" s="6" t="n">
        <v>394</v>
      </c>
      <c r="B398" s="15">
        <f>IF(COB_CA!$B$38=12,DATE(YEAR(COB_CA!$B$19)+INT((MONTH(COB_CA!$B$19)-1+393)/12),MOD(MONTH(COB_CA!$B$19)-1+393,12)+1,1)+(DAY(COB_CA!$B$19)-1),IF(COB_CA!$B$38=24,COB_CA!$B$19+ROUND((393*365.25)/24,0),IF(COB_CA!$B$38=26,COB_CA!$B$19+5502,COB_CA!$B$19+2751)))</f>
        <v/>
      </c>
      <c r="C398" s="12">
        <f>B398-B397</f>
        <v/>
      </c>
      <c r="D398" s="14">
        <f>N397</f>
        <v/>
      </c>
      <c r="E398" s="14">
        <f>D398*COB_CA!$B$40/100*(IF(YEAR(B397)=YEAR(B398),(B398-B397)/IF(AND(MOD(YEAR(B398),4)=0,OR(MOD(YEAR(B398),100)&lt;&gt;0,MOD(YEAR(B398),400)=0)),366,365),(((DATE(YEAR(B397)+1,1,1)))-B397)/IF(AND(MOD(YEAR(B397),4)=0,OR(MOD(YEAR(B397),100)&lt;&gt;0,MOD(YEAR(B397),400)=0)),366,365)+(B398-((DATE(YEAR(B397)+1,1,1))))/IF(AND(MOD(YEAR(B398),4)=0,OR(MOD(YEAR(B398),100)&lt;&gt;0,MOD(YEAR(B398),400)=0)),366,365)))</f>
        <v/>
      </c>
      <c r="F398" s="14">
        <f>L397</f>
        <v/>
      </c>
      <c r="G398" s="14">
        <f>M397</f>
        <v/>
      </c>
      <c r="H398" s="14">
        <f>IF((((COB_CA!$B$18-I398)-J398)&gt;D398),I398+J398+K398,COB_CA!$B$18)</f>
        <v/>
      </c>
      <c r="I398" s="14">
        <f>MIN(COB_CA!$B$18,(E398+F398))</f>
        <v/>
      </c>
      <c r="J398" s="14">
        <f>MIN((COB_CA!$B$18-I398),G398)</f>
        <v/>
      </c>
      <c r="K398" s="14">
        <f>MIN(((COB_CA!$B$18-I398)-J398),D398)</f>
        <v/>
      </c>
      <c r="L398" s="14">
        <f>E398+F398-I398</f>
        <v/>
      </c>
      <c r="M398" s="14">
        <f>G398-J398</f>
        <v/>
      </c>
      <c r="N398" s="14">
        <f>D398-K398</f>
        <v/>
      </c>
      <c r="O398" s="6">
        <f>AND(D398&gt;0,B398&lt;=COB_CA!$B$20)</f>
        <v/>
      </c>
    </row>
    <row r="399">
      <c r="A399" s="6" t="n">
        <v>395</v>
      </c>
      <c r="B399" s="15">
        <f>IF(COB_CA!$B$38=12,DATE(YEAR(COB_CA!$B$19)+INT((MONTH(COB_CA!$B$19)-1+394)/12),MOD(MONTH(COB_CA!$B$19)-1+394,12)+1,1)+(DAY(COB_CA!$B$19)-1),IF(COB_CA!$B$38=24,COB_CA!$B$19+ROUND((394*365.25)/24,0),IF(COB_CA!$B$38=26,COB_CA!$B$19+5516,COB_CA!$B$19+2758)))</f>
        <v/>
      </c>
      <c r="C399" s="12">
        <f>B399-B398</f>
        <v/>
      </c>
      <c r="D399" s="14">
        <f>N398</f>
        <v/>
      </c>
      <c r="E399" s="14">
        <f>D399*COB_CA!$B$40/100*(IF(YEAR(B398)=YEAR(B399),(B399-B398)/IF(AND(MOD(YEAR(B399),4)=0,OR(MOD(YEAR(B399),100)&lt;&gt;0,MOD(YEAR(B399),400)=0)),366,365),(((DATE(YEAR(B398)+1,1,1)))-B398)/IF(AND(MOD(YEAR(B398),4)=0,OR(MOD(YEAR(B398),100)&lt;&gt;0,MOD(YEAR(B398),400)=0)),366,365)+(B399-((DATE(YEAR(B398)+1,1,1))))/IF(AND(MOD(YEAR(B399),4)=0,OR(MOD(YEAR(B399),100)&lt;&gt;0,MOD(YEAR(B399),400)=0)),366,365)))</f>
        <v/>
      </c>
      <c r="F399" s="14">
        <f>L398</f>
        <v/>
      </c>
      <c r="G399" s="14">
        <f>M398</f>
        <v/>
      </c>
      <c r="H399" s="14">
        <f>IF((((COB_CA!$B$18-I399)-J399)&gt;D399),I399+J399+K399,COB_CA!$B$18)</f>
        <v/>
      </c>
      <c r="I399" s="14">
        <f>MIN(COB_CA!$B$18,(E399+F399))</f>
        <v/>
      </c>
      <c r="J399" s="14">
        <f>MIN((COB_CA!$B$18-I399),G399)</f>
        <v/>
      </c>
      <c r="K399" s="14">
        <f>MIN(((COB_CA!$B$18-I399)-J399),D399)</f>
        <v/>
      </c>
      <c r="L399" s="14">
        <f>E399+F399-I399</f>
        <v/>
      </c>
      <c r="M399" s="14">
        <f>G399-J399</f>
        <v/>
      </c>
      <c r="N399" s="14">
        <f>D399-K399</f>
        <v/>
      </c>
      <c r="O399" s="6">
        <f>AND(D399&gt;0,B399&lt;=COB_CA!$B$20)</f>
        <v/>
      </c>
    </row>
    <row r="400">
      <c r="A400" s="6" t="n">
        <v>396</v>
      </c>
      <c r="B400" s="15">
        <f>IF(COB_CA!$B$38=12,DATE(YEAR(COB_CA!$B$19)+INT((MONTH(COB_CA!$B$19)-1+395)/12),MOD(MONTH(COB_CA!$B$19)-1+395,12)+1,1)+(DAY(COB_CA!$B$19)-1),IF(COB_CA!$B$38=24,COB_CA!$B$19+ROUND((395*365.25)/24,0),IF(COB_CA!$B$38=26,COB_CA!$B$19+5530,COB_CA!$B$19+2765)))</f>
        <v/>
      </c>
      <c r="C400" s="12">
        <f>B400-B399</f>
        <v/>
      </c>
      <c r="D400" s="14">
        <f>N399</f>
        <v/>
      </c>
      <c r="E400" s="14">
        <f>D400*COB_CA!$B$40/100*(IF(YEAR(B399)=YEAR(B400),(B400-B399)/IF(AND(MOD(YEAR(B400),4)=0,OR(MOD(YEAR(B400),100)&lt;&gt;0,MOD(YEAR(B400),400)=0)),366,365),(((DATE(YEAR(B399)+1,1,1)))-B399)/IF(AND(MOD(YEAR(B399),4)=0,OR(MOD(YEAR(B399),100)&lt;&gt;0,MOD(YEAR(B399),400)=0)),366,365)+(B400-((DATE(YEAR(B399)+1,1,1))))/IF(AND(MOD(YEAR(B400),4)=0,OR(MOD(YEAR(B400),100)&lt;&gt;0,MOD(YEAR(B400),400)=0)),366,365)))</f>
        <v/>
      </c>
      <c r="F400" s="14">
        <f>L399</f>
        <v/>
      </c>
      <c r="G400" s="14">
        <f>M399</f>
        <v/>
      </c>
      <c r="H400" s="14">
        <f>IF((((COB_CA!$B$18-I400)-J400)&gt;D400),I400+J400+K400,COB_CA!$B$18)</f>
        <v/>
      </c>
      <c r="I400" s="14">
        <f>MIN(COB_CA!$B$18,(E400+F400))</f>
        <v/>
      </c>
      <c r="J400" s="14">
        <f>MIN((COB_CA!$B$18-I400),G400)</f>
        <v/>
      </c>
      <c r="K400" s="14">
        <f>MIN(((COB_CA!$B$18-I400)-J400),D400)</f>
        <v/>
      </c>
      <c r="L400" s="14">
        <f>E400+F400-I400</f>
        <v/>
      </c>
      <c r="M400" s="14">
        <f>G400-J400</f>
        <v/>
      </c>
      <c r="N400" s="14">
        <f>D400-K400</f>
        <v/>
      </c>
      <c r="O400" s="6">
        <f>AND(D400&gt;0,B400&lt;=COB_CA!$B$20)</f>
        <v/>
      </c>
    </row>
    <row r="401">
      <c r="A401" s="6" t="n">
        <v>397</v>
      </c>
      <c r="B401" s="15">
        <f>IF(COB_CA!$B$38=12,DATE(YEAR(COB_CA!$B$19)+INT((MONTH(COB_CA!$B$19)-1+396)/12),MOD(MONTH(COB_CA!$B$19)-1+396,12)+1,1)+(DAY(COB_CA!$B$19)-1),IF(COB_CA!$B$38=24,COB_CA!$B$19+ROUND((396*365.25)/24,0),IF(COB_CA!$B$38=26,COB_CA!$B$19+5544,COB_CA!$B$19+2772)))</f>
        <v/>
      </c>
      <c r="C401" s="12">
        <f>B401-B400</f>
        <v/>
      </c>
      <c r="D401" s="14">
        <f>N400</f>
        <v/>
      </c>
      <c r="E401" s="14">
        <f>D401*COB_CA!$B$40/100*(IF(YEAR(B400)=YEAR(B401),(B401-B400)/IF(AND(MOD(YEAR(B401),4)=0,OR(MOD(YEAR(B401),100)&lt;&gt;0,MOD(YEAR(B401),400)=0)),366,365),(((DATE(YEAR(B400)+1,1,1)))-B400)/IF(AND(MOD(YEAR(B400),4)=0,OR(MOD(YEAR(B400),100)&lt;&gt;0,MOD(YEAR(B400),400)=0)),366,365)+(B401-((DATE(YEAR(B400)+1,1,1))))/IF(AND(MOD(YEAR(B401),4)=0,OR(MOD(YEAR(B401),100)&lt;&gt;0,MOD(YEAR(B401),400)=0)),366,365)))</f>
        <v/>
      </c>
      <c r="F401" s="14">
        <f>L400</f>
        <v/>
      </c>
      <c r="G401" s="14">
        <f>M400</f>
        <v/>
      </c>
      <c r="H401" s="14">
        <f>IF((((COB_CA!$B$18-I401)-J401)&gt;D401),I401+J401+K401,COB_CA!$B$18)</f>
        <v/>
      </c>
      <c r="I401" s="14">
        <f>MIN(COB_CA!$B$18,(E401+F401))</f>
        <v/>
      </c>
      <c r="J401" s="14">
        <f>MIN((COB_CA!$B$18-I401),G401)</f>
        <v/>
      </c>
      <c r="K401" s="14">
        <f>MIN(((COB_CA!$B$18-I401)-J401),D401)</f>
        <v/>
      </c>
      <c r="L401" s="14">
        <f>E401+F401-I401</f>
        <v/>
      </c>
      <c r="M401" s="14">
        <f>G401-J401</f>
        <v/>
      </c>
      <c r="N401" s="14">
        <f>D401-K401</f>
        <v/>
      </c>
      <c r="O401" s="6">
        <f>AND(D401&gt;0,B401&lt;=COB_CA!$B$20)</f>
        <v/>
      </c>
    </row>
    <row r="402">
      <c r="A402" s="6" t="n">
        <v>398</v>
      </c>
      <c r="B402" s="15">
        <f>IF(COB_CA!$B$38=12,DATE(YEAR(COB_CA!$B$19)+INT((MONTH(COB_CA!$B$19)-1+397)/12),MOD(MONTH(COB_CA!$B$19)-1+397,12)+1,1)+(DAY(COB_CA!$B$19)-1),IF(COB_CA!$B$38=24,COB_CA!$B$19+ROUND((397*365.25)/24,0),IF(COB_CA!$B$38=26,COB_CA!$B$19+5558,COB_CA!$B$19+2779)))</f>
        <v/>
      </c>
      <c r="C402" s="12">
        <f>B402-B401</f>
        <v/>
      </c>
      <c r="D402" s="14">
        <f>N401</f>
        <v/>
      </c>
      <c r="E402" s="14">
        <f>D402*COB_CA!$B$40/100*(IF(YEAR(B401)=YEAR(B402),(B402-B401)/IF(AND(MOD(YEAR(B402),4)=0,OR(MOD(YEAR(B402),100)&lt;&gt;0,MOD(YEAR(B402),400)=0)),366,365),(((DATE(YEAR(B401)+1,1,1)))-B401)/IF(AND(MOD(YEAR(B401),4)=0,OR(MOD(YEAR(B401),100)&lt;&gt;0,MOD(YEAR(B401),400)=0)),366,365)+(B402-((DATE(YEAR(B401)+1,1,1))))/IF(AND(MOD(YEAR(B402),4)=0,OR(MOD(YEAR(B402),100)&lt;&gt;0,MOD(YEAR(B402),400)=0)),366,365)))</f>
        <v/>
      </c>
      <c r="F402" s="14">
        <f>L401</f>
        <v/>
      </c>
      <c r="G402" s="14">
        <f>M401</f>
        <v/>
      </c>
      <c r="H402" s="14">
        <f>IF((((COB_CA!$B$18-I402)-J402)&gt;D402),I402+J402+K402,COB_CA!$B$18)</f>
        <v/>
      </c>
      <c r="I402" s="14">
        <f>MIN(COB_CA!$B$18,(E402+F402))</f>
        <v/>
      </c>
      <c r="J402" s="14">
        <f>MIN((COB_CA!$B$18-I402),G402)</f>
        <v/>
      </c>
      <c r="K402" s="14">
        <f>MIN(((COB_CA!$B$18-I402)-J402),D402)</f>
        <v/>
      </c>
      <c r="L402" s="14">
        <f>E402+F402-I402</f>
        <v/>
      </c>
      <c r="M402" s="14">
        <f>G402-J402</f>
        <v/>
      </c>
      <c r="N402" s="14">
        <f>D402-K402</f>
        <v/>
      </c>
      <c r="O402" s="6">
        <f>AND(D402&gt;0,B402&lt;=COB_CA!$B$20)</f>
        <v/>
      </c>
    </row>
    <row r="403">
      <c r="A403" s="6" t="n">
        <v>399</v>
      </c>
      <c r="B403" s="15">
        <f>IF(COB_CA!$B$38=12,DATE(YEAR(COB_CA!$B$19)+INT((MONTH(COB_CA!$B$19)-1+398)/12),MOD(MONTH(COB_CA!$B$19)-1+398,12)+1,1)+(DAY(COB_CA!$B$19)-1),IF(COB_CA!$B$38=24,COB_CA!$B$19+ROUND((398*365.25)/24,0),IF(COB_CA!$B$38=26,COB_CA!$B$19+5572,COB_CA!$B$19+2786)))</f>
        <v/>
      </c>
      <c r="C403" s="12">
        <f>B403-B402</f>
        <v/>
      </c>
      <c r="D403" s="14">
        <f>N402</f>
        <v/>
      </c>
      <c r="E403" s="14">
        <f>D403*COB_CA!$B$40/100*(IF(YEAR(B402)=YEAR(B403),(B403-B402)/IF(AND(MOD(YEAR(B403),4)=0,OR(MOD(YEAR(B403),100)&lt;&gt;0,MOD(YEAR(B403),400)=0)),366,365),(((DATE(YEAR(B402)+1,1,1)))-B402)/IF(AND(MOD(YEAR(B402),4)=0,OR(MOD(YEAR(B402),100)&lt;&gt;0,MOD(YEAR(B402),400)=0)),366,365)+(B403-((DATE(YEAR(B402)+1,1,1))))/IF(AND(MOD(YEAR(B403),4)=0,OR(MOD(YEAR(B403),100)&lt;&gt;0,MOD(YEAR(B403),400)=0)),366,365)))</f>
        <v/>
      </c>
      <c r="F403" s="14">
        <f>L402</f>
        <v/>
      </c>
      <c r="G403" s="14">
        <f>M402</f>
        <v/>
      </c>
      <c r="H403" s="14">
        <f>IF((((COB_CA!$B$18-I403)-J403)&gt;D403),I403+J403+K403,COB_CA!$B$18)</f>
        <v/>
      </c>
      <c r="I403" s="14">
        <f>MIN(COB_CA!$B$18,(E403+F403))</f>
        <v/>
      </c>
      <c r="J403" s="14">
        <f>MIN((COB_CA!$B$18-I403),G403)</f>
        <v/>
      </c>
      <c r="K403" s="14">
        <f>MIN(((COB_CA!$B$18-I403)-J403),D403)</f>
        <v/>
      </c>
      <c r="L403" s="14">
        <f>E403+F403-I403</f>
        <v/>
      </c>
      <c r="M403" s="14">
        <f>G403-J403</f>
        <v/>
      </c>
      <c r="N403" s="14">
        <f>D403-K403</f>
        <v/>
      </c>
      <c r="O403" s="6">
        <f>AND(D403&gt;0,B403&lt;=COB_CA!$B$20)</f>
        <v/>
      </c>
    </row>
    <row r="404">
      <c r="A404" s="6" t="n">
        <v>400</v>
      </c>
      <c r="B404" s="15">
        <f>IF(COB_CA!$B$38=12,DATE(YEAR(COB_CA!$B$19)+INT((MONTH(COB_CA!$B$19)-1+399)/12),MOD(MONTH(COB_CA!$B$19)-1+399,12)+1,1)+(DAY(COB_CA!$B$19)-1),IF(COB_CA!$B$38=24,COB_CA!$B$19+ROUND((399*365.25)/24,0),IF(COB_CA!$B$38=26,COB_CA!$B$19+5586,COB_CA!$B$19+2793)))</f>
        <v/>
      </c>
      <c r="C404" s="12">
        <f>B404-B403</f>
        <v/>
      </c>
      <c r="D404" s="14">
        <f>N403</f>
        <v/>
      </c>
      <c r="E404" s="14">
        <f>D404*COB_CA!$B$40/100*(IF(YEAR(B403)=YEAR(B404),(B404-B403)/IF(AND(MOD(YEAR(B404),4)=0,OR(MOD(YEAR(B404),100)&lt;&gt;0,MOD(YEAR(B404),400)=0)),366,365),(((DATE(YEAR(B403)+1,1,1)))-B403)/IF(AND(MOD(YEAR(B403),4)=0,OR(MOD(YEAR(B403),100)&lt;&gt;0,MOD(YEAR(B403),400)=0)),366,365)+(B404-((DATE(YEAR(B403)+1,1,1))))/IF(AND(MOD(YEAR(B404),4)=0,OR(MOD(YEAR(B404),100)&lt;&gt;0,MOD(YEAR(B404),400)=0)),366,365)))</f>
        <v/>
      </c>
      <c r="F404" s="14">
        <f>L403</f>
        <v/>
      </c>
      <c r="G404" s="14">
        <f>M403</f>
        <v/>
      </c>
      <c r="H404" s="14">
        <f>IF((((COB_CA!$B$18-I404)-J404)&gt;D404),I404+J404+K404,COB_CA!$B$18)</f>
        <v/>
      </c>
      <c r="I404" s="14">
        <f>MIN(COB_CA!$B$18,(E404+F404))</f>
        <v/>
      </c>
      <c r="J404" s="14">
        <f>MIN((COB_CA!$B$18-I404),G404)</f>
        <v/>
      </c>
      <c r="K404" s="14">
        <f>MIN(((COB_CA!$B$18-I404)-J404),D404)</f>
        <v/>
      </c>
      <c r="L404" s="14">
        <f>E404+F404-I404</f>
        <v/>
      </c>
      <c r="M404" s="14">
        <f>G404-J404</f>
        <v/>
      </c>
      <c r="N404" s="14">
        <f>D404-K404</f>
        <v/>
      </c>
      <c r="O404" s="6">
        <f>AND(D404&gt;0,B404&lt;=COB_CA!$B$20)</f>
        <v/>
      </c>
    </row>
    <row r="405">
      <c r="A405" s="6" t="n">
        <v>401</v>
      </c>
      <c r="B405" s="15">
        <f>IF(COB_CA!$B$38=12,DATE(YEAR(COB_CA!$B$19)+INT((MONTH(COB_CA!$B$19)-1+400)/12),MOD(MONTH(COB_CA!$B$19)-1+400,12)+1,1)+(DAY(COB_CA!$B$19)-1),IF(COB_CA!$B$38=24,COB_CA!$B$19+ROUND((400*365.25)/24,0),IF(COB_CA!$B$38=26,COB_CA!$B$19+5600,COB_CA!$B$19+2800)))</f>
        <v/>
      </c>
      <c r="C405" s="12">
        <f>B405-B404</f>
        <v/>
      </c>
      <c r="D405" s="14">
        <f>N404</f>
        <v/>
      </c>
      <c r="E405" s="14">
        <f>D405*COB_CA!$B$40/100*(IF(YEAR(B404)=YEAR(B405),(B405-B404)/IF(AND(MOD(YEAR(B405),4)=0,OR(MOD(YEAR(B405),100)&lt;&gt;0,MOD(YEAR(B405),400)=0)),366,365),(((DATE(YEAR(B404)+1,1,1)))-B404)/IF(AND(MOD(YEAR(B404),4)=0,OR(MOD(YEAR(B404),100)&lt;&gt;0,MOD(YEAR(B404),400)=0)),366,365)+(B405-((DATE(YEAR(B404)+1,1,1))))/IF(AND(MOD(YEAR(B405),4)=0,OR(MOD(YEAR(B405),100)&lt;&gt;0,MOD(YEAR(B405),400)=0)),366,365)))</f>
        <v/>
      </c>
      <c r="F405" s="14">
        <f>L404</f>
        <v/>
      </c>
      <c r="G405" s="14">
        <f>M404</f>
        <v/>
      </c>
      <c r="H405" s="14">
        <f>IF((((COB_CA!$B$18-I405)-J405)&gt;D405),I405+J405+K405,COB_CA!$B$18)</f>
        <v/>
      </c>
      <c r="I405" s="14">
        <f>MIN(COB_CA!$B$18,(E405+F405))</f>
        <v/>
      </c>
      <c r="J405" s="14">
        <f>MIN((COB_CA!$B$18-I405),G405)</f>
        <v/>
      </c>
      <c r="K405" s="14">
        <f>MIN(((COB_CA!$B$18-I405)-J405),D405)</f>
        <v/>
      </c>
      <c r="L405" s="14">
        <f>E405+F405-I405</f>
        <v/>
      </c>
      <c r="M405" s="14">
        <f>G405-J405</f>
        <v/>
      </c>
      <c r="N405" s="14">
        <f>D405-K405</f>
        <v/>
      </c>
      <c r="O405" s="6">
        <f>AND(D405&gt;0,B405&lt;=COB_CA!$B$20)</f>
        <v/>
      </c>
    </row>
    <row r="406">
      <c r="A406" s="6" t="n">
        <v>402</v>
      </c>
      <c r="B406" s="15">
        <f>IF(COB_CA!$B$38=12,DATE(YEAR(COB_CA!$B$19)+INT((MONTH(COB_CA!$B$19)-1+401)/12),MOD(MONTH(COB_CA!$B$19)-1+401,12)+1,1)+(DAY(COB_CA!$B$19)-1),IF(COB_CA!$B$38=24,COB_CA!$B$19+ROUND((401*365.25)/24,0),IF(COB_CA!$B$38=26,COB_CA!$B$19+5614,COB_CA!$B$19+2807)))</f>
        <v/>
      </c>
      <c r="C406" s="12">
        <f>B406-B405</f>
        <v/>
      </c>
      <c r="D406" s="14">
        <f>N405</f>
        <v/>
      </c>
      <c r="E406" s="14">
        <f>D406*COB_CA!$B$40/100*(IF(YEAR(B405)=YEAR(B406),(B406-B405)/IF(AND(MOD(YEAR(B406),4)=0,OR(MOD(YEAR(B406),100)&lt;&gt;0,MOD(YEAR(B406),400)=0)),366,365),(((DATE(YEAR(B405)+1,1,1)))-B405)/IF(AND(MOD(YEAR(B405),4)=0,OR(MOD(YEAR(B405),100)&lt;&gt;0,MOD(YEAR(B405),400)=0)),366,365)+(B406-((DATE(YEAR(B405)+1,1,1))))/IF(AND(MOD(YEAR(B406),4)=0,OR(MOD(YEAR(B406),100)&lt;&gt;0,MOD(YEAR(B406),400)=0)),366,365)))</f>
        <v/>
      </c>
      <c r="F406" s="14">
        <f>L405</f>
        <v/>
      </c>
      <c r="G406" s="14">
        <f>M405</f>
        <v/>
      </c>
      <c r="H406" s="14">
        <f>IF((((COB_CA!$B$18-I406)-J406)&gt;D406),I406+J406+K406,COB_CA!$B$18)</f>
        <v/>
      </c>
      <c r="I406" s="14">
        <f>MIN(COB_CA!$B$18,(E406+F406))</f>
        <v/>
      </c>
      <c r="J406" s="14">
        <f>MIN((COB_CA!$B$18-I406),G406)</f>
        <v/>
      </c>
      <c r="K406" s="14">
        <f>MIN(((COB_CA!$B$18-I406)-J406),D406)</f>
        <v/>
      </c>
      <c r="L406" s="14">
        <f>E406+F406-I406</f>
        <v/>
      </c>
      <c r="M406" s="14">
        <f>G406-J406</f>
        <v/>
      </c>
      <c r="N406" s="14">
        <f>D406-K406</f>
        <v/>
      </c>
      <c r="O406" s="6">
        <f>AND(D406&gt;0,B406&lt;=COB_CA!$B$20)</f>
        <v/>
      </c>
    </row>
    <row r="407">
      <c r="A407" s="6" t="n">
        <v>403</v>
      </c>
      <c r="B407" s="15">
        <f>IF(COB_CA!$B$38=12,DATE(YEAR(COB_CA!$B$19)+INT((MONTH(COB_CA!$B$19)-1+402)/12),MOD(MONTH(COB_CA!$B$19)-1+402,12)+1,1)+(DAY(COB_CA!$B$19)-1),IF(COB_CA!$B$38=24,COB_CA!$B$19+ROUND((402*365.25)/24,0),IF(COB_CA!$B$38=26,COB_CA!$B$19+5628,COB_CA!$B$19+2814)))</f>
        <v/>
      </c>
      <c r="C407" s="12">
        <f>B407-B406</f>
        <v/>
      </c>
      <c r="D407" s="14">
        <f>N406</f>
        <v/>
      </c>
      <c r="E407" s="14">
        <f>D407*COB_CA!$B$40/100*(IF(YEAR(B406)=YEAR(B407),(B407-B406)/IF(AND(MOD(YEAR(B407),4)=0,OR(MOD(YEAR(B407),100)&lt;&gt;0,MOD(YEAR(B407),400)=0)),366,365),(((DATE(YEAR(B406)+1,1,1)))-B406)/IF(AND(MOD(YEAR(B406),4)=0,OR(MOD(YEAR(B406),100)&lt;&gt;0,MOD(YEAR(B406),400)=0)),366,365)+(B407-((DATE(YEAR(B406)+1,1,1))))/IF(AND(MOD(YEAR(B407),4)=0,OR(MOD(YEAR(B407),100)&lt;&gt;0,MOD(YEAR(B407),400)=0)),366,365)))</f>
        <v/>
      </c>
      <c r="F407" s="14">
        <f>L406</f>
        <v/>
      </c>
      <c r="G407" s="14">
        <f>M406</f>
        <v/>
      </c>
      <c r="H407" s="14">
        <f>IF((((COB_CA!$B$18-I407)-J407)&gt;D407),I407+J407+K407,COB_CA!$B$18)</f>
        <v/>
      </c>
      <c r="I407" s="14">
        <f>MIN(COB_CA!$B$18,(E407+F407))</f>
        <v/>
      </c>
      <c r="J407" s="14">
        <f>MIN((COB_CA!$B$18-I407),G407)</f>
        <v/>
      </c>
      <c r="K407" s="14">
        <f>MIN(((COB_CA!$B$18-I407)-J407),D407)</f>
        <v/>
      </c>
      <c r="L407" s="14">
        <f>E407+F407-I407</f>
        <v/>
      </c>
      <c r="M407" s="14">
        <f>G407-J407</f>
        <v/>
      </c>
      <c r="N407" s="14">
        <f>D407-K407</f>
        <v/>
      </c>
      <c r="O407" s="6">
        <f>AND(D407&gt;0,B407&lt;=COB_CA!$B$20)</f>
        <v/>
      </c>
    </row>
    <row r="408">
      <c r="A408" s="6" t="n">
        <v>404</v>
      </c>
      <c r="B408" s="15">
        <f>IF(COB_CA!$B$38=12,DATE(YEAR(COB_CA!$B$19)+INT((MONTH(COB_CA!$B$19)-1+403)/12),MOD(MONTH(COB_CA!$B$19)-1+403,12)+1,1)+(DAY(COB_CA!$B$19)-1),IF(COB_CA!$B$38=24,COB_CA!$B$19+ROUND((403*365.25)/24,0),IF(COB_CA!$B$38=26,COB_CA!$B$19+5642,COB_CA!$B$19+2821)))</f>
        <v/>
      </c>
      <c r="C408" s="12">
        <f>B408-B407</f>
        <v/>
      </c>
      <c r="D408" s="14">
        <f>N407</f>
        <v/>
      </c>
      <c r="E408" s="14">
        <f>D408*COB_CA!$B$40/100*(IF(YEAR(B407)=YEAR(B408),(B408-B407)/IF(AND(MOD(YEAR(B408),4)=0,OR(MOD(YEAR(B408),100)&lt;&gt;0,MOD(YEAR(B408),400)=0)),366,365),(((DATE(YEAR(B407)+1,1,1)))-B407)/IF(AND(MOD(YEAR(B407),4)=0,OR(MOD(YEAR(B407),100)&lt;&gt;0,MOD(YEAR(B407),400)=0)),366,365)+(B408-((DATE(YEAR(B407)+1,1,1))))/IF(AND(MOD(YEAR(B408),4)=0,OR(MOD(YEAR(B408),100)&lt;&gt;0,MOD(YEAR(B408),400)=0)),366,365)))</f>
        <v/>
      </c>
      <c r="F408" s="14">
        <f>L407</f>
        <v/>
      </c>
      <c r="G408" s="14">
        <f>M407</f>
        <v/>
      </c>
      <c r="H408" s="14">
        <f>IF((((COB_CA!$B$18-I408)-J408)&gt;D408),I408+J408+K408,COB_CA!$B$18)</f>
        <v/>
      </c>
      <c r="I408" s="14">
        <f>MIN(COB_CA!$B$18,(E408+F408))</f>
        <v/>
      </c>
      <c r="J408" s="14">
        <f>MIN((COB_CA!$B$18-I408),G408)</f>
        <v/>
      </c>
      <c r="K408" s="14">
        <f>MIN(((COB_CA!$B$18-I408)-J408),D408)</f>
        <v/>
      </c>
      <c r="L408" s="14">
        <f>E408+F408-I408</f>
        <v/>
      </c>
      <c r="M408" s="14">
        <f>G408-J408</f>
        <v/>
      </c>
      <c r="N408" s="14">
        <f>D408-K408</f>
        <v/>
      </c>
      <c r="O408" s="6">
        <f>AND(D408&gt;0,B408&lt;=COB_CA!$B$20)</f>
        <v/>
      </c>
    </row>
    <row r="409">
      <c r="A409" s="6" t="n">
        <v>405</v>
      </c>
      <c r="B409" s="15">
        <f>IF(COB_CA!$B$38=12,DATE(YEAR(COB_CA!$B$19)+INT((MONTH(COB_CA!$B$19)-1+404)/12),MOD(MONTH(COB_CA!$B$19)-1+404,12)+1,1)+(DAY(COB_CA!$B$19)-1),IF(COB_CA!$B$38=24,COB_CA!$B$19+ROUND((404*365.25)/24,0),IF(COB_CA!$B$38=26,COB_CA!$B$19+5656,COB_CA!$B$19+2828)))</f>
        <v/>
      </c>
      <c r="C409" s="12">
        <f>B409-B408</f>
        <v/>
      </c>
      <c r="D409" s="14">
        <f>N408</f>
        <v/>
      </c>
      <c r="E409" s="14">
        <f>D409*COB_CA!$B$40/100*(IF(YEAR(B408)=YEAR(B409),(B409-B408)/IF(AND(MOD(YEAR(B409),4)=0,OR(MOD(YEAR(B409),100)&lt;&gt;0,MOD(YEAR(B409),400)=0)),366,365),(((DATE(YEAR(B408)+1,1,1)))-B408)/IF(AND(MOD(YEAR(B408),4)=0,OR(MOD(YEAR(B408),100)&lt;&gt;0,MOD(YEAR(B408),400)=0)),366,365)+(B409-((DATE(YEAR(B408)+1,1,1))))/IF(AND(MOD(YEAR(B409),4)=0,OR(MOD(YEAR(B409),100)&lt;&gt;0,MOD(YEAR(B409),400)=0)),366,365)))</f>
        <v/>
      </c>
      <c r="F409" s="14">
        <f>L408</f>
        <v/>
      </c>
      <c r="G409" s="14">
        <f>M408</f>
        <v/>
      </c>
      <c r="H409" s="14">
        <f>IF((((COB_CA!$B$18-I409)-J409)&gt;D409),I409+J409+K409,COB_CA!$B$18)</f>
        <v/>
      </c>
      <c r="I409" s="14">
        <f>MIN(COB_CA!$B$18,(E409+F409))</f>
        <v/>
      </c>
      <c r="J409" s="14">
        <f>MIN((COB_CA!$B$18-I409),G409)</f>
        <v/>
      </c>
      <c r="K409" s="14">
        <f>MIN(((COB_CA!$B$18-I409)-J409),D409)</f>
        <v/>
      </c>
      <c r="L409" s="14">
        <f>E409+F409-I409</f>
        <v/>
      </c>
      <c r="M409" s="14">
        <f>G409-J409</f>
        <v/>
      </c>
      <c r="N409" s="14">
        <f>D409-K409</f>
        <v/>
      </c>
      <c r="O409" s="6">
        <f>AND(D409&gt;0,B409&lt;=COB_CA!$B$20)</f>
        <v/>
      </c>
    </row>
    <row r="410">
      <c r="A410" s="6" t="n">
        <v>406</v>
      </c>
      <c r="B410" s="15">
        <f>IF(COB_CA!$B$38=12,DATE(YEAR(COB_CA!$B$19)+INT((MONTH(COB_CA!$B$19)-1+405)/12),MOD(MONTH(COB_CA!$B$19)-1+405,12)+1,1)+(DAY(COB_CA!$B$19)-1),IF(COB_CA!$B$38=24,COB_CA!$B$19+ROUND((405*365.25)/24,0),IF(COB_CA!$B$38=26,COB_CA!$B$19+5670,COB_CA!$B$19+2835)))</f>
        <v/>
      </c>
      <c r="C410" s="12">
        <f>B410-B409</f>
        <v/>
      </c>
      <c r="D410" s="14">
        <f>N409</f>
        <v/>
      </c>
      <c r="E410" s="14">
        <f>D410*COB_CA!$B$40/100*(IF(YEAR(B409)=YEAR(B410),(B410-B409)/IF(AND(MOD(YEAR(B410),4)=0,OR(MOD(YEAR(B410),100)&lt;&gt;0,MOD(YEAR(B410),400)=0)),366,365),(((DATE(YEAR(B409)+1,1,1)))-B409)/IF(AND(MOD(YEAR(B409),4)=0,OR(MOD(YEAR(B409),100)&lt;&gt;0,MOD(YEAR(B409),400)=0)),366,365)+(B410-((DATE(YEAR(B409)+1,1,1))))/IF(AND(MOD(YEAR(B410),4)=0,OR(MOD(YEAR(B410),100)&lt;&gt;0,MOD(YEAR(B410),400)=0)),366,365)))</f>
        <v/>
      </c>
      <c r="F410" s="14">
        <f>L409</f>
        <v/>
      </c>
      <c r="G410" s="14">
        <f>M409</f>
        <v/>
      </c>
      <c r="H410" s="14">
        <f>IF((((COB_CA!$B$18-I410)-J410)&gt;D410),I410+J410+K410,COB_CA!$B$18)</f>
        <v/>
      </c>
      <c r="I410" s="14">
        <f>MIN(COB_CA!$B$18,(E410+F410))</f>
        <v/>
      </c>
      <c r="J410" s="14">
        <f>MIN((COB_CA!$B$18-I410),G410)</f>
        <v/>
      </c>
      <c r="K410" s="14">
        <f>MIN(((COB_CA!$B$18-I410)-J410),D410)</f>
        <v/>
      </c>
      <c r="L410" s="14">
        <f>E410+F410-I410</f>
        <v/>
      </c>
      <c r="M410" s="14">
        <f>G410-J410</f>
        <v/>
      </c>
      <c r="N410" s="14">
        <f>D410-K410</f>
        <v/>
      </c>
      <c r="O410" s="6">
        <f>AND(D410&gt;0,B410&lt;=COB_CA!$B$20)</f>
        <v/>
      </c>
    </row>
    <row r="411">
      <c r="A411" s="6" t="n">
        <v>407</v>
      </c>
      <c r="B411" s="15">
        <f>IF(COB_CA!$B$38=12,DATE(YEAR(COB_CA!$B$19)+INT((MONTH(COB_CA!$B$19)-1+406)/12),MOD(MONTH(COB_CA!$B$19)-1+406,12)+1,1)+(DAY(COB_CA!$B$19)-1),IF(COB_CA!$B$38=24,COB_CA!$B$19+ROUND((406*365.25)/24,0),IF(COB_CA!$B$38=26,COB_CA!$B$19+5684,COB_CA!$B$19+2842)))</f>
        <v/>
      </c>
      <c r="C411" s="12">
        <f>B411-B410</f>
        <v/>
      </c>
      <c r="D411" s="14">
        <f>N410</f>
        <v/>
      </c>
      <c r="E411" s="14">
        <f>D411*COB_CA!$B$40/100*(IF(YEAR(B410)=YEAR(B411),(B411-B410)/IF(AND(MOD(YEAR(B411),4)=0,OR(MOD(YEAR(B411),100)&lt;&gt;0,MOD(YEAR(B411),400)=0)),366,365),(((DATE(YEAR(B410)+1,1,1)))-B410)/IF(AND(MOD(YEAR(B410),4)=0,OR(MOD(YEAR(B410),100)&lt;&gt;0,MOD(YEAR(B410),400)=0)),366,365)+(B411-((DATE(YEAR(B410)+1,1,1))))/IF(AND(MOD(YEAR(B411),4)=0,OR(MOD(YEAR(B411),100)&lt;&gt;0,MOD(YEAR(B411),400)=0)),366,365)))</f>
        <v/>
      </c>
      <c r="F411" s="14">
        <f>L410</f>
        <v/>
      </c>
      <c r="G411" s="14">
        <f>M410</f>
        <v/>
      </c>
      <c r="H411" s="14">
        <f>IF((((COB_CA!$B$18-I411)-J411)&gt;D411),I411+J411+K411,COB_CA!$B$18)</f>
        <v/>
      </c>
      <c r="I411" s="14">
        <f>MIN(COB_CA!$B$18,(E411+F411))</f>
        <v/>
      </c>
      <c r="J411" s="14">
        <f>MIN((COB_CA!$B$18-I411),G411)</f>
        <v/>
      </c>
      <c r="K411" s="14">
        <f>MIN(((COB_CA!$B$18-I411)-J411),D411)</f>
        <v/>
      </c>
      <c r="L411" s="14">
        <f>E411+F411-I411</f>
        <v/>
      </c>
      <c r="M411" s="14">
        <f>G411-J411</f>
        <v/>
      </c>
      <c r="N411" s="14">
        <f>D411-K411</f>
        <v/>
      </c>
      <c r="O411" s="6">
        <f>AND(D411&gt;0,B411&lt;=COB_CA!$B$20)</f>
        <v/>
      </c>
    </row>
    <row r="412">
      <c r="A412" s="6" t="n">
        <v>408</v>
      </c>
      <c r="B412" s="15">
        <f>IF(COB_CA!$B$38=12,DATE(YEAR(COB_CA!$B$19)+INT((MONTH(COB_CA!$B$19)-1+407)/12),MOD(MONTH(COB_CA!$B$19)-1+407,12)+1,1)+(DAY(COB_CA!$B$19)-1),IF(COB_CA!$B$38=24,COB_CA!$B$19+ROUND((407*365.25)/24,0),IF(COB_CA!$B$38=26,COB_CA!$B$19+5698,COB_CA!$B$19+2849)))</f>
        <v/>
      </c>
      <c r="C412" s="12">
        <f>B412-B411</f>
        <v/>
      </c>
      <c r="D412" s="14">
        <f>N411</f>
        <v/>
      </c>
      <c r="E412" s="14">
        <f>D412*COB_CA!$B$40/100*(IF(YEAR(B411)=YEAR(B412),(B412-B411)/IF(AND(MOD(YEAR(B412),4)=0,OR(MOD(YEAR(B412),100)&lt;&gt;0,MOD(YEAR(B412),400)=0)),366,365),(((DATE(YEAR(B411)+1,1,1)))-B411)/IF(AND(MOD(YEAR(B411),4)=0,OR(MOD(YEAR(B411),100)&lt;&gt;0,MOD(YEAR(B411),400)=0)),366,365)+(B412-((DATE(YEAR(B411)+1,1,1))))/IF(AND(MOD(YEAR(B412),4)=0,OR(MOD(YEAR(B412),100)&lt;&gt;0,MOD(YEAR(B412),400)=0)),366,365)))</f>
        <v/>
      </c>
      <c r="F412" s="14">
        <f>L411</f>
        <v/>
      </c>
      <c r="G412" s="14">
        <f>M411</f>
        <v/>
      </c>
      <c r="H412" s="14">
        <f>IF((((COB_CA!$B$18-I412)-J412)&gt;D412),I412+J412+K412,COB_CA!$B$18)</f>
        <v/>
      </c>
      <c r="I412" s="14">
        <f>MIN(COB_CA!$B$18,(E412+F412))</f>
        <v/>
      </c>
      <c r="J412" s="14">
        <f>MIN((COB_CA!$B$18-I412),G412)</f>
        <v/>
      </c>
      <c r="K412" s="14">
        <f>MIN(((COB_CA!$B$18-I412)-J412),D412)</f>
        <v/>
      </c>
      <c r="L412" s="14">
        <f>E412+F412-I412</f>
        <v/>
      </c>
      <c r="M412" s="14">
        <f>G412-J412</f>
        <v/>
      </c>
      <c r="N412" s="14">
        <f>D412-K412</f>
        <v/>
      </c>
      <c r="O412" s="6">
        <f>AND(D412&gt;0,B412&lt;=COB_CA!$B$20)</f>
        <v/>
      </c>
    </row>
    <row r="413">
      <c r="A413" s="6" t="n">
        <v>409</v>
      </c>
      <c r="B413" s="15">
        <f>IF(COB_CA!$B$38=12,DATE(YEAR(COB_CA!$B$19)+INT((MONTH(COB_CA!$B$19)-1+408)/12),MOD(MONTH(COB_CA!$B$19)-1+408,12)+1,1)+(DAY(COB_CA!$B$19)-1),IF(COB_CA!$B$38=24,COB_CA!$B$19+ROUND((408*365.25)/24,0),IF(COB_CA!$B$38=26,COB_CA!$B$19+5712,COB_CA!$B$19+2856)))</f>
        <v/>
      </c>
      <c r="C413" s="12">
        <f>B413-B412</f>
        <v/>
      </c>
      <c r="D413" s="14">
        <f>N412</f>
        <v/>
      </c>
      <c r="E413" s="14">
        <f>D413*COB_CA!$B$40/100*(IF(YEAR(B412)=YEAR(B413),(B413-B412)/IF(AND(MOD(YEAR(B413),4)=0,OR(MOD(YEAR(B413),100)&lt;&gt;0,MOD(YEAR(B413),400)=0)),366,365),(((DATE(YEAR(B412)+1,1,1)))-B412)/IF(AND(MOD(YEAR(B412),4)=0,OR(MOD(YEAR(B412),100)&lt;&gt;0,MOD(YEAR(B412),400)=0)),366,365)+(B413-((DATE(YEAR(B412)+1,1,1))))/IF(AND(MOD(YEAR(B413),4)=0,OR(MOD(YEAR(B413),100)&lt;&gt;0,MOD(YEAR(B413),400)=0)),366,365)))</f>
        <v/>
      </c>
      <c r="F413" s="14">
        <f>L412</f>
        <v/>
      </c>
      <c r="G413" s="14">
        <f>M412</f>
        <v/>
      </c>
      <c r="H413" s="14">
        <f>IF((((COB_CA!$B$18-I413)-J413)&gt;D413),I413+J413+K413,COB_CA!$B$18)</f>
        <v/>
      </c>
      <c r="I413" s="14">
        <f>MIN(COB_CA!$B$18,(E413+F413))</f>
        <v/>
      </c>
      <c r="J413" s="14">
        <f>MIN((COB_CA!$B$18-I413),G413)</f>
        <v/>
      </c>
      <c r="K413" s="14">
        <f>MIN(((COB_CA!$B$18-I413)-J413),D413)</f>
        <v/>
      </c>
      <c r="L413" s="14">
        <f>E413+F413-I413</f>
        <v/>
      </c>
      <c r="M413" s="14">
        <f>G413-J413</f>
        <v/>
      </c>
      <c r="N413" s="14">
        <f>D413-K413</f>
        <v/>
      </c>
      <c r="O413" s="6">
        <f>AND(D413&gt;0,B413&lt;=COB_CA!$B$20)</f>
        <v/>
      </c>
    </row>
    <row r="414">
      <c r="A414" s="6" t="n">
        <v>410</v>
      </c>
      <c r="B414" s="15">
        <f>IF(COB_CA!$B$38=12,DATE(YEAR(COB_CA!$B$19)+INT((MONTH(COB_CA!$B$19)-1+409)/12),MOD(MONTH(COB_CA!$B$19)-1+409,12)+1,1)+(DAY(COB_CA!$B$19)-1),IF(COB_CA!$B$38=24,COB_CA!$B$19+ROUND((409*365.25)/24,0),IF(COB_CA!$B$38=26,COB_CA!$B$19+5726,COB_CA!$B$19+2863)))</f>
        <v/>
      </c>
      <c r="C414" s="12">
        <f>B414-B413</f>
        <v/>
      </c>
      <c r="D414" s="14">
        <f>N413</f>
        <v/>
      </c>
      <c r="E414" s="14">
        <f>D414*COB_CA!$B$40/100*(IF(YEAR(B413)=YEAR(B414),(B414-B413)/IF(AND(MOD(YEAR(B414),4)=0,OR(MOD(YEAR(B414),100)&lt;&gt;0,MOD(YEAR(B414),400)=0)),366,365),(((DATE(YEAR(B413)+1,1,1)))-B413)/IF(AND(MOD(YEAR(B413),4)=0,OR(MOD(YEAR(B413),100)&lt;&gt;0,MOD(YEAR(B413),400)=0)),366,365)+(B414-((DATE(YEAR(B413)+1,1,1))))/IF(AND(MOD(YEAR(B414),4)=0,OR(MOD(YEAR(B414),100)&lt;&gt;0,MOD(YEAR(B414),400)=0)),366,365)))</f>
        <v/>
      </c>
      <c r="F414" s="14">
        <f>L413</f>
        <v/>
      </c>
      <c r="G414" s="14">
        <f>M413</f>
        <v/>
      </c>
      <c r="H414" s="14">
        <f>IF((((COB_CA!$B$18-I414)-J414)&gt;D414),I414+J414+K414,COB_CA!$B$18)</f>
        <v/>
      </c>
      <c r="I414" s="14">
        <f>MIN(COB_CA!$B$18,(E414+F414))</f>
        <v/>
      </c>
      <c r="J414" s="14">
        <f>MIN((COB_CA!$B$18-I414),G414)</f>
        <v/>
      </c>
      <c r="K414" s="14">
        <f>MIN(((COB_CA!$B$18-I414)-J414),D414)</f>
        <v/>
      </c>
      <c r="L414" s="14">
        <f>E414+F414-I414</f>
        <v/>
      </c>
      <c r="M414" s="14">
        <f>G414-J414</f>
        <v/>
      </c>
      <c r="N414" s="14">
        <f>D414-K414</f>
        <v/>
      </c>
      <c r="O414" s="6">
        <f>AND(D414&gt;0,B414&lt;=COB_CA!$B$20)</f>
        <v/>
      </c>
    </row>
    <row r="415">
      <c r="A415" s="6" t="n">
        <v>411</v>
      </c>
      <c r="B415" s="15">
        <f>IF(COB_CA!$B$38=12,DATE(YEAR(COB_CA!$B$19)+INT((MONTH(COB_CA!$B$19)-1+410)/12),MOD(MONTH(COB_CA!$B$19)-1+410,12)+1,1)+(DAY(COB_CA!$B$19)-1),IF(COB_CA!$B$38=24,COB_CA!$B$19+ROUND((410*365.25)/24,0),IF(COB_CA!$B$38=26,COB_CA!$B$19+5740,COB_CA!$B$19+2870)))</f>
        <v/>
      </c>
      <c r="C415" s="12">
        <f>B415-B414</f>
        <v/>
      </c>
      <c r="D415" s="14">
        <f>N414</f>
        <v/>
      </c>
      <c r="E415" s="14">
        <f>D415*COB_CA!$B$40/100*(IF(YEAR(B414)=YEAR(B415),(B415-B414)/IF(AND(MOD(YEAR(B415),4)=0,OR(MOD(YEAR(B415),100)&lt;&gt;0,MOD(YEAR(B415),400)=0)),366,365),(((DATE(YEAR(B414)+1,1,1)))-B414)/IF(AND(MOD(YEAR(B414),4)=0,OR(MOD(YEAR(B414),100)&lt;&gt;0,MOD(YEAR(B414),400)=0)),366,365)+(B415-((DATE(YEAR(B414)+1,1,1))))/IF(AND(MOD(YEAR(B415),4)=0,OR(MOD(YEAR(B415),100)&lt;&gt;0,MOD(YEAR(B415),400)=0)),366,365)))</f>
        <v/>
      </c>
      <c r="F415" s="14">
        <f>L414</f>
        <v/>
      </c>
      <c r="G415" s="14">
        <f>M414</f>
        <v/>
      </c>
      <c r="H415" s="14">
        <f>IF((((COB_CA!$B$18-I415)-J415)&gt;D415),I415+J415+K415,COB_CA!$B$18)</f>
        <v/>
      </c>
      <c r="I415" s="14">
        <f>MIN(COB_CA!$B$18,(E415+F415))</f>
        <v/>
      </c>
      <c r="J415" s="14">
        <f>MIN((COB_CA!$B$18-I415),G415)</f>
        <v/>
      </c>
      <c r="K415" s="14">
        <f>MIN(((COB_CA!$B$18-I415)-J415),D415)</f>
        <v/>
      </c>
      <c r="L415" s="14">
        <f>E415+F415-I415</f>
        <v/>
      </c>
      <c r="M415" s="14">
        <f>G415-J415</f>
        <v/>
      </c>
      <c r="N415" s="14">
        <f>D415-K415</f>
        <v/>
      </c>
      <c r="O415" s="6">
        <f>AND(D415&gt;0,B415&lt;=COB_CA!$B$20)</f>
        <v/>
      </c>
    </row>
    <row r="416">
      <c r="A416" s="6" t="n">
        <v>412</v>
      </c>
      <c r="B416" s="15">
        <f>IF(COB_CA!$B$38=12,DATE(YEAR(COB_CA!$B$19)+INT((MONTH(COB_CA!$B$19)-1+411)/12),MOD(MONTH(COB_CA!$B$19)-1+411,12)+1,1)+(DAY(COB_CA!$B$19)-1),IF(COB_CA!$B$38=24,COB_CA!$B$19+ROUND((411*365.25)/24,0),IF(COB_CA!$B$38=26,COB_CA!$B$19+5754,COB_CA!$B$19+2877)))</f>
        <v/>
      </c>
      <c r="C416" s="12">
        <f>B416-B415</f>
        <v/>
      </c>
      <c r="D416" s="14">
        <f>N415</f>
        <v/>
      </c>
      <c r="E416" s="14">
        <f>D416*COB_CA!$B$40/100*(IF(YEAR(B415)=YEAR(B416),(B416-B415)/IF(AND(MOD(YEAR(B416),4)=0,OR(MOD(YEAR(B416),100)&lt;&gt;0,MOD(YEAR(B416),400)=0)),366,365),(((DATE(YEAR(B415)+1,1,1)))-B415)/IF(AND(MOD(YEAR(B415),4)=0,OR(MOD(YEAR(B415),100)&lt;&gt;0,MOD(YEAR(B415),400)=0)),366,365)+(B416-((DATE(YEAR(B415)+1,1,1))))/IF(AND(MOD(YEAR(B416),4)=0,OR(MOD(YEAR(B416),100)&lt;&gt;0,MOD(YEAR(B416),400)=0)),366,365)))</f>
        <v/>
      </c>
      <c r="F416" s="14">
        <f>L415</f>
        <v/>
      </c>
      <c r="G416" s="14">
        <f>M415</f>
        <v/>
      </c>
      <c r="H416" s="14">
        <f>IF((((COB_CA!$B$18-I416)-J416)&gt;D416),I416+J416+K416,COB_CA!$B$18)</f>
        <v/>
      </c>
      <c r="I416" s="14">
        <f>MIN(COB_CA!$B$18,(E416+F416))</f>
        <v/>
      </c>
      <c r="J416" s="14">
        <f>MIN((COB_CA!$B$18-I416),G416)</f>
        <v/>
      </c>
      <c r="K416" s="14">
        <f>MIN(((COB_CA!$B$18-I416)-J416),D416)</f>
        <v/>
      </c>
      <c r="L416" s="14">
        <f>E416+F416-I416</f>
        <v/>
      </c>
      <c r="M416" s="14">
        <f>G416-J416</f>
        <v/>
      </c>
      <c r="N416" s="14">
        <f>D416-K416</f>
        <v/>
      </c>
      <c r="O416" s="6">
        <f>AND(D416&gt;0,B416&lt;=COB_CA!$B$20)</f>
        <v/>
      </c>
    </row>
    <row r="417">
      <c r="A417" s="6" t="n">
        <v>413</v>
      </c>
      <c r="B417" s="15">
        <f>IF(COB_CA!$B$38=12,DATE(YEAR(COB_CA!$B$19)+INT((MONTH(COB_CA!$B$19)-1+412)/12),MOD(MONTH(COB_CA!$B$19)-1+412,12)+1,1)+(DAY(COB_CA!$B$19)-1),IF(COB_CA!$B$38=24,COB_CA!$B$19+ROUND((412*365.25)/24,0),IF(COB_CA!$B$38=26,COB_CA!$B$19+5768,COB_CA!$B$19+2884)))</f>
        <v/>
      </c>
      <c r="C417" s="12">
        <f>B417-B416</f>
        <v/>
      </c>
      <c r="D417" s="14">
        <f>N416</f>
        <v/>
      </c>
      <c r="E417" s="14">
        <f>D417*COB_CA!$B$40/100*(IF(YEAR(B416)=YEAR(B417),(B417-B416)/IF(AND(MOD(YEAR(B417),4)=0,OR(MOD(YEAR(B417),100)&lt;&gt;0,MOD(YEAR(B417),400)=0)),366,365),(((DATE(YEAR(B416)+1,1,1)))-B416)/IF(AND(MOD(YEAR(B416),4)=0,OR(MOD(YEAR(B416),100)&lt;&gt;0,MOD(YEAR(B416),400)=0)),366,365)+(B417-((DATE(YEAR(B416)+1,1,1))))/IF(AND(MOD(YEAR(B417),4)=0,OR(MOD(YEAR(B417),100)&lt;&gt;0,MOD(YEAR(B417),400)=0)),366,365)))</f>
        <v/>
      </c>
      <c r="F417" s="14">
        <f>L416</f>
        <v/>
      </c>
      <c r="G417" s="14">
        <f>M416</f>
        <v/>
      </c>
      <c r="H417" s="14">
        <f>IF((((COB_CA!$B$18-I417)-J417)&gt;D417),I417+J417+K417,COB_CA!$B$18)</f>
        <v/>
      </c>
      <c r="I417" s="14">
        <f>MIN(COB_CA!$B$18,(E417+F417))</f>
        <v/>
      </c>
      <c r="J417" s="14">
        <f>MIN((COB_CA!$B$18-I417),G417)</f>
        <v/>
      </c>
      <c r="K417" s="14">
        <f>MIN(((COB_CA!$B$18-I417)-J417),D417)</f>
        <v/>
      </c>
      <c r="L417" s="14">
        <f>E417+F417-I417</f>
        <v/>
      </c>
      <c r="M417" s="14">
        <f>G417-J417</f>
        <v/>
      </c>
      <c r="N417" s="14">
        <f>D417-K417</f>
        <v/>
      </c>
      <c r="O417" s="6">
        <f>AND(D417&gt;0,B417&lt;=COB_CA!$B$20)</f>
        <v/>
      </c>
    </row>
    <row r="418">
      <c r="A418" s="6" t="n">
        <v>414</v>
      </c>
      <c r="B418" s="15">
        <f>IF(COB_CA!$B$38=12,DATE(YEAR(COB_CA!$B$19)+INT((MONTH(COB_CA!$B$19)-1+413)/12),MOD(MONTH(COB_CA!$B$19)-1+413,12)+1,1)+(DAY(COB_CA!$B$19)-1),IF(COB_CA!$B$38=24,COB_CA!$B$19+ROUND((413*365.25)/24,0),IF(COB_CA!$B$38=26,COB_CA!$B$19+5782,COB_CA!$B$19+2891)))</f>
        <v/>
      </c>
      <c r="C418" s="12">
        <f>B418-B417</f>
        <v/>
      </c>
      <c r="D418" s="14">
        <f>N417</f>
        <v/>
      </c>
      <c r="E418" s="14">
        <f>D418*COB_CA!$B$40/100*(IF(YEAR(B417)=YEAR(B418),(B418-B417)/IF(AND(MOD(YEAR(B418),4)=0,OR(MOD(YEAR(B418),100)&lt;&gt;0,MOD(YEAR(B418),400)=0)),366,365),(((DATE(YEAR(B417)+1,1,1)))-B417)/IF(AND(MOD(YEAR(B417),4)=0,OR(MOD(YEAR(B417),100)&lt;&gt;0,MOD(YEAR(B417),400)=0)),366,365)+(B418-((DATE(YEAR(B417)+1,1,1))))/IF(AND(MOD(YEAR(B418),4)=0,OR(MOD(YEAR(B418),100)&lt;&gt;0,MOD(YEAR(B418),400)=0)),366,365)))</f>
        <v/>
      </c>
      <c r="F418" s="14">
        <f>L417</f>
        <v/>
      </c>
      <c r="G418" s="14">
        <f>M417</f>
        <v/>
      </c>
      <c r="H418" s="14">
        <f>IF((((COB_CA!$B$18-I418)-J418)&gt;D418),I418+J418+K418,COB_CA!$B$18)</f>
        <v/>
      </c>
      <c r="I418" s="14">
        <f>MIN(COB_CA!$B$18,(E418+F418))</f>
        <v/>
      </c>
      <c r="J418" s="14">
        <f>MIN((COB_CA!$B$18-I418),G418)</f>
        <v/>
      </c>
      <c r="K418" s="14">
        <f>MIN(((COB_CA!$B$18-I418)-J418),D418)</f>
        <v/>
      </c>
      <c r="L418" s="14">
        <f>E418+F418-I418</f>
        <v/>
      </c>
      <c r="M418" s="14">
        <f>G418-J418</f>
        <v/>
      </c>
      <c r="N418" s="14">
        <f>D418-K418</f>
        <v/>
      </c>
      <c r="O418" s="6">
        <f>AND(D418&gt;0,B418&lt;=COB_CA!$B$20)</f>
        <v/>
      </c>
    </row>
    <row r="419">
      <c r="A419" s="6" t="n">
        <v>415</v>
      </c>
      <c r="B419" s="15">
        <f>IF(COB_CA!$B$38=12,DATE(YEAR(COB_CA!$B$19)+INT((MONTH(COB_CA!$B$19)-1+414)/12),MOD(MONTH(COB_CA!$B$19)-1+414,12)+1,1)+(DAY(COB_CA!$B$19)-1),IF(COB_CA!$B$38=24,COB_CA!$B$19+ROUND((414*365.25)/24,0),IF(COB_CA!$B$38=26,COB_CA!$B$19+5796,COB_CA!$B$19+2898)))</f>
        <v/>
      </c>
      <c r="C419" s="12">
        <f>B419-B418</f>
        <v/>
      </c>
      <c r="D419" s="14">
        <f>N418</f>
        <v/>
      </c>
      <c r="E419" s="14">
        <f>D419*COB_CA!$B$40/100*(IF(YEAR(B418)=YEAR(B419),(B419-B418)/IF(AND(MOD(YEAR(B419),4)=0,OR(MOD(YEAR(B419),100)&lt;&gt;0,MOD(YEAR(B419),400)=0)),366,365),(((DATE(YEAR(B418)+1,1,1)))-B418)/IF(AND(MOD(YEAR(B418),4)=0,OR(MOD(YEAR(B418),100)&lt;&gt;0,MOD(YEAR(B418),400)=0)),366,365)+(B419-((DATE(YEAR(B418)+1,1,1))))/IF(AND(MOD(YEAR(B419),4)=0,OR(MOD(YEAR(B419),100)&lt;&gt;0,MOD(YEAR(B419),400)=0)),366,365)))</f>
        <v/>
      </c>
      <c r="F419" s="14">
        <f>L418</f>
        <v/>
      </c>
      <c r="G419" s="14">
        <f>M418</f>
        <v/>
      </c>
      <c r="H419" s="14">
        <f>IF((((COB_CA!$B$18-I419)-J419)&gt;D419),I419+J419+K419,COB_CA!$B$18)</f>
        <v/>
      </c>
      <c r="I419" s="14">
        <f>MIN(COB_CA!$B$18,(E419+F419))</f>
        <v/>
      </c>
      <c r="J419" s="14">
        <f>MIN((COB_CA!$B$18-I419),G419)</f>
        <v/>
      </c>
      <c r="K419" s="14">
        <f>MIN(((COB_CA!$B$18-I419)-J419),D419)</f>
        <v/>
      </c>
      <c r="L419" s="14">
        <f>E419+F419-I419</f>
        <v/>
      </c>
      <c r="M419" s="14">
        <f>G419-J419</f>
        <v/>
      </c>
      <c r="N419" s="14">
        <f>D419-K419</f>
        <v/>
      </c>
      <c r="O419" s="6">
        <f>AND(D419&gt;0,B419&lt;=COB_CA!$B$20)</f>
        <v/>
      </c>
    </row>
    <row r="420">
      <c r="A420" s="6" t="n">
        <v>416</v>
      </c>
      <c r="B420" s="15">
        <f>IF(COB_CA!$B$38=12,DATE(YEAR(COB_CA!$B$19)+INT((MONTH(COB_CA!$B$19)-1+415)/12),MOD(MONTH(COB_CA!$B$19)-1+415,12)+1,1)+(DAY(COB_CA!$B$19)-1),IF(COB_CA!$B$38=24,COB_CA!$B$19+ROUND((415*365.25)/24,0),IF(COB_CA!$B$38=26,COB_CA!$B$19+5810,COB_CA!$B$19+2905)))</f>
        <v/>
      </c>
      <c r="C420" s="12">
        <f>B420-B419</f>
        <v/>
      </c>
      <c r="D420" s="14">
        <f>N419</f>
        <v/>
      </c>
      <c r="E420" s="14">
        <f>D420*COB_CA!$B$40/100*(IF(YEAR(B419)=YEAR(B420),(B420-B419)/IF(AND(MOD(YEAR(B420),4)=0,OR(MOD(YEAR(B420),100)&lt;&gt;0,MOD(YEAR(B420),400)=0)),366,365),(((DATE(YEAR(B419)+1,1,1)))-B419)/IF(AND(MOD(YEAR(B419),4)=0,OR(MOD(YEAR(B419),100)&lt;&gt;0,MOD(YEAR(B419),400)=0)),366,365)+(B420-((DATE(YEAR(B419)+1,1,1))))/IF(AND(MOD(YEAR(B420),4)=0,OR(MOD(YEAR(B420),100)&lt;&gt;0,MOD(YEAR(B420),400)=0)),366,365)))</f>
        <v/>
      </c>
      <c r="F420" s="14">
        <f>L419</f>
        <v/>
      </c>
      <c r="G420" s="14">
        <f>M419</f>
        <v/>
      </c>
      <c r="H420" s="14">
        <f>IF((((COB_CA!$B$18-I420)-J420)&gt;D420),I420+J420+K420,COB_CA!$B$18)</f>
        <v/>
      </c>
      <c r="I420" s="14">
        <f>MIN(COB_CA!$B$18,(E420+F420))</f>
        <v/>
      </c>
      <c r="J420" s="14">
        <f>MIN((COB_CA!$B$18-I420),G420)</f>
        <v/>
      </c>
      <c r="K420" s="14">
        <f>MIN(((COB_CA!$B$18-I420)-J420),D420)</f>
        <v/>
      </c>
      <c r="L420" s="14">
        <f>E420+F420-I420</f>
        <v/>
      </c>
      <c r="M420" s="14">
        <f>G420-J420</f>
        <v/>
      </c>
      <c r="N420" s="14">
        <f>D420-K420</f>
        <v/>
      </c>
      <c r="O420" s="6">
        <f>AND(D420&gt;0,B420&lt;=COB_CA!$B$20)</f>
        <v/>
      </c>
    </row>
    <row r="421">
      <c r="A421" s="6" t="n">
        <v>417</v>
      </c>
      <c r="B421" s="15">
        <f>IF(COB_CA!$B$38=12,DATE(YEAR(COB_CA!$B$19)+INT((MONTH(COB_CA!$B$19)-1+416)/12),MOD(MONTH(COB_CA!$B$19)-1+416,12)+1,1)+(DAY(COB_CA!$B$19)-1),IF(COB_CA!$B$38=24,COB_CA!$B$19+ROUND((416*365.25)/24,0),IF(COB_CA!$B$38=26,COB_CA!$B$19+5824,COB_CA!$B$19+2912)))</f>
        <v/>
      </c>
      <c r="C421" s="12">
        <f>B421-B420</f>
        <v/>
      </c>
      <c r="D421" s="14">
        <f>N420</f>
        <v/>
      </c>
      <c r="E421" s="14">
        <f>D421*COB_CA!$B$40/100*(IF(YEAR(B420)=YEAR(B421),(B421-B420)/IF(AND(MOD(YEAR(B421),4)=0,OR(MOD(YEAR(B421),100)&lt;&gt;0,MOD(YEAR(B421),400)=0)),366,365),(((DATE(YEAR(B420)+1,1,1)))-B420)/IF(AND(MOD(YEAR(B420),4)=0,OR(MOD(YEAR(B420),100)&lt;&gt;0,MOD(YEAR(B420),400)=0)),366,365)+(B421-((DATE(YEAR(B420)+1,1,1))))/IF(AND(MOD(YEAR(B421),4)=0,OR(MOD(YEAR(B421),100)&lt;&gt;0,MOD(YEAR(B421),400)=0)),366,365)))</f>
        <v/>
      </c>
      <c r="F421" s="14">
        <f>L420</f>
        <v/>
      </c>
      <c r="G421" s="14">
        <f>M420</f>
        <v/>
      </c>
      <c r="H421" s="14">
        <f>IF((((COB_CA!$B$18-I421)-J421)&gt;D421),I421+J421+K421,COB_CA!$B$18)</f>
        <v/>
      </c>
      <c r="I421" s="14">
        <f>MIN(COB_CA!$B$18,(E421+F421))</f>
        <v/>
      </c>
      <c r="J421" s="14">
        <f>MIN((COB_CA!$B$18-I421),G421)</f>
        <v/>
      </c>
      <c r="K421" s="14">
        <f>MIN(((COB_CA!$B$18-I421)-J421),D421)</f>
        <v/>
      </c>
      <c r="L421" s="14">
        <f>E421+F421-I421</f>
        <v/>
      </c>
      <c r="M421" s="14">
        <f>G421-J421</f>
        <v/>
      </c>
      <c r="N421" s="14">
        <f>D421-K421</f>
        <v/>
      </c>
      <c r="O421" s="6">
        <f>AND(D421&gt;0,B421&lt;=COB_CA!$B$20)</f>
        <v/>
      </c>
    </row>
    <row r="422">
      <c r="A422" s="6" t="n">
        <v>418</v>
      </c>
      <c r="B422" s="15">
        <f>IF(COB_CA!$B$38=12,DATE(YEAR(COB_CA!$B$19)+INT((MONTH(COB_CA!$B$19)-1+417)/12),MOD(MONTH(COB_CA!$B$19)-1+417,12)+1,1)+(DAY(COB_CA!$B$19)-1),IF(COB_CA!$B$38=24,COB_CA!$B$19+ROUND((417*365.25)/24,0),IF(COB_CA!$B$38=26,COB_CA!$B$19+5838,COB_CA!$B$19+2919)))</f>
        <v/>
      </c>
      <c r="C422" s="12">
        <f>B422-B421</f>
        <v/>
      </c>
      <c r="D422" s="14">
        <f>N421</f>
        <v/>
      </c>
      <c r="E422" s="14">
        <f>D422*COB_CA!$B$40/100*(IF(YEAR(B421)=YEAR(B422),(B422-B421)/IF(AND(MOD(YEAR(B422),4)=0,OR(MOD(YEAR(B422),100)&lt;&gt;0,MOD(YEAR(B422),400)=0)),366,365),(((DATE(YEAR(B421)+1,1,1)))-B421)/IF(AND(MOD(YEAR(B421),4)=0,OR(MOD(YEAR(B421),100)&lt;&gt;0,MOD(YEAR(B421),400)=0)),366,365)+(B422-((DATE(YEAR(B421)+1,1,1))))/IF(AND(MOD(YEAR(B422),4)=0,OR(MOD(YEAR(B422),100)&lt;&gt;0,MOD(YEAR(B422),400)=0)),366,365)))</f>
        <v/>
      </c>
      <c r="F422" s="14">
        <f>L421</f>
        <v/>
      </c>
      <c r="G422" s="14">
        <f>M421</f>
        <v/>
      </c>
      <c r="H422" s="14">
        <f>IF((((COB_CA!$B$18-I422)-J422)&gt;D422),I422+J422+K422,COB_CA!$B$18)</f>
        <v/>
      </c>
      <c r="I422" s="14">
        <f>MIN(COB_CA!$B$18,(E422+F422))</f>
        <v/>
      </c>
      <c r="J422" s="14">
        <f>MIN((COB_CA!$B$18-I422),G422)</f>
        <v/>
      </c>
      <c r="K422" s="14">
        <f>MIN(((COB_CA!$B$18-I422)-J422),D422)</f>
        <v/>
      </c>
      <c r="L422" s="14">
        <f>E422+F422-I422</f>
        <v/>
      </c>
      <c r="M422" s="14">
        <f>G422-J422</f>
        <v/>
      </c>
      <c r="N422" s="14">
        <f>D422-K422</f>
        <v/>
      </c>
      <c r="O422" s="6">
        <f>AND(D422&gt;0,B422&lt;=COB_CA!$B$20)</f>
        <v/>
      </c>
    </row>
    <row r="423">
      <c r="A423" s="6" t="n">
        <v>419</v>
      </c>
      <c r="B423" s="15">
        <f>IF(COB_CA!$B$38=12,DATE(YEAR(COB_CA!$B$19)+INT((MONTH(COB_CA!$B$19)-1+418)/12),MOD(MONTH(COB_CA!$B$19)-1+418,12)+1,1)+(DAY(COB_CA!$B$19)-1),IF(COB_CA!$B$38=24,COB_CA!$B$19+ROUND((418*365.25)/24,0),IF(COB_CA!$B$38=26,COB_CA!$B$19+5852,COB_CA!$B$19+2926)))</f>
        <v/>
      </c>
      <c r="C423" s="12">
        <f>B423-B422</f>
        <v/>
      </c>
      <c r="D423" s="14">
        <f>N422</f>
        <v/>
      </c>
      <c r="E423" s="14">
        <f>D423*COB_CA!$B$40/100*(IF(YEAR(B422)=YEAR(B423),(B423-B422)/IF(AND(MOD(YEAR(B423),4)=0,OR(MOD(YEAR(B423),100)&lt;&gt;0,MOD(YEAR(B423),400)=0)),366,365),(((DATE(YEAR(B422)+1,1,1)))-B422)/IF(AND(MOD(YEAR(B422),4)=0,OR(MOD(YEAR(B422),100)&lt;&gt;0,MOD(YEAR(B422),400)=0)),366,365)+(B423-((DATE(YEAR(B422)+1,1,1))))/IF(AND(MOD(YEAR(B423),4)=0,OR(MOD(YEAR(B423),100)&lt;&gt;0,MOD(YEAR(B423),400)=0)),366,365)))</f>
        <v/>
      </c>
      <c r="F423" s="14">
        <f>L422</f>
        <v/>
      </c>
      <c r="G423" s="14">
        <f>M422</f>
        <v/>
      </c>
      <c r="H423" s="14">
        <f>IF((((COB_CA!$B$18-I423)-J423)&gt;D423),I423+J423+K423,COB_CA!$B$18)</f>
        <v/>
      </c>
      <c r="I423" s="14">
        <f>MIN(COB_CA!$B$18,(E423+F423))</f>
        <v/>
      </c>
      <c r="J423" s="14">
        <f>MIN((COB_CA!$B$18-I423),G423)</f>
        <v/>
      </c>
      <c r="K423" s="14">
        <f>MIN(((COB_CA!$B$18-I423)-J423),D423)</f>
        <v/>
      </c>
      <c r="L423" s="14">
        <f>E423+F423-I423</f>
        <v/>
      </c>
      <c r="M423" s="14">
        <f>G423-J423</f>
        <v/>
      </c>
      <c r="N423" s="14">
        <f>D423-K423</f>
        <v/>
      </c>
      <c r="O423" s="6">
        <f>AND(D423&gt;0,B423&lt;=COB_CA!$B$20)</f>
        <v/>
      </c>
    </row>
    <row r="424">
      <c r="A424" s="6" t="n">
        <v>420</v>
      </c>
      <c r="B424" s="15">
        <f>IF(COB_CA!$B$38=12,DATE(YEAR(COB_CA!$B$19)+INT((MONTH(COB_CA!$B$19)-1+419)/12),MOD(MONTH(COB_CA!$B$19)-1+419,12)+1,1)+(DAY(COB_CA!$B$19)-1),IF(COB_CA!$B$38=24,COB_CA!$B$19+ROUND((419*365.25)/24,0),IF(COB_CA!$B$38=26,COB_CA!$B$19+5866,COB_CA!$B$19+2933)))</f>
        <v/>
      </c>
      <c r="C424" s="12">
        <f>B424-B423</f>
        <v/>
      </c>
      <c r="D424" s="14">
        <f>N423</f>
        <v/>
      </c>
      <c r="E424" s="14">
        <f>D424*COB_CA!$B$40/100*(IF(YEAR(B423)=YEAR(B424),(B424-B423)/IF(AND(MOD(YEAR(B424),4)=0,OR(MOD(YEAR(B424),100)&lt;&gt;0,MOD(YEAR(B424),400)=0)),366,365),(((DATE(YEAR(B423)+1,1,1)))-B423)/IF(AND(MOD(YEAR(B423),4)=0,OR(MOD(YEAR(B423),100)&lt;&gt;0,MOD(YEAR(B423),400)=0)),366,365)+(B424-((DATE(YEAR(B423)+1,1,1))))/IF(AND(MOD(YEAR(B424),4)=0,OR(MOD(YEAR(B424),100)&lt;&gt;0,MOD(YEAR(B424),400)=0)),366,365)))</f>
        <v/>
      </c>
      <c r="F424" s="14">
        <f>L423</f>
        <v/>
      </c>
      <c r="G424" s="14">
        <f>M423</f>
        <v/>
      </c>
      <c r="H424" s="14">
        <f>IF((((COB_CA!$B$18-I424)-J424)&gt;D424),I424+J424+K424,COB_CA!$B$18)</f>
        <v/>
      </c>
      <c r="I424" s="14">
        <f>MIN(COB_CA!$B$18,(E424+F424))</f>
        <v/>
      </c>
      <c r="J424" s="14">
        <f>MIN((COB_CA!$B$18-I424),G424)</f>
        <v/>
      </c>
      <c r="K424" s="14">
        <f>MIN(((COB_CA!$B$18-I424)-J424),D424)</f>
        <v/>
      </c>
      <c r="L424" s="14">
        <f>E424+F424-I424</f>
        <v/>
      </c>
      <c r="M424" s="14">
        <f>G424-J424</f>
        <v/>
      </c>
      <c r="N424" s="14">
        <f>D424-K424</f>
        <v/>
      </c>
      <c r="O424" s="6">
        <f>AND(D424&gt;0,B424&lt;=COB_CA!$B$20)</f>
        <v/>
      </c>
    </row>
    <row r="425">
      <c r="A425" s="6" t="n">
        <v>421</v>
      </c>
      <c r="B425" s="15">
        <f>IF(COB_CA!$B$38=12,DATE(YEAR(COB_CA!$B$19)+INT((MONTH(COB_CA!$B$19)-1+420)/12),MOD(MONTH(COB_CA!$B$19)-1+420,12)+1,1)+(DAY(COB_CA!$B$19)-1),IF(COB_CA!$B$38=24,COB_CA!$B$19+ROUND((420*365.25)/24,0),IF(COB_CA!$B$38=26,COB_CA!$B$19+5880,COB_CA!$B$19+2940)))</f>
        <v/>
      </c>
      <c r="C425" s="12">
        <f>B425-B424</f>
        <v/>
      </c>
      <c r="D425" s="14">
        <f>N424</f>
        <v/>
      </c>
      <c r="E425" s="14">
        <f>D425*COB_CA!$B$40/100*(IF(YEAR(B424)=YEAR(B425),(B425-B424)/IF(AND(MOD(YEAR(B425),4)=0,OR(MOD(YEAR(B425),100)&lt;&gt;0,MOD(YEAR(B425),400)=0)),366,365),(((DATE(YEAR(B424)+1,1,1)))-B424)/IF(AND(MOD(YEAR(B424),4)=0,OR(MOD(YEAR(B424),100)&lt;&gt;0,MOD(YEAR(B424),400)=0)),366,365)+(B425-((DATE(YEAR(B424)+1,1,1))))/IF(AND(MOD(YEAR(B425),4)=0,OR(MOD(YEAR(B425),100)&lt;&gt;0,MOD(YEAR(B425),400)=0)),366,365)))</f>
        <v/>
      </c>
      <c r="F425" s="14">
        <f>L424</f>
        <v/>
      </c>
      <c r="G425" s="14">
        <f>M424</f>
        <v/>
      </c>
      <c r="H425" s="14">
        <f>IF((((COB_CA!$B$18-I425)-J425)&gt;D425),I425+J425+K425,COB_CA!$B$18)</f>
        <v/>
      </c>
      <c r="I425" s="14">
        <f>MIN(COB_CA!$B$18,(E425+F425))</f>
        <v/>
      </c>
      <c r="J425" s="14">
        <f>MIN((COB_CA!$B$18-I425),G425)</f>
        <v/>
      </c>
      <c r="K425" s="14">
        <f>MIN(((COB_CA!$B$18-I425)-J425),D425)</f>
        <v/>
      </c>
      <c r="L425" s="14">
        <f>E425+F425-I425</f>
        <v/>
      </c>
      <c r="M425" s="14">
        <f>G425-J425</f>
        <v/>
      </c>
      <c r="N425" s="14">
        <f>D425-K425</f>
        <v/>
      </c>
      <c r="O425" s="6">
        <f>AND(D425&gt;0,B425&lt;=COB_CA!$B$20)</f>
        <v/>
      </c>
    </row>
    <row r="426">
      <c r="A426" s="6" t="n">
        <v>422</v>
      </c>
      <c r="B426" s="15">
        <f>IF(COB_CA!$B$38=12,DATE(YEAR(COB_CA!$B$19)+INT((MONTH(COB_CA!$B$19)-1+421)/12),MOD(MONTH(COB_CA!$B$19)-1+421,12)+1,1)+(DAY(COB_CA!$B$19)-1),IF(COB_CA!$B$38=24,COB_CA!$B$19+ROUND((421*365.25)/24,0),IF(COB_CA!$B$38=26,COB_CA!$B$19+5894,COB_CA!$B$19+2947)))</f>
        <v/>
      </c>
      <c r="C426" s="12">
        <f>B426-B425</f>
        <v/>
      </c>
      <c r="D426" s="14">
        <f>N425</f>
        <v/>
      </c>
      <c r="E426" s="14">
        <f>D426*COB_CA!$B$40/100*(IF(YEAR(B425)=YEAR(B426),(B426-B425)/IF(AND(MOD(YEAR(B426),4)=0,OR(MOD(YEAR(B426),100)&lt;&gt;0,MOD(YEAR(B426),400)=0)),366,365),(((DATE(YEAR(B425)+1,1,1)))-B425)/IF(AND(MOD(YEAR(B425),4)=0,OR(MOD(YEAR(B425),100)&lt;&gt;0,MOD(YEAR(B425),400)=0)),366,365)+(B426-((DATE(YEAR(B425)+1,1,1))))/IF(AND(MOD(YEAR(B426),4)=0,OR(MOD(YEAR(B426),100)&lt;&gt;0,MOD(YEAR(B426),400)=0)),366,365)))</f>
        <v/>
      </c>
      <c r="F426" s="14">
        <f>L425</f>
        <v/>
      </c>
      <c r="G426" s="14">
        <f>M425</f>
        <v/>
      </c>
      <c r="H426" s="14">
        <f>IF((((COB_CA!$B$18-I426)-J426)&gt;D426),I426+J426+K426,COB_CA!$B$18)</f>
        <v/>
      </c>
      <c r="I426" s="14">
        <f>MIN(COB_CA!$B$18,(E426+F426))</f>
        <v/>
      </c>
      <c r="J426" s="14">
        <f>MIN((COB_CA!$B$18-I426),G426)</f>
        <v/>
      </c>
      <c r="K426" s="14">
        <f>MIN(((COB_CA!$B$18-I426)-J426),D426)</f>
        <v/>
      </c>
      <c r="L426" s="14">
        <f>E426+F426-I426</f>
        <v/>
      </c>
      <c r="M426" s="14">
        <f>G426-J426</f>
        <v/>
      </c>
      <c r="N426" s="14">
        <f>D426-K426</f>
        <v/>
      </c>
      <c r="O426" s="6">
        <f>AND(D426&gt;0,B426&lt;=COB_CA!$B$20)</f>
        <v/>
      </c>
    </row>
    <row r="427">
      <c r="A427" s="6" t="n">
        <v>423</v>
      </c>
      <c r="B427" s="15">
        <f>IF(COB_CA!$B$38=12,DATE(YEAR(COB_CA!$B$19)+INT((MONTH(COB_CA!$B$19)-1+422)/12),MOD(MONTH(COB_CA!$B$19)-1+422,12)+1,1)+(DAY(COB_CA!$B$19)-1),IF(COB_CA!$B$38=24,COB_CA!$B$19+ROUND((422*365.25)/24,0),IF(COB_CA!$B$38=26,COB_CA!$B$19+5908,COB_CA!$B$19+2954)))</f>
        <v/>
      </c>
      <c r="C427" s="12">
        <f>B427-B426</f>
        <v/>
      </c>
      <c r="D427" s="14">
        <f>N426</f>
        <v/>
      </c>
      <c r="E427" s="14">
        <f>D427*COB_CA!$B$40/100*(IF(YEAR(B426)=YEAR(B427),(B427-B426)/IF(AND(MOD(YEAR(B427),4)=0,OR(MOD(YEAR(B427),100)&lt;&gt;0,MOD(YEAR(B427),400)=0)),366,365),(((DATE(YEAR(B426)+1,1,1)))-B426)/IF(AND(MOD(YEAR(B426),4)=0,OR(MOD(YEAR(B426),100)&lt;&gt;0,MOD(YEAR(B426),400)=0)),366,365)+(B427-((DATE(YEAR(B426)+1,1,1))))/IF(AND(MOD(YEAR(B427),4)=0,OR(MOD(YEAR(B427),100)&lt;&gt;0,MOD(YEAR(B427),400)=0)),366,365)))</f>
        <v/>
      </c>
      <c r="F427" s="14">
        <f>L426</f>
        <v/>
      </c>
      <c r="G427" s="14">
        <f>M426</f>
        <v/>
      </c>
      <c r="H427" s="14">
        <f>IF((((COB_CA!$B$18-I427)-J427)&gt;D427),I427+J427+K427,COB_CA!$B$18)</f>
        <v/>
      </c>
      <c r="I427" s="14">
        <f>MIN(COB_CA!$B$18,(E427+F427))</f>
        <v/>
      </c>
      <c r="J427" s="14">
        <f>MIN((COB_CA!$B$18-I427),G427)</f>
        <v/>
      </c>
      <c r="K427" s="14">
        <f>MIN(((COB_CA!$B$18-I427)-J427),D427)</f>
        <v/>
      </c>
      <c r="L427" s="14">
        <f>E427+F427-I427</f>
        <v/>
      </c>
      <c r="M427" s="14">
        <f>G427-J427</f>
        <v/>
      </c>
      <c r="N427" s="14">
        <f>D427-K427</f>
        <v/>
      </c>
      <c r="O427" s="6">
        <f>AND(D427&gt;0,B427&lt;=COB_CA!$B$20)</f>
        <v/>
      </c>
    </row>
    <row r="428">
      <c r="A428" s="6" t="n">
        <v>424</v>
      </c>
      <c r="B428" s="15">
        <f>IF(COB_CA!$B$38=12,DATE(YEAR(COB_CA!$B$19)+INT((MONTH(COB_CA!$B$19)-1+423)/12),MOD(MONTH(COB_CA!$B$19)-1+423,12)+1,1)+(DAY(COB_CA!$B$19)-1),IF(COB_CA!$B$38=24,COB_CA!$B$19+ROUND((423*365.25)/24,0),IF(COB_CA!$B$38=26,COB_CA!$B$19+5922,COB_CA!$B$19+2961)))</f>
        <v/>
      </c>
      <c r="C428" s="12">
        <f>B428-B427</f>
        <v/>
      </c>
      <c r="D428" s="14">
        <f>N427</f>
        <v/>
      </c>
      <c r="E428" s="14">
        <f>D428*COB_CA!$B$40/100*(IF(YEAR(B427)=YEAR(B428),(B428-B427)/IF(AND(MOD(YEAR(B428),4)=0,OR(MOD(YEAR(B428),100)&lt;&gt;0,MOD(YEAR(B428),400)=0)),366,365),(((DATE(YEAR(B427)+1,1,1)))-B427)/IF(AND(MOD(YEAR(B427),4)=0,OR(MOD(YEAR(B427),100)&lt;&gt;0,MOD(YEAR(B427),400)=0)),366,365)+(B428-((DATE(YEAR(B427)+1,1,1))))/IF(AND(MOD(YEAR(B428),4)=0,OR(MOD(YEAR(B428),100)&lt;&gt;0,MOD(YEAR(B428),400)=0)),366,365)))</f>
        <v/>
      </c>
      <c r="F428" s="14">
        <f>L427</f>
        <v/>
      </c>
      <c r="G428" s="14">
        <f>M427</f>
        <v/>
      </c>
      <c r="H428" s="14">
        <f>IF((((COB_CA!$B$18-I428)-J428)&gt;D428),I428+J428+K428,COB_CA!$B$18)</f>
        <v/>
      </c>
      <c r="I428" s="14">
        <f>MIN(COB_CA!$B$18,(E428+F428))</f>
        <v/>
      </c>
      <c r="J428" s="14">
        <f>MIN((COB_CA!$B$18-I428),G428)</f>
        <v/>
      </c>
      <c r="K428" s="14">
        <f>MIN(((COB_CA!$B$18-I428)-J428),D428)</f>
        <v/>
      </c>
      <c r="L428" s="14">
        <f>E428+F428-I428</f>
        <v/>
      </c>
      <c r="M428" s="14">
        <f>G428-J428</f>
        <v/>
      </c>
      <c r="N428" s="14">
        <f>D428-K428</f>
        <v/>
      </c>
      <c r="O428" s="6">
        <f>AND(D428&gt;0,B428&lt;=COB_CA!$B$20)</f>
        <v/>
      </c>
    </row>
    <row r="429">
      <c r="A429" s="6" t="n">
        <v>425</v>
      </c>
      <c r="B429" s="15">
        <f>IF(COB_CA!$B$38=12,DATE(YEAR(COB_CA!$B$19)+INT((MONTH(COB_CA!$B$19)-1+424)/12),MOD(MONTH(COB_CA!$B$19)-1+424,12)+1,1)+(DAY(COB_CA!$B$19)-1),IF(COB_CA!$B$38=24,COB_CA!$B$19+ROUND((424*365.25)/24,0),IF(COB_CA!$B$38=26,COB_CA!$B$19+5936,COB_CA!$B$19+2968)))</f>
        <v/>
      </c>
      <c r="C429" s="12">
        <f>B429-B428</f>
        <v/>
      </c>
      <c r="D429" s="14">
        <f>N428</f>
        <v/>
      </c>
      <c r="E429" s="14">
        <f>D429*COB_CA!$B$40/100*(IF(YEAR(B428)=YEAR(B429),(B429-B428)/IF(AND(MOD(YEAR(B429),4)=0,OR(MOD(YEAR(B429),100)&lt;&gt;0,MOD(YEAR(B429),400)=0)),366,365),(((DATE(YEAR(B428)+1,1,1)))-B428)/IF(AND(MOD(YEAR(B428),4)=0,OR(MOD(YEAR(B428),100)&lt;&gt;0,MOD(YEAR(B428),400)=0)),366,365)+(B429-((DATE(YEAR(B428)+1,1,1))))/IF(AND(MOD(YEAR(B429),4)=0,OR(MOD(YEAR(B429),100)&lt;&gt;0,MOD(YEAR(B429),400)=0)),366,365)))</f>
        <v/>
      </c>
      <c r="F429" s="14">
        <f>L428</f>
        <v/>
      </c>
      <c r="G429" s="14">
        <f>M428</f>
        <v/>
      </c>
      <c r="H429" s="14">
        <f>IF((((COB_CA!$B$18-I429)-J429)&gt;D429),I429+J429+K429,COB_CA!$B$18)</f>
        <v/>
      </c>
      <c r="I429" s="14">
        <f>MIN(COB_CA!$B$18,(E429+F429))</f>
        <v/>
      </c>
      <c r="J429" s="14">
        <f>MIN((COB_CA!$B$18-I429),G429)</f>
        <v/>
      </c>
      <c r="K429" s="14">
        <f>MIN(((COB_CA!$B$18-I429)-J429),D429)</f>
        <v/>
      </c>
      <c r="L429" s="14">
        <f>E429+F429-I429</f>
        <v/>
      </c>
      <c r="M429" s="14">
        <f>G429-J429</f>
        <v/>
      </c>
      <c r="N429" s="14">
        <f>D429-K429</f>
        <v/>
      </c>
      <c r="O429" s="6">
        <f>AND(D429&gt;0,B429&lt;=COB_CA!$B$20)</f>
        <v/>
      </c>
    </row>
    <row r="430">
      <c r="A430" s="6" t="n">
        <v>426</v>
      </c>
      <c r="B430" s="15">
        <f>IF(COB_CA!$B$38=12,DATE(YEAR(COB_CA!$B$19)+INT((MONTH(COB_CA!$B$19)-1+425)/12),MOD(MONTH(COB_CA!$B$19)-1+425,12)+1,1)+(DAY(COB_CA!$B$19)-1),IF(COB_CA!$B$38=24,COB_CA!$B$19+ROUND((425*365.25)/24,0),IF(COB_CA!$B$38=26,COB_CA!$B$19+5950,COB_CA!$B$19+2975)))</f>
        <v/>
      </c>
      <c r="C430" s="12">
        <f>B430-B429</f>
        <v/>
      </c>
      <c r="D430" s="14">
        <f>N429</f>
        <v/>
      </c>
      <c r="E430" s="14">
        <f>D430*COB_CA!$B$40/100*(IF(YEAR(B429)=YEAR(B430),(B430-B429)/IF(AND(MOD(YEAR(B430),4)=0,OR(MOD(YEAR(B430),100)&lt;&gt;0,MOD(YEAR(B430),400)=0)),366,365),(((DATE(YEAR(B429)+1,1,1)))-B429)/IF(AND(MOD(YEAR(B429),4)=0,OR(MOD(YEAR(B429),100)&lt;&gt;0,MOD(YEAR(B429),400)=0)),366,365)+(B430-((DATE(YEAR(B429)+1,1,1))))/IF(AND(MOD(YEAR(B430),4)=0,OR(MOD(YEAR(B430),100)&lt;&gt;0,MOD(YEAR(B430),400)=0)),366,365)))</f>
        <v/>
      </c>
      <c r="F430" s="14">
        <f>L429</f>
        <v/>
      </c>
      <c r="G430" s="14">
        <f>M429</f>
        <v/>
      </c>
      <c r="H430" s="14">
        <f>IF((((COB_CA!$B$18-I430)-J430)&gt;D430),I430+J430+K430,COB_CA!$B$18)</f>
        <v/>
      </c>
      <c r="I430" s="14">
        <f>MIN(COB_CA!$B$18,(E430+F430))</f>
        <v/>
      </c>
      <c r="J430" s="14">
        <f>MIN((COB_CA!$B$18-I430),G430)</f>
        <v/>
      </c>
      <c r="K430" s="14">
        <f>MIN(((COB_CA!$B$18-I430)-J430),D430)</f>
        <v/>
      </c>
      <c r="L430" s="14">
        <f>E430+F430-I430</f>
        <v/>
      </c>
      <c r="M430" s="14">
        <f>G430-J430</f>
        <v/>
      </c>
      <c r="N430" s="14">
        <f>D430-K430</f>
        <v/>
      </c>
      <c r="O430" s="6">
        <f>AND(D430&gt;0,B430&lt;=COB_CA!$B$20)</f>
        <v/>
      </c>
    </row>
    <row r="431">
      <c r="A431" s="6" t="n">
        <v>427</v>
      </c>
      <c r="B431" s="15">
        <f>IF(COB_CA!$B$38=12,DATE(YEAR(COB_CA!$B$19)+INT((MONTH(COB_CA!$B$19)-1+426)/12),MOD(MONTH(COB_CA!$B$19)-1+426,12)+1,1)+(DAY(COB_CA!$B$19)-1),IF(COB_CA!$B$38=24,COB_CA!$B$19+ROUND((426*365.25)/24,0),IF(COB_CA!$B$38=26,COB_CA!$B$19+5964,COB_CA!$B$19+2982)))</f>
        <v/>
      </c>
      <c r="C431" s="12">
        <f>B431-B430</f>
        <v/>
      </c>
      <c r="D431" s="14">
        <f>N430</f>
        <v/>
      </c>
      <c r="E431" s="14">
        <f>D431*COB_CA!$B$40/100*(IF(YEAR(B430)=YEAR(B431),(B431-B430)/IF(AND(MOD(YEAR(B431),4)=0,OR(MOD(YEAR(B431),100)&lt;&gt;0,MOD(YEAR(B431),400)=0)),366,365),(((DATE(YEAR(B430)+1,1,1)))-B430)/IF(AND(MOD(YEAR(B430),4)=0,OR(MOD(YEAR(B430),100)&lt;&gt;0,MOD(YEAR(B430),400)=0)),366,365)+(B431-((DATE(YEAR(B430)+1,1,1))))/IF(AND(MOD(YEAR(B431),4)=0,OR(MOD(YEAR(B431),100)&lt;&gt;0,MOD(YEAR(B431),400)=0)),366,365)))</f>
        <v/>
      </c>
      <c r="F431" s="14">
        <f>L430</f>
        <v/>
      </c>
      <c r="G431" s="14">
        <f>M430</f>
        <v/>
      </c>
      <c r="H431" s="14">
        <f>IF((((COB_CA!$B$18-I431)-J431)&gt;D431),I431+J431+K431,COB_CA!$B$18)</f>
        <v/>
      </c>
      <c r="I431" s="14">
        <f>MIN(COB_CA!$B$18,(E431+F431))</f>
        <v/>
      </c>
      <c r="J431" s="14">
        <f>MIN((COB_CA!$B$18-I431),G431)</f>
        <v/>
      </c>
      <c r="K431" s="14">
        <f>MIN(((COB_CA!$B$18-I431)-J431),D431)</f>
        <v/>
      </c>
      <c r="L431" s="14">
        <f>E431+F431-I431</f>
        <v/>
      </c>
      <c r="M431" s="14">
        <f>G431-J431</f>
        <v/>
      </c>
      <c r="N431" s="14">
        <f>D431-K431</f>
        <v/>
      </c>
      <c r="O431" s="6">
        <f>AND(D431&gt;0,B431&lt;=COB_CA!$B$20)</f>
        <v/>
      </c>
    </row>
    <row r="432">
      <c r="A432" s="6" t="n">
        <v>428</v>
      </c>
      <c r="B432" s="15">
        <f>IF(COB_CA!$B$38=12,DATE(YEAR(COB_CA!$B$19)+INT((MONTH(COB_CA!$B$19)-1+427)/12),MOD(MONTH(COB_CA!$B$19)-1+427,12)+1,1)+(DAY(COB_CA!$B$19)-1),IF(COB_CA!$B$38=24,COB_CA!$B$19+ROUND((427*365.25)/24,0),IF(COB_CA!$B$38=26,COB_CA!$B$19+5978,COB_CA!$B$19+2989)))</f>
        <v/>
      </c>
      <c r="C432" s="12">
        <f>B432-B431</f>
        <v/>
      </c>
      <c r="D432" s="14">
        <f>N431</f>
        <v/>
      </c>
      <c r="E432" s="14">
        <f>D432*COB_CA!$B$40/100*(IF(YEAR(B431)=YEAR(B432),(B432-B431)/IF(AND(MOD(YEAR(B432),4)=0,OR(MOD(YEAR(B432),100)&lt;&gt;0,MOD(YEAR(B432),400)=0)),366,365),(((DATE(YEAR(B431)+1,1,1)))-B431)/IF(AND(MOD(YEAR(B431),4)=0,OR(MOD(YEAR(B431),100)&lt;&gt;0,MOD(YEAR(B431),400)=0)),366,365)+(B432-((DATE(YEAR(B431)+1,1,1))))/IF(AND(MOD(YEAR(B432),4)=0,OR(MOD(YEAR(B432),100)&lt;&gt;0,MOD(YEAR(B432),400)=0)),366,365)))</f>
        <v/>
      </c>
      <c r="F432" s="14">
        <f>L431</f>
        <v/>
      </c>
      <c r="G432" s="14">
        <f>M431</f>
        <v/>
      </c>
      <c r="H432" s="14">
        <f>IF((((COB_CA!$B$18-I432)-J432)&gt;D432),I432+J432+K432,COB_CA!$B$18)</f>
        <v/>
      </c>
      <c r="I432" s="14">
        <f>MIN(COB_CA!$B$18,(E432+F432))</f>
        <v/>
      </c>
      <c r="J432" s="14">
        <f>MIN((COB_CA!$B$18-I432),G432)</f>
        <v/>
      </c>
      <c r="K432" s="14">
        <f>MIN(((COB_CA!$B$18-I432)-J432),D432)</f>
        <v/>
      </c>
      <c r="L432" s="14">
        <f>E432+F432-I432</f>
        <v/>
      </c>
      <c r="M432" s="14">
        <f>G432-J432</f>
        <v/>
      </c>
      <c r="N432" s="14">
        <f>D432-K432</f>
        <v/>
      </c>
      <c r="O432" s="6">
        <f>AND(D432&gt;0,B432&lt;=COB_CA!$B$20)</f>
        <v/>
      </c>
    </row>
    <row r="433">
      <c r="A433" s="6" t="n">
        <v>429</v>
      </c>
      <c r="B433" s="15">
        <f>IF(COB_CA!$B$38=12,DATE(YEAR(COB_CA!$B$19)+INT((MONTH(COB_CA!$B$19)-1+428)/12),MOD(MONTH(COB_CA!$B$19)-1+428,12)+1,1)+(DAY(COB_CA!$B$19)-1),IF(COB_CA!$B$38=24,COB_CA!$B$19+ROUND((428*365.25)/24,0),IF(COB_CA!$B$38=26,COB_CA!$B$19+5992,COB_CA!$B$19+2996)))</f>
        <v/>
      </c>
      <c r="C433" s="12">
        <f>B433-B432</f>
        <v/>
      </c>
      <c r="D433" s="14">
        <f>N432</f>
        <v/>
      </c>
      <c r="E433" s="14">
        <f>D433*COB_CA!$B$40/100*(IF(YEAR(B432)=YEAR(B433),(B433-B432)/IF(AND(MOD(YEAR(B433),4)=0,OR(MOD(YEAR(B433),100)&lt;&gt;0,MOD(YEAR(B433),400)=0)),366,365),(((DATE(YEAR(B432)+1,1,1)))-B432)/IF(AND(MOD(YEAR(B432),4)=0,OR(MOD(YEAR(B432),100)&lt;&gt;0,MOD(YEAR(B432),400)=0)),366,365)+(B433-((DATE(YEAR(B432)+1,1,1))))/IF(AND(MOD(YEAR(B433),4)=0,OR(MOD(YEAR(B433),100)&lt;&gt;0,MOD(YEAR(B433),400)=0)),366,365)))</f>
        <v/>
      </c>
      <c r="F433" s="14">
        <f>L432</f>
        <v/>
      </c>
      <c r="G433" s="14">
        <f>M432</f>
        <v/>
      </c>
      <c r="H433" s="14">
        <f>IF((((COB_CA!$B$18-I433)-J433)&gt;D433),I433+J433+K433,COB_CA!$B$18)</f>
        <v/>
      </c>
      <c r="I433" s="14">
        <f>MIN(COB_CA!$B$18,(E433+F433))</f>
        <v/>
      </c>
      <c r="J433" s="14">
        <f>MIN((COB_CA!$B$18-I433),G433)</f>
        <v/>
      </c>
      <c r="K433" s="14">
        <f>MIN(((COB_CA!$B$18-I433)-J433),D433)</f>
        <v/>
      </c>
      <c r="L433" s="14">
        <f>E433+F433-I433</f>
        <v/>
      </c>
      <c r="M433" s="14">
        <f>G433-J433</f>
        <v/>
      </c>
      <c r="N433" s="14">
        <f>D433-K433</f>
        <v/>
      </c>
      <c r="O433" s="6">
        <f>AND(D433&gt;0,B433&lt;=COB_CA!$B$20)</f>
        <v/>
      </c>
    </row>
    <row r="434">
      <c r="A434" s="6" t="n">
        <v>430</v>
      </c>
      <c r="B434" s="15">
        <f>IF(COB_CA!$B$38=12,DATE(YEAR(COB_CA!$B$19)+INT((MONTH(COB_CA!$B$19)-1+429)/12),MOD(MONTH(COB_CA!$B$19)-1+429,12)+1,1)+(DAY(COB_CA!$B$19)-1),IF(COB_CA!$B$38=24,COB_CA!$B$19+ROUND((429*365.25)/24,0),IF(COB_CA!$B$38=26,COB_CA!$B$19+6006,COB_CA!$B$19+3003)))</f>
        <v/>
      </c>
      <c r="C434" s="12">
        <f>B434-B433</f>
        <v/>
      </c>
      <c r="D434" s="14">
        <f>N433</f>
        <v/>
      </c>
      <c r="E434" s="14">
        <f>D434*COB_CA!$B$40/100*(IF(YEAR(B433)=YEAR(B434),(B434-B433)/IF(AND(MOD(YEAR(B434),4)=0,OR(MOD(YEAR(B434),100)&lt;&gt;0,MOD(YEAR(B434),400)=0)),366,365),(((DATE(YEAR(B433)+1,1,1)))-B433)/IF(AND(MOD(YEAR(B433),4)=0,OR(MOD(YEAR(B433),100)&lt;&gt;0,MOD(YEAR(B433),400)=0)),366,365)+(B434-((DATE(YEAR(B433)+1,1,1))))/IF(AND(MOD(YEAR(B434),4)=0,OR(MOD(YEAR(B434),100)&lt;&gt;0,MOD(YEAR(B434),400)=0)),366,365)))</f>
        <v/>
      </c>
      <c r="F434" s="14">
        <f>L433</f>
        <v/>
      </c>
      <c r="G434" s="14">
        <f>M433</f>
        <v/>
      </c>
      <c r="H434" s="14">
        <f>IF((((COB_CA!$B$18-I434)-J434)&gt;D434),I434+J434+K434,COB_CA!$B$18)</f>
        <v/>
      </c>
      <c r="I434" s="14">
        <f>MIN(COB_CA!$B$18,(E434+F434))</f>
        <v/>
      </c>
      <c r="J434" s="14">
        <f>MIN((COB_CA!$B$18-I434),G434)</f>
        <v/>
      </c>
      <c r="K434" s="14">
        <f>MIN(((COB_CA!$B$18-I434)-J434),D434)</f>
        <v/>
      </c>
      <c r="L434" s="14">
        <f>E434+F434-I434</f>
        <v/>
      </c>
      <c r="M434" s="14">
        <f>G434-J434</f>
        <v/>
      </c>
      <c r="N434" s="14">
        <f>D434-K434</f>
        <v/>
      </c>
      <c r="O434" s="6">
        <f>AND(D434&gt;0,B434&lt;=COB_CA!$B$20)</f>
        <v/>
      </c>
    </row>
    <row r="435">
      <c r="A435" s="6" t="n">
        <v>431</v>
      </c>
      <c r="B435" s="15">
        <f>IF(COB_CA!$B$38=12,DATE(YEAR(COB_CA!$B$19)+INT((MONTH(COB_CA!$B$19)-1+430)/12),MOD(MONTH(COB_CA!$B$19)-1+430,12)+1,1)+(DAY(COB_CA!$B$19)-1),IF(COB_CA!$B$38=24,COB_CA!$B$19+ROUND((430*365.25)/24,0),IF(COB_CA!$B$38=26,COB_CA!$B$19+6020,COB_CA!$B$19+3010)))</f>
        <v/>
      </c>
      <c r="C435" s="12">
        <f>B435-B434</f>
        <v/>
      </c>
      <c r="D435" s="14">
        <f>N434</f>
        <v/>
      </c>
      <c r="E435" s="14">
        <f>D435*COB_CA!$B$40/100*(IF(YEAR(B434)=YEAR(B435),(B435-B434)/IF(AND(MOD(YEAR(B435),4)=0,OR(MOD(YEAR(B435),100)&lt;&gt;0,MOD(YEAR(B435),400)=0)),366,365),(((DATE(YEAR(B434)+1,1,1)))-B434)/IF(AND(MOD(YEAR(B434),4)=0,OR(MOD(YEAR(B434),100)&lt;&gt;0,MOD(YEAR(B434),400)=0)),366,365)+(B435-((DATE(YEAR(B434)+1,1,1))))/IF(AND(MOD(YEAR(B435),4)=0,OR(MOD(YEAR(B435),100)&lt;&gt;0,MOD(YEAR(B435),400)=0)),366,365)))</f>
        <v/>
      </c>
      <c r="F435" s="14">
        <f>L434</f>
        <v/>
      </c>
      <c r="G435" s="14">
        <f>M434</f>
        <v/>
      </c>
      <c r="H435" s="14">
        <f>IF((((COB_CA!$B$18-I435)-J435)&gt;D435),I435+J435+K435,COB_CA!$B$18)</f>
        <v/>
      </c>
      <c r="I435" s="14">
        <f>MIN(COB_CA!$B$18,(E435+F435))</f>
        <v/>
      </c>
      <c r="J435" s="14">
        <f>MIN((COB_CA!$B$18-I435),G435)</f>
        <v/>
      </c>
      <c r="K435" s="14">
        <f>MIN(((COB_CA!$B$18-I435)-J435),D435)</f>
        <v/>
      </c>
      <c r="L435" s="14">
        <f>E435+F435-I435</f>
        <v/>
      </c>
      <c r="M435" s="14">
        <f>G435-J435</f>
        <v/>
      </c>
      <c r="N435" s="14">
        <f>D435-K435</f>
        <v/>
      </c>
      <c r="O435" s="6">
        <f>AND(D435&gt;0,B435&lt;=COB_CA!$B$20)</f>
        <v/>
      </c>
    </row>
    <row r="436">
      <c r="A436" s="6" t="n">
        <v>432</v>
      </c>
      <c r="B436" s="15">
        <f>IF(COB_CA!$B$38=12,DATE(YEAR(COB_CA!$B$19)+INT((MONTH(COB_CA!$B$19)-1+431)/12),MOD(MONTH(COB_CA!$B$19)-1+431,12)+1,1)+(DAY(COB_CA!$B$19)-1),IF(COB_CA!$B$38=24,COB_CA!$B$19+ROUND((431*365.25)/24,0),IF(COB_CA!$B$38=26,COB_CA!$B$19+6034,COB_CA!$B$19+3017)))</f>
        <v/>
      </c>
      <c r="C436" s="12">
        <f>B436-B435</f>
        <v/>
      </c>
      <c r="D436" s="14">
        <f>N435</f>
        <v/>
      </c>
      <c r="E436" s="14">
        <f>D436*COB_CA!$B$40/100*(IF(YEAR(B435)=YEAR(B436),(B436-B435)/IF(AND(MOD(YEAR(B436),4)=0,OR(MOD(YEAR(B436),100)&lt;&gt;0,MOD(YEAR(B436),400)=0)),366,365),(((DATE(YEAR(B435)+1,1,1)))-B435)/IF(AND(MOD(YEAR(B435),4)=0,OR(MOD(YEAR(B435),100)&lt;&gt;0,MOD(YEAR(B435),400)=0)),366,365)+(B436-((DATE(YEAR(B435)+1,1,1))))/IF(AND(MOD(YEAR(B436),4)=0,OR(MOD(YEAR(B436),100)&lt;&gt;0,MOD(YEAR(B436),400)=0)),366,365)))</f>
        <v/>
      </c>
      <c r="F436" s="14">
        <f>L435</f>
        <v/>
      </c>
      <c r="G436" s="14">
        <f>M435</f>
        <v/>
      </c>
      <c r="H436" s="14">
        <f>IF((((COB_CA!$B$18-I436)-J436)&gt;D436),I436+J436+K436,COB_CA!$B$18)</f>
        <v/>
      </c>
      <c r="I436" s="14">
        <f>MIN(COB_CA!$B$18,(E436+F436))</f>
        <v/>
      </c>
      <c r="J436" s="14">
        <f>MIN((COB_CA!$B$18-I436),G436)</f>
        <v/>
      </c>
      <c r="K436" s="14">
        <f>MIN(((COB_CA!$B$18-I436)-J436),D436)</f>
        <v/>
      </c>
      <c r="L436" s="14">
        <f>E436+F436-I436</f>
        <v/>
      </c>
      <c r="M436" s="14">
        <f>G436-J436</f>
        <v/>
      </c>
      <c r="N436" s="14">
        <f>D436-K436</f>
        <v/>
      </c>
      <c r="O436" s="6">
        <f>AND(D436&gt;0,B436&lt;=COB_CA!$B$20)</f>
        <v/>
      </c>
    </row>
    <row r="437">
      <c r="A437" s="6" t="n">
        <v>433</v>
      </c>
      <c r="B437" s="15">
        <f>IF(COB_CA!$B$38=12,DATE(YEAR(COB_CA!$B$19)+INT((MONTH(COB_CA!$B$19)-1+432)/12),MOD(MONTH(COB_CA!$B$19)-1+432,12)+1,1)+(DAY(COB_CA!$B$19)-1),IF(COB_CA!$B$38=24,COB_CA!$B$19+ROUND((432*365.25)/24,0),IF(COB_CA!$B$38=26,COB_CA!$B$19+6048,COB_CA!$B$19+3024)))</f>
        <v/>
      </c>
      <c r="C437" s="12">
        <f>B437-B436</f>
        <v/>
      </c>
      <c r="D437" s="14">
        <f>N436</f>
        <v/>
      </c>
      <c r="E437" s="14">
        <f>D437*COB_CA!$B$40/100*(IF(YEAR(B436)=YEAR(B437),(B437-B436)/IF(AND(MOD(YEAR(B437),4)=0,OR(MOD(YEAR(B437),100)&lt;&gt;0,MOD(YEAR(B437),400)=0)),366,365),(((DATE(YEAR(B436)+1,1,1)))-B436)/IF(AND(MOD(YEAR(B436),4)=0,OR(MOD(YEAR(B436),100)&lt;&gt;0,MOD(YEAR(B436),400)=0)),366,365)+(B437-((DATE(YEAR(B436)+1,1,1))))/IF(AND(MOD(YEAR(B437),4)=0,OR(MOD(YEAR(B437),100)&lt;&gt;0,MOD(YEAR(B437),400)=0)),366,365)))</f>
        <v/>
      </c>
      <c r="F437" s="14">
        <f>L436</f>
        <v/>
      </c>
      <c r="G437" s="14">
        <f>M436</f>
        <v/>
      </c>
      <c r="H437" s="14">
        <f>IF((((COB_CA!$B$18-I437)-J437)&gt;D437),I437+J437+K437,COB_CA!$B$18)</f>
        <v/>
      </c>
      <c r="I437" s="14">
        <f>MIN(COB_CA!$B$18,(E437+F437))</f>
        <v/>
      </c>
      <c r="J437" s="14">
        <f>MIN((COB_CA!$B$18-I437),G437)</f>
        <v/>
      </c>
      <c r="K437" s="14">
        <f>MIN(((COB_CA!$B$18-I437)-J437),D437)</f>
        <v/>
      </c>
      <c r="L437" s="14">
        <f>E437+F437-I437</f>
        <v/>
      </c>
      <c r="M437" s="14">
        <f>G437-J437</f>
        <v/>
      </c>
      <c r="N437" s="14">
        <f>D437-K437</f>
        <v/>
      </c>
      <c r="O437" s="6">
        <f>AND(D437&gt;0,B437&lt;=COB_CA!$B$20)</f>
        <v/>
      </c>
    </row>
    <row r="438">
      <c r="A438" s="6" t="n">
        <v>434</v>
      </c>
      <c r="B438" s="15">
        <f>IF(COB_CA!$B$38=12,DATE(YEAR(COB_CA!$B$19)+INT((MONTH(COB_CA!$B$19)-1+433)/12),MOD(MONTH(COB_CA!$B$19)-1+433,12)+1,1)+(DAY(COB_CA!$B$19)-1),IF(COB_CA!$B$38=24,COB_CA!$B$19+ROUND((433*365.25)/24,0),IF(COB_CA!$B$38=26,COB_CA!$B$19+6062,COB_CA!$B$19+3031)))</f>
        <v/>
      </c>
      <c r="C438" s="12">
        <f>B438-B437</f>
        <v/>
      </c>
      <c r="D438" s="14">
        <f>N437</f>
        <v/>
      </c>
      <c r="E438" s="14">
        <f>D438*COB_CA!$B$40/100*(IF(YEAR(B437)=YEAR(B438),(B438-B437)/IF(AND(MOD(YEAR(B438),4)=0,OR(MOD(YEAR(B438),100)&lt;&gt;0,MOD(YEAR(B438),400)=0)),366,365),(((DATE(YEAR(B437)+1,1,1)))-B437)/IF(AND(MOD(YEAR(B437),4)=0,OR(MOD(YEAR(B437),100)&lt;&gt;0,MOD(YEAR(B437),400)=0)),366,365)+(B438-((DATE(YEAR(B437)+1,1,1))))/IF(AND(MOD(YEAR(B438),4)=0,OR(MOD(YEAR(B438),100)&lt;&gt;0,MOD(YEAR(B438),400)=0)),366,365)))</f>
        <v/>
      </c>
      <c r="F438" s="14">
        <f>L437</f>
        <v/>
      </c>
      <c r="G438" s="14">
        <f>M437</f>
        <v/>
      </c>
      <c r="H438" s="14">
        <f>IF((((COB_CA!$B$18-I438)-J438)&gt;D438),I438+J438+K438,COB_CA!$B$18)</f>
        <v/>
      </c>
      <c r="I438" s="14">
        <f>MIN(COB_CA!$B$18,(E438+F438))</f>
        <v/>
      </c>
      <c r="J438" s="14">
        <f>MIN((COB_CA!$B$18-I438),G438)</f>
        <v/>
      </c>
      <c r="K438" s="14">
        <f>MIN(((COB_CA!$B$18-I438)-J438),D438)</f>
        <v/>
      </c>
      <c r="L438" s="14">
        <f>E438+F438-I438</f>
        <v/>
      </c>
      <c r="M438" s="14">
        <f>G438-J438</f>
        <v/>
      </c>
      <c r="N438" s="14">
        <f>D438-K438</f>
        <v/>
      </c>
      <c r="O438" s="6">
        <f>AND(D438&gt;0,B438&lt;=COB_CA!$B$20)</f>
        <v/>
      </c>
    </row>
    <row r="439">
      <c r="A439" s="6" t="n">
        <v>435</v>
      </c>
      <c r="B439" s="15">
        <f>IF(COB_CA!$B$38=12,DATE(YEAR(COB_CA!$B$19)+INT((MONTH(COB_CA!$B$19)-1+434)/12),MOD(MONTH(COB_CA!$B$19)-1+434,12)+1,1)+(DAY(COB_CA!$B$19)-1),IF(COB_CA!$B$38=24,COB_CA!$B$19+ROUND((434*365.25)/24,0),IF(COB_CA!$B$38=26,COB_CA!$B$19+6076,COB_CA!$B$19+3038)))</f>
        <v/>
      </c>
      <c r="C439" s="12">
        <f>B439-B438</f>
        <v/>
      </c>
      <c r="D439" s="14">
        <f>N438</f>
        <v/>
      </c>
      <c r="E439" s="14">
        <f>D439*COB_CA!$B$40/100*(IF(YEAR(B438)=YEAR(B439),(B439-B438)/IF(AND(MOD(YEAR(B439),4)=0,OR(MOD(YEAR(B439),100)&lt;&gt;0,MOD(YEAR(B439),400)=0)),366,365),(((DATE(YEAR(B438)+1,1,1)))-B438)/IF(AND(MOD(YEAR(B438),4)=0,OR(MOD(YEAR(B438),100)&lt;&gt;0,MOD(YEAR(B438),400)=0)),366,365)+(B439-((DATE(YEAR(B438)+1,1,1))))/IF(AND(MOD(YEAR(B439),4)=0,OR(MOD(YEAR(B439),100)&lt;&gt;0,MOD(YEAR(B439),400)=0)),366,365)))</f>
        <v/>
      </c>
      <c r="F439" s="14">
        <f>L438</f>
        <v/>
      </c>
      <c r="G439" s="14">
        <f>M438</f>
        <v/>
      </c>
      <c r="H439" s="14">
        <f>IF((((COB_CA!$B$18-I439)-J439)&gt;D439),I439+J439+K439,COB_CA!$B$18)</f>
        <v/>
      </c>
      <c r="I439" s="14">
        <f>MIN(COB_CA!$B$18,(E439+F439))</f>
        <v/>
      </c>
      <c r="J439" s="14">
        <f>MIN((COB_CA!$B$18-I439),G439)</f>
        <v/>
      </c>
      <c r="K439" s="14">
        <f>MIN(((COB_CA!$B$18-I439)-J439),D439)</f>
        <v/>
      </c>
      <c r="L439" s="14">
        <f>E439+F439-I439</f>
        <v/>
      </c>
      <c r="M439" s="14">
        <f>G439-J439</f>
        <v/>
      </c>
      <c r="N439" s="14">
        <f>D439-K439</f>
        <v/>
      </c>
      <c r="O439" s="6">
        <f>AND(D439&gt;0,B439&lt;=COB_CA!$B$20)</f>
        <v/>
      </c>
    </row>
    <row r="440">
      <c r="A440" s="6" t="n">
        <v>436</v>
      </c>
      <c r="B440" s="15">
        <f>IF(COB_CA!$B$38=12,DATE(YEAR(COB_CA!$B$19)+INT((MONTH(COB_CA!$B$19)-1+435)/12),MOD(MONTH(COB_CA!$B$19)-1+435,12)+1,1)+(DAY(COB_CA!$B$19)-1),IF(COB_CA!$B$38=24,COB_CA!$B$19+ROUND((435*365.25)/24,0),IF(COB_CA!$B$38=26,COB_CA!$B$19+6090,COB_CA!$B$19+3045)))</f>
        <v/>
      </c>
      <c r="C440" s="12">
        <f>B440-B439</f>
        <v/>
      </c>
      <c r="D440" s="14">
        <f>N439</f>
        <v/>
      </c>
      <c r="E440" s="14">
        <f>D440*COB_CA!$B$40/100*(IF(YEAR(B439)=YEAR(B440),(B440-B439)/IF(AND(MOD(YEAR(B440),4)=0,OR(MOD(YEAR(B440),100)&lt;&gt;0,MOD(YEAR(B440),400)=0)),366,365),(((DATE(YEAR(B439)+1,1,1)))-B439)/IF(AND(MOD(YEAR(B439),4)=0,OR(MOD(YEAR(B439),100)&lt;&gt;0,MOD(YEAR(B439),400)=0)),366,365)+(B440-((DATE(YEAR(B439)+1,1,1))))/IF(AND(MOD(YEAR(B440),4)=0,OR(MOD(YEAR(B440),100)&lt;&gt;0,MOD(YEAR(B440),400)=0)),366,365)))</f>
        <v/>
      </c>
      <c r="F440" s="14">
        <f>L439</f>
        <v/>
      </c>
      <c r="G440" s="14">
        <f>M439</f>
        <v/>
      </c>
      <c r="H440" s="14">
        <f>IF((((COB_CA!$B$18-I440)-J440)&gt;D440),I440+J440+K440,COB_CA!$B$18)</f>
        <v/>
      </c>
      <c r="I440" s="14">
        <f>MIN(COB_CA!$B$18,(E440+F440))</f>
        <v/>
      </c>
      <c r="J440" s="14">
        <f>MIN((COB_CA!$B$18-I440),G440)</f>
        <v/>
      </c>
      <c r="K440" s="14">
        <f>MIN(((COB_CA!$B$18-I440)-J440),D440)</f>
        <v/>
      </c>
      <c r="L440" s="14">
        <f>E440+F440-I440</f>
        <v/>
      </c>
      <c r="M440" s="14">
        <f>G440-J440</f>
        <v/>
      </c>
      <c r="N440" s="14">
        <f>D440-K440</f>
        <v/>
      </c>
      <c r="O440" s="6">
        <f>AND(D440&gt;0,B440&lt;=COB_CA!$B$20)</f>
        <v/>
      </c>
    </row>
    <row r="441">
      <c r="A441" s="6" t="n">
        <v>437</v>
      </c>
      <c r="B441" s="15">
        <f>IF(COB_CA!$B$38=12,DATE(YEAR(COB_CA!$B$19)+INT((MONTH(COB_CA!$B$19)-1+436)/12),MOD(MONTH(COB_CA!$B$19)-1+436,12)+1,1)+(DAY(COB_CA!$B$19)-1),IF(COB_CA!$B$38=24,COB_CA!$B$19+ROUND((436*365.25)/24,0),IF(COB_CA!$B$38=26,COB_CA!$B$19+6104,COB_CA!$B$19+3052)))</f>
        <v/>
      </c>
      <c r="C441" s="12">
        <f>B441-B440</f>
        <v/>
      </c>
      <c r="D441" s="14">
        <f>N440</f>
        <v/>
      </c>
      <c r="E441" s="14">
        <f>D441*COB_CA!$B$40/100*(IF(YEAR(B440)=YEAR(B441),(B441-B440)/IF(AND(MOD(YEAR(B441),4)=0,OR(MOD(YEAR(B441),100)&lt;&gt;0,MOD(YEAR(B441),400)=0)),366,365),(((DATE(YEAR(B440)+1,1,1)))-B440)/IF(AND(MOD(YEAR(B440),4)=0,OR(MOD(YEAR(B440),100)&lt;&gt;0,MOD(YEAR(B440),400)=0)),366,365)+(B441-((DATE(YEAR(B440)+1,1,1))))/IF(AND(MOD(YEAR(B441),4)=0,OR(MOD(YEAR(B441),100)&lt;&gt;0,MOD(YEAR(B441),400)=0)),366,365)))</f>
        <v/>
      </c>
      <c r="F441" s="14">
        <f>L440</f>
        <v/>
      </c>
      <c r="G441" s="14">
        <f>M440</f>
        <v/>
      </c>
      <c r="H441" s="14">
        <f>IF((((COB_CA!$B$18-I441)-J441)&gt;D441),I441+J441+K441,COB_CA!$B$18)</f>
        <v/>
      </c>
      <c r="I441" s="14">
        <f>MIN(COB_CA!$B$18,(E441+F441))</f>
        <v/>
      </c>
      <c r="J441" s="14">
        <f>MIN((COB_CA!$B$18-I441),G441)</f>
        <v/>
      </c>
      <c r="K441" s="14">
        <f>MIN(((COB_CA!$B$18-I441)-J441),D441)</f>
        <v/>
      </c>
      <c r="L441" s="14">
        <f>E441+F441-I441</f>
        <v/>
      </c>
      <c r="M441" s="14">
        <f>G441-J441</f>
        <v/>
      </c>
      <c r="N441" s="14">
        <f>D441-K441</f>
        <v/>
      </c>
      <c r="O441" s="6">
        <f>AND(D441&gt;0,B441&lt;=COB_CA!$B$20)</f>
        <v/>
      </c>
    </row>
    <row r="442">
      <c r="A442" s="6" t="n">
        <v>438</v>
      </c>
      <c r="B442" s="15">
        <f>IF(COB_CA!$B$38=12,DATE(YEAR(COB_CA!$B$19)+INT((MONTH(COB_CA!$B$19)-1+437)/12),MOD(MONTH(COB_CA!$B$19)-1+437,12)+1,1)+(DAY(COB_CA!$B$19)-1),IF(COB_CA!$B$38=24,COB_CA!$B$19+ROUND((437*365.25)/24,0),IF(COB_CA!$B$38=26,COB_CA!$B$19+6118,COB_CA!$B$19+3059)))</f>
        <v/>
      </c>
      <c r="C442" s="12">
        <f>B442-B441</f>
        <v/>
      </c>
      <c r="D442" s="14">
        <f>N441</f>
        <v/>
      </c>
      <c r="E442" s="14">
        <f>D442*COB_CA!$B$40/100*(IF(YEAR(B441)=YEAR(B442),(B442-B441)/IF(AND(MOD(YEAR(B442),4)=0,OR(MOD(YEAR(B442),100)&lt;&gt;0,MOD(YEAR(B442),400)=0)),366,365),(((DATE(YEAR(B441)+1,1,1)))-B441)/IF(AND(MOD(YEAR(B441),4)=0,OR(MOD(YEAR(B441),100)&lt;&gt;0,MOD(YEAR(B441),400)=0)),366,365)+(B442-((DATE(YEAR(B441)+1,1,1))))/IF(AND(MOD(YEAR(B442),4)=0,OR(MOD(YEAR(B442),100)&lt;&gt;0,MOD(YEAR(B442),400)=0)),366,365)))</f>
        <v/>
      </c>
      <c r="F442" s="14">
        <f>L441</f>
        <v/>
      </c>
      <c r="G442" s="14">
        <f>M441</f>
        <v/>
      </c>
      <c r="H442" s="14">
        <f>IF((((COB_CA!$B$18-I442)-J442)&gt;D442),I442+J442+K442,COB_CA!$B$18)</f>
        <v/>
      </c>
      <c r="I442" s="14">
        <f>MIN(COB_CA!$B$18,(E442+F442))</f>
        <v/>
      </c>
      <c r="J442" s="14">
        <f>MIN((COB_CA!$B$18-I442),G442)</f>
        <v/>
      </c>
      <c r="K442" s="14">
        <f>MIN(((COB_CA!$B$18-I442)-J442),D442)</f>
        <v/>
      </c>
      <c r="L442" s="14">
        <f>E442+F442-I442</f>
        <v/>
      </c>
      <c r="M442" s="14">
        <f>G442-J442</f>
        <v/>
      </c>
      <c r="N442" s="14">
        <f>D442-K442</f>
        <v/>
      </c>
      <c r="O442" s="6">
        <f>AND(D442&gt;0,B442&lt;=COB_CA!$B$20)</f>
        <v/>
      </c>
    </row>
    <row r="443">
      <c r="A443" s="6" t="n">
        <v>439</v>
      </c>
      <c r="B443" s="15">
        <f>IF(COB_CA!$B$38=12,DATE(YEAR(COB_CA!$B$19)+INT((MONTH(COB_CA!$B$19)-1+438)/12),MOD(MONTH(COB_CA!$B$19)-1+438,12)+1,1)+(DAY(COB_CA!$B$19)-1),IF(COB_CA!$B$38=24,COB_CA!$B$19+ROUND((438*365.25)/24,0),IF(COB_CA!$B$38=26,COB_CA!$B$19+6132,COB_CA!$B$19+3066)))</f>
        <v/>
      </c>
      <c r="C443" s="12">
        <f>B443-B442</f>
        <v/>
      </c>
      <c r="D443" s="14">
        <f>N442</f>
        <v/>
      </c>
      <c r="E443" s="14">
        <f>D443*COB_CA!$B$40/100*(IF(YEAR(B442)=YEAR(B443),(B443-B442)/IF(AND(MOD(YEAR(B443),4)=0,OR(MOD(YEAR(B443),100)&lt;&gt;0,MOD(YEAR(B443),400)=0)),366,365),(((DATE(YEAR(B442)+1,1,1)))-B442)/IF(AND(MOD(YEAR(B442),4)=0,OR(MOD(YEAR(B442),100)&lt;&gt;0,MOD(YEAR(B442),400)=0)),366,365)+(B443-((DATE(YEAR(B442)+1,1,1))))/IF(AND(MOD(YEAR(B443),4)=0,OR(MOD(YEAR(B443),100)&lt;&gt;0,MOD(YEAR(B443),400)=0)),366,365)))</f>
        <v/>
      </c>
      <c r="F443" s="14">
        <f>L442</f>
        <v/>
      </c>
      <c r="G443" s="14">
        <f>M442</f>
        <v/>
      </c>
      <c r="H443" s="14">
        <f>IF((((COB_CA!$B$18-I443)-J443)&gt;D443),I443+J443+K443,COB_CA!$B$18)</f>
        <v/>
      </c>
      <c r="I443" s="14">
        <f>MIN(COB_CA!$B$18,(E443+F443))</f>
        <v/>
      </c>
      <c r="J443" s="14">
        <f>MIN((COB_CA!$B$18-I443),G443)</f>
        <v/>
      </c>
      <c r="K443" s="14">
        <f>MIN(((COB_CA!$B$18-I443)-J443),D443)</f>
        <v/>
      </c>
      <c r="L443" s="14">
        <f>E443+F443-I443</f>
        <v/>
      </c>
      <c r="M443" s="14">
        <f>G443-J443</f>
        <v/>
      </c>
      <c r="N443" s="14">
        <f>D443-K443</f>
        <v/>
      </c>
      <c r="O443" s="6">
        <f>AND(D443&gt;0,B443&lt;=COB_CA!$B$20)</f>
        <v/>
      </c>
    </row>
    <row r="444">
      <c r="A444" s="6" t="n">
        <v>440</v>
      </c>
      <c r="B444" s="15">
        <f>IF(COB_CA!$B$38=12,DATE(YEAR(COB_CA!$B$19)+INT((MONTH(COB_CA!$B$19)-1+439)/12),MOD(MONTH(COB_CA!$B$19)-1+439,12)+1,1)+(DAY(COB_CA!$B$19)-1),IF(COB_CA!$B$38=24,COB_CA!$B$19+ROUND((439*365.25)/24,0),IF(COB_CA!$B$38=26,COB_CA!$B$19+6146,COB_CA!$B$19+3073)))</f>
        <v/>
      </c>
      <c r="C444" s="12">
        <f>B444-B443</f>
        <v/>
      </c>
      <c r="D444" s="14">
        <f>N443</f>
        <v/>
      </c>
      <c r="E444" s="14">
        <f>D444*COB_CA!$B$40/100*(IF(YEAR(B443)=YEAR(B444),(B444-B443)/IF(AND(MOD(YEAR(B444),4)=0,OR(MOD(YEAR(B444),100)&lt;&gt;0,MOD(YEAR(B444),400)=0)),366,365),(((DATE(YEAR(B443)+1,1,1)))-B443)/IF(AND(MOD(YEAR(B443),4)=0,OR(MOD(YEAR(B443),100)&lt;&gt;0,MOD(YEAR(B443),400)=0)),366,365)+(B444-((DATE(YEAR(B443)+1,1,1))))/IF(AND(MOD(YEAR(B444),4)=0,OR(MOD(YEAR(B444),100)&lt;&gt;0,MOD(YEAR(B444),400)=0)),366,365)))</f>
        <v/>
      </c>
      <c r="F444" s="14">
        <f>L443</f>
        <v/>
      </c>
      <c r="G444" s="14">
        <f>M443</f>
        <v/>
      </c>
      <c r="H444" s="14">
        <f>IF((((COB_CA!$B$18-I444)-J444)&gt;D444),I444+J444+K444,COB_CA!$B$18)</f>
        <v/>
      </c>
      <c r="I444" s="14">
        <f>MIN(COB_CA!$B$18,(E444+F444))</f>
        <v/>
      </c>
      <c r="J444" s="14">
        <f>MIN((COB_CA!$B$18-I444),G444)</f>
        <v/>
      </c>
      <c r="K444" s="14">
        <f>MIN(((COB_CA!$B$18-I444)-J444),D444)</f>
        <v/>
      </c>
      <c r="L444" s="14">
        <f>E444+F444-I444</f>
        <v/>
      </c>
      <c r="M444" s="14">
        <f>G444-J444</f>
        <v/>
      </c>
      <c r="N444" s="14">
        <f>D444-K444</f>
        <v/>
      </c>
      <c r="O444" s="6">
        <f>AND(D444&gt;0,B444&lt;=COB_CA!$B$20)</f>
        <v/>
      </c>
    </row>
    <row r="445">
      <c r="A445" s="6" t="n">
        <v>441</v>
      </c>
      <c r="B445" s="15">
        <f>IF(COB_CA!$B$38=12,DATE(YEAR(COB_CA!$B$19)+INT((MONTH(COB_CA!$B$19)-1+440)/12),MOD(MONTH(COB_CA!$B$19)-1+440,12)+1,1)+(DAY(COB_CA!$B$19)-1),IF(COB_CA!$B$38=24,COB_CA!$B$19+ROUND((440*365.25)/24,0),IF(COB_CA!$B$38=26,COB_CA!$B$19+6160,COB_CA!$B$19+3080)))</f>
        <v/>
      </c>
      <c r="C445" s="12">
        <f>B445-B444</f>
        <v/>
      </c>
      <c r="D445" s="14">
        <f>N444</f>
        <v/>
      </c>
      <c r="E445" s="14">
        <f>D445*COB_CA!$B$40/100*(IF(YEAR(B444)=YEAR(B445),(B445-B444)/IF(AND(MOD(YEAR(B445),4)=0,OR(MOD(YEAR(B445),100)&lt;&gt;0,MOD(YEAR(B445),400)=0)),366,365),(((DATE(YEAR(B444)+1,1,1)))-B444)/IF(AND(MOD(YEAR(B444),4)=0,OR(MOD(YEAR(B444),100)&lt;&gt;0,MOD(YEAR(B444),400)=0)),366,365)+(B445-((DATE(YEAR(B444)+1,1,1))))/IF(AND(MOD(YEAR(B445),4)=0,OR(MOD(YEAR(B445),100)&lt;&gt;0,MOD(YEAR(B445),400)=0)),366,365)))</f>
        <v/>
      </c>
      <c r="F445" s="14">
        <f>L444</f>
        <v/>
      </c>
      <c r="G445" s="14">
        <f>M444</f>
        <v/>
      </c>
      <c r="H445" s="14">
        <f>IF((((COB_CA!$B$18-I445)-J445)&gt;D445),I445+J445+K445,COB_CA!$B$18)</f>
        <v/>
      </c>
      <c r="I445" s="14">
        <f>MIN(COB_CA!$B$18,(E445+F445))</f>
        <v/>
      </c>
      <c r="J445" s="14">
        <f>MIN((COB_CA!$B$18-I445),G445)</f>
        <v/>
      </c>
      <c r="K445" s="14">
        <f>MIN(((COB_CA!$B$18-I445)-J445),D445)</f>
        <v/>
      </c>
      <c r="L445" s="14">
        <f>E445+F445-I445</f>
        <v/>
      </c>
      <c r="M445" s="14">
        <f>G445-J445</f>
        <v/>
      </c>
      <c r="N445" s="14">
        <f>D445-K445</f>
        <v/>
      </c>
      <c r="O445" s="6">
        <f>AND(D445&gt;0,B445&lt;=COB_CA!$B$20)</f>
        <v/>
      </c>
    </row>
    <row r="446">
      <c r="A446" s="6" t="n">
        <v>442</v>
      </c>
      <c r="B446" s="15">
        <f>IF(COB_CA!$B$38=12,DATE(YEAR(COB_CA!$B$19)+INT((MONTH(COB_CA!$B$19)-1+441)/12),MOD(MONTH(COB_CA!$B$19)-1+441,12)+1,1)+(DAY(COB_CA!$B$19)-1),IF(COB_CA!$B$38=24,COB_CA!$B$19+ROUND((441*365.25)/24,0),IF(COB_CA!$B$38=26,COB_CA!$B$19+6174,COB_CA!$B$19+3087)))</f>
        <v/>
      </c>
      <c r="C446" s="12">
        <f>B446-B445</f>
        <v/>
      </c>
      <c r="D446" s="14">
        <f>N445</f>
        <v/>
      </c>
      <c r="E446" s="14">
        <f>D446*COB_CA!$B$40/100*(IF(YEAR(B445)=YEAR(B446),(B446-B445)/IF(AND(MOD(YEAR(B446),4)=0,OR(MOD(YEAR(B446),100)&lt;&gt;0,MOD(YEAR(B446),400)=0)),366,365),(((DATE(YEAR(B445)+1,1,1)))-B445)/IF(AND(MOD(YEAR(B445),4)=0,OR(MOD(YEAR(B445),100)&lt;&gt;0,MOD(YEAR(B445),400)=0)),366,365)+(B446-((DATE(YEAR(B445)+1,1,1))))/IF(AND(MOD(YEAR(B446),4)=0,OR(MOD(YEAR(B446),100)&lt;&gt;0,MOD(YEAR(B446),400)=0)),366,365)))</f>
        <v/>
      </c>
      <c r="F446" s="14">
        <f>L445</f>
        <v/>
      </c>
      <c r="G446" s="14">
        <f>M445</f>
        <v/>
      </c>
      <c r="H446" s="14">
        <f>IF((((COB_CA!$B$18-I446)-J446)&gt;D446),I446+J446+K446,COB_CA!$B$18)</f>
        <v/>
      </c>
      <c r="I446" s="14">
        <f>MIN(COB_CA!$B$18,(E446+F446))</f>
        <v/>
      </c>
      <c r="J446" s="14">
        <f>MIN((COB_CA!$B$18-I446),G446)</f>
        <v/>
      </c>
      <c r="K446" s="14">
        <f>MIN(((COB_CA!$B$18-I446)-J446),D446)</f>
        <v/>
      </c>
      <c r="L446" s="14">
        <f>E446+F446-I446</f>
        <v/>
      </c>
      <c r="M446" s="14">
        <f>G446-J446</f>
        <v/>
      </c>
      <c r="N446" s="14">
        <f>D446-K446</f>
        <v/>
      </c>
      <c r="O446" s="6">
        <f>AND(D446&gt;0,B446&lt;=COB_CA!$B$20)</f>
        <v/>
      </c>
    </row>
    <row r="447">
      <c r="A447" s="6" t="n">
        <v>443</v>
      </c>
      <c r="B447" s="15">
        <f>IF(COB_CA!$B$38=12,DATE(YEAR(COB_CA!$B$19)+INT((MONTH(COB_CA!$B$19)-1+442)/12),MOD(MONTH(COB_CA!$B$19)-1+442,12)+1,1)+(DAY(COB_CA!$B$19)-1),IF(COB_CA!$B$38=24,COB_CA!$B$19+ROUND((442*365.25)/24,0),IF(COB_CA!$B$38=26,COB_CA!$B$19+6188,COB_CA!$B$19+3094)))</f>
        <v/>
      </c>
      <c r="C447" s="12">
        <f>B447-B446</f>
        <v/>
      </c>
      <c r="D447" s="14">
        <f>N446</f>
        <v/>
      </c>
      <c r="E447" s="14">
        <f>D447*COB_CA!$B$40/100*(IF(YEAR(B446)=YEAR(B447),(B447-B446)/IF(AND(MOD(YEAR(B447),4)=0,OR(MOD(YEAR(B447),100)&lt;&gt;0,MOD(YEAR(B447),400)=0)),366,365),(((DATE(YEAR(B446)+1,1,1)))-B446)/IF(AND(MOD(YEAR(B446),4)=0,OR(MOD(YEAR(B446),100)&lt;&gt;0,MOD(YEAR(B446),400)=0)),366,365)+(B447-((DATE(YEAR(B446)+1,1,1))))/IF(AND(MOD(YEAR(B447),4)=0,OR(MOD(YEAR(B447),100)&lt;&gt;0,MOD(YEAR(B447),400)=0)),366,365)))</f>
        <v/>
      </c>
      <c r="F447" s="14">
        <f>L446</f>
        <v/>
      </c>
      <c r="G447" s="14">
        <f>M446</f>
        <v/>
      </c>
      <c r="H447" s="14">
        <f>IF((((COB_CA!$B$18-I447)-J447)&gt;D447),I447+J447+K447,COB_CA!$B$18)</f>
        <v/>
      </c>
      <c r="I447" s="14">
        <f>MIN(COB_CA!$B$18,(E447+F447))</f>
        <v/>
      </c>
      <c r="J447" s="14">
        <f>MIN((COB_CA!$B$18-I447),G447)</f>
        <v/>
      </c>
      <c r="K447" s="14">
        <f>MIN(((COB_CA!$B$18-I447)-J447),D447)</f>
        <v/>
      </c>
      <c r="L447" s="14">
        <f>E447+F447-I447</f>
        <v/>
      </c>
      <c r="M447" s="14">
        <f>G447-J447</f>
        <v/>
      </c>
      <c r="N447" s="14">
        <f>D447-K447</f>
        <v/>
      </c>
      <c r="O447" s="6">
        <f>AND(D447&gt;0,B447&lt;=COB_CA!$B$20)</f>
        <v/>
      </c>
    </row>
    <row r="448">
      <c r="A448" s="6" t="n">
        <v>444</v>
      </c>
      <c r="B448" s="15">
        <f>IF(COB_CA!$B$38=12,DATE(YEAR(COB_CA!$B$19)+INT((MONTH(COB_CA!$B$19)-1+443)/12),MOD(MONTH(COB_CA!$B$19)-1+443,12)+1,1)+(DAY(COB_CA!$B$19)-1),IF(COB_CA!$B$38=24,COB_CA!$B$19+ROUND((443*365.25)/24,0),IF(COB_CA!$B$38=26,COB_CA!$B$19+6202,COB_CA!$B$19+3101)))</f>
        <v/>
      </c>
      <c r="C448" s="12">
        <f>B448-B447</f>
        <v/>
      </c>
      <c r="D448" s="14">
        <f>N447</f>
        <v/>
      </c>
      <c r="E448" s="14">
        <f>D448*COB_CA!$B$40/100*(IF(YEAR(B447)=YEAR(B448),(B448-B447)/IF(AND(MOD(YEAR(B448),4)=0,OR(MOD(YEAR(B448),100)&lt;&gt;0,MOD(YEAR(B448),400)=0)),366,365),(((DATE(YEAR(B447)+1,1,1)))-B447)/IF(AND(MOD(YEAR(B447),4)=0,OR(MOD(YEAR(B447),100)&lt;&gt;0,MOD(YEAR(B447),400)=0)),366,365)+(B448-((DATE(YEAR(B447)+1,1,1))))/IF(AND(MOD(YEAR(B448),4)=0,OR(MOD(YEAR(B448),100)&lt;&gt;0,MOD(YEAR(B448),400)=0)),366,365)))</f>
        <v/>
      </c>
      <c r="F448" s="14">
        <f>L447</f>
        <v/>
      </c>
      <c r="G448" s="14">
        <f>M447</f>
        <v/>
      </c>
      <c r="H448" s="14">
        <f>IF((((COB_CA!$B$18-I448)-J448)&gt;D448),I448+J448+K448,COB_CA!$B$18)</f>
        <v/>
      </c>
      <c r="I448" s="14">
        <f>MIN(COB_CA!$B$18,(E448+F448))</f>
        <v/>
      </c>
      <c r="J448" s="14">
        <f>MIN((COB_CA!$B$18-I448),G448)</f>
        <v/>
      </c>
      <c r="K448" s="14">
        <f>MIN(((COB_CA!$B$18-I448)-J448),D448)</f>
        <v/>
      </c>
      <c r="L448" s="14">
        <f>E448+F448-I448</f>
        <v/>
      </c>
      <c r="M448" s="14">
        <f>G448-J448</f>
        <v/>
      </c>
      <c r="N448" s="14">
        <f>D448-K448</f>
        <v/>
      </c>
      <c r="O448" s="6">
        <f>AND(D448&gt;0,B448&lt;=COB_CA!$B$20)</f>
        <v/>
      </c>
    </row>
    <row r="449">
      <c r="A449" s="6" t="n">
        <v>445</v>
      </c>
      <c r="B449" s="15">
        <f>IF(COB_CA!$B$38=12,DATE(YEAR(COB_CA!$B$19)+INT((MONTH(COB_CA!$B$19)-1+444)/12),MOD(MONTH(COB_CA!$B$19)-1+444,12)+1,1)+(DAY(COB_CA!$B$19)-1),IF(COB_CA!$B$38=24,COB_CA!$B$19+ROUND((444*365.25)/24,0),IF(COB_CA!$B$38=26,COB_CA!$B$19+6216,COB_CA!$B$19+3108)))</f>
        <v/>
      </c>
      <c r="C449" s="12">
        <f>B449-B448</f>
        <v/>
      </c>
      <c r="D449" s="14">
        <f>N448</f>
        <v/>
      </c>
      <c r="E449" s="14">
        <f>D449*COB_CA!$B$40/100*(IF(YEAR(B448)=YEAR(B449),(B449-B448)/IF(AND(MOD(YEAR(B449),4)=0,OR(MOD(YEAR(B449),100)&lt;&gt;0,MOD(YEAR(B449),400)=0)),366,365),(((DATE(YEAR(B448)+1,1,1)))-B448)/IF(AND(MOD(YEAR(B448),4)=0,OR(MOD(YEAR(B448),100)&lt;&gt;0,MOD(YEAR(B448),400)=0)),366,365)+(B449-((DATE(YEAR(B448)+1,1,1))))/IF(AND(MOD(YEAR(B449),4)=0,OR(MOD(YEAR(B449),100)&lt;&gt;0,MOD(YEAR(B449),400)=0)),366,365)))</f>
        <v/>
      </c>
      <c r="F449" s="14">
        <f>L448</f>
        <v/>
      </c>
      <c r="G449" s="14">
        <f>M448</f>
        <v/>
      </c>
      <c r="H449" s="14">
        <f>IF((((COB_CA!$B$18-I449)-J449)&gt;D449),I449+J449+K449,COB_CA!$B$18)</f>
        <v/>
      </c>
      <c r="I449" s="14">
        <f>MIN(COB_CA!$B$18,(E449+F449))</f>
        <v/>
      </c>
      <c r="J449" s="14">
        <f>MIN((COB_CA!$B$18-I449),G449)</f>
        <v/>
      </c>
      <c r="K449" s="14">
        <f>MIN(((COB_CA!$B$18-I449)-J449),D449)</f>
        <v/>
      </c>
      <c r="L449" s="14">
        <f>E449+F449-I449</f>
        <v/>
      </c>
      <c r="M449" s="14">
        <f>G449-J449</f>
        <v/>
      </c>
      <c r="N449" s="14">
        <f>D449-K449</f>
        <v/>
      </c>
      <c r="O449" s="6">
        <f>AND(D449&gt;0,B449&lt;=COB_CA!$B$20)</f>
        <v/>
      </c>
    </row>
    <row r="450">
      <c r="A450" s="6" t="n">
        <v>446</v>
      </c>
      <c r="B450" s="15">
        <f>IF(COB_CA!$B$38=12,DATE(YEAR(COB_CA!$B$19)+INT((MONTH(COB_CA!$B$19)-1+445)/12),MOD(MONTH(COB_CA!$B$19)-1+445,12)+1,1)+(DAY(COB_CA!$B$19)-1),IF(COB_CA!$B$38=24,COB_CA!$B$19+ROUND((445*365.25)/24,0),IF(COB_CA!$B$38=26,COB_CA!$B$19+6230,COB_CA!$B$19+3115)))</f>
        <v/>
      </c>
      <c r="C450" s="12">
        <f>B450-B449</f>
        <v/>
      </c>
      <c r="D450" s="14">
        <f>N449</f>
        <v/>
      </c>
      <c r="E450" s="14">
        <f>D450*COB_CA!$B$40/100*(IF(YEAR(B449)=YEAR(B450),(B450-B449)/IF(AND(MOD(YEAR(B450),4)=0,OR(MOD(YEAR(B450),100)&lt;&gt;0,MOD(YEAR(B450),400)=0)),366,365),(((DATE(YEAR(B449)+1,1,1)))-B449)/IF(AND(MOD(YEAR(B449),4)=0,OR(MOD(YEAR(B449),100)&lt;&gt;0,MOD(YEAR(B449),400)=0)),366,365)+(B450-((DATE(YEAR(B449)+1,1,1))))/IF(AND(MOD(YEAR(B450),4)=0,OR(MOD(YEAR(B450),100)&lt;&gt;0,MOD(YEAR(B450),400)=0)),366,365)))</f>
        <v/>
      </c>
      <c r="F450" s="14">
        <f>L449</f>
        <v/>
      </c>
      <c r="G450" s="14">
        <f>M449</f>
        <v/>
      </c>
      <c r="H450" s="14">
        <f>IF((((COB_CA!$B$18-I450)-J450)&gt;D450),I450+J450+K450,COB_CA!$B$18)</f>
        <v/>
      </c>
      <c r="I450" s="14">
        <f>MIN(COB_CA!$B$18,(E450+F450))</f>
        <v/>
      </c>
      <c r="J450" s="14">
        <f>MIN((COB_CA!$B$18-I450),G450)</f>
        <v/>
      </c>
      <c r="K450" s="14">
        <f>MIN(((COB_CA!$B$18-I450)-J450),D450)</f>
        <v/>
      </c>
      <c r="L450" s="14">
        <f>E450+F450-I450</f>
        <v/>
      </c>
      <c r="M450" s="14">
        <f>G450-J450</f>
        <v/>
      </c>
      <c r="N450" s="14">
        <f>D450-K450</f>
        <v/>
      </c>
      <c r="O450" s="6">
        <f>AND(D450&gt;0,B450&lt;=COB_CA!$B$20)</f>
        <v/>
      </c>
    </row>
    <row r="451">
      <c r="A451" s="6" t="n">
        <v>447</v>
      </c>
      <c r="B451" s="15">
        <f>IF(COB_CA!$B$38=12,DATE(YEAR(COB_CA!$B$19)+INT((MONTH(COB_CA!$B$19)-1+446)/12),MOD(MONTH(COB_CA!$B$19)-1+446,12)+1,1)+(DAY(COB_CA!$B$19)-1),IF(COB_CA!$B$38=24,COB_CA!$B$19+ROUND((446*365.25)/24,0),IF(COB_CA!$B$38=26,COB_CA!$B$19+6244,COB_CA!$B$19+3122)))</f>
        <v/>
      </c>
      <c r="C451" s="12">
        <f>B451-B450</f>
        <v/>
      </c>
      <c r="D451" s="14">
        <f>N450</f>
        <v/>
      </c>
      <c r="E451" s="14">
        <f>D451*COB_CA!$B$40/100*(IF(YEAR(B450)=YEAR(B451),(B451-B450)/IF(AND(MOD(YEAR(B451),4)=0,OR(MOD(YEAR(B451),100)&lt;&gt;0,MOD(YEAR(B451),400)=0)),366,365),(((DATE(YEAR(B450)+1,1,1)))-B450)/IF(AND(MOD(YEAR(B450),4)=0,OR(MOD(YEAR(B450),100)&lt;&gt;0,MOD(YEAR(B450),400)=0)),366,365)+(B451-((DATE(YEAR(B450)+1,1,1))))/IF(AND(MOD(YEAR(B451),4)=0,OR(MOD(YEAR(B451),100)&lt;&gt;0,MOD(YEAR(B451),400)=0)),366,365)))</f>
        <v/>
      </c>
      <c r="F451" s="14">
        <f>L450</f>
        <v/>
      </c>
      <c r="G451" s="14">
        <f>M450</f>
        <v/>
      </c>
      <c r="H451" s="14">
        <f>IF((((COB_CA!$B$18-I451)-J451)&gt;D451),I451+J451+K451,COB_CA!$B$18)</f>
        <v/>
      </c>
      <c r="I451" s="14">
        <f>MIN(COB_CA!$B$18,(E451+F451))</f>
        <v/>
      </c>
      <c r="J451" s="14">
        <f>MIN((COB_CA!$B$18-I451),G451)</f>
        <v/>
      </c>
      <c r="K451" s="14">
        <f>MIN(((COB_CA!$B$18-I451)-J451),D451)</f>
        <v/>
      </c>
      <c r="L451" s="14">
        <f>E451+F451-I451</f>
        <v/>
      </c>
      <c r="M451" s="14">
        <f>G451-J451</f>
        <v/>
      </c>
      <c r="N451" s="14">
        <f>D451-K451</f>
        <v/>
      </c>
      <c r="O451" s="6">
        <f>AND(D451&gt;0,B451&lt;=COB_CA!$B$20)</f>
        <v/>
      </c>
    </row>
    <row r="452">
      <c r="A452" s="6" t="n">
        <v>448</v>
      </c>
      <c r="B452" s="15">
        <f>IF(COB_CA!$B$38=12,DATE(YEAR(COB_CA!$B$19)+INT((MONTH(COB_CA!$B$19)-1+447)/12),MOD(MONTH(COB_CA!$B$19)-1+447,12)+1,1)+(DAY(COB_CA!$B$19)-1),IF(COB_CA!$B$38=24,COB_CA!$B$19+ROUND((447*365.25)/24,0),IF(COB_CA!$B$38=26,COB_CA!$B$19+6258,COB_CA!$B$19+3129)))</f>
        <v/>
      </c>
      <c r="C452" s="12">
        <f>B452-B451</f>
        <v/>
      </c>
      <c r="D452" s="14">
        <f>N451</f>
        <v/>
      </c>
      <c r="E452" s="14">
        <f>D452*COB_CA!$B$40/100*(IF(YEAR(B451)=YEAR(B452),(B452-B451)/IF(AND(MOD(YEAR(B452),4)=0,OR(MOD(YEAR(B452),100)&lt;&gt;0,MOD(YEAR(B452),400)=0)),366,365),(((DATE(YEAR(B451)+1,1,1)))-B451)/IF(AND(MOD(YEAR(B451),4)=0,OR(MOD(YEAR(B451),100)&lt;&gt;0,MOD(YEAR(B451),400)=0)),366,365)+(B452-((DATE(YEAR(B451)+1,1,1))))/IF(AND(MOD(YEAR(B452),4)=0,OR(MOD(YEAR(B452),100)&lt;&gt;0,MOD(YEAR(B452),400)=0)),366,365)))</f>
        <v/>
      </c>
      <c r="F452" s="14">
        <f>L451</f>
        <v/>
      </c>
      <c r="G452" s="14">
        <f>M451</f>
        <v/>
      </c>
      <c r="H452" s="14">
        <f>IF((((COB_CA!$B$18-I452)-J452)&gt;D452),I452+J452+K452,COB_CA!$B$18)</f>
        <v/>
      </c>
      <c r="I452" s="14">
        <f>MIN(COB_CA!$B$18,(E452+F452))</f>
        <v/>
      </c>
      <c r="J452" s="14">
        <f>MIN((COB_CA!$B$18-I452),G452)</f>
        <v/>
      </c>
      <c r="K452" s="14">
        <f>MIN(((COB_CA!$B$18-I452)-J452),D452)</f>
        <v/>
      </c>
      <c r="L452" s="14">
        <f>E452+F452-I452</f>
        <v/>
      </c>
      <c r="M452" s="14">
        <f>G452-J452</f>
        <v/>
      </c>
      <c r="N452" s="14">
        <f>D452-K452</f>
        <v/>
      </c>
      <c r="O452" s="6">
        <f>AND(D452&gt;0,B452&lt;=COB_CA!$B$20)</f>
        <v/>
      </c>
    </row>
    <row r="453">
      <c r="A453" s="6" t="n">
        <v>449</v>
      </c>
      <c r="B453" s="15">
        <f>IF(COB_CA!$B$38=12,DATE(YEAR(COB_CA!$B$19)+INT((MONTH(COB_CA!$B$19)-1+448)/12),MOD(MONTH(COB_CA!$B$19)-1+448,12)+1,1)+(DAY(COB_CA!$B$19)-1),IF(COB_CA!$B$38=24,COB_CA!$B$19+ROUND((448*365.25)/24,0),IF(COB_CA!$B$38=26,COB_CA!$B$19+6272,COB_CA!$B$19+3136)))</f>
        <v/>
      </c>
      <c r="C453" s="12">
        <f>B453-B452</f>
        <v/>
      </c>
      <c r="D453" s="14">
        <f>N452</f>
        <v/>
      </c>
      <c r="E453" s="14">
        <f>D453*COB_CA!$B$40/100*(IF(YEAR(B452)=YEAR(B453),(B453-B452)/IF(AND(MOD(YEAR(B453),4)=0,OR(MOD(YEAR(B453),100)&lt;&gt;0,MOD(YEAR(B453),400)=0)),366,365),(((DATE(YEAR(B452)+1,1,1)))-B452)/IF(AND(MOD(YEAR(B452),4)=0,OR(MOD(YEAR(B452),100)&lt;&gt;0,MOD(YEAR(B452),400)=0)),366,365)+(B453-((DATE(YEAR(B452)+1,1,1))))/IF(AND(MOD(YEAR(B453),4)=0,OR(MOD(YEAR(B453),100)&lt;&gt;0,MOD(YEAR(B453),400)=0)),366,365)))</f>
        <v/>
      </c>
      <c r="F453" s="14">
        <f>L452</f>
        <v/>
      </c>
      <c r="G453" s="14">
        <f>M452</f>
        <v/>
      </c>
      <c r="H453" s="14">
        <f>IF((((COB_CA!$B$18-I453)-J453)&gt;D453),I453+J453+K453,COB_CA!$B$18)</f>
        <v/>
      </c>
      <c r="I453" s="14">
        <f>MIN(COB_CA!$B$18,(E453+F453))</f>
        <v/>
      </c>
      <c r="J453" s="14">
        <f>MIN((COB_CA!$B$18-I453),G453)</f>
        <v/>
      </c>
      <c r="K453" s="14">
        <f>MIN(((COB_CA!$B$18-I453)-J453),D453)</f>
        <v/>
      </c>
      <c r="L453" s="14">
        <f>E453+F453-I453</f>
        <v/>
      </c>
      <c r="M453" s="14">
        <f>G453-J453</f>
        <v/>
      </c>
      <c r="N453" s="14">
        <f>D453-K453</f>
        <v/>
      </c>
      <c r="O453" s="6">
        <f>AND(D453&gt;0,B453&lt;=COB_CA!$B$20)</f>
        <v/>
      </c>
    </row>
    <row r="454">
      <c r="A454" s="6" t="n">
        <v>450</v>
      </c>
      <c r="B454" s="15">
        <f>IF(COB_CA!$B$38=12,DATE(YEAR(COB_CA!$B$19)+INT((MONTH(COB_CA!$B$19)-1+449)/12),MOD(MONTH(COB_CA!$B$19)-1+449,12)+1,1)+(DAY(COB_CA!$B$19)-1),IF(COB_CA!$B$38=24,COB_CA!$B$19+ROUND((449*365.25)/24,0),IF(COB_CA!$B$38=26,COB_CA!$B$19+6286,COB_CA!$B$19+3143)))</f>
        <v/>
      </c>
      <c r="C454" s="12">
        <f>B454-B453</f>
        <v/>
      </c>
      <c r="D454" s="14">
        <f>N453</f>
        <v/>
      </c>
      <c r="E454" s="14">
        <f>D454*COB_CA!$B$40/100*(IF(YEAR(B453)=YEAR(B454),(B454-B453)/IF(AND(MOD(YEAR(B454),4)=0,OR(MOD(YEAR(B454),100)&lt;&gt;0,MOD(YEAR(B454),400)=0)),366,365),(((DATE(YEAR(B453)+1,1,1)))-B453)/IF(AND(MOD(YEAR(B453),4)=0,OR(MOD(YEAR(B453),100)&lt;&gt;0,MOD(YEAR(B453),400)=0)),366,365)+(B454-((DATE(YEAR(B453)+1,1,1))))/IF(AND(MOD(YEAR(B454),4)=0,OR(MOD(YEAR(B454),100)&lt;&gt;0,MOD(YEAR(B454),400)=0)),366,365)))</f>
        <v/>
      </c>
      <c r="F454" s="14">
        <f>L453</f>
        <v/>
      </c>
      <c r="G454" s="14">
        <f>M453</f>
        <v/>
      </c>
      <c r="H454" s="14">
        <f>IF((((COB_CA!$B$18-I454)-J454)&gt;D454),I454+J454+K454,COB_CA!$B$18)</f>
        <v/>
      </c>
      <c r="I454" s="14">
        <f>MIN(COB_CA!$B$18,(E454+F454))</f>
        <v/>
      </c>
      <c r="J454" s="14">
        <f>MIN((COB_CA!$B$18-I454),G454)</f>
        <v/>
      </c>
      <c r="K454" s="14">
        <f>MIN(((COB_CA!$B$18-I454)-J454),D454)</f>
        <v/>
      </c>
      <c r="L454" s="14">
        <f>E454+F454-I454</f>
        <v/>
      </c>
      <c r="M454" s="14">
        <f>G454-J454</f>
        <v/>
      </c>
      <c r="N454" s="14">
        <f>D454-K454</f>
        <v/>
      </c>
      <c r="O454" s="6">
        <f>AND(D454&gt;0,B454&lt;=COB_CA!$B$20)</f>
        <v/>
      </c>
    </row>
    <row r="455">
      <c r="A455" s="6" t="n">
        <v>451</v>
      </c>
      <c r="B455" s="15">
        <f>IF(COB_CA!$B$38=12,DATE(YEAR(COB_CA!$B$19)+INT((MONTH(COB_CA!$B$19)-1+450)/12),MOD(MONTH(COB_CA!$B$19)-1+450,12)+1,1)+(DAY(COB_CA!$B$19)-1),IF(COB_CA!$B$38=24,COB_CA!$B$19+ROUND((450*365.25)/24,0),IF(COB_CA!$B$38=26,COB_CA!$B$19+6300,COB_CA!$B$19+3150)))</f>
        <v/>
      </c>
      <c r="C455" s="12">
        <f>B455-B454</f>
        <v/>
      </c>
      <c r="D455" s="14">
        <f>N454</f>
        <v/>
      </c>
      <c r="E455" s="14">
        <f>D455*COB_CA!$B$40/100*(IF(YEAR(B454)=YEAR(B455),(B455-B454)/IF(AND(MOD(YEAR(B455),4)=0,OR(MOD(YEAR(B455),100)&lt;&gt;0,MOD(YEAR(B455),400)=0)),366,365),(((DATE(YEAR(B454)+1,1,1)))-B454)/IF(AND(MOD(YEAR(B454),4)=0,OR(MOD(YEAR(B454),100)&lt;&gt;0,MOD(YEAR(B454),400)=0)),366,365)+(B455-((DATE(YEAR(B454)+1,1,1))))/IF(AND(MOD(YEAR(B455),4)=0,OR(MOD(YEAR(B455),100)&lt;&gt;0,MOD(YEAR(B455),400)=0)),366,365)))</f>
        <v/>
      </c>
      <c r="F455" s="14">
        <f>L454</f>
        <v/>
      </c>
      <c r="G455" s="14">
        <f>M454</f>
        <v/>
      </c>
      <c r="H455" s="14">
        <f>IF((((COB_CA!$B$18-I455)-J455)&gt;D455),I455+J455+K455,COB_CA!$B$18)</f>
        <v/>
      </c>
      <c r="I455" s="14">
        <f>MIN(COB_CA!$B$18,(E455+F455))</f>
        <v/>
      </c>
      <c r="J455" s="14">
        <f>MIN((COB_CA!$B$18-I455),G455)</f>
        <v/>
      </c>
      <c r="K455" s="14">
        <f>MIN(((COB_CA!$B$18-I455)-J455),D455)</f>
        <v/>
      </c>
      <c r="L455" s="14">
        <f>E455+F455-I455</f>
        <v/>
      </c>
      <c r="M455" s="14">
        <f>G455-J455</f>
        <v/>
      </c>
      <c r="N455" s="14">
        <f>D455-K455</f>
        <v/>
      </c>
      <c r="O455" s="6">
        <f>AND(D455&gt;0,B455&lt;=COB_CA!$B$20)</f>
        <v/>
      </c>
    </row>
    <row r="456">
      <c r="A456" s="6" t="n">
        <v>452</v>
      </c>
      <c r="B456" s="15">
        <f>IF(COB_CA!$B$38=12,DATE(YEAR(COB_CA!$B$19)+INT((MONTH(COB_CA!$B$19)-1+451)/12),MOD(MONTH(COB_CA!$B$19)-1+451,12)+1,1)+(DAY(COB_CA!$B$19)-1),IF(COB_CA!$B$38=24,COB_CA!$B$19+ROUND((451*365.25)/24,0),IF(COB_CA!$B$38=26,COB_CA!$B$19+6314,COB_CA!$B$19+3157)))</f>
        <v/>
      </c>
      <c r="C456" s="12">
        <f>B456-B455</f>
        <v/>
      </c>
      <c r="D456" s="14">
        <f>N455</f>
        <v/>
      </c>
      <c r="E456" s="14">
        <f>D456*COB_CA!$B$40/100*(IF(YEAR(B455)=YEAR(B456),(B456-B455)/IF(AND(MOD(YEAR(B456),4)=0,OR(MOD(YEAR(B456),100)&lt;&gt;0,MOD(YEAR(B456),400)=0)),366,365),(((DATE(YEAR(B455)+1,1,1)))-B455)/IF(AND(MOD(YEAR(B455),4)=0,OR(MOD(YEAR(B455),100)&lt;&gt;0,MOD(YEAR(B455),400)=0)),366,365)+(B456-((DATE(YEAR(B455)+1,1,1))))/IF(AND(MOD(YEAR(B456),4)=0,OR(MOD(YEAR(B456),100)&lt;&gt;0,MOD(YEAR(B456),400)=0)),366,365)))</f>
        <v/>
      </c>
      <c r="F456" s="14">
        <f>L455</f>
        <v/>
      </c>
      <c r="G456" s="14">
        <f>M455</f>
        <v/>
      </c>
      <c r="H456" s="14">
        <f>IF((((COB_CA!$B$18-I456)-J456)&gt;D456),I456+J456+K456,COB_CA!$B$18)</f>
        <v/>
      </c>
      <c r="I456" s="14">
        <f>MIN(COB_CA!$B$18,(E456+F456))</f>
        <v/>
      </c>
      <c r="J456" s="14">
        <f>MIN((COB_CA!$B$18-I456),G456)</f>
        <v/>
      </c>
      <c r="K456" s="14">
        <f>MIN(((COB_CA!$B$18-I456)-J456),D456)</f>
        <v/>
      </c>
      <c r="L456" s="14">
        <f>E456+F456-I456</f>
        <v/>
      </c>
      <c r="M456" s="14">
        <f>G456-J456</f>
        <v/>
      </c>
      <c r="N456" s="14">
        <f>D456-K456</f>
        <v/>
      </c>
      <c r="O456" s="6">
        <f>AND(D456&gt;0,B456&lt;=COB_CA!$B$20)</f>
        <v/>
      </c>
    </row>
    <row r="457">
      <c r="A457" s="6" t="n">
        <v>453</v>
      </c>
      <c r="B457" s="15">
        <f>IF(COB_CA!$B$38=12,DATE(YEAR(COB_CA!$B$19)+INT((MONTH(COB_CA!$B$19)-1+452)/12),MOD(MONTH(COB_CA!$B$19)-1+452,12)+1,1)+(DAY(COB_CA!$B$19)-1),IF(COB_CA!$B$38=24,COB_CA!$B$19+ROUND((452*365.25)/24,0),IF(COB_CA!$B$38=26,COB_CA!$B$19+6328,COB_CA!$B$19+3164)))</f>
        <v/>
      </c>
      <c r="C457" s="12">
        <f>B457-B456</f>
        <v/>
      </c>
      <c r="D457" s="14">
        <f>N456</f>
        <v/>
      </c>
      <c r="E457" s="14">
        <f>D457*COB_CA!$B$40/100*(IF(YEAR(B456)=YEAR(B457),(B457-B456)/IF(AND(MOD(YEAR(B457),4)=0,OR(MOD(YEAR(B457),100)&lt;&gt;0,MOD(YEAR(B457),400)=0)),366,365),(((DATE(YEAR(B456)+1,1,1)))-B456)/IF(AND(MOD(YEAR(B456),4)=0,OR(MOD(YEAR(B456),100)&lt;&gt;0,MOD(YEAR(B456),400)=0)),366,365)+(B457-((DATE(YEAR(B456)+1,1,1))))/IF(AND(MOD(YEAR(B457),4)=0,OR(MOD(YEAR(B457),100)&lt;&gt;0,MOD(YEAR(B457),400)=0)),366,365)))</f>
        <v/>
      </c>
      <c r="F457" s="14">
        <f>L456</f>
        <v/>
      </c>
      <c r="G457" s="14">
        <f>M456</f>
        <v/>
      </c>
      <c r="H457" s="14">
        <f>IF((((COB_CA!$B$18-I457)-J457)&gt;D457),I457+J457+K457,COB_CA!$B$18)</f>
        <v/>
      </c>
      <c r="I457" s="14">
        <f>MIN(COB_CA!$B$18,(E457+F457))</f>
        <v/>
      </c>
      <c r="J457" s="14">
        <f>MIN((COB_CA!$B$18-I457),G457)</f>
        <v/>
      </c>
      <c r="K457" s="14">
        <f>MIN(((COB_CA!$B$18-I457)-J457),D457)</f>
        <v/>
      </c>
      <c r="L457" s="14">
        <f>E457+F457-I457</f>
        <v/>
      </c>
      <c r="M457" s="14">
        <f>G457-J457</f>
        <v/>
      </c>
      <c r="N457" s="14">
        <f>D457-K457</f>
        <v/>
      </c>
      <c r="O457" s="6">
        <f>AND(D457&gt;0,B457&lt;=COB_CA!$B$20)</f>
        <v/>
      </c>
    </row>
    <row r="458">
      <c r="A458" s="6" t="n">
        <v>454</v>
      </c>
      <c r="B458" s="15">
        <f>IF(COB_CA!$B$38=12,DATE(YEAR(COB_CA!$B$19)+INT((MONTH(COB_CA!$B$19)-1+453)/12),MOD(MONTH(COB_CA!$B$19)-1+453,12)+1,1)+(DAY(COB_CA!$B$19)-1),IF(COB_CA!$B$38=24,COB_CA!$B$19+ROUND((453*365.25)/24,0),IF(COB_CA!$B$38=26,COB_CA!$B$19+6342,COB_CA!$B$19+3171)))</f>
        <v/>
      </c>
      <c r="C458" s="12">
        <f>B458-B457</f>
        <v/>
      </c>
      <c r="D458" s="14">
        <f>N457</f>
        <v/>
      </c>
      <c r="E458" s="14">
        <f>D458*COB_CA!$B$40/100*(IF(YEAR(B457)=YEAR(B458),(B458-B457)/IF(AND(MOD(YEAR(B458),4)=0,OR(MOD(YEAR(B458),100)&lt;&gt;0,MOD(YEAR(B458),400)=0)),366,365),(((DATE(YEAR(B457)+1,1,1)))-B457)/IF(AND(MOD(YEAR(B457),4)=0,OR(MOD(YEAR(B457),100)&lt;&gt;0,MOD(YEAR(B457),400)=0)),366,365)+(B458-((DATE(YEAR(B457)+1,1,1))))/IF(AND(MOD(YEAR(B458),4)=0,OR(MOD(YEAR(B458),100)&lt;&gt;0,MOD(YEAR(B458),400)=0)),366,365)))</f>
        <v/>
      </c>
      <c r="F458" s="14">
        <f>L457</f>
        <v/>
      </c>
      <c r="G458" s="14">
        <f>M457</f>
        <v/>
      </c>
      <c r="H458" s="14">
        <f>IF((((COB_CA!$B$18-I458)-J458)&gt;D458),I458+J458+K458,COB_CA!$B$18)</f>
        <v/>
      </c>
      <c r="I458" s="14">
        <f>MIN(COB_CA!$B$18,(E458+F458))</f>
        <v/>
      </c>
      <c r="J458" s="14">
        <f>MIN((COB_CA!$B$18-I458),G458)</f>
        <v/>
      </c>
      <c r="K458" s="14">
        <f>MIN(((COB_CA!$B$18-I458)-J458),D458)</f>
        <v/>
      </c>
      <c r="L458" s="14">
        <f>E458+F458-I458</f>
        <v/>
      </c>
      <c r="M458" s="14">
        <f>G458-J458</f>
        <v/>
      </c>
      <c r="N458" s="14">
        <f>D458-K458</f>
        <v/>
      </c>
      <c r="O458" s="6">
        <f>AND(D458&gt;0,B458&lt;=COB_CA!$B$20)</f>
        <v/>
      </c>
    </row>
    <row r="459">
      <c r="A459" s="6" t="n">
        <v>455</v>
      </c>
      <c r="B459" s="15">
        <f>IF(COB_CA!$B$38=12,DATE(YEAR(COB_CA!$B$19)+INT((MONTH(COB_CA!$B$19)-1+454)/12),MOD(MONTH(COB_CA!$B$19)-1+454,12)+1,1)+(DAY(COB_CA!$B$19)-1),IF(COB_CA!$B$38=24,COB_CA!$B$19+ROUND((454*365.25)/24,0),IF(COB_CA!$B$38=26,COB_CA!$B$19+6356,COB_CA!$B$19+3178)))</f>
        <v/>
      </c>
      <c r="C459" s="12">
        <f>B459-B458</f>
        <v/>
      </c>
      <c r="D459" s="14">
        <f>N458</f>
        <v/>
      </c>
      <c r="E459" s="14">
        <f>D459*COB_CA!$B$40/100*(IF(YEAR(B458)=YEAR(B459),(B459-B458)/IF(AND(MOD(YEAR(B459),4)=0,OR(MOD(YEAR(B459),100)&lt;&gt;0,MOD(YEAR(B459),400)=0)),366,365),(((DATE(YEAR(B458)+1,1,1)))-B458)/IF(AND(MOD(YEAR(B458),4)=0,OR(MOD(YEAR(B458),100)&lt;&gt;0,MOD(YEAR(B458),400)=0)),366,365)+(B459-((DATE(YEAR(B458)+1,1,1))))/IF(AND(MOD(YEAR(B459),4)=0,OR(MOD(YEAR(B459),100)&lt;&gt;0,MOD(YEAR(B459),400)=0)),366,365)))</f>
        <v/>
      </c>
      <c r="F459" s="14">
        <f>L458</f>
        <v/>
      </c>
      <c r="G459" s="14">
        <f>M458</f>
        <v/>
      </c>
      <c r="H459" s="14">
        <f>IF((((COB_CA!$B$18-I459)-J459)&gt;D459),I459+J459+K459,COB_CA!$B$18)</f>
        <v/>
      </c>
      <c r="I459" s="14">
        <f>MIN(COB_CA!$B$18,(E459+F459))</f>
        <v/>
      </c>
      <c r="J459" s="14">
        <f>MIN((COB_CA!$B$18-I459),G459)</f>
        <v/>
      </c>
      <c r="K459" s="14">
        <f>MIN(((COB_CA!$B$18-I459)-J459),D459)</f>
        <v/>
      </c>
      <c r="L459" s="14">
        <f>E459+F459-I459</f>
        <v/>
      </c>
      <c r="M459" s="14">
        <f>G459-J459</f>
        <v/>
      </c>
      <c r="N459" s="14">
        <f>D459-K459</f>
        <v/>
      </c>
      <c r="O459" s="6">
        <f>AND(D459&gt;0,B459&lt;=COB_CA!$B$20)</f>
        <v/>
      </c>
    </row>
    <row r="460">
      <c r="A460" s="6" t="n">
        <v>456</v>
      </c>
      <c r="B460" s="15">
        <f>IF(COB_CA!$B$38=12,DATE(YEAR(COB_CA!$B$19)+INT((MONTH(COB_CA!$B$19)-1+455)/12),MOD(MONTH(COB_CA!$B$19)-1+455,12)+1,1)+(DAY(COB_CA!$B$19)-1),IF(COB_CA!$B$38=24,COB_CA!$B$19+ROUND((455*365.25)/24,0),IF(COB_CA!$B$38=26,COB_CA!$B$19+6370,COB_CA!$B$19+3185)))</f>
        <v/>
      </c>
      <c r="C460" s="12">
        <f>B460-B459</f>
        <v/>
      </c>
      <c r="D460" s="14">
        <f>N459</f>
        <v/>
      </c>
      <c r="E460" s="14">
        <f>D460*COB_CA!$B$40/100*(IF(YEAR(B459)=YEAR(B460),(B460-B459)/IF(AND(MOD(YEAR(B460),4)=0,OR(MOD(YEAR(B460),100)&lt;&gt;0,MOD(YEAR(B460),400)=0)),366,365),(((DATE(YEAR(B459)+1,1,1)))-B459)/IF(AND(MOD(YEAR(B459),4)=0,OR(MOD(YEAR(B459),100)&lt;&gt;0,MOD(YEAR(B459),400)=0)),366,365)+(B460-((DATE(YEAR(B459)+1,1,1))))/IF(AND(MOD(YEAR(B460),4)=0,OR(MOD(YEAR(B460),100)&lt;&gt;0,MOD(YEAR(B460),400)=0)),366,365)))</f>
        <v/>
      </c>
      <c r="F460" s="14">
        <f>L459</f>
        <v/>
      </c>
      <c r="G460" s="14">
        <f>M459</f>
        <v/>
      </c>
      <c r="H460" s="14">
        <f>IF((((COB_CA!$B$18-I460)-J460)&gt;D460),I460+J460+K460,COB_CA!$B$18)</f>
        <v/>
      </c>
      <c r="I460" s="14">
        <f>MIN(COB_CA!$B$18,(E460+F460))</f>
        <v/>
      </c>
      <c r="J460" s="14">
        <f>MIN((COB_CA!$B$18-I460),G460)</f>
        <v/>
      </c>
      <c r="K460" s="14">
        <f>MIN(((COB_CA!$B$18-I460)-J460),D460)</f>
        <v/>
      </c>
      <c r="L460" s="14">
        <f>E460+F460-I460</f>
        <v/>
      </c>
      <c r="M460" s="14">
        <f>G460-J460</f>
        <v/>
      </c>
      <c r="N460" s="14">
        <f>D460-K460</f>
        <v/>
      </c>
      <c r="O460" s="6">
        <f>AND(D460&gt;0,B460&lt;=COB_CA!$B$20)</f>
        <v/>
      </c>
    </row>
    <row r="461">
      <c r="A461" s="6" t="n">
        <v>457</v>
      </c>
      <c r="B461" s="15">
        <f>IF(COB_CA!$B$38=12,DATE(YEAR(COB_CA!$B$19)+INT((MONTH(COB_CA!$B$19)-1+456)/12),MOD(MONTH(COB_CA!$B$19)-1+456,12)+1,1)+(DAY(COB_CA!$B$19)-1),IF(COB_CA!$B$38=24,COB_CA!$B$19+ROUND((456*365.25)/24,0),IF(COB_CA!$B$38=26,COB_CA!$B$19+6384,COB_CA!$B$19+3192)))</f>
        <v/>
      </c>
      <c r="C461" s="12">
        <f>B461-B460</f>
        <v/>
      </c>
      <c r="D461" s="14">
        <f>N460</f>
        <v/>
      </c>
      <c r="E461" s="14">
        <f>D461*COB_CA!$B$40/100*(IF(YEAR(B460)=YEAR(B461),(B461-B460)/IF(AND(MOD(YEAR(B461),4)=0,OR(MOD(YEAR(B461),100)&lt;&gt;0,MOD(YEAR(B461),400)=0)),366,365),(((DATE(YEAR(B460)+1,1,1)))-B460)/IF(AND(MOD(YEAR(B460),4)=0,OR(MOD(YEAR(B460),100)&lt;&gt;0,MOD(YEAR(B460),400)=0)),366,365)+(B461-((DATE(YEAR(B460)+1,1,1))))/IF(AND(MOD(YEAR(B461),4)=0,OR(MOD(YEAR(B461),100)&lt;&gt;0,MOD(YEAR(B461),400)=0)),366,365)))</f>
        <v/>
      </c>
      <c r="F461" s="14">
        <f>L460</f>
        <v/>
      </c>
      <c r="G461" s="14">
        <f>M460</f>
        <v/>
      </c>
      <c r="H461" s="14">
        <f>IF((((COB_CA!$B$18-I461)-J461)&gt;D461),I461+J461+K461,COB_CA!$B$18)</f>
        <v/>
      </c>
      <c r="I461" s="14">
        <f>MIN(COB_CA!$B$18,(E461+F461))</f>
        <v/>
      </c>
      <c r="J461" s="14">
        <f>MIN((COB_CA!$B$18-I461),G461)</f>
        <v/>
      </c>
      <c r="K461" s="14">
        <f>MIN(((COB_CA!$B$18-I461)-J461),D461)</f>
        <v/>
      </c>
      <c r="L461" s="14">
        <f>E461+F461-I461</f>
        <v/>
      </c>
      <c r="M461" s="14">
        <f>G461-J461</f>
        <v/>
      </c>
      <c r="N461" s="14">
        <f>D461-K461</f>
        <v/>
      </c>
      <c r="O461" s="6">
        <f>AND(D461&gt;0,B461&lt;=COB_CA!$B$20)</f>
        <v/>
      </c>
    </row>
    <row r="462">
      <c r="A462" s="6" t="n">
        <v>458</v>
      </c>
      <c r="B462" s="15">
        <f>IF(COB_CA!$B$38=12,DATE(YEAR(COB_CA!$B$19)+INT((MONTH(COB_CA!$B$19)-1+457)/12),MOD(MONTH(COB_CA!$B$19)-1+457,12)+1,1)+(DAY(COB_CA!$B$19)-1),IF(COB_CA!$B$38=24,COB_CA!$B$19+ROUND((457*365.25)/24,0),IF(COB_CA!$B$38=26,COB_CA!$B$19+6398,COB_CA!$B$19+3199)))</f>
        <v/>
      </c>
      <c r="C462" s="12">
        <f>B462-B461</f>
        <v/>
      </c>
      <c r="D462" s="14">
        <f>N461</f>
        <v/>
      </c>
      <c r="E462" s="14">
        <f>D462*COB_CA!$B$40/100*(IF(YEAR(B461)=YEAR(B462),(B462-B461)/IF(AND(MOD(YEAR(B462),4)=0,OR(MOD(YEAR(B462),100)&lt;&gt;0,MOD(YEAR(B462),400)=0)),366,365),(((DATE(YEAR(B461)+1,1,1)))-B461)/IF(AND(MOD(YEAR(B461),4)=0,OR(MOD(YEAR(B461),100)&lt;&gt;0,MOD(YEAR(B461),400)=0)),366,365)+(B462-((DATE(YEAR(B461)+1,1,1))))/IF(AND(MOD(YEAR(B462),4)=0,OR(MOD(YEAR(B462),100)&lt;&gt;0,MOD(YEAR(B462),400)=0)),366,365)))</f>
        <v/>
      </c>
      <c r="F462" s="14">
        <f>L461</f>
        <v/>
      </c>
      <c r="G462" s="14">
        <f>M461</f>
        <v/>
      </c>
      <c r="H462" s="14">
        <f>IF((((COB_CA!$B$18-I462)-J462)&gt;D462),I462+J462+K462,COB_CA!$B$18)</f>
        <v/>
      </c>
      <c r="I462" s="14">
        <f>MIN(COB_CA!$B$18,(E462+F462))</f>
        <v/>
      </c>
      <c r="J462" s="14">
        <f>MIN((COB_CA!$B$18-I462),G462)</f>
        <v/>
      </c>
      <c r="K462" s="14">
        <f>MIN(((COB_CA!$B$18-I462)-J462),D462)</f>
        <v/>
      </c>
      <c r="L462" s="14">
        <f>E462+F462-I462</f>
        <v/>
      </c>
      <c r="M462" s="14">
        <f>G462-J462</f>
        <v/>
      </c>
      <c r="N462" s="14">
        <f>D462-K462</f>
        <v/>
      </c>
      <c r="O462" s="6">
        <f>AND(D462&gt;0,B462&lt;=COB_CA!$B$20)</f>
        <v/>
      </c>
    </row>
    <row r="463">
      <c r="A463" s="6" t="n">
        <v>459</v>
      </c>
      <c r="B463" s="15">
        <f>IF(COB_CA!$B$38=12,DATE(YEAR(COB_CA!$B$19)+INT((MONTH(COB_CA!$B$19)-1+458)/12),MOD(MONTH(COB_CA!$B$19)-1+458,12)+1,1)+(DAY(COB_CA!$B$19)-1),IF(COB_CA!$B$38=24,COB_CA!$B$19+ROUND((458*365.25)/24,0),IF(COB_CA!$B$38=26,COB_CA!$B$19+6412,COB_CA!$B$19+3206)))</f>
        <v/>
      </c>
      <c r="C463" s="12">
        <f>B463-B462</f>
        <v/>
      </c>
      <c r="D463" s="14">
        <f>N462</f>
        <v/>
      </c>
      <c r="E463" s="14">
        <f>D463*COB_CA!$B$40/100*(IF(YEAR(B462)=YEAR(B463),(B463-B462)/IF(AND(MOD(YEAR(B463),4)=0,OR(MOD(YEAR(B463),100)&lt;&gt;0,MOD(YEAR(B463),400)=0)),366,365),(((DATE(YEAR(B462)+1,1,1)))-B462)/IF(AND(MOD(YEAR(B462),4)=0,OR(MOD(YEAR(B462),100)&lt;&gt;0,MOD(YEAR(B462),400)=0)),366,365)+(B463-((DATE(YEAR(B462)+1,1,1))))/IF(AND(MOD(YEAR(B463),4)=0,OR(MOD(YEAR(B463),100)&lt;&gt;0,MOD(YEAR(B463),400)=0)),366,365)))</f>
        <v/>
      </c>
      <c r="F463" s="14">
        <f>L462</f>
        <v/>
      </c>
      <c r="G463" s="14">
        <f>M462</f>
        <v/>
      </c>
      <c r="H463" s="14">
        <f>IF((((COB_CA!$B$18-I463)-J463)&gt;D463),I463+J463+K463,COB_CA!$B$18)</f>
        <v/>
      </c>
      <c r="I463" s="14">
        <f>MIN(COB_CA!$B$18,(E463+F463))</f>
        <v/>
      </c>
      <c r="J463" s="14">
        <f>MIN((COB_CA!$B$18-I463),G463)</f>
        <v/>
      </c>
      <c r="K463" s="14">
        <f>MIN(((COB_CA!$B$18-I463)-J463),D463)</f>
        <v/>
      </c>
      <c r="L463" s="14">
        <f>E463+F463-I463</f>
        <v/>
      </c>
      <c r="M463" s="14">
        <f>G463-J463</f>
        <v/>
      </c>
      <c r="N463" s="14">
        <f>D463-K463</f>
        <v/>
      </c>
      <c r="O463" s="6">
        <f>AND(D463&gt;0,B463&lt;=COB_CA!$B$20)</f>
        <v/>
      </c>
    </row>
    <row r="464">
      <c r="A464" s="6" t="n">
        <v>460</v>
      </c>
      <c r="B464" s="15">
        <f>IF(COB_CA!$B$38=12,DATE(YEAR(COB_CA!$B$19)+INT((MONTH(COB_CA!$B$19)-1+459)/12),MOD(MONTH(COB_CA!$B$19)-1+459,12)+1,1)+(DAY(COB_CA!$B$19)-1),IF(COB_CA!$B$38=24,COB_CA!$B$19+ROUND((459*365.25)/24,0),IF(COB_CA!$B$38=26,COB_CA!$B$19+6426,COB_CA!$B$19+3213)))</f>
        <v/>
      </c>
      <c r="C464" s="12">
        <f>B464-B463</f>
        <v/>
      </c>
      <c r="D464" s="14">
        <f>N463</f>
        <v/>
      </c>
      <c r="E464" s="14">
        <f>D464*COB_CA!$B$40/100*(IF(YEAR(B463)=YEAR(B464),(B464-B463)/IF(AND(MOD(YEAR(B464),4)=0,OR(MOD(YEAR(B464),100)&lt;&gt;0,MOD(YEAR(B464),400)=0)),366,365),(((DATE(YEAR(B463)+1,1,1)))-B463)/IF(AND(MOD(YEAR(B463),4)=0,OR(MOD(YEAR(B463),100)&lt;&gt;0,MOD(YEAR(B463),400)=0)),366,365)+(B464-((DATE(YEAR(B463)+1,1,1))))/IF(AND(MOD(YEAR(B464),4)=0,OR(MOD(YEAR(B464),100)&lt;&gt;0,MOD(YEAR(B464),400)=0)),366,365)))</f>
        <v/>
      </c>
      <c r="F464" s="14">
        <f>L463</f>
        <v/>
      </c>
      <c r="G464" s="14">
        <f>M463</f>
        <v/>
      </c>
      <c r="H464" s="14">
        <f>IF((((COB_CA!$B$18-I464)-J464)&gt;D464),I464+J464+K464,COB_CA!$B$18)</f>
        <v/>
      </c>
      <c r="I464" s="14">
        <f>MIN(COB_CA!$B$18,(E464+F464))</f>
        <v/>
      </c>
      <c r="J464" s="14">
        <f>MIN((COB_CA!$B$18-I464),G464)</f>
        <v/>
      </c>
      <c r="K464" s="14">
        <f>MIN(((COB_CA!$B$18-I464)-J464),D464)</f>
        <v/>
      </c>
      <c r="L464" s="14">
        <f>E464+F464-I464</f>
        <v/>
      </c>
      <c r="M464" s="14">
        <f>G464-J464</f>
        <v/>
      </c>
      <c r="N464" s="14">
        <f>D464-K464</f>
        <v/>
      </c>
      <c r="O464" s="6">
        <f>AND(D464&gt;0,B464&lt;=COB_CA!$B$20)</f>
        <v/>
      </c>
    </row>
    <row r="465">
      <c r="A465" s="6" t="n">
        <v>461</v>
      </c>
      <c r="B465" s="15">
        <f>IF(COB_CA!$B$38=12,DATE(YEAR(COB_CA!$B$19)+INT((MONTH(COB_CA!$B$19)-1+460)/12),MOD(MONTH(COB_CA!$B$19)-1+460,12)+1,1)+(DAY(COB_CA!$B$19)-1),IF(COB_CA!$B$38=24,COB_CA!$B$19+ROUND((460*365.25)/24,0),IF(COB_CA!$B$38=26,COB_CA!$B$19+6440,COB_CA!$B$19+3220)))</f>
        <v/>
      </c>
      <c r="C465" s="12">
        <f>B465-B464</f>
        <v/>
      </c>
      <c r="D465" s="14">
        <f>N464</f>
        <v/>
      </c>
      <c r="E465" s="14">
        <f>D465*COB_CA!$B$40/100*(IF(YEAR(B464)=YEAR(B465),(B465-B464)/IF(AND(MOD(YEAR(B465),4)=0,OR(MOD(YEAR(B465),100)&lt;&gt;0,MOD(YEAR(B465),400)=0)),366,365),(((DATE(YEAR(B464)+1,1,1)))-B464)/IF(AND(MOD(YEAR(B464),4)=0,OR(MOD(YEAR(B464),100)&lt;&gt;0,MOD(YEAR(B464),400)=0)),366,365)+(B465-((DATE(YEAR(B464)+1,1,1))))/IF(AND(MOD(YEAR(B465),4)=0,OR(MOD(YEAR(B465),100)&lt;&gt;0,MOD(YEAR(B465),400)=0)),366,365)))</f>
        <v/>
      </c>
      <c r="F465" s="14">
        <f>L464</f>
        <v/>
      </c>
      <c r="G465" s="14">
        <f>M464</f>
        <v/>
      </c>
      <c r="H465" s="14">
        <f>IF((((COB_CA!$B$18-I465)-J465)&gt;D465),I465+J465+K465,COB_CA!$B$18)</f>
        <v/>
      </c>
      <c r="I465" s="14">
        <f>MIN(COB_CA!$B$18,(E465+F465))</f>
        <v/>
      </c>
      <c r="J465" s="14">
        <f>MIN((COB_CA!$B$18-I465),G465)</f>
        <v/>
      </c>
      <c r="K465" s="14">
        <f>MIN(((COB_CA!$B$18-I465)-J465),D465)</f>
        <v/>
      </c>
      <c r="L465" s="14">
        <f>E465+F465-I465</f>
        <v/>
      </c>
      <c r="M465" s="14">
        <f>G465-J465</f>
        <v/>
      </c>
      <c r="N465" s="14">
        <f>D465-K465</f>
        <v/>
      </c>
      <c r="O465" s="6">
        <f>AND(D465&gt;0,B465&lt;=COB_CA!$B$20)</f>
        <v/>
      </c>
    </row>
    <row r="466">
      <c r="A466" s="6" t="n">
        <v>462</v>
      </c>
      <c r="B466" s="15">
        <f>IF(COB_CA!$B$38=12,DATE(YEAR(COB_CA!$B$19)+INT((MONTH(COB_CA!$B$19)-1+461)/12),MOD(MONTH(COB_CA!$B$19)-1+461,12)+1,1)+(DAY(COB_CA!$B$19)-1),IF(COB_CA!$B$38=24,COB_CA!$B$19+ROUND((461*365.25)/24,0),IF(COB_CA!$B$38=26,COB_CA!$B$19+6454,COB_CA!$B$19+3227)))</f>
        <v/>
      </c>
      <c r="C466" s="12">
        <f>B466-B465</f>
        <v/>
      </c>
      <c r="D466" s="14">
        <f>N465</f>
        <v/>
      </c>
      <c r="E466" s="14">
        <f>D466*COB_CA!$B$40/100*(IF(YEAR(B465)=YEAR(B466),(B466-B465)/IF(AND(MOD(YEAR(B466),4)=0,OR(MOD(YEAR(B466),100)&lt;&gt;0,MOD(YEAR(B466),400)=0)),366,365),(((DATE(YEAR(B465)+1,1,1)))-B465)/IF(AND(MOD(YEAR(B465),4)=0,OR(MOD(YEAR(B465),100)&lt;&gt;0,MOD(YEAR(B465),400)=0)),366,365)+(B466-((DATE(YEAR(B465)+1,1,1))))/IF(AND(MOD(YEAR(B466),4)=0,OR(MOD(YEAR(B466),100)&lt;&gt;0,MOD(YEAR(B466),400)=0)),366,365)))</f>
        <v/>
      </c>
      <c r="F466" s="14">
        <f>L465</f>
        <v/>
      </c>
      <c r="G466" s="14">
        <f>M465</f>
        <v/>
      </c>
      <c r="H466" s="14">
        <f>IF((((COB_CA!$B$18-I466)-J466)&gt;D466),I466+J466+K466,COB_CA!$B$18)</f>
        <v/>
      </c>
      <c r="I466" s="14">
        <f>MIN(COB_CA!$B$18,(E466+F466))</f>
        <v/>
      </c>
      <c r="J466" s="14">
        <f>MIN((COB_CA!$B$18-I466),G466)</f>
        <v/>
      </c>
      <c r="K466" s="14">
        <f>MIN(((COB_CA!$B$18-I466)-J466),D466)</f>
        <v/>
      </c>
      <c r="L466" s="14">
        <f>E466+F466-I466</f>
        <v/>
      </c>
      <c r="M466" s="14">
        <f>G466-J466</f>
        <v/>
      </c>
      <c r="N466" s="14">
        <f>D466-K466</f>
        <v/>
      </c>
      <c r="O466" s="6">
        <f>AND(D466&gt;0,B466&lt;=COB_CA!$B$20)</f>
        <v/>
      </c>
    </row>
    <row r="467">
      <c r="A467" s="6" t="n">
        <v>463</v>
      </c>
      <c r="B467" s="15">
        <f>IF(COB_CA!$B$38=12,DATE(YEAR(COB_CA!$B$19)+INT((MONTH(COB_CA!$B$19)-1+462)/12),MOD(MONTH(COB_CA!$B$19)-1+462,12)+1,1)+(DAY(COB_CA!$B$19)-1),IF(COB_CA!$B$38=24,COB_CA!$B$19+ROUND((462*365.25)/24,0),IF(COB_CA!$B$38=26,COB_CA!$B$19+6468,COB_CA!$B$19+3234)))</f>
        <v/>
      </c>
      <c r="C467" s="12">
        <f>B467-B466</f>
        <v/>
      </c>
      <c r="D467" s="14">
        <f>N466</f>
        <v/>
      </c>
      <c r="E467" s="14">
        <f>D467*COB_CA!$B$40/100*(IF(YEAR(B466)=YEAR(B467),(B467-B466)/IF(AND(MOD(YEAR(B467),4)=0,OR(MOD(YEAR(B467),100)&lt;&gt;0,MOD(YEAR(B467),400)=0)),366,365),(((DATE(YEAR(B466)+1,1,1)))-B466)/IF(AND(MOD(YEAR(B466),4)=0,OR(MOD(YEAR(B466),100)&lt;&gt;0,MOD(YEAR(B466),400)=0)),366,365)+(B467-((DATE(YEAR(B466)+1,1,1))))/IF(AND(MOD(YEAR(B467),4)=0,OR(MOD(YEAR(B467),100)&lt;&gt;0,MOD(YEAR(B467),400)=0)),366,365)))</f>
        <v/>
      </c>
      <c r="F467" s="14">
        <f>L466</f>
        <v/>
      </c>
      <c r="G467" s="14">
        <f>M466</f>
        <v/>
      </c>
      <c r="H467" s="14">
        <f>IF((((COB_CA!$B$18-I467)-J467)&gt;D467),I467+J467+K467,COB_CA!$B$18)</f>
        <v/>
      </c>
      <c r="I467" s="14">
        <f>MIN(COB_CA!$B$18,(E467+F467))</f>
        <v/>
      </c>
      <c r="J467" s="14">
        <f>MIN((COB_CA!$B$18-I467),G467)</f>
        <v/>
      </c>
      <c r="K467" s="14">
        <f>MIN(((COB_CA!$B$18-I467)-J467),D467)</f>
        <v/>
      </c>
      <c r="L467" s="14">
        <f>E467+F467-I467</f>
        <v/>
      </c>
      <c r="M467" s="14">
        <f>G467-J467</f>
        <v/>
      </c>
      <c r="N467" s="14">
        <f>D467-K467</f>
        <v/>
      </c>
      <c r="O467" s="6">
        <f>AND(D467&gt;0,B467&lt;=COB_CA!$B$20)</f>
        <v/>
      </c>
    </row>
    <row r="468">
      <c r="A468" s="6" t="n">
        <v>464</v>
      </c>
      <c r="B468" s="15">
        <f>IF(COB_CA!$B$38=12,DATE(YEAR(COB_CA!$B$19)+INT((MONTH(COB_CA!$B$19)-1+463)/12),MOD(MONTH(COB_CA!$B$19)-1+463,12)+1,1)+(DAY(COB_CA!$B$19)-1),IF(COB_CA!$B$38=24,COB_CA!$B$19+ROUND((463*365.25)/24,0),IF(COB_CA!$B$38=26,COB_CA!$B$19+6482,COB_CA!$B$19+3241)))</f>
        <v/>
      </c>
      <c r="C468" s="12">
        <f>B468-B467</f>
        <v/>
      </c>
      <c r="D468" s="14">
        <f>N467</f>
        <v/>
      </c>
      <c r="E468" s="14">
        <f>D468*COB_CA!$B$40/100*(IF(YEAR(B467)=YEAR(B468),(B468-B467)/IF(AND(MOD(YEAR(B468),4)=0,OR(MOD(YEAR(B468),100)&lt;&gt;0,MOD(YEAR(B468),400)=0)),366,365),(((DATE(YEAR(B467)+1,1,1)))-B467)/IF(AND(MOD(YEAR(B467),4)=0,OR(MOD(YEAR(B467),100)&lt;&gt;0,MOD(YEAR(B467),400)=0)),366,365)+(B468-((DATE(YEAR(B467)+1,1,1))))/IF(AND(MOD(YEAR(B468),4)=0,OR(MOD(YEAR(B468),100)&lt;&gt;0,MOD(YEAR(B468),400)=0)),366,365)))</f>
        <v/>
      </c>
      <c r="F468" s="14">
        <f>L467</f>
        <v/>
      </c>
      <c r="G468" s="14">
        <f>M467</f>
        <v/>
      </c>
      <c r="H468" s="14">
        <f>IF((((COB_CA!$B$18-I468)-J468)&gt;D468),I468+J468+K468,COB_CA!$B$18)</f>
        <v/>
      </c>
      <c r="I468" s="14">
        <f>MIN(COB_CA!$B$18,(E468+F468))</f>
        <v/>
      </c>
      <c r="J468" s="14">
        <f>MIN((COB_CA!$B$18-I468),G468)</f>
        <v/>
      </c>
      <c r="K468" s="14">
        <f>MIN(((COB_CA!$B$18-I468)-J468),D468)</f>
        <v/>
      </c>
      <c r="L468" s="14">
        <f>E468+F468-I468</f>
        <v/>
      </c>
      <c r="M468" s="14">
        <f>G468-J468</f>
        <v/>
      </c>
      <c r="N468" s="14">
        <f>D468-K468</f>
        <v/>
      </c>
      <c r="O468" s="6">
        <f>AND(D468&gt;0,B468&lt;=COB_CA!$B$20)</f>
        <v/>
      </c>
    </row>
    <row r="469">
      <c r="A469" s="6" t="n">
        <v>465</v>
      </c>
      <c r="B469" s="15">
        <f>IF(COB_CA!$B$38=12,DATE(YEAR(COB_CA!$B$19)+INT((MONTH(COB_CA!$B$19)-1+464)/12),MOD(MONTH(COB_CA!$B$19)-1+464,12)+1,1)+(DAY(COB_CA!$B$19)-1),IF(COB_CA!$B$38=24,COB_CA!$B$19+ROUND((464*365.25)/24,0),IF(COB_CA!$B$38=26,COB_CA!$B$19+6496,COB_CA!$B$19+3248)))</f>
        <v/>
      </c>
      <c r="C469" s="12">
        <f>B469-B468</f>
        <v/>
      </c>
      <c r="D469" s="14">
        <f>N468</f>
        <v/>
      </c>
      <c r="E469" s="14">
        <f>D469*COB_CA!$B$40/100*(IF(YEAR(B468)=YEAR(B469),(B469-B468)/IF(AND(MOD(YEAR(B469),4)=0,OR(MOD(YEAR(B469),100)&lt;&gt;0,MOD(YEAR(B469),400)=0)),366,365),(((DATE(YEAR(B468)+1,1,1)))-B468)/IF(AND(MOD(YEAR(B468),4)=0,OR(MOD(YEAR(B468),100)&lt;&gt;0,MOD(YEAR(B468),400)=0)),366,365)+(B469-((DATE(YEAR(B468)+1,1,1))))/IF(AND(MOD(YEAR(B469),4)=0,OR(MOD(YEAR(B469),100)&lt;&gt;0,MOD(YEAR(B469),400)=0)),366,365)))</f>
        <v/>
      </c>
      <c r="F469" s="14">
        <f>L468</f>
        <v/>
      </c>
      <c r="G469" s="14">
        <f>M468</f>
        <v/>
      </c>
      <c r="H469" s="14">
        <f>IF((((COB_CA!$B$18-I469)-J469)&gt;D469),I469+J469+K469,COB_CA!$B$18)</f>
        <v/>
      </c>
      <c r="I469" s="14">
        <f>MIN(COB_CA!$B$18,(E469+F469))</f>
        <v/>
      </c>
      <c r="J469" s="14">
        <f>MIN((COB_CA!$B$18-I469),G469)</f>
        <v/>
      </c>
      <c r="K469" s="14">
        <f>MIN(((COB_CA!$B$18-I469)-J469),D469)</f>
        <v/>
      </c>
      <c r="L469" s="14">
        <f>E469+F469-I469</f>
        <v/>
      </c>
      <c r="M469" s="14">
        <f>G469-J469</f>
        <v/>
      </c>
      <c r="N469" s="14">
        <f>D469-K469</f>
        <v/>
      </c>
      <c r="O469" s="6">
        <f>AND(D469&gt;0,B469&lt;=COB_CA!$B$20)</f>
        <v/>
      </c>
    </row>
    <row r="470">
      <c r="A470" s="6" t="n">
        <v>466</v>
      </c>
      <c r="B470" s="15">
        <f>IF(COB_CA!$B$38=12,DATE(YEAR(COB_CA!$B$19)+INT((MONTH(COB_CA!$B$19)-1+465)/12),MOD(MONTH(COB_CA!$B$19)-1+465,12)+1,1)+(DAY(COB_CA!$B$19)-1),IF(COB_CA!$B$38=24,COB_CA!$B$19+ROUND((465*365.25)/24,0),IF(COB_CA!$B$38=26,COB_CA!$B$19+6510,COB_CA!$B$19+3255)))</f>
        <v/>
      </c>
      <c r="C470" s="12">
        <f>B470-B469</f>
        <v/>
      </c>
      <c r="D470" s="14">
        <f>N469</f>
        <v/>
      </c>
      <c r="E470" s="14">
        <f>D470*COB_CA!$B$40/100*(IF(YEAR(B469)=YEAR(B470),(B470-B469)/IF(AND(MOD(YEAR(B470),4)=0,OR(MOD(YEAR(B470),100)&lt;&gt;0,MOD(YEAR(B470),400)=0)),366,365),(((DATE(YEAR(B469)+1,1,1)))-B469)/IF(AND(MOD(YEAR(B469),4)=0,OR(MOD(YEAR(B469),100)&lt;&gt;0,MOD(YEAR(B469),400)=0)),366,365)+(B470-((DATE(YEAR(B469)+1,1,1))))/IF(AND(MOD(YEAR(B470),4)=0,OR(MOD(YEAR(B470),100)&lt;&gt;0,MOD(YEAR(B470),400)=0)),366,365)))</f>
        <v/>
      </c>
      <c r="F470" s="14">
        <f>L469</f>
        <v/>
      </c>
      <c r="G470" s="14">
        <f>M469</f>
        <v/>
      </c>
      <c r="H470" s="14">
        <f>IF((((COB_CA!$B$18-I470)-J470)&gt;D470),I470+J470+K470,COB_CA!$B$18)</f>
        <v/>
      </c>
      <c r="I470" s="14">
        <f>MIN(COB_CA!$B$18,(E470+F470))</f>
        <v/>
      </c>
      <c r="J470" s="14">
        <f>MIN((COB_CA!$B$18-I470),G470)</f>
        <v/>
      </c>
      <c r="K470" s="14">
        <f>MIN(((COB_CA!$B$18-I470)-J470),D470)</f>
        <v/>
      </c>
      <c r="L470" s="14">
        <f>E470+F470-I470</f>
        <v/>
      </c>
      <c r="M470" s="14">
        <f>G470-J470</f>
        <v/>
      </c>
      <c r="N470" s="14">
        <f>D470-K470</f>
        <v/>
      </c>
      <c r="O470" s="6">
        <f>AND(D470&gt;0,B470&lt;=COB_CA!$B$20)</f>
        <v/>
      </c>
    </row>
    <row r="471">
      <c r="A471" s="6" t="n">
        <v>467</v>
      </c>
      <c r="B471" s="15">
        <f>IF(COB_CA!$B$38=12,DATE(YEAR(COB_CA!$B$19)+INT((MONTH(COB_CA!$B$19)-1+466)/12),MOD(MONTH(COB_CA!$B$19)-1+466,12)+1,1)+(DAY(COB_CA!$B$19)-1),IF(COB_CA!$B$38=24,COB_CA!$B$19+ROUND((466*365.25)/24,0),IF(COB_CA!$B$38=26,COB_CA!$B$19+6524,COB_CA!$B$19+3262)))</f>
        <v/>
      </c>
      <c r="C471" s="12">
        <f>B471-B470</f>
        <v/>
      </c>
      <c r="D471" s="14">
        <f>N470</f>
        <v/>
      </c>
      <c r="E471" s="14">
        <f>D471*COB_CA!$B$40/100*(IF(YEAR(B470)=YEAR(B471),(B471-B470)/IF(AND(MOD(YEAR(B471),4)=0,OR(MOD(YEAR(B471),100)&lt;&gt;0,MOD(YEAR(B471),400)=0)),366,365),(((DATE(YEAR(B470)+1,1,1)))-B470)/IF(AND(MOD(YEAR(B470),4)=0,OR(MOD(YEAR(B470),100)&lt;&gt;0,MOD(YEAR(B470),400)=0)),366,365)+(B471-((DATE(YEAR(B470)+1,1,1))))/IF(AND(MOD(YEAR(B471),4)=0,OR(MOD(YEAR(B471),100)&lt;&gt;0,MOD(YEAR(B471),400)=0)),366,365)))</f>
        <v/>
      </c>
      <c r="F471" s="14">
        <f>L470</f>
        <v/>
      </c>
      <c r="G471" s="14">
        <f>M470</f>
        <v/>
      </c>
      <c r="H471" s="14">
        <f>IF((((COB_CA!$B$18-I471)-J471)&gt;D471),I471+J471+K471,COB_CA!$B$18)</f>
        <v/>
      </c>
      <c r="I471" s="14">
        <f>MIN(COB_CA!$B$18,(E471+F471))</f>
        <v/>
      </c>
      <c r="J471" s="14">
        <f>MIN((COB_CA!$B$18-I471),G471)</f>
        <v/>
      </c>
      <c r="K471" s="14">
        <f>MIN(((COB_CA!$B$18-I471)-J471),D471)</f>
        <v/>
      </c>
      <c r="L471" s="14">
        <f>E471+F471-I471</f>
        <v/>
      </c>
      <c r="M471" s="14">
        <f>G471-J471</f>
        <v/>
      </c>
      <c r="N471" s="14">
        <f>D471-K471</f>
        <v/>
      </c>
      <c r="O471" s="6">
        <f>AND(D471&gt;0,B471&lt;=COB_CA!$B$20)</f>
        <v/>
      </c>
    </row>
    <row r="472">
      <c r="A472" s="6" t="n">
        <v>468</v>
      </c>
      <c r="B472" s="15">
        <f>IF(COB_CA!$B$38=12,DATE(YEAR(COB_CA!$B$19)+INT((MONTH(COB_CA!$B$19)-1+467)/12),MOD(MONTH(COB_CA!$B$19)-1+467,12)+1,1)+(DAY(COB_CA!$B$19)-1),IF(COB_CA!$B$38=24,COB_CA!$B$19+ROUND((467*365.25)/24,0),IF(COB_CA!$B$38=26,COB_CA!$B$19+6538,COB_CA!$B$19+3269)))</f>
        <v/>
      </c>
      <c r="C472" s="12">
        <f>B472-B471</f>
        <v/>
      </c>
      <c r="D472" s="14">
        <f>N471</f>
        <v/>
      </c>
      <c r="E472" s="14">
        <f>D472*COB_CA!$B$40/100*(IF(YEAR(B471)=YEAR(B472),(B472-B471)/IF(AND(MOD(YEAR(B472),4)=0,OR(MOD(YEAR(B472),100)&lt;&gt;0,MOD(YEAR(B472),400)=0)),366,365),(((DATE(YEAR(B471)+1,1,1)))-B471)/IF(AND(MOD(YEAR(B471),4)=0,OR(MOD(YEAR(B471),100)&lt;&gt;0,MOD(YEAR(B471),400)=0)),366,365)+(B472-((DATE(YEAR(B471)+1,1,1))))/IF(AND(MOD(YEAR(B472),4)=0,OR(MOD(YEAR(B472),100)&lt;&gt;0,MOD(YEAR(B472),400)=0)),366,365)))</f>
        <v/>
      </c>
      <c r="F472" s="14">
        <f>L471</f>
        <v/>
      </c>
      <c r="G472" s="14">
        <f>M471</f>
        <v/>
      </c>
      <c r="H472" s="14">
        <f>IF((((COB_CA!$B$18-I472)-J472)&gt;D472),I472+J472+K472,COB_CA!$B$18)</f>
        <v/>
      </c>
      <c r="I472" s="14">
        <f>MIN(COB_CA!$B$18,(E472+F472))</f>
        <v/>
      </c>
      <c r="J472" s="14">
        <f>MIN((COB_CA!$B$18-I472),G472)</f>
        <v/>
      </c>
      <c r="K472" s="14">
        <f>MIN(((COB_CA!$B$18-I472)-J472),D472)</f>
        <v/>
      </c>
      <c r="L472" s="14">
        <f>E472+F472-I472</f>
        <v/>
      </c>
      <c r="M472" s="14">
        <f>G472-J472</f>
        <v/>
      </c>
      <c r="N472" s="14">
        <f>D472-K472</f>
        <v/>
      </c>
      <c r="O472" s="6">
        <f>AND(D472&gt;0,B472&lt;=COB_CA!$B$20)</f>
        <v/>
      </c>
    </row>
    <row r="473">
      <c r="A473" s="6" t="n">
        <v>469</v>
      </c>
      <c r="B473" s="15">
        <f>IF(COB_CA!$B$38=12,DATE(YEAR(COB_CA!$B$19)+INT((MONTH(COB_CA!$B$19)-1+468)/12),MOD(MONTH(COB_CA!$B$19)-1+468,12)+1,1)+(DAY(COB_CA!$B$19)-1),IF(COB_CA!$B$38=24,COB_CA!$B$19+ROUND((468*365.25)/24,0),IF(COB_CA!$B$38=26,COB_CA!$B$19+6552,COB_CA!$B$19+3276)))</f>
        <v/>
      </c>
      <c r="C473" s="12">
        <f>B473-B472</f>
        <v/>
      </c>
      <c r="D473" s="14">
        <f>N472</f>
        <v/>
      </c>
      <c r="E473" s="14">
        <f>D473*COB_CA!$B$40/100*(IF(YEAR(B472)=YEAR(B473),(B473-B472)/IF(AND(MOD(YEAR(B473),4)=0,OR(MOD(YEAR(B473),100)&lt;&gt;0,MOD(YEAR(B473),400)=0)),366,365),(((DATE(YEAR(B472)+1,1,1)))-B472)/IF(AND(MOD(YEAR(B472),4)=0,OR(MOD(YEAR(B472),100)&lt;&gt;0,MOD(YEAR(B472),400)=0)),366,365)+(B473-((DATE(YEAR(B472)+1,1,1))))/IF(AND(MOD(YEAR(B473),4)=0,OR(MOD(YEAR(B473),100)&lt;&gt;0,MOD(YEAR(B473),400)=0)),366,365)))</f>
        <v/>
      </c>
      <c r="F473" s="14">
        <f>L472</f>
        <v/>
      </c>
      <c r="G473" s="14">
        <f>M472</f>
        <v/>
      </c>
      <c r="H473" s="14">
        <f>IF((((COB_CA!$B$18-I473)-J473)&gt;D473),I473+J473+K473,COB_CA!$B$18)</f>
        <v/>
      </c>
      <c r="I473" s="14">
        <f>MIN(COB_CA!$B$18,(E473+F473))</f>
        <v/>
      </c>
      <c r="J473" s="14">
        <f>MIN((COB_CA!$B$18-I473),G473)</f>
        <v/>
      </c>
      <c r="K473" s="14">
        <f>MIN(((COB_CA!$B$18-I473)-J473),D473)</f>
        <v/>
      </c>
      <c r="L473" s="14">
        <f>E473+F473-I473</f>
        <v/>
      </c>
      <c r="M473" s="14">
        <f>G473-J473</f>
        <v/>
      </c>
      <c r="N473" s="14">
        <f>D473-K473</f>
        <v/>
      </c>
      <c r="O473" s="6">
        <f>AND(D473&gt;0,B473&lt;=COB_CA!$B$20)</f>
        <v/>
      </c>
    </row>
    <row r="474">
      <c r="A474" s="6" t="n">
        <v>470</v>
      </c>
      <c r="B474" s="15">
        <f>IF(COB_CA!$B$38=12,DATE(YEAR(COB_CA!$B$19)+INT((MONTH(COB_CA!$B$19)-1+469)/12),MOD(MONTH(COB_CA!$B$19)-1+469,12)+1,1)+(DAY(COB_CA!$B$19)-1),IF(COB_CA!$B$38=24,COB_CA!$B$19+ROUND((469*365.25)/24,0),IF(COB_CA!$B$38=26,COB_CA!$B$19+6566,COB_CA!$B$19+3283)))</f>
        <v/>
      </c>
      <c r="C474" s="12">
        <f>B474-B473</f>
        <v/>
      </c>
      <c r="D474" s="14">
        <f>N473</f>
        <v/>
      </c>
      <c r="E474" s="14">
        <f>D474*COB_CA!$B$40/100*(IF(YEAR(B473)=YEAR(B474),(B474-B473)/IF(AND(MOD(YEAR(B474),4)=0,OR(MOD(YEAR(B474),100)&lt;&gt;0,MOD(YEAR(B474),400)=0)),366,365),(((DATE(YEAR(B473)+1,1,1)))-B473)/IF(AND(MOD(YEAR(B473),4)=0,OR(MOD(YEAR(B473),100)&lt;&gt;0,MOD(YEAR(B473),400)=0)),366,365)+(B474-((DATE(YEAR(B473)+1,1,1))))/IF(AND(MOD(YEAR(B474),4)=0,OR(MOD(YEAR(B474),100)&lt;&gt;0,MOD(YEAR(B474),400)=0)),366,365)))</f>
        <v/>
      </c>
      <c r="F474" s="14">
        <f>L473</f>
        <v/>
      </c>
      <c r="G474" s="14">
        <f>M473</f>
        <v/>
      </c>
      <c r="H474" s="14">
        <f>IF((((COB_CA!$B$18-I474)-J474)&gt;D474),I474+J474+K474,COB_CA!$B$18)</f>
        <v/>
      </c>
      <c r="I474" s="14">
        <f>MIN(COB_CA!$B$18,(E474+F474))</f>
        <v/>
      </c>
      <c r="J474" s="14">
        <f>MIN((COB_CA!$B$18-I474),G474)</f>
        <v/>
      </c>
      <c r="K474" s="14">
        <f>MIN(((COB_CA!$B$18-I474)-J474),D474)</f>
        <v/>
      </c>
      <c r="L474" s="14">
        <f>E474+F474-I474</f>
        <v/>
      </c>
      <c r="M474" s="14">
        <f>G474-J474</f>
        <v/>
      </c>
      <c r="N474" s="14">
        <f>D474-K474</f>
        <v/>
      </c>
      <c r="O474" s="6">
        <f>AND(D474&gt;0,B474&lt;=COB_CA!$B$20)</f>
        <v/>
      </c>
    </row>
    <row r="475">
      <c r="A475" s="6" t="n">
        <v>471</v>
      </c>
      <c r="B475" s="15">
        <f>IF(COB_CA!$B$38=12,DATE(YEAR(COB_CA!$B$19)+INT((MONTH(COB_CA!$B$19)-1+470)/12),MOD(MONTH(COB_CA!$B$19)-1+470,12)+1,1)+(DAY(COB_CA!$B$19)-1),IF(COB_CA!$B$38=24,COB_CA!$B$19+ROUND((470*365.25)/24,0),IF(COB_CA!$B$38=26,COB_CA!$B$19+6580,COB_CA!$B$19+3290)))</f>
        <v/>
      </c>
      <c r="C475" s="12">
        <f>B475-B474</f>
        <v/>
      </c>
      <c r="D475" s="14">
        <f>N474</f>
        <v/>
      </c>
      <c r="E475" s="14">
        <f>D475*COB_CA!$B$40/100*(IF(YEAR(B474)=YEAR(B475),(B475-B474)/IF(AND(MOD(YEAR(B475),4)=0,OR(MOD(YEAR(B475),100)&lt;&gt;0,MOD(YEAR(B475),400)=0)),366,365),(((DATE(YEAR(B474)+1,1,1)))-B474)/IF(AND(MOD(YEAR(B474),4)=0,OR(MOD(YEAR(B474),100)&lt;&gt;0,MOD(YEAR(B474),400)=0)),366,365)+(B475-((DATE(YEAR(B474)+1,1,1))))/IF(AND(MOD(YEAR(B475),4)=0,OR(MOD(YEAR(B475),100)&lt;&gt;0,MOD(YEAR(B475),400)=0)),366,365)))</f>
        <v/>
      </c>
      <c r="F475" s="14">
        <f>L474</f>
        <v/>
      </c>
      <c r="G475" s="14">
        <f>M474</f>
        <v/>
      </c>
      <c r="H475" s="14">
        <f>IF((((COB_CA!$B$18-I475)-J475)&gt;D475),I475+J475+K475,COB_CA!$B$18)</f>
        <v/>
      </c>
      <c r="I475" s="14">
        <f>MIN(COB_CA!$B$18,(E475+F475))</f>
        <v/>
      </c>
      <c r="J475" s="14">
        <f>MIN((COB_CA!$B$18-I475),G475)</f>
        <v/>
      </c>
      <c r="K475" s="14">
        <f>MIN(((COB_CA!$B$18-I475)-J475),D475)</f>
        <v/>
      </c>
      <c r="L475" s="14">
        <f>E475+F475-I475</f>
        <v/>
      </c>
      <c r="M475" s="14">
        <f>G475-J475</f>
        <v/>
      </c>
      <c r="N475" s="14">
        <f>D475-K475</f>
        <v/>
      </c>
      <c r="O475" s="6">
        <f>AND(D475&gt;0,B475&lt;=COB_CA!$B$20)</f>
        <v/>
      </c>
    </row>
    <row r="476">
      <c r="A476" s="6" t="n">
        <v>472</v>
      </c>
      <c r="B476" s="15">
        <f>IF(COB_CA!$B$38=12,DATE(YEAR(COB_CA!$B$19)+INT((MONTH(COB_CA!$B$19)-1+471)/12),MOD(MONTH(COB_CA!$B$19)-1+471,12)+1,1)+(DAY(COB_CA!$B$19)-1),IF(COB_CA!$B$38=24,COB_CA!$B$19+ROUND((471*365.25)/24,0),IF(COB_CA!$B$38=26,COB_CA!$B$19+6594,COB_CA!$B$19+3297)))</f>
        <v/>
      </c>
      <c r="C476" s="12">
        <f>B476-B475</f>
        <v/>
      </c>
      <c r="D476" s="14">
        <f>N475</f>
        <v/>
      </c>
      <c r="E476" s="14">
        <f>D476*COB_CA!$B$40/100*(IF(YEAR(B475)=YEAR(B476),(B476-B475)/IF(AND(MOD(YEAR(B476),4)=0,OR(MOD(YEAR(B476),100)&lt;&gt;0,MOD(YEAR(B476),400)=0)),366,365),(((DATE(YEAR(B475)+1,1,1)))-B475)/IF(AND(MOD(YEAR(B475),4)=0,OR(MOD(YEAR(B475),100)&lt;&gt;0,MOD(YEAR(B475),400)=0)),366,365)+(B476-((DATE(YEAR(B475)+1,1,1))))/IF(AND(MOD(YEAR(B476),4)=0,OR(MOD(YEAR(B476),100)&lt;&gt;0,MOD(YEAR(B476),400)=0)),366,365)))</f>
        <v/>
      </c>
      <c r="F476" s="14">
        <f>L475</f>
        <v/>
      </c>
      <c r="G476" s="14">
        <f>M475</f>
        <v/>
      </c>
      <c r="H476" s="14">
        <f>IF((((COB_CA!$B$18-I476)-J476)&gt;D476),I476+J476+K476,COB_CA!$B$18)</f>
        <v/>
      </c>
      <c r="I476" s="14">
        <f>MIN(COB_CA!$B$18,(E476+F476))</f>
        <v/>
      </c>
      <c r="J476" s="14">
        <f>MIN((COB_CA!$B$18-I476),G476)</f>
        <v/>
      </c>
      <c r="K476" s="14">
        <f>MIN(((COB_CA!$B$18-I476)-J476),D476)</f>
        <v/>
      </c>
      <c r="L476" s="14">
        <f>E476+F476-I476</f>
        <v/>
      </c>
      <c r="M476" s="14">
        <f>G476-J476</f>
        <v/>
      </c>
      <c r="N476" s="14">
        <f>D476-K476</f>
        <v/>
      </c>
      <c r="O476" s="6">
        <f>AND(D476&gt;0,B476&lt;=COB_CA!$B$20)</f>
        <v/>
      </c>
    </row>
    <row r="477">
      <c r="A477" s="6" t="n">
        <v>473</v>
      </c>
      <c r="B477" s="15">
        <f>IF(COB_CA!$B$38=12,DATE(YEAR(COB_CA!$B$19)+INT((MONTH(COB_CA!$B$19)-1+472)/12),MOD(MONTH(COB_CA!$B$19)-1+472,12)+1,1)+(DAY(COB_CA!$B$19)-1),IF(COB_CA!$B$38=24,COB_CA!$B$19+ROUND((472*365.25)/24,0),IF(COB_CA!$B$38=26,COB_CA!$B$19+6608,COB_CA!$B$19+3304)))</f>
        <v/>
      </c>
      <c r="C477" s="12">
        <f>B477-B476</f>
        <v/>
      </c>
      <c r="D477" s="14">
        <f>N476</f>
        <v/>
      </c>
      <c r="E477" s="14">
        <f>D477*COB_CA!$B$40/100*(IF(YEAR(B476)=YEAR(B477),(B477-B476)/IF(AND(MOD(YEAR(B477),4)=0,OR(MOD(YEAR(B477),100)&lt;&gt;0,MOD(YEAR(B477),400)=0)),366,365),(((DATE(YEAR(B476)+1,1,1)))-B476)/IF(AND(MOD(YEAR(B476),4)=0,OR(MOD(YEAR(B476),100)&lt;&gt;0,MOD(YEAR(B476),400)=0)),366,365)+(B477-((DATE(YEAR(B476)+1,1,1))))/IF(AND(MOD(YEAR(B477),4)=0,OR(MOD(YEAR(B477),100)&lt;&gt;0,MOD(YEAR(B477),400)=0)),366,365)))</f>
        <v/>
      </c>
      <c r="F477" s="14">
        <f>L476</f>
        <v/>
      </c>
      <c r="G477" s="14">
        <f>M476</f>
        <v/>
      </c>
      <c r="H477" s="14">
        <f>IF((((COB_CA!$B$18-I477)-J477)&gt;D477),I477+J477+K477,COB_CA!$B$18)</f>
        <v/>
      </c>
      <c r="I477" s="14">
        <f>MIN(COB_CA!$B$18,(E477+F477))</f>
        <v/>
      </c>
      <c r="J477" s="14">
        <f>MIN((COB_CA!$B$18-I477),G477)</f>
        <v/>
      </c>
      <c r="K477" s="14">
        <f>MIN(((COB_CA!$B$18-I477)-J477),D477)</f>
        <v/>
      </c>
      <c r="L477" s="14">
        <f>E477+F477-I477</f>
        <v/>
      </c>
      <c r="M477" s="14">
        <f>G477-J477</f>
        <v/>
      </c>
      <c r="N477" s="14">
        <f>D477-K477</f>
        <v/>
      </c>
      <c r="O477" s="6">
        <f>AND(D477&gt;0,B477&lt;=COB_CA!$B$20)</f>
        <v/>
      </c>
    </row>
    <row r="478">
      <c r="A478" s="6" t="n">
        <v>474</v>
      </c>
      <c r="B478" s="15">
        <f>IF(COB_CA!$B$38=12,DATE(YEAR(COB_CA!$B$19)+INT((MONTH(COB_CA!$B$19)-1+473)/12),MOD(MONTH(COB_CA!$B$19)-1+473,12)+1,1)+(DAY(COB_CA!$B$19)-1),IF(COB_CA!$B$38=24,COB_CA!$B$19+ROUND((473*365.25)/24,0),IF(COB_CA!$B$38=26,COB_CA!$B$19+6622,COB_CA!$B$19+3311)))</f>
        <v/>
      </c>
      <c r="C478" s="12">
        <f>B478-B477</f>
        <v/>
      </c>
      <c r="D478" s="14">
        <f>N477</f>
        <v/>
      </c>
      <c r="E478" s="14">
        <f>D478*COB_CA!$B$40/100*(IF(YEAR(B477)=YEAR(B478),(B478-B477)/IF(AND(MOD(YEAR(B478),4)=0,OR(MOD(YEAR(B478),100)&lt;&gt;0,MOD(YEAR(B478),400)=0)),366,365),(((DATE(YEAR(B477)+1,1,1)))-B477)/IF(AND(MOD(YEAR(B477),4)=0,OR(MOD(YEAR(B477),100)&lt;&gt;0,MOD(YEAR(B477),400)=0)),366,365)+(B478-((DATE(YEAR(B477)+1,1,1))))/IF(AND(MOD(YEAR(B478),4)=0,OR(MOD(YEAR(B478),100)&lt;&gt;0,MOD(YEAR(B478),400)=0)),366,365)))</f>
        <v/>
      </c>
      <c r="F478" s="14">
        <f>L477</f>
        <v/>
      </c>
      <c r="G478" s="14">
        <f>M477</f>
        <v/>
      </c>
      <c r="H478" s="14">
        <f>IF((((COB_CA!$B$18-I478)-J478)&gt;D478),I478+J478+K478,COB_CA!$B$18)</f>
        <v/>
      </c>
      <c r="I478" s="14">
        <f>MIN(COB_CA!$B$18,(E478+F478))</f>
        <v/>
      </c>
      <c r="J478" s="14">
        <f>MIN((COB_CA!$B$18-I478),G478)</f>
        <v/>
      </c>
      <c r="K478" s="14">
        <f>MIN(((COB_CA!$B$18-I478)-J478),D478)</f>
        <v/>
      </c>
      <c r="L478" s="14">
        <f>E478+F478-I478</f>
        <v/>
      </c>
      <c r="M478" s="14">
        <f>G478-J478</f>
        <v/>
      </c>
      <c r="N478" s="14">
        <f>D478-K478</f>
        <v/>
      </c>
      <c r="O478" s="6">
        <f>AND(D478&gt;0,B478&lt;=COB_CA!$B$20)</f>
        <v/>
      </c>
    </row>
    <row r="479">
      <c r="A479" s="6" t="n">
        <v>475</v>
      </c>
      <c r="B479" s="15">
        <f>IF(COB_CA!$B$38=12,DATE(YEAR(COB_CA!$B$19)+INT((MONTH(COB_CA!$B$19)-1+474)/12),MOD(MONTH(COB_CA!$B$19)-1+474,12)+1,1)+(DAY(COB_CA!$B$19)-1),IF(COB_CA!$B$38=24,COB_CA!$B$19+ROUND((474*365.25)/24,0),IF(COB_CA!$B$38=26,COB_CA!$B$19+6636,COB_CA!$B$19+3318)))</f>
        <v/>
      </c>
      <c r="C479" s="12">
        <f>B479-B478</f>
        <v/>
      </c>
      <c r="D479" s="14">
        <f>N478</f>
        <v/>
      </c>
      <c r="E479" s="14">
        <f>D479*COB_CA!$B$40/100*(IF(YEAR(B478)=YEAR(B479),(B479-B478)/IF(AND(MOD(YEAR(B479),4)=0,OR(MOD(YEAR(B479),100)&lt;&gt;0,MOD(YEAR(B479),400)=0)),366,365),(((DATE(YEAR(B478)+1,1,1)))-B478)/IF(AND(MOD(YEAR(B478),4)=0,OR(MOD(YEAR(B478),100)&lt;&gt;0,MOD(YEAR(B478),400)=0)),366,365)+(B479-((DATE(YEAR(B478)+1,1,1))))/IF(AND(MOD(YEAR(B479),4)=0,OR(MOD(YEAR(B479),100)&lt;&gt;0,MOD(YEAR(B479),400)=0)),366,365)))</f>
        <v/>
      </c>
      <c r="F479" s="14">
        <f>L478</f>
        <v/>
      </c>
      <c r="G479" s="14">
        <f>M478</f>
        <v/>
      </c>
      <c r="H479" s="14">
        <f>IF((((COB_CA!$B$18-I479)-J479)&gt;D479),I479+J479+K479,COB_CA!$B$18)</f>
        <v/>
      </c>
      <c r="I479" s="14">
        <f>MIN(COB_CA!$B$18,(E479+F479))</f>
        <v/>
      </c>
      <c r="J479" s="14">
        <f>MIN((COB_CA!$B$18-I479),G479)</f>
        <v/>
      </c>
      <c r="K479" s="14">
        <f>MIN(((COB_CA!$B$18-I479)-J479),D479)</f>
        <v/>
      </c>
      <c r="L479" s="14">
        <f>E479+F479-I479</f>
        <v/>
      </c>
      <c r="M479" s="14">
        <f>G479-J479</f>
        <v/>
      </c>
      <c r="N479" s="14">
        <f>D479-K479</f>
        <v/>
      </c>
      <c r="O479" s="6">
        <f>AND(D479&gt;0,B479&lt;=COB_CA!$B$20)</f>
        <v/>
      </c>
    </row>
    <row r="480">
      <c r="A480" s="6" t="n">
        <v>476</v>
      </c>
      <c r="B480" s="15">
        <f>IF(COB_CA!$B$38=12,DATE(YEAR(COB_CA!$B$19)+INT((MONTH(COB_CA!$B$19)-1+475)/12),MOD(MONTH(COB_CA!$B$19)-1+475,12)+1,1)+(DAY(COB_CA!$B$19)-1),IF(COB_CA!$B$38=24,COB_CA!$B$19+ROUND((475*365.25)/24,0),IF(COB_CA!$B$38=26,COB_CA!$B$19+6650,COB_CA!$B$19+3325)))</f>
        <v/>
      </c>
      <c r="C480" s="12">
        <f>B480-B479</f>
        <v/>
      </c>
      <c r="D480" s="14">
        <f>N479</f>
        <v/>
      </c>
      <c r="E480" s="14">
        <f>D480*COB_CA!$B$40/100*(IF(YEAR(B479)=YEAR(B480),(B480-B479)/IF(AND(MOD(YEAR(B480),4)=0,OR(MOD(YEAR(B480),100)&lt;&gt;0,MOD(YEAR(B480),400)=0)),366,365),(((DATE(YEAR(B479)+1,1,1)))-B479)/IF(AND(MOD(YEAR(B479),4)=0,OR(MOD(YEAR(B479),100)&lt;&gt;0,MOD(YEAR(B479),400)=0)),366,365)+(B480-((DATE(YEAR(B479)+1,1,1))))/IF(AND(MOD(YEAR(B480),4)=0,OR(MOD(YEAR(B480),100)&lt;&gt;0,MOD(YEAR(B480),400)=0)),366,365)))</f>
        <v/>
      </c>
      <c r="F480" s="14">
        <f>L479</f>
        <v/>
      </c>
      <c r="G480" s="14">
        <f>M479</f>
        <v/>
      </c>
      <c r="H480" s="14">
        <f>IF((((COB_CA!$B$18-I480)-J480)&gt;D480),I480+J480+K480,COB_CA!$B$18)</f>
        <v/>
      </c>
      <c r="I480" s="14">
        <f>MIN(COB_CA!$B$18,(E480+F480))</f>
        <v/>
      </c>
      <c r="J480" s="14">
        <f>MIN((COB_CA!$B$18-I480),G480)</f>
        <v/>
      </c>
      <c r="K480" s="14">
        <f>MIN(((COB_CA!$B$18-I480)-J480),D480)</f>
        <v/>
      </c>
      <c r="L480" s="14">
        <f>E480+F480-I480</f>
        <v/>
      </c>
      <c r="M480" s="14">
        <f>G480-J480</f>
        <v/>
      </c>
      <c r="N480" s="14">
        <f>D480-K480</f>
        <v/>
      </c>
      <c r="O480" s="6">
        <f>AND(D480&gt;0,B480&lt;=COB_CA!$B$20)</f>
        <v/>
      </c>
    </row>
    <row r="481">
      <c r="A481" s="6" t="n">
        <v>477</v>
      </c>
      <c r="B481" s="15">
        <f>IF(COB_CA!$B$38=12,DATE(YEAR(COB_CA!$B$19)+INT((MONTH(COB_CA!$B$19)-1+476)/12),MOD(MONTH(COB_CA!$B$19)-1+476,12)+1,1)+(DAY(COB_CA!$B$19)-1),IF(COB_CA!$B$38=24,COB_CA!$B$19+ROUND((476*365.25)/24,0),IF(COB_CA!$B$38=26,COB_CA!$B$19+6664,COB_CA!$B$19+3332)))</f>
        <v/>
      </c>
      <c r="C481" s="12">
        <f>B481-B480</f>
        <v/>
      </c>
      <c r="D481" s="14">
        <f>N480</f>
        <v/>
      </c>
      <c r="E481" s="14">
        <f>D481*COB_CA!$B$40/100*(IF(YEAR(B480)=YEAR(B481),(B481-B480)/IF(AND(MOD(YEAR(B481),4)=0,OR(MOD(YEAR(B481),100)&lt;&gt;0,MOD(YEAR(B481),400)=0)),366,365),(((DATE(YEAR(B480)+1,1,1)))-B480)/IF(AND(MOD(YEAR(B480),4)=0,OR(MOD(YEAR(B480),100)&lt;&gt;0,MOD(YEAR(B480),400)=0)),366,365)+(B481-((DATE(YEAR(B480)+1,1,1))))/IF(AND(MOD(YEAR(B481),4)=0,OR(MOD(YEAR(B481),100)&lt;&gt;0,MOD(YEAR(B481),400)=0)),366,365)))</f>
        <v/>
      </c>
      <c r="F481" s="14">
        <f>L480</f>
        <v/>
      </c>
      <c r="G481" s="14">
        <f>M480</f>
        <v/>
      </c>
      <c r="H481" s="14">
        <f>IF((((COB_CA!$B$18-I481)-J481)&gt;D481),I481+J481+K481,COB_CA!$B$18)</f>
        <v/>
      </c>
      <c r="I481" s="14">
        <f>MIN(COB_CA!$B$18,(E481+F481))</f>
        <v/>
      </c>
      <c r="J481" s="14">
        <f>MIN((COB_CA!$B$18-I481),G481)</f>
        <v/>
      </c>
      <c r="K481" s="14">
        <f>MIN(((COB_CA!$B$18-I481)-J481),D481)</f>
        <v/>
      </c>
      <c r="L481" s="14">
        <f>E481+F481-I481</f>
        <v/>
      </c>
      <c r="M481" s="14">
        <f>G481-J481</f>
        <v/>
      </c>
      <c r="N481" s="14">
        <f>D481-K481</f>
        <v/>
      </c>
      <c r="O481" s="6">
        <f>AND(D481&gt;0,B481&lt;=COB_CA!$B$20)</f>
        <v/>
      </c>
    </row>
    <row r="482">
      <c r="A482" s="6" t="n">
        <v>478</v>
      </c>
      <c r="B482" s="15">
        <f>IF(COB_CA!$B$38=12,DATE(YEAR(COB_CA!$B$19)+INT((MONTH(COB_CA!$B$19)-1+477)/12),MOD(MONTH(COB_CA!$B$19)-1+477,12)+1,1)+(DAY(COB_CA!$B$19)-1),IF(COB_CA!$B$38=24,COB_CA!$B$19+ROUND((477*365.25)/24,0),IF(COB_CA!$B$38=26,COB_CA!$B$19+6678,COB_CA!$B$19+3339)))</f>
        <v/>
      </c>
      <c r="C482" s="12">
        <f>B482-B481</f>
        <v/>
      </c>
      <c r="D482" s="14">
        <f>N481</f>
        <v/>
      </c>
      <c r="E482" s="14">
        <f>D482*COB_CA!$B$40/100*(IF(YEAR(B481)=YEAR(B482),(B482-B481)/IF(AND(MOD(YEAR(B482),4)=0,OR(MOD(YEAR(B482),100)&lt;&gt;0,MOD(YEAR(B482),400)=0)),366,365),(((DATE(YEAR(B481)+1,1,1)))-B481)/IF(AND(MOD(YEAR(B481),4)=0,OR(MOD(YEAR(B481),100)&lt;&gt;0,MOD(YEAR(B481),400)=0)),366,365)+(B482-((DATE(YEAR(B481)+1,1,1))))/IF(AND(MOD(YEAR(B482),4)=0,OR(MOD(YEAR(B482),100)&lt;&gt;0,MOD(YEAR(B482),400)=0)),366,365)))</f>
        <v/>
      </c>
      <c r="F482" s="14">
        <f>L481</f>
        <v/>
      </c>
      <c r="G482" s="14">
        <f>M481</f>
        <v/>
      </c>
      <c r="H482" s="14">
        <f>IF((((COB_CA!$B$18-I482)-J482)&gt;D482),I482+J482+K482,COB_CA!$B$18)</f>
        <v/>
      </c>
      <c r="I482" s="14">
        <f>MIN(COB_CA!$B$18,(E482+F482))</f>
        <v/>
      </c>
      <c r="J482" s="14">
        <f>MIN((COB_CA!$B$18-I482),G482)</f>
        <v/>
      </c>
      <c r="K482" s="14">
        <f>MIN(((COB_CA!$B$18-I482)-J482),D482)</f>
        <v/>
      </c>
      <c r="L482" s="14">
        <f>E482+F482-I482</f>
        <v/>
      </c>
      <c r="M482" s="14">
        <f>G482-J482</f>
        <v/>
      </c>
      <c r="N482" s="14">
        <f>D482-K482</f>
        <v/>
      </c>
      <c r="O482" s="6">
        <f>AND(D482&gt;0,B482&lt;=COB_CA!$B$20)</f>
        <v/>
      </c>
    </row>
    <row r="483">
      <c r="A483" s="6" t="n">
        <v>479</v>
      </c>
      <c r="B483" s="15">
        <f>IF(COB_CA!$B$38=12,DATE(YEAR(COB_CA!$B$19)+INT((MONTH(COB_CA!$B$19)-1+478)/12),MOD(MONTH(COB_CA!$B$19)-1+478,12)+1,1)+(DAY(COB_CA!$B$19)-1),IF(COB_CA!$B$38=24,COB_CA!$B$19+ROUND((478*365.25)/24,0),IF(COB_CA!$B$38=26,COB_CA!$B$19+6692,COB_CA!$B$19+3346)))</f>
        <v/>
      </c>
      <c r="C483" s="12">
        <f>B483-B482</f>
        <v/>
      </c>
      <c r="D483" s="14">
        <f>N482</f>
        <v/>
      </c>
      <c r="E483" s="14">
        <f>D483*COB_CA!$B$40/100*(IF(YEAR(B482)=YEAR(B483),(B483-B482)/IF(AND(MOD(YEAR(B483),4)=0,OR(MOD(YEAR(B483),100)&lt;&gt;0,MOD(YEAR(B483),400)=0)),366,365),(((DATE(YEAR(B482)+1,1,1)))-B482)/IF(AND(MOD(YEAR(B482),4)=0,OR(MOD(YEAR(B482),100)&lt;&gt;0,MOD(YEAR(B482),400)=0)),366,365)+(B483-((DATE(YEAR(B482)+1,1,1))))/IF(AND(MOD(YEAR(B483),4)=0,OR(MOD(YEAR(B483),100)&lt;&gt;0,MOD(YEAR(B483),400)=0)),366,365)))</f>
        <v/>
      </c>
      <c r="F483" s="14">
        <f>L482</f>
        <v/>
      </c>
      <c r="G483" s="14">
        <f>M482</f>
        <v/>
      </c>
      <c r="H483" s="14">
        <f>IF((((COB_CA!$B$18-I483)-J483)&gt;D483),I483+J483+K483,COB_CA!$B$18)</f>
        <v/>
      </c>
      <c r="I483" s="14">
        <f>MIN(COB_CA!$B$18,(E483+F483))</f>
        <v/>
      </c>
      <c r="J483" s="14">
        <f>MIN((COB_CA!$B$18-I483),G483)</f>
        <v/>
      </c>
      <c r="K483" s="14">
        <f>MIN(((COB_CA!$B$18-I483)-J483),D483)</f>
        <v/>
      </c>
      <c r="L483" s="14">
        <f>E483+F483-I483</f>
        <v/>
      </c>
      <c r="M483" s="14">
        <f>G483-J483</f>
        <v/>
      </c>
      <c r="N483" s="14">
        <f>D483-K483</f>
        <v/>
      </c>
      <c r="O483" s="6">
        <f>AND(D483&gt;0,B483&lt;=COB_CA!$B$20)</f>
        <v/>
      </c>
    </row>
    <row r="484">
      <c r="A484" s="6" t="n">
        <v>480</v>
      </c>
      <c r="B484" s="15">
        <f>IF(COB_CA!$B$38=12,DATE(YEAR(COB_CA!$B$19)+INT((MONTH(COB_CA!$B$19)-1+479)/12),MOD(MONTH(COB_CA!$B$19)-1+479,12)+1,1)+(DAY(COB_CA!$B$19)-1),IF(COB_CA!$B$38=24,COB_CA!$B$19+ROUND((479*365.25)/24,0),IF(COB_CA!$B$38=26,COB_CA!$B$19+6706,COB_CA!$B$19+3353)))</f>
        <v/>
      </c>
      <c r="C484" s="12">
        <f>B484-B483</f>
        <v/>
      </c>
      <c r="D484" s="14">
        <f>N483</f>
        <v/>
      </c>
      <c r="E484" s="14">
        <f>D484*COB_CA!$B$40/100*(IF(YEAR(B483)=YEAR(B484),(B484-B483)/IF(AND(MOD(YEAR(B484),4)=0,OR(MOD(YEAR(B484),100)&lt;&gt;0,MOD(YEAR(B484),400)=0)),366,365),(((DATE(YEAR(B483)+1,1,1)))-B483)/IF(AND(MOD(YEAR(B483),4)=0,OR(MOD(YEAR(B483),100)&lt;&gt;0,MOD(YEAR(B483),400)=0)),366,365)+(B484-((DATE(YEAR(B483)+1,1,1))))/IF(AND(MOD(YEAR(B484),4)=0,OR(MOD(YEAR(B484),100)&lt;&gt;0,MOD(YEAR(B484),400)=0)),366,365)))</f>
        <v/>
      </c>
      <c r="F484" s="14">
        <f>L483</f>
        <v/>
      </c>
      <c r="G484" s="14">
        <f>M483</f>
        <v/>
      </c>
      <c r="H484" s="14">
        <f>IF((((COB_CA!$B$18-I484)-J484)&gt;D484),I484+J484+K484,COB_CA!$B$18)</f>
        <v/>
      </c>
      <c r="I484" s="14">
        <f>MIN(COB_CA!$B$18,(E484+F484))</f>
        <v/>
      </c>
      <c r="J484" s="14">
        <f>MIN((COB_CA!$B$18-I484),G484)</f>
        <v/>
      </c>
      <c r="K484" s="14">
        <f>MIN(((COB_CA!$B$18-I484)-J484),D484)</f>
        <v/>
      </c>
      <c r="L484" s="14">
        <f>E484+F484-I484</f>
        <v/>
      </c>
      <c r="M484" s="14">
        <f>G484-J484</f>
        <v/>
      </c>
      <c r="N484" s="14">
        <f>D484-K484</f>
        <v/>
      </c>
      <c r="O484" s="6">
        <f>AND(D484&gt;0,B484&lt;=COB_CA!$B$20)</f>
        <v/>
      </c>
    </row>
    <row r="485">
      <c r="A485" s="6" t="n">
        <v>481</v>
      </c>
      <c r="B485" s="15">
        <f>IF(COB_CA!$B$38=12,DATE(YEAR(COB_CA!$B$19)+INT((MONTH(COB_CA!$B$19)-1+480)/12),MOD(MONTH(COB_CA!$B$19)-1+480,12)+1,1)+(DAY(COB_CA!$B$19)-1),IF(COB_CA!$B$38=24,COB_CA!$B$19+ROUND((480*365.25)/24,0),IF(COB_CA!$B$38=26,COB_CA!$B$19+6720,COB_CA!$B$19+3360)))</f>
        <v/>
      </c>
      <c r="C485" s="12">
        <f>B485-B484</f>
        <v/>
      </c>
      <c r="D485" s="14">
        <f>N484</f>
        <v/>
      </c>
      <c r="E485" s="14">
        <f>D485*COB_CA!$B$40/100*(IF(YEAR(B484)=YEAR(B485),(B485-B484)/IF(AND(MOD(YEAR(B485),4)=0,OR(MOD(YEAR(B485),100)&lt;&gt;0,MOD(YEAR(B485),400)=0)),366,365),(((DATE(YEAR(B484)+1,1,1)))-B484)/IF(AND(MOD(YEAR(B484),4)=0,OR(MOD(YEAR(B484),100)&lt;&gt;0,MOD(YEAR(B484),400)=0)),366,365)+(B485-((DATE(YEAR(B484)+1,1,1))))/IF(AND(MOD(YEAR(B485),4)=0,OR(MOD(YEAR(B485),100)&lt;&gt;0,MOD(YEAR(B485),400)=0)),366,365)))</f>
        <v/>
      </c>
      <c r="F485" s="14">
        <f>L484</f>
        <v/>
      </c>
      <c r="G485" s="14">
        <f>M484</f>
        <v/>
      </c>
      <c r="H485" s="14">
        <f>IF((((COB_CA!$B$18-I485)-J485)&gt;D485),I485+J485+K485,COB_CA!$B$18)</f>
        <v/>
      </c>
      <c r="I485" s="14">
        <f>MIN(COB_CA!$B$18,(E485+F485))</f>
        <v/>
      </c>
      <c r="J485" s="14">
        <f>MIN((COB_CA!$B$18-I485),G485)</f>
        <v/>
      </c>
      <c r="K485" s="14">
        <f>MIN(((COB_CA!$B$18-I485)-J485),D485)</f>
        <v/>
      </c>
      <c r="L485" s="14">
        <f>E485+F485-I485</f>
        <v/>
      </c>
      <c r="M485" s="14">
        <f>G485-J485</f>
        <v/>
      </c>
      <c r="N485" s="14">
        <f>D485-K485</f>
        <v/>
      </c>
      <c r="O485" s="6">
        <f>AND(D485&gt;0,B485&lt;=COB_CA!$B$20)</f>
        <v/>
      </c>
    </row>
    <row r="486">
      <c r="A486" s="6" t="n">
        <v>482</v>
      </c>
      <c r="B486" s="15">
        <f>IF(COB_CA!$B$38=12,DATE(YEAR(COB_CA!$B$19)+INT((MONTH(COB_CA!$B$19)-1+481)/12),MOD(MONTH(COB_CA!$B$19)-1+481,12)+1,1)+(DAY(COB_CA!$B$19)-1),IF(COB_CA!$B$38=24,COB_CA!$B$19+ROUND((481*365.25)/24,0),IF(COB_CA!$B$38=26,COB_CA!$B$19+6734,COB_CA!$B$19+3367)))</f>
        <v/>
      </c>
      <c r="C486" s="12">
        <f>B486-B485</f>
        <v/>
      </c>
      <c r="D486" s="14">
        <f>N485</f>
        <v/>
      </c>
      <c r="E486" s="14">
        <f>D486*COB_CA!$B$40/100*(IF(YEAR(B485)=YEAR(B486),(B486-B485)/IF(AND(MOD(YEAR(B486),4)=0,OR(MOD(YEAR(B486),100)&lt;&gt;0,MOD(YEAR(B486),400)=0)),366,365),(((DATE(YEAR(B485)+1,1,1)))-B485)/IF(AND(MOD(YEAR(B485),4)=0,OR(MOD(YEAR(B485),100)&lt;&gt;0,MOD(YEAR(B485),400)=0)),366,365)+(B486-((DATE(YEAR(B485)+1,1,1))))/IF(AND(MOD(YEAR(B486),4)=0,OR(MOD(YEAR(B486),100)&lt;&gt;0,MOD(YEAR(B486),400)=0)),366,365)))</f>
        <v/>
      </c>
      <c r="F486" s="14">
        <f>L485</f>
        <v/>
      </c>
      <c r="G486" s="14">
        <f>M485</f>
        <v/>
      </c>
      <c r="H486" s="14">
        <f>IF((((COB_CA!$B$18-I486)-J486)&gt;D486),I486+J486+K486,COB_CA!$B$18)</f>
        <v/>
      </c>
      <c r="I486" s="14">
        <f>MIN(COB_CA!$B$18,(E486+F486))</f>
        <v/>
      </c>
      <c r="J486" s="14">
        <f>MIN((COB_CA!$B$18-I486),G486)</f>
        <v/>
      </c>
      <c r="K486" s="14">
        <f>MIN(((COB_CA!$B$18-I486)-J486),D486)</f>
        <v/>
      </c>
      <c r="L486" s="14">
        <f>E486+F486-I486</f>
        <v/>
      </c>
      <c r="M486" s="14">
        <f>G486-J486</f>
        <v/>
      </c>
      <c r="N486" s="14">
        <f>D486-K486</f>
        <v/>
      </c>
      <c r="O486" s="6">
        <f>AND(D486&gt;0,B486&lt;=COB_CA!$B$20)</f>
        <v/>
      </c>
    </row>
    <row r="487">
      <c r="A487" s="6" t="n">
        <v>483</v>
      </c>
      <c r="B487" s="15">
        <f>IF(COB_CA!$B$38=12,DATE(YEAR(COB_CA!$B$19)+INT((MONTH(COB_CA!$B$19)-1+482)/12),MOD(MONTH(COB_CA!$B$19)-1+482,12)+1,1)+(DAY(COB_CA!$B$19)-1),IF(COB_CA!$B$38=24,COB_CA!$B$19+ROUND((482*365.25)/24,0),IF(COB_CA!$B$38=26,COB_CA!$B$19+6748,COB_CA!$B$19+3374)))</f>
        <v/>
      </c>
      <c r="C487" s="12">
        <f>B487-B486</f>
        <v/>
      </c>
      <c r="D487" s="14">
        <f>N486</f>
        <v/>
      </c>
      <c r="E487" s="14">
        <f>D487*COB_CA!$B$40/100*(IF(YEAR(B486)=YEAR(B487),(B487-B486)/IF(AND(MOD(YEAR(B487),4)=0,OR(MOD(YEAR(B487),100)&lt;&gt;0,MOD(YEAR(B487),400)=0)),366,365),(((DATE(YEAR(B486)+1,1,1)))-B486)/IF(AND(MOD(YEAR(B486),4)=0,OR(MOD(YEAR(B486),100)&lt;&gt;0,MOD(YEAR(B486),400)=0)),366,365)+(B487-((DATE(YEAR(B486)+1,1,1))))/IF(AND(MOD(YEAR(B487),4)=0,OR(MOD(YEAR(B487),100)&lt;&gt;0,MOD(YEAR(B487),400)=0)),366,365)))</f>
        <v/>
      </c>
      <c r="F487" s="14">
        <f>L486</f>
        <v/>
      </c>
      <c r="G487" s="14">
        <f>M486</f>
        <v/>
      </c>
      <c r="H487" s="14">
        <f>IF((((COB_CA!$B$18-I487)-J487)&gt;D487),I487+J487+K487,COB_CA!$B$18)</f>
        <v/>
      </c>
      <c r="I487" s="14">
        <f>MIN(COB_CA!$B$18,(E487+F487))</f>
        <v/>
      </c>
      <c r="J487" s="14">
        <f>MIN((COB_CA!$B$18-I487),G487)</f>
        <v/>
      </c>
      <c r="K487" s="14">
        <f>MIN(((COB_CA!$B$18-I487)-J487),D487)</f>
        <v/>
      </c>
      <c r="L487" s="14">
        <f>E487+F487-I487</f>
        <v/>
      </c>
      <c r="M487" s="14">
        <f>G487-J487</f>
        <v/>
      </c>
      <c r="N487" s="14">
        <f>D487-K487</f>
        <v/>
      </c>
      <c r="O487" s="6">
        <f>AND(D487&gt;0,B487&lt;=COB_CA!$B$20)</f>
        <v/>
      </c>
    </row>
    <row r="488">
      <c r="A488" s="6" t="n">
        <v>484</v>
      </c>
      <c r="B488" s="15">
        <f>IF(COB_CA!$B$38=12,DATE(YEAR(COB_CA!$B$19)+INT((MONTH(COB_CA!$B$19)-1+483)/12),MOD(MONTH(COB_CA!$B$19)-1+483,12)+1,1)+(DAY(COB_CA!$B$19)-1),IF(COB_CA!$B$38=24,COB_CA!$B$19+ROUND((483*365.25)/24,0),IF(COB_CA!$B$38=26,COB_CA!$B$19+6762,COB_CA!$B$19+3381)))</f>
        <v/>
      </c>
      <c r="C488" s="12">
        <f>B488-B487</f>
        <v/>
      </c>
      <c r="D488" s="14">
        <f>N487</f>
        <v/>
      </c>
      <c r="E488" s="14">
        <f>D488*COB_CA!$B$40/100*(IF(YEAR(B487)=YEAR(B488),(B488-B487)/IF(AND(MOD(YEAR(B488),4)=0,OR(MOD(YEAR(B488),100)&lt;&gt;0,MOD(YEAR(B488),400)=0)),366,365),(((DATE(YEAR(B487)+1,1,1)))-B487)/IF(AND(MOD(YEAR(B487),4)=0,OR(MOD(YEAR(B487),100)&lt;&gt;0,MOD(YEAR(B487),400)=0)),366,365)+(B488-((DATE(YEAR(B487)+1,1,1))))/IF(AND(MOD(YEAR(B488),4)=0,OR(MOD(YEAR(B488),100)&lt;&gt;0,MOD(YEAR(B488),400)=0)),366,365)))</f>
        <v/>
      </c>
      <c r="F488" s="14">
        <f>L487</f>
        <v/>
      </c>
      <c r="G488" s="14">
        <f>M487</f>
        <v/>
      </c>
      <c r="H488" s="14">
        <f>IF((((COB_CA!$B$18-I488)-J488)&gt;D488),I488+J488+K488,COB_CA!$B$18)</f>
        <v/>
      </c>
      <c r="I488" s="14">
        <f>MIN(COB_CA!$B$18,(E488+F488))</f>
        <v/>
      </c>
      <c r="J488" s="14">
        <f>MIN((COB_CA!$B$18-I488),G488)</f>
        <v/>
      </c>
      <c r="K488" s="14">
        <f>MIN(((COB_CA!$B$18-I488)-J488),D488)</f>
        <v/>
      </c>
      <c r="L488" s="14">
        <f>E488+F488-I488</f>
        <v/>
      </c>
      <c r="M488" s="14">
        <f>G488-J488</f>
        <v/>
      </c>
      <c r="N488" s="14">
        <f>D488-K488</f>
        <v/>
      </c>
      <c r="O488" s="6">
        <f>AND(D488&gt;0,B488&lt;=COB_CA!$B$20)</f>
        <v/>
      </c>
    </row>
    <row r="489">
      <c r="A489" s="6" t="n">
        <v>485</v>
      </c>
      <c r="B489" s="15">
        <f>IF(COB_CA!$B$38=12,DATE(YEAR(COB_CA!$B$19)+INT((MONTH(COB_CA!$B$19)-1+484)/12),MOD(MONTH(COB_CA!$B$19)-1+484,12)+1,1)+(DAY(COB_CA!$B$19)-1),IF(COB_CA!$B$38=24,COB_CA!$B$19+ROUND((484*365.25)/24,0),IF(COB_CA!$B$38=26,COB_CA!$B$19+6776,COB_CA!$B$19+3388)))</f>
        <v/>
      </c>
      <c r="C489" s="12">
        <f>B489-B488</f>
        <v/>
      </c>
      <c r="D489" s="14">
        <f>N488</f>
        <v/>
      </c>
      <c r="E489" s="14">
        <f>D489*COB_CA!$B$40/100*(IF(YEAR(B488)=YEAR(B489),(B489-B488)/IF(AND(MOD(YEAR(B489),4)=0,OR(MOD(YEAR(B489),100)&lt;&gt;0,MOD(YEAR(B489),400)=0)),366,365),(((DATE(YEAR(B488)+1,1,1)))-B488)/IF(AND(MOD(YEAR(B488),4)=0,OR(MOD(YEAR(B488),100)&lt;&gt;0,MOD(YEAR(B488),400)=0)),366,365)+(B489-((DATE(YEAR(B488)+1,1,1))))/IF(AND(MOD(YEAR(B489),4)=0,OR(MOD(YEAR(B489),100)&lt;&gt;0,MOD(YEAR(B489),400)=0)),366,365)))</f>
        <v/>
      </c>
      <c r="F489" s="14">
        <f>L488</f>
        <v/>
      </c>
      <c r="G489" s="14">
        <f>M488</f>
        <v/>
      </c>
      <c r="H489" s="14">
        <f>IF((((COB_CA!$B$18-I489)-J489)&gt;D489),I489+J489+K489,COB_CA!$B$18)</f>
        <v/>
      </c>
      <c r="I489" s="14">
        <f>MIN(COB_CA!$B$18,(E489+F489))</f>
        <v/>
      </c>
      <c r="J489" s="14">
        <f>MIN((COB_CA!$B$18-I489),G489)</f>
        <v/>
      </c>
      <c r="K489" s="14">
        <f>MIN(((COB_CA!$B$18-I489)-J489),D489)</f>
        <v/>
      </c>
      <c r="L489" s="14">
        <f>E489+F489-I489</f>
        <v/>
      </c>
      <c r="M489" s="14">
        <f>G489-J489</f>
        <v/>
      </c>
      <c r="N489" s="14">
        <f>D489-K489</f>
        <v/>
      </c>
      <c r="O489" s="6">
        <f>AND(D489&gt;0,B489&lt;=COB_CA!$B$20)</f>
        <v/>
      </c>
    </row>
    <row r="490">
      <c r="A490" s="6" t="n">
        <v>486</v>
      </c>
      <c r="B490" s="15">
        <f>IF(COB_CA!$B$38=12,DATE(YEAR(COB_CA!$B$19)+INT((MONTH(COB_CA!$B$19)-1+485)/12),MOD(MONTH(COB_CA!$B$19)-1+485,12)+1,1)+(DAY(COB_CA!$B$19)-1),IF(COB_CA!$B$38=24,COB_CA!$B$19+ROUND((485*365.25)/24,0),IF(COB_CA!$B$38=26,COB_CA!$B$19+6790,COB_CA!$B$19+3395)))</f>
        <v/>
      </c>
      <c r="C490" s="12">
        <f>B490-B489</f>
        <v/>
      </c>
      <c r="D490" s="14">
        <f>N489</f>
        <v/>
      </c>
      <c r="E490" s="14">
        <f>D490*COB_CA!$B$40/100*(IF(YEAR(B489)=YEAR(B490),(B490-B489)/IF(AND(MOD(YEAR(B490),4)=0,OR(MOD(YEAR(B490),100)&lt;&gt;0,MOD(YEAR(B490),400)=0)),366,365),(((DATE(YEAR(B489)+1,1,1)))-B489)/IF(AND(MOD(YEAR(B489),4)=0,OR(MOD(YEAR(B489),100)&lt;&gt;0,MOD(YEAR(B489),400)=0)),366,365)+(B490-((DATE(YEAR(B489)+1,1,1))))/IF(AND(MOD(YEAR(B490),4)=0,OR(MOD(YEAR(B490),100)&lt;&gt;0,MOD(YEAR(B490),400)=0)),366,365)))</f>
        <v/>
      </c>
      <c r="F490" s="14">
        <f>L489</f>
        <v/>
      </c>
      <c r="G490" s="14">
        <f>M489</f>
        <v/>
      </c>
      <c r="H490" s="14">
        <f>IF((((COB_CA!$B$18-I490)-J490)&gt;D490),I490+J490+K490,COB_CA!$B$18)</f>
        <v/>
      </c>
      <c r="I490" s="14">
        <f>MIN(COB_CA!$B$18,(E490+F490))</f>
        <v/>
      </c>
      <c r="J490" s="14">
        <f>MIN((COB_CA!$B$18-I490),G490)</f>
        <v/>
      </c>
      <c r="K490" s="14">
        <f>MIN(((COB_CA!$B$18-I490)-J490),D490)</f>
        <v/>
      </c>
      <c r="L490" s="14">
        <f>E490+F490-I490</f>
        <v/>
      </c>
      <c r="M490" s="14">
        <f>G490-J490</f>
        <v/>
      </c>
      <c r="N490" s="14">
        <f>D490-K490</f>
        <v/>
      </c>
      <c r="O490" s="6">
        <f>AND(D490&gt;0,B490&lt;=COB_CA!$B$20)</f>
        <v/>
      </c>
    </row>
    <row r="491">
      <c r="A491" s="6" t="n">
        <v>487</v>
      </c>
      <c r="B491" s="15">
        <f>IF(COB_CA!$B$38=12,DATE(YEAR(COB_CA!$B$19)+INT((MONTH(COB_CA!$B$19)-1+486)/12),MOD(MONTH(COB_CA!$B$19)-1+486,12)+1,1)+(DAY(COB_CA!$B$19)-1),IF(COB_CA!$B$38=24,COB_CA!$B$19+ROUND((486*365.25)/24,0),IF(COB_CA!$B$38=26,COB_CA!$B$19+6804,COB_CA!$B$19+3402)))</f>
        <v/>
      </c>
      <c r="C491" s="12">
        <f>B491-B490</f>
        <v/>
      </c>
      <c r="D491" s="14">
        <f>N490</f>
        <v/>
      </c>
      <c r="E491" s="14">
        <f>D491*COB_CA!$B$40/100*(IF(YEAR(B490)=YEAR(B491),(B491-B490)/IF(AND(MOD(YEAR(B491),4)=0,OR(MOD(YEAR(B491),100)&lt;&gt;0,MOD(YEAR(B491),400)=0)),366,365),(((DATE(YEAR(B490)+1,1,1)))-B490)/IF(AND(MOD(YEAR(B490),4)=0,OR(MOD(YEAR(B490),100)&lt;&gt;0,MOD(YEAR(B490),400)=0)),366,365)+(B491-((DATE(YEAR(B490)+1,1,1))))/IF(AND(MOD(YEAR(B491),4)=0,OR(MOD(YEAR(B491),100)&lt;&gt;0,MOD(YEAR(B491),400)=0)),366,365)))</f>
        <v/>
      </c>
      <c r="F491" s="14">
        <f>L490</f>
        <v/>
      </c>
      <c r="G491" s="14">
        <f>M490</f>
        <v/>
      </c>
      <c r="H491" s="14">
        <f>IF((((COB_CA!$B$18-I491)-J491)&gt;D491),I491+J491+K491,COB_CA!$B$18)</f>
        <v/>
      </c>
      <c r="I491" s="14">
        <f>MIN(COB_CA!$B$18,(E491+F491))</f>
        <v/>
      </c>
      <c r="J491" s="14">
        <f>MIN((COB_CA!$B$18-I491),G491)</f>
        <v/>
      </c>
      <c r="K491" s="14">
        <f>MIN(((COB_CA!$B$18-I491)-J491),D491)</f>
        <v/>
      </c>
      <c r="L491" s="14">
        <f>E491+F491-I491</f>
        <v/>
      </c>
      <c r="M491" s="14">
        <f>G491-J491</f>
        <v/>
      </c>
      <c r="N491" s="14">
        <f>D491-K491</f>
        <v/>
      </c>
      <c r="O491" s="6">
        <f>AND(D491&gt;0,B491&lt;=COB_CA!$B$20)</f>
        <v/>
      </c>
    </row>
    <row r="492">
      <c r="A492" s="6" t="n">
        <v>488</v>
      </c>
      <c r="B492" s="15">
        <f>IF(COB_CA!$B$38=12,DATE(YEAR(COB_CA!$B$19)+INT((MONTH(COB_CA!$B$19)-1+487)/12),MOD(MONTH(COB_CA!$B$19)-1+487,12)+1,1)+(DAY(COB_CA!$B$19)-1),IF(COB_CA!$B$38=24,COB_CA!$B$19+ROUND((487*365.25)/24,0),IF(COB_CA!$B$38=26,COB_CA!$B$19+6818,COB_CA!$B$19+3409)))</f>
        <v/>
      </c>
      <c r="C492" s="12">
        <f>B492-B491</f>
        <v/>
      </c>
      <c r="D492" s="14">
        <f>N491</f>
        <v/>
      </c>
      <c r="E492" s="14">
        <f>D492*COB_CA!$B$40/100*(IF(YEAR(B491)=YEAR(B492),(B492-B491)/IF(AND(MOD(YEAR(B492),4)=0,OR(MOD(YEAR(B492),100)&lt;&gt;0,MOD(YEAR(B492),400)=0)),366,365),(((DATE(YEAR(B491)+1,1,1)))-B491)/IF(AND(MOD(YEAR(B491),4)=0,OR(MOD(YEAR(B491),100)&lt;&gt;0,MOD(YEAR(B491),400)=0)),366,365)+(B492-((DATE(YEAR(B491)+1,1,1))))/IF(AND(MOD(YEAR(B492),4)=0,OR(MOD(YEAR(B492),100)&lt;&gt;0,MOD(YEAR(B492),400)=0)),366,365)))</f>
        <v/>
      </c>
      <c r="F492" s="14">
        <f>L491</f>
        <v/>
      </c>
      <c r="G492" s="14">
        <f>M491</f>
        <v/>
      </c>
      <c r="H492" s="14">
        <f>IF((((COB_CA!$B$18-I492)-J492)&gt;D492),I492+J492+K492,COB_CA!$B$18)</f>
        <v/>
      </c>
      <c r="I492" s="14">
        <f>MIN(COB_CA!$B$18,(E492+F492))</f>
        <v/>
      </c>
      <c r="J492" s="14">
        <f>MIN((COB_CA!$B$18-I492),G492)</f>
        <v/>
      </c>
      <c r="K492" s="14">
        <f>MIN(((COB_CA!$B$18-I492)-J492),D492)</f>
        <v/>
      </c>
      <c r="L492" s="14">
        <f>E492+F492-I492</f>
        <v/>
      </c>
      <c r="M492" s="14">
        <f>G492-J492</f>
        <v/>
      </c>
      <c r="N492" s="14">
        <f>D492-K492</f>
        <v/>
      </c>
      <c r="O492" s="6">
        <f>AND(D492&gt;0,B492&lt;=COB_CA!$B$20)</f>
        <v/>
      </c>
    </row>
    <row r="493">
      <c r="A493" s="6" t="n">
        <v>489</v>
      </c>
      <c r="B493" s="15">
        <f>IF(COB_CA!$B$38=12,DATE(YEAR(COB_CA!$B$19)+INT((MONTH(COB_CA!$B$19)-1+488)/12),MOD(MONTH(COB_CA!$B$19)-1+488,12)+1,1)+(DAY(COB_CA!$B$19)-1),IF(COB_CA!$B$38=24,COB_CA!$B$19+ROUND((488*365.25)/24,0),IF(COB_CA!$B$38=26,COB_CA!$B$19+6832,COB_CA!$B$19+3416)))</f>
        <v/>
      </c>
      <c r="C493" s="12">
        <f>B493-B492</f>
        <v/>
      </c>
      <c r="D493" s="14">
        <f>N492</f>
        <v/>
      </c>
      <c r="E493" s="14">
        <f>D493*COB_CA!$B$40/100*(IF(YEAR(B492)=YEAR(B493),(B493-B492)/IF(AND(MOD(YEAR(B493),4)=0,OR(MOD(YEAR(B493),100)&lt;&gt;0,MOD(YEAR(B493),400)=0)),366,365),(((DATE(YEAR(B492)+1,1,1)))-B492)/IF(AND(MOD(YEAR(B492),4)=0,OR(MOD(YEAR(B492),100)&lt;&gt;0,MOD(YEAR(B492),400)=0)),366,365)+(B493-((DATE(YEAR(B492)+1,1,1))))/IF(AND(MOD(YEAR(B493),4)=0,OR(MOD(YEAR(B493),100)&lt;&gt;0,MOD(YEAR(B493),400)=0)),366,365)))</f>
        <v/>
      </c>
      <c r="F493" s="14">
        <f>L492</f>
        <v/>
      </c>
      <c r="G493" s="14">
        <f>M492</f>
        <v/>
      </c>
      <c r="H493" s="14">
        <f>IF((((COB_CA!$B$18-I493)-J493)&gt;D493),I493+J493+K493,COB_CA!$B$18)</f>
        <v/>
      </c>
      <c r="I493" s="14">
        <f>MIN(COB_CA!$B$18,(E493+F493))</f>
        <v/>
      </c>
      <c r="J493" s="14">
        <f>MIN((COB_CA!$B$18-I493),G493)</f>
        <v/>
      </c>
      <c r="K493" s="14">
        <f>MIN(((COB_CA!$B$18-I493)-J493),D493)</f>
        <v/>
      </c>
      <c r="L493" s="14">
        <f>E493+F493-I493</f>
        <v/>
      </c>
      <c r="M493" s="14">
        <f>G493-J493</f>
        <v/>
      </c>
      <c r="N493" s="14">
        <f>D493-K493</f>
        <v/>
      </c>
      <c r="O493" s="6">
        <f>AND(D493&gt;0,B493&lt;=COB_CA!$B$20)</f>
        <v/>
      </c>
    </row>
    <row r="494">
      <c r="A494" s="6" t="n">
        <v>490</v>
      </c>
      <c r="B494" s="15">
        <f>IF(COB_CA!$B$38=12,DATE(YEAR(COB_CA!$B$19)+INT((MONTH(COB_CA!$B$19)-1+489)/12),MOD(MONTH(COB_CA!$B$19)-1+489,12)+1,1)+(DAY(COB_CA!$B$19)-1),IF(COB_CA!$B$38=24,COB_CA!$B$19+ROUND((489*365.25)/24,0),IF(COB_CA!$B$38=26,COB_CA!$B$19+6846,COB_CA!$B$19+3423)))</f>
        <v/>
      </c>
      <c r="C494" s="12">
        <f>B494-B493</f>
        <v/>
      </c>
      <c r="D494" s="14">
        <f>N493</f>
        <v/>
      </c>
      <c r="E494" s="14">
        <f>D494*COB_CA!$B$40/100*(IF(YEAR(B493)=YEAR(B494),(B494-B493)/IF(AND(MOD(YEAR(B494),4)=0,OR(MOD(YEAR(B494),100)&lt;&gt;0,MOD(YEAR(B494),400)=0)),366,365),(((DATE(YEAR(B493)+1,1,1)))-B493)/IF(AND(MOD(YEAR(B493),4)=0,OR(MOD(YEAR(B493),100)&lt;&gt;0,MOD(YEAR(B493),400)=0)),366,365)+(B494-((DATE(YEAR(B493)+1,1,1))))/IF(AND(MOD(YEAR(B494),4)=0,OR(MOD(YEAR(B494),100)&lt;&gt;0,MOD(YEAR(B494),400)=0)),366,365)))</f>
        <v/>
      </c>
      <c r="F494" s="14">
        <f>L493</f>
        <v/>
      </c>
      <c r="G494" s="14">
        <f>M493</f>
        <v/>
      </c>
      <c r="H494" s="14">
        <f>IF((((COB_CA!$B$18-I494)-J494)&gt;D494),I494+J494+K494,COB_CA!$B$18)</f>
        <v/>
      </c>
      <c r="I494" s="14">
        <f>MIN(COB_CA!$B$18,(E494+F494))</f>
        <v/>
      </c>
      <c r="J494" s="14">
        <f>MIN((COB_CA!$B$18-I494),G494)</f>
        <v/>
      </c>
      <c r="K494" s="14">
        <f>MIN(((COB_CA!$B$18-I494)-J494),D494)</f>
        <v/>
      </c>
      <c r="L494" s="14">
        <f>E494+F494-I494</f>
        <v/>
      </c>
      <c r="M494" s="14">
        <f>G494-J494</f>
        <v/>
      </c>
      <c r="N494" s="14">
        <f>D494-K494</f>
        <v/>
      </c>
      <c r="O494" s="6">
        <f>AND(D494&gt;0,B494&lt;=COB_CA!$B$20)</f>
        <v/>
      </c>
    </row>
    <row r="495">
      <c r="A495" s="6" t="n">
        <v>491</v>
      </c>
      <c r="B495" s="15">
        <f>IF(COB_CA!$B$38=12,DATE(YEAR(COB_CA!$B$19)+INT((MONTH(COB_CA!$B$19)-1+490)/12),MOD(MONTH(COB_CA!$B$19)-1+490,12)+1,1)+(DAY(COB_CA!$B$19)-1),IF(COB_CA!$B$38=24,COB_CA!$B$19+ROUND((490*365.25)/24,0),IF(COB_CA!$B$38=26,COB_CA!$B$19+6860,COB_CA!$B$19+3430)))</f>
        <v/>
      </c>
      <c r="C495" s="12">
        <f>B495-B494</f>
        <v/>
      </c>
      <c r="D495" s="14">
        <f>N494</f>
        <v/>
      </c>
      <c r="E495" s="14">
        <f>D495*COB_CA!$B$40/100*(IF(YEAR(B494)=YEAR(B495),(B495-B494)/IF(AND(MOD(YEAR(B495),4)=0,OR(MOD(YEAR(B495),100)&lt;&gt;0,MOD(YEAR(B495),400)=0)),366,365),(((DATE(YEAR(B494)+1,1,1)))-B494)/IF(AND(MOD(YEAR(B494),4)=0,OR(MOD(YEAR(B494),100)&lt;&gt;0,MOD(YEAR(B494),400)=0)),366,365)+(B495-((DATE(YEAR(B494)+1,1,1))))/IF(AND(MOD(YEAR(B495),4)=0,OR(MOD(YEAR(B495),100)&lt;&gt;0,MOD(YEAR(B495),400)=0)),366,365)))</f>
        <v/>
      </c>
      <c r="F495" s="14">
        <f>L494</f>
        <v/>
      </c>
      <c r="G495" s="14">
        <f>M494</f>
        <v/>
      </c>
      <c r="H495" s="14">
        <f>IF((((COB_CA!$B$18-I495)-J495)&gt;D495),I495+J495+K495,COB_CA!$B$18)</f>
        <v/>
      </c>
      <c r="I495" s="14">
        <f>MIN(COB_CA!$B$18,(E495+F495))</f>
        <v/>
      </c>
      <c r="J495" s="14">
        <f>MIN((COB_CA!$B$18-I495),G495)</f>
        <v/>
      </c>
      <c r="K495" s="14">
        <f>MIN(((COB_CA!$B$18-I495)-J495),D495)</f>
        <v/>
      </c>
      <c r="L495" s="14">
        <f>E495+F495-I495</f>
        <v/>
      </c>
      <c r="M495" s="14">
        <f>G495-J495</f>
        <v/>
      </c>
      <c r="N495" s="14">
        <f>D495-K495</f>
        <v/>
      </c>
      <c r="O495" s="6">
        <f>AND(D495&gt;0,B495&lt;=COB_CA!$B$20)</f>
        <v/>
      </c>
    </row>
    <row r="496">
      <c r="A496" s="6" t="n">
        <v>492</v>
      </c>
      <c r="B496" s="15">
        <f>IF(COB_CA!$B$38=12,DATE(YEAR(COB_CA!$B$19)+INT((MONTH(COB_CA!$B$19)-1+491)/12),MOD(MONTH(COB_CA!$B$19)-1+491,12)+1,1)+(DAY(COB_CA!$B$19)-1),IF(COB_CA!$B$38=24,COB_CA!$B$19+ROUND((491*365.25)/24,0),IF(COB_CA!$B$38=26,COB_CA!$B$19+6874,COB_CA!$B$19+3437)))</f>
        <v/>
      </c>
      <c r="C496" s="12">
        <f>B496-B495</f>
        <v/>
      </c>
      <c r="D496" s="14">
        <f>N495</f>
        <v/>
      </c>
      <c r="E496" s="14">
        <f>D496*COB_CA!$B$40/100*(IF(YEAR(B495)=YEAR(B496),(B496-B495)/IF(AND(MOD(YEAR(B496),4)=0,OR(MOD(YEAR(B496),100)&lt;&gt;0,MOD(YEAR(B496),400)=0)),366,365),(((DATE(YEAR(B495)+1,1,1)))-B495)/IF(AND(MOD(YEAR(B495),4)=0,OR(MOD(YEAR(B495),100)&lt;&gt;0,MOD(YEAR(B495),400)=0)),366,365)+(B496-((DATE(YEAR(B495)+1,1,1))))/IF(AND(MOD(YEAR(B496),4)=0,OR(MOD(YEAR(B496),100)&lt;&gt;0,MOD(YEAR(B496),400)=0)),366,365)))</f>
        <v/>
      </c>
      <c r="F496" s="14">
        <f>L495</f>
        <v/>
      </c>
      <c r="G496" s="14">
        <f>M495</f>
        <v/>
      </c>
      <c r="H496" s="14">
        <f>IF((((COB_CA!$B$18-I496)-J496)&gt;D496),I496+J496+K496,COB_CA!$B$18)</f>
        <v/>
      </c>
      <c r="I496" s="14">
        <f>MIN(COB_CA!$B$18,(E496+F496))</f>
        <v/>
      </c>
      <c r="J496" s="14">
        <f>MIN((COB_CA!$B$18-I496),G496)</f>
        <v/>
      </c>
      <c r="K496" s="14">
        <f>MIN(((COB_CA!$B$18-I496)-J496),D496)</f>
        <v/>
      </c>
      <c r="L496" s="14">
        <f>E496+F496-I496</f>
        <v/>
      </c>
      <c r="M496" s="14">
        <f>G496-J496</f>
        <v/>
      </c>
      <c r="N496" s="14">
        <f>D496-K496</f>
        <v/>
      </c>
      <c r="O496" s="6">
        <f>AND(D496&gt;0,B496&lt;=COB_CA!$B$20)</f>
        <v/>
      </c>
    </row>
    <row r="497">
      <c r="A497" s="6" t="n">
        <v>493</v>
      </c>
      <c r="B497" s="15">
        <f>IF(COB_CA!$B$38=12,DATE(YEAR(COB_CA!$B$19)+INT((MONTH(COB_CA!$B$19)-1+492)/12),MOD(MONTH(COB_CA!$B$19)-1+492,12)+1,1)+(DAY(COB_CA!$B$19)-1),IF(COB_CA!$B$38=24,COB_CA!$B$19+ROUND((492*365.25)/24,0),IF(COB_CA!$B$38=26,COB_CA!$B$19+6888,COB_CA!$B$19+3444)))</f>
        <v/>
      </c>
      <c r="C497" s="12">
        <f>B497-B496</f>
        <v/>
      </c>
      <c r="D497" s="14">
        <f>N496</f>
        <v/>
      </c>
      <c r="E497" s="14">
        <f>D497*COB_CA!$B$40/100*(IF(YEAR(B496)=YEAR(B497),(B497-B496)/IF(AND(MOD(YEAR(B497),4)=0,OR(MOD(YEAR(B497),100)&lt;&gt;0,MOD(YEAR(B497),400)=0)),366,365),(((DATE(YEAR(B496)+1,1,1)))-B496)/IF(AND(MOD(YEAR(B496),4)=0,OR(MOD(YEAR(B496),100)&lt;&gt;0,MOD(YEAR(B496),400)=0)),366,365)+(B497-((DATE(YEAR(B496)+1,1,1))))/IF(AND(MOD(YEAR(B497),4)=0,OR(MOD(YEAR(B497),100)&lt;&gt;0,MOD(YEAR(B497),400)=0)),366,365)))</f>
        <v/>
      </c>
      <c r="F497" s="14">
        <f>L496</f>
        <v/>
      </c>
      <c r="G497" s="14">
        <f>M496</f>
        <v/>
      </c>
      <c r="H497" s="14">
        <f>IF((((COB_CA!$B$18-I497)-J497)&gt;D497),I497+J497+K497,COB_CA!$B$18)</f>
        <v/>
      </c>
      <c r="I497" s="14">
        <f>MIN(COB_CA!$B$18,(E497+F497))</f>
        <v/>
      </c>
      <c r="J497" s="14">
        <f>MIN((COB_CA!$B$18-I497),G497)</f>
        <v/>
      </c>
      <c r="K497" s="14">
        <f>MIN(((COB_CA!$B$18-I497)-J497),D497)</f>
        <v/>
      </c>
      <c r="L497" s="14">
        <f>E497+F497-I497</f>
        <v/>
      </c>
      <c r="M497" s="14">
        <f>G497-J497</f>
        <v/>
      </c>
      <c r="N497" s="14">
        <f>D497-K497</f>
        <v/>
      </c>
      <c r="O497" s="6">
        <f>AND(D497&gt;0,B497&lt;=COB_CA!$B$20)</f>
        <v/>
      </c>
    </row>
    <row r="498">
      <c r="A498" s="6" t="n">
        <v>494</v>
      </c>
      <c r="B498" s="15">
        <f>IF(COB_CA!$B$38=12,DATE(YEAR(COB_CA!$B$19)+INT((MONTH(COB_CA!$B$19)-1+493)/12),MOD(MONTH(COB_CA!$B$19)-1+493,12)+1,1)+(DAY(COB_CA!$B$19)-1),IF(COB_CA!$B$38=24,COB_CA!$B$19+ROUND((493*365.25)/24,0),IF(COB_CA!$B$38=26,COB_CA!$B$19+6902,COB_CA!$B$19+3451)))</f>
        <v/>
      </c>
      <c r="C498" s="12">
        <f>B498-B497</f>
        <v/>
      </c>
      <c r="D498" s="14">
        <f>N497</f>
        <v/>
      </c>
      <c r="E498" s="14">
        <f>D498*COB_CA!$B$40/100*(IF(YEAR(B497)=YEAR(B498),(B498-B497)/IF(AND(MOD(YEAR(B498),4)=0,OR(MOD(YEAR(B498),100)&lt;&gt;0,MOD(YEAR(B498),400)=0)),366,365),(((DATE(YEAR(B497)+1,1,1)))-B497)/IF(AND(MOD(YEAR(B497),4)=0,OR(MOD(YEAR(B497),100)&lt;&gt;0,MOD(YEAR(B497),400)=0)),366,365)+(B498-((DATE(YEAR(B497)+1,1,1))))/IF(AND(MOD(YEAR(B498),4)=0,OR(MOD(YEAR(B498),100)&lt;&gt;0,MOD(YEAR(B498),400)=0)),366,365)))</f>
        <v/>
      </c>
      <c r="F498" s="14">
        <f>L497</f>
        <v/>
      </c>
      <c r="G498" s="14">
        <f>M497</f>
        <v/>
      </c>
      <c r="H498" s="14">
        <f>IF((((COB_CA!$B$18-I498)-J498)&gt;D498),I498+J498+K498,COB_CA!$B$18)</f>
        <v/>
      </c>
      <c r="I498" s="14">
        <f>MIN(COB_CA!$B$18,(E498+F498))</f>
        <v/>
      </c>
      <c r="J498" s="14">
        <f>MIN((COB_CA!$B$18-I498),G498)</f>
        <v/>
      </c>
      <c r="K498" s="14">
        <f>MIN(((COB_CA!$B$18-I498)-J498),D498)</f>
        <v/>
      </c>
      <c r="L498" s="14">
        <f>E498+F498-I498</f>
        <v/>
      </c>
      <c r="M498" s="14">
        <f>G498-J498</f>
        <v/>
      </c>
      <c r="N498" s="14">
        <f>D498-K498</f>
        <v/>
      </c>
      <c r="O498" s="6">
        <f>AND(D498&gt;0,B498&lt;=COB_CA!$B$20)</f>
        <v/>
      </c>
    </row>
    <row r="499">
      <c r="A499" s="6" t="n">
        <v>495</v>
      </c>
      <c r="B499" s="15">
        <f>IF(COB_CA!$B$38=12,DATE(YEAR(COB_CA!$B$19)+INT((MONTH(COB_CA!$B$19)-1+494)/12),MOD(MONTH(COB_CA!$B$19)-1+494,12)+1,1)+(DAY(COB_CA!$B$19)-1),IF(COB_CA!$B$38=24,COB_CA!$B$19+ROUND((494*365.25)/24,0),IF(COB_CA!$B$38=26,COB_CA!$B$19+6916,COB_CA!$B$19+3458)))</f>
        <v/>
      </c>
      <c r="C499" s="12">
        <f>B499-B498</f>
        <v/>
      </c>
      <c r="D499" s="14">
        <f>N498</f>
        <v/>
      </c>
      <c r="E499" s="14">
        <f>D499*COB_CA!$B$40/100*(IF(YEAR(B498)=YEAR(B499),(B499-B498)/IF(AND(MOD(YEAR(B499),4)=0,OR(MOD(YEAR(B499),100)&lt;&gt;0,MOD(YEAR(B499),400)=0)),366,365),(((DATE(YEAR(B498)+1,1,1)))-B498)/IF(AND(MOD(YEAR(B498),4)=0,OR(MOD(YEAR(B498),100)&lt;&gt;0,MOD(YEAR(B498),400)=0)),366,365)+(B499-((DATE(YEAR(B498)+1,1,1))))/IF(AND(MOD(YEAR(B499),4)=0,OR(MOD(YEAR(B499),100)&lt;&gt;0,MOD(YEAR(B499),400)=0)),366,365)))</f>
        <v/>
      </c>
      <c r="F499" s="14">
        <f>L498</f>
        <v/>
      </c>
      <c r="G499" s="14">
        <f>M498</f>
        <v/>
      </c>
      <c r="H499" s="14">
        <f>IF((((COB_CA!$B$18-I499)-J499)&gt;D499),I499+J499+K499,COB_CA!$B$18)</f>
        <v/>
      </c>
      <c r="I499" s="14">
        <f>MIN(COB_CA!$B$18,(E499+F499))</f>
        <v/>
      </c>
      <c r="J499" s="14">
        <f>MIN((COB_CA!$B$18-I499),G499)</f>
        <v/>
      </c>
      <c r="K499" s="14">
        <f>MIN(((COB_CA!$B$18-I499)-J499),D499)</f>
        <v/>
      </c>
      <c r="L499" s="14">
        <f>E499+F499-I499</f>
        <v/>
      </c>
      <c r="M499" s="14">
        <f>G499-J499</f>
        <v/>
      </c>
      <c r="N499" s="14">
        <f>D499-K499</f>
        <v/>
      </c>
      <c r="O499" s="6">
        <f>AND(D499&gt;0,B499&lt;=COB_CA!$B$20)</f>
        <v/>
      </c>
    </row>
    <row r="500">
      <c r="A500" s="6" t="n">
        <v>496</v>
      </c>
      <c r="B500" s="15">
        <f>IF(COB_CA!$B$38=12,DATE(YEAR(COB_CA!$B$19)+INT((MONTH(COB_CA!$B$19)-1+495)/12),MOD(MONTH(COB_CA!$B$19)-1+495,12)+1,1)+(DAY(COB_CA!$B$19)-1),IF(COB_CA!$B$38=24,COB_CA!$B$19+ROUND((495*365.25)/24,0),IF(COB_CA!$B$38=26,COB_CA!$B$19+6930,COB_CA!$B$19+3465)))</f>
        <v/>
      </c>
      <c r="C500" s="12">
        <f>B500-B499</f>
        <v/>
      </c>
      <c r="D500" s="14">
        <f>N499</f>
        <v/>
      </c>
      <c r="E500" s="14">
        <f>D500*COB_CA!$B$40/100*(IF(YEAR(B499)=YEAR(B500),(B500-B499)/IF(AND(MOD(YEAR(B500),4)=0,OR(MOD(YEAR(B500),100)&lt;&gt;0,MOD(YEAR(B500),400)=0)),366,365),(((DATE(YEAR(B499)+1,1,1)))-B499)/IF(AND(MOD(YEAR(B499),4)=0,OR(MOD(YEAR(B499),100)&lt;&gt;0,MOD(YEAR(B499),400)=0)),366,365)+(B500-((DATE(YEAR(B499)+1,1,1))))/IF(AND(MOD(YEAR(B500),4)=0,OR(MOD(YEAR(B500),100)&lt;&gt;0,MOD(YEAR(B500),400)=0)),366,365)))</f>
        <v/>
      </c>
      <c r="F500" s="14">
        <f>L499</f>
        <v/>
      </c>
      <c r="G500" s="14">
        <f>M499</f>
        <v/>
      </c>
      <c r="H500" s="14">
        <f>IF((((COB_CA!$B$18-I500)-J500)&gt;D500),I500+J500+K500,COB_CA!$B$18)</f>
        <v/>
      </c>
      <c r="I500" s="14">
        <f>MIN(COB_CA!$B$18,(E500+F500))</f>
        <v/>
      </c>
      <c r="J500" s="14">
        <f>MIN((COB_CA!$B$18-I500),G500)</f>
        <v/>
      </c>
      <c r="K500" s="14">
        <f>MIN(((COB_CA!$B$18-I500)-J500),D500)</f>
        <v/>
      </c>
      <c r="L500" s="14">
        <f>E500+F500-I500</f>
        <v/>
      </c>
      <c r="M500" s="14">
        <f>G500-J500</f>
        <v/>
      </c>
      <c r="N500" s="14">
        <f>D500-K500</f>
        <v/>
      </c>
      <c r="O500" s="6">
        <f>AND(D500&gt;0,B500&lt;=COB_CA!$B$20)</f>
        <v/>
      </c>
    </row>
    <row r="501">
      <c r="A501" s="6" t="n">
        <v>497</v>
      </c>
      <c r="B501" s="15">
        <f>IF(COB_CA!$B$38=12,DATE(YEAR(COB_CA!$B$19)+INT((MONTH(COB_CA!$B$19)-1+496)/12),MOD(MONTH(COB_CA!$B$19)-1+496,12)+1,1)+(DAY(COB_CA!$B$19)-1),IF(COB_CA!$B$38=24,COB_CA!$B$19+ROUND((496*365.25)/24,0),IF(COB_CA!$B$38=26,COB_CA!$B$19+6944,COB_CA!$B$19+3472)))</f>
        <v/>
      </c>
      <c r="C501" s="12">
        <f>B501-B500</f>
        <v/>
      </c>
      <c r="D501" s="14">
        <f>N500</f>
        <v/>
      </c>
      <c r="E501" s="14">
        <f>D501*COB_CA!$B$40/100*(IF(YEAR(B500)=YEAR(B501),(B501-B500)/IF(AND(MOD(YEAR(B501),4)=0,OR(MOD(YEAR(B501),100)&lt;&gt;0,MOD(YEAR(B501),400)=0)),366,365),(((DATE(YEAR(B500)+1,1,1)))-B500)/IF(AND(MOD(YEAR(B500),4)=0,OR(MOD(YEAR(B500),100)&lt;&gt;0,MOD(YEAR(B500),400)=0)),366,365)+(B501-((DATE(YEAR(B500)+1,1,1))))/IF(AND(MOD(YEAR(B501),4)=0,OR(MOD(YEAR(B501),100)&lt;&gt;0,MOD(YEAR(B501),400)=0)),366,365)))</f>
        <v/>
      </c>
      <c r="F501" s="14">
        <f>L500</f>
        <v/>
      </c>
      <c r="G501" s="14">
        <f>M500</f>
        <v/>
      </c>
      <c r="H501" s="14">
        <f>IF((((COB_CA!$B$18-I501)-J501)&gt;D501),I501+J501+K501,COB_CA!$B$18)</f>
        <v/>
      </c>
      <c r="I501" s="14">
        <f>MIN(COB_CA!$B$18,(E501+F501))</f>
        <v/>
      </c>
      <c r="J501" s="14">
        <f>MIN((COB_CA!$B$18-I501),G501)</f>
        <v/>
      </c>
      <c r="K501" s="14">
        <f>MIN(((COB_CA!$B$18-I501)-J501),D501)</f>
        <v/>
      </c>
      <c r="L501" s="14">
        <f>E501+F501-I501</f>
        <v/>
      </c>
      <c r="M501" s="14">
        <f>G501-J501</f>
        <v/>
      </c>
      <c r="N501" s="14">
        <f>D501-K501</f>
        <v/>
      </c>
      <c r="O501" s="6">
        <f>AND(D501&gt;0,B501&lt;=COB_CA!$B$20)</f>
        <v/>
      </c>
    </row>
    <row r="502">
      <c r="A502" s="6" t="n">
        <v>498</v>
      </c>
      <c r="B502" s="15">
        <f>IF(COB_CA!$B$38=12,DATE(YEAR(COB_CA!$B$19)+INT((MONTH(COB_CA!$B$19)-1+497)/12),MOD(MONTH(COB_CA!$B$19)-1+497,12)+1,1)+(DAY(COB_CA!$B$19)-1),IF(COB_CA!$B$38=24,COB_CA!$B$19+ROUND((497*365.25)/24,0),IF(COB_CA!$B$38=26,COB_CA!$B$19+6958,COB_CA!$B$19+3479)))</f>
        <v/>
      </c>
      <c r="C502" s="12">
        <f>B502-B501</f>
        <v/>
      </c>
      <c r="D502" s="14">
        <f>N501</f>
        <v/>
      </c>
      <c r="E502" s="14">
        <f>D502*COB_CA!$B$40/100*(IF(YEAR(B501)=YEAR(B502),(B502-B501)/IF(AND(MOD(YEAR(B502),4)=0,OR(MOD(YEAR(B502),100)&lt;&gt;0,MOD(YEAR(B502),400)=0)),366,365),(((DATE(YEAR(B501)+1,1,1)))-B501)/IF(AND(MOD(YEAR(B501),4)=0,OR(MOD(YEAR(B501),100)&lt;&gt;0,MOD(YEAR(B501),400)=0)),366,365)+(B502-((DATE(YEAR(B501)+1,1,1))))/IF(AND(MOD(YEAR(B502),4)=0,OR(MOD(YEAR(B502),100)&lt;&gt;0,MOD(YEAR(B502),400)=0)),366,365)))</f>
        <v/>
      </c>
      <c r="F502" s="14">
        <f>L501</f>
        <v/>
      </c>
      <c r="G502" s="14">
        <f>M501</f>
        <v/>
      </c>
      <c r="H502" s="14">
        <f>IF((((COB_CA!$B$18-I502)-J502)&gt;D502),I502+J502+K502,COB_CA!$B$18)</f>
        <v/>
      </c>
      <c r="I502" s="14">
        <f>MIN(COB_CA!$B$18,(E502+F502))</f>
        <v/>
      </c>
      <c r="J502" s="14">
        <f>MIN((COB_CA!$B$18-I502),G502)</f>
        <v/>
      </c>
      <c r="K502" s="14">
        <f>MIN(((COB_CA!$B$18-I502)-J502),D502)</f>
        <v/>
      </c>
      <c r="L502" s="14">
        <f>E502+F502-I502</f>
        <v/>
      </c>
      <c r="M502" s="14">
        <f>G502-J502</f>
        <v/>
      </c>
      <c r="N502" s="14">
        <f>D502-K502</f>
        <v/>
      </c>
      <c r="O502" s="6">
        <f>AND(D502&gt;0,B502&lt;=COB_CA!$B$20)</f>
        <v/>
      </c>
    </row>
    <row r="503">
      <c r="A503" s="6" t="n">
        <v>499</v>
      </c>
      <c r="B503" s="15">
        <f>IF(COB_CA!$B$38=12,DATE(YEAR(COB_CA!$B$19)+INT((MONTH(COB_CA!$B$19)-1+498)/12),MOD(MONTH(COB_CA!$B$19)-1+498,12)+1,1)+(DAY(COB_CA!$B$19)-1),IF(COB_CA!$B$38=24,COB_CA!$B$19+ROUND((498*365.25)/24,0),IF(COB_CA!$B$38=26,COB_CA!$B$19+6972,COB_CA!$B$19+3486)))</f>
        <v/>
      </c>
      <c r="C503" s="12">
        <f>B503-B502</f>
        <v/>
      </c>
      <c r="D503" s="14">
        <f>N502</f>
        <v/>
      </c>
      <c r="E503" s="14">
        <f>D503*COB_CA!$B$40/100*(IF(YEAR(B502)=YEAR(B503),(B503-B502)/IF(AND(MOD(YEAR(B503),4)=0,OR(MOD(YEAR(B503),100)&lt;&gt;0,MOD(YEAR(B503),400)=0)),366,365),(((DATE(YEAR(B502)+1,1,1)))-B502)/IF(AND(MOD(YEAR(B502),4)=0,OR(MOD(YEAR(B502),100)&lt;&gt;0,MOD(YEAR(B502),400)=0)),366,365)+(B503-((DATE(YEAR(B502)+1,1,1))))/IF(AND(MOD(YEAR(B503),4)=0,OR(MOD(YEAR(B503),100)&lt;&gt;0,MOD(YEAR(B503),400)=0)),366,365)))</f>
        <v/>
      </c>
      <c r="F503" s="14">
        <f>L502</f>
        <v/>
      </c>
      <c r="G503" s="14">
        <f>M502</f>
        <v/>
      </c>
      <c r="H503" s="14">
        <f>IF((((COB_CA!$B$18-I503)-J503)&gt;D503),I503+J503+K503,COB_CA!$B$18)</f>
        <v/>
      </c>
      <c r="I503" s="14">
        <f>MIN(COB_CA!$B$18,(E503+F503))</f>
        <v/>
      </c>
      <c r="J503" s="14">
        <f>MIN((COB_CA!$B$18-I503),G503)</f>
        <v/>
      </c>
      <c r="K503" s="14">
        <f>MIN(((COB_CA!$B$18-I503)-J503),D503)</f>
        <v/>
      </c>
      <c r="L503" s="14">
        <f>E503+F503-I503</f>
        <v/>
      </c>
      <c r="M503" s="14">
        <f>G503-J503</f>
        <v/>
      </c>
      <c r="N503" s="14">
        <f>D503-K503</f>
        <v/>
      </c>
      <c r="O503" s="6">
        <f>AND(D503&gt;0,B503&lt;=COB_CA!$B$20)</f>
        <v/>
      </c>
    </row>
    <row r="504">
      <c r="A504" s="6" t="n">
        <v>500</v>
      </c>
      <c r="B504" s="15">
        <f>IF(COB_CA!$B$38=12,DATE(YEAR(COB_CA!$B$19)+INT((MONTH(COB_CA!$B$19)-1+499)/12),MOD(MONTH(COB_CA!$B$19)-1+499,12)+1,1)+(DAY(COB_CA!$B$19)-1),IF(COB_CA!$B$38=24,COB_CA!$B$19+ROUND((499*365.25)/24,0),IF(COB_CA!$B$38=26,COB_CA!$B$19+6986,COB_CA!$B$19+3493)))</f>
        <v/>
      </c>
      <c r="C504" s="12">
        <f>B504-B503</f>
        <v/>
      </c>
      <c r="D504" s="14">
        <f>N503</f>
        <v/>
      </c>
      <c r="E504" s="14">
        <f>D504*COB_CA!$B$40/100*(IF(YEAR(B503)=YEAR(B504),(B504-B503)/IF(AND(MOD(YEAR(B504),4)=0,OR(MOD(YEAR(B504),100)&lt;&gt;0,MOD(YEAR(B504),400)=0)),366,365),(((DATE(YEAR(B503)+1,1,1)))-B503)/IF(AND(MOD(YEAR(B503),4)=0,OR(MOD(YEAR(B503),100)&lt;&gt;0,MOD(YEAR(B503),400)=0)),366,365)+(B504-((DATE(YEAR(B503)+1,1,1))))/IF(AND(MOD(YEAR(B504),4)=0,OR(MOD(YEAR(B504),100)&lt;&gt;0,MOD(YEAR(B504),400)=0)),366,365)))</f>
        <v/>
      </c>
      <c r="F504" s="14">
        <f>L503</f>
        <v/>
      </c>
      <c r="G504" s="14">
        <f>M503</f>
        <v/>
      </c>
      <c r="H504" s="14">
        <f>IF((((COB_CA!$B$18-I504)-J504)&gt;D504),I504+J504+K504,COB_CA!$B$18)</f>
        <v/>
      </c>
      <c r="I504" s="14">
        <f>MIN(COB_CA!$B$18,(E504+F504))</f>
        <v/>
      </c>
      <c r="J504" s="14">
        <f>MIN((COB_CA!$B$18-I504),G504)</f>
        <v/>
      </c>
      <c r="K504" s="14">
        <f>MIN(((COB_CA!$B$18-I504)-J504),D504)</f>
        <v/>
      </c>
      <c r="L504" s="14">
        <f>E504+F504-I504</f>
        <v/>
      </c>
      <c r="M504" s="14">
        <f>G504-J504</f>
        <v/>
      </c>
      <c r="N504" s="14">
        <f>D504-K504</f>
        <v/>
      </c>
      <c r="O504" s="6">
        <f>AND(D504&gt;0,B504&lt;=COB_CA!$B$20)</f>
        <v/>
      </c>
    </row>
    <row r="505">
      <c r="A505" s="6" t="n">
        <v>501</v>
      </c>
      <c r="B505" s="15">
        <f>IF(COB_CA!$B$38=12,DATE(YEAR(COB_CA!$B$19)+INT((MONTH(COB_CA!$B$19)-1+500)/12),MOD(MONTH(COB_CA!$B$19)-1+500,12)+1,1)+(DAY(COB_CA!$B$19)-1),IF(COB_CA!$B$38=24,COB_CA!$B$19+ROUND((500*365.25)/24,0),IF(COB_CA!$B$38=26,COB_CA!$B$19+7000,COB_CA!$B$19+3500)))</f>
        <v/>
      </c>
      <c r="C505" s="12">
        <f>B505-B504</f>
        <v/>
      </c>
      <c r="D505" s="14">
        <f>N504</f>
        <v/>
      </c>
      <c r="E505" s="14">
        <f>D505*COB_CA!$B$40/100*(IF(YEAR(B504)=YEAR(B505),(B505-B504)/IF(AND(MOD(YEAR(B505),4)=0,OR(MOD(YEAR(B505),100)&lt;&gt;0,MOD(YEAR(B505),400)=0)),366,365),(((DATE(YEAR(B504)+1,1,1)))-B504)/IF(AND(MOD(YEAR(B504),4)=0,OR(MOD(YEAR(B504),100)&lt;&gt;0,MOD(YEAR(B504),400)=0)),366,365)+(B505-((DATE(YEAR(B504)+1,1,1))))/IF(AND(MOD(YEAR(B505),4)=0,OR(MOD(YEAR(B505),100)&lt;&gt;0,MOD(YEAR(B505),400)=0)),366,365)))</f>
        <v/>
      </c>
      <c r="F505" s="14">
        <f>L504</f>
        <v/>
      </c>
      <c r="G505" s="14">
        <f>M504</f>
        <v/>
      </c>
      <c r="H505" s="14">
        <f>IF((((COB_CA!$B$18-I505)-J505)&gt;D505),I505+J505+K505,COB_CA!$B$18)</f>
        <v/>
      </c>
      <c r="I505" s="14">
        <f>MIN(COB_CA!$B$18,(E505+F505))</f>
        <v/>
      </c>
      <c r="J505" s="14">
        <f>MIN((COB_CA!$B$18-I505),G505)</f>
        <v/>
      </c>
      <c r="K505" s="14">
        <f>MIN(((COB_CA!$B$18-I505)-J505),D505)</f>
        <v/>
      </c>
      <c r="L505" s="14">
        <f>E505+F505-I505</f>
        <v/>
      </c>
      <c r="M505" s="14">
        <f>G505-J505</f>
        <v/>
      </c>
      <c r="N505" s="14">
        <f>D505-K505</f>
        <v/>
      </c>
      <c r="O505" s="6">
        <f>AND(D505&gt;0,B505&lt;=COB_CA!$B$20)</f>
        <v/>
      </c>
    </row>
    <row r="506">
      <c r="A506" s="6" t="n">
        <v>502</v>
      </c>
      <c r="B506" s="15">
        <f>IF(COB_CA!$B$38=12,DATE(YEAR(COB_CA!$B$19)+INT((MONTH(COB_CA!$B$19)-1+501)/12),MOD(MONTH(COB_CA!$B$19)-1+501,12)+1,1)+(DAY(COB_CA!$B$19)-1),IF(COB_CA!$B$38=24,COB_CA!$B$19+ROUND((501*365.25)/24,0),IF(COB_CA!$B$38=26,COB_CA!$B$19+7014,COB_CA!$B$19+3507)))</f>
        <v/>
      </c>
      <c r="C506" s="12">
        <f>B506-B505</f>
        <v/>
      </c>
      <c r="D506" s="14">
        <f>N505</f>
        <v/>
      </c>
      <c r="E506" s="14">
        <f>D506*COB_CA!$B$40/100*(IF(YEAR(B505)=YEAR(B506),(B506-B505)/IF(AND(MOD(YEAR(B506),4)=0,OR(MOD(YEAR(B506),100)&lt;&gt;0,MOD(YEAR(B506),400)=0)),366,365),(((DATE(YEAR(B505)+1,1,1)))-B505)/IF(AND(MOD(YEAR(B505),4)=0,OR(MOD(YEAR(B505),100)&lt;&gt;0,MOD(YEAR(B505),400)=0)),366,365)+(B506-((DATE(YEAR(B505)+1,1,1))))/IF(AND(MOD(YEAR(B506),4)=0,OR(MOD(YEAR(B506),100)&lt;&gt;0,MOD(YEAR(B506),400)=0)),366,365)))</f>
        <v/>
      </c>
      <c r="F506" s="14">
        <f>L505</f>
        <v/>
      </c>
      <c r="G506" s="14">
        <f>M505</f>
        <v/>
      </c>
      <c r="H506" s="14">
        <f>IF((((COB_CA!$B$18-I506)-J506)&gt;D506),I506+J506+K506,COB_CA!$B$18)</f>
        <v/>
      </c>
      <c r="I506" s="14">
        <f>MIN(COB_CA!$B$18,(E506+F506))</f>
        <v/>
      </c>
      <c r="J506" s="14">
        <f>MIN((COB_CA!$B$18-I506),G506)</f>
        <v/>
      </c>
      <c r="K506" s="14">
        <f>MIN(((COB_CA!$B$18-I506)-J506),D506)</f>
        <v/>
      </c>
      <c r="L506" s="14">
        <f>E506+F506-I506</f>
        <v/>
      </c>
      <c r="M506" s="14">
        <f>G506-J506</f>
        <v/>
      </c>
      <c r="N506" s="14">
        <f>D506-K506</f>
        <v/>
      </c>
      <c r="O506" s="6">
        <f>AND(D506&gt;0,B506&lt;=COB_CA!$B$20)</f>
        <v/>
      </c>
    </row>
    <row r="507">
      <c r="A507" s="6" t="n">
        <v>503</v>
      </c>
      <c r="B507" s="15">
        <f>IF(COB_CA!$B$38=12,DATE(YEAR(COB_CA!$B$19)+INT((MONTH(COB_CA!$B$19)-1+502)/12),MOD(MONTH(COB_CA!$B$19)-1+502,12)+1,1)+(DAY(COB_CA!$B$19)-1),IF(COB_CA!$B$38=24,COB_CA!$B$19+ROUND((502*365.25)/24,0),IF(COB_CA!$B$38=26,COB_CA!$B$19+7028,COB_CA!$B$19+3514)))</f>
        <v/>
      </c>
      <c r="C507" s="12">
        <f>B507-B506</f>
        <v/>
      </c>
      <c r="D507" s="14">
        <f>N506</f>
        <v/>
      </c>
      <c r="E507" s="14">
        <f>D507*COB_CA!$B$40/100*(IF(YEAR(B506)=YEAR(B507),(B507-B506)/IF(AND(MOD(YEAR(B507),4)=0,OR(MOD(YEAR(B507),100)&lt;&gt;0,MOD(YEAR(B507),400)=0)),366,365),(((DATE(YEAR(B506)+1,1,1)))-B506)/IF(AND(MOD(YEAR(B506),4)=0,OR(MOD(YEAR(B506),100)&lt;&gt;0,MOD(YEAR(B506),400)=0)),366,365)+(B507-((DATE(YEAR(B506)+1,1,1))))/IF(AND(MOD(YEAR(B507),4)=0,OR(MOD(YEAR(B507),100)&lt;&gt;0,MOD(YEAR(B507),400)=0)),366,365)))</f>
        <v/>
      </c>
      <c r="F507" s="14">
        <f>L506</f>
        <v/>
      </c>
      <c r="G507" s="14">
        <f>M506</f>
        <v/>
      </c>
      <c r="H507" s="14">
        <f>IF((((COB_CA!$B$18-I507)-J507)&gt;D507),I507+J507+K507,COB_CA!$B$18)</f>
        <v/>
      </c>
      <c r="I507" s="14">
        <f>MIN(COB_CA!$B$18,(E507+F507))</f>
        <v/>
      </c>
      <c r="J507" s="14">
        <f>MIN((COB_CA!$B$18-I507),G507)</f>
        <v/>
      </c>
      <c r="K507" s="14">
        <f>MIN(((COB_CA!$B$18-I507)-J507),D507)</f>
        <v/>
      </c>
      <c r="L507" s="14">
        <f>E507+F507-I507</f>
        <v/>
      </c>
      <c r="M507" s="14">
        <f>G507-J507</f>
        <v/>
      </c>
      <c r="N507" s="14">
        <f>D507-K507</f>
        <v/>
      </c>
      <c r="O507" s="6">
        <f>AND(D507&gt;0,B507&lt;=COB_CA!$B$20)</f>
        <v/>
      </c>
    </row>
    <row r="508">
      <c r="A508" s="6" t="n">
        <v>504</v>
      </c>
      <c r="B508" s="15">
        <f>IF(COB_CA!$B$38=12,DATE(YEAR(COB_CA!$B$19)+INT((MONTH(COB_CA!$B$19)-1+503)/12),MOD(MONTH(COB_CA!$B$19)-1+503,12)+1,1)+(DAY(COB_CA!$B$19)-1),IF(COB_CA!$B$38=24,COB_CA!$B$19+ROUND((503*365.25)/24,0),IF(COB_CA!$B$38=26,COB_CA!$B$19+7042,COB_CA!$B$19+3521)))</f>
        <v/>
      </c>
      <c r="C508" s="12">
        <f>B508-B507</f>
        <v/>
      </c>
      <c r="D508" s="14">
        <f>N507</f>
        <v/>
      </c>
      <c r="E508" s="14">
        <f>D508*COB_CA!$B$40/100*(IF(YEAR(B507)=YEAR(B508),(B508-B507)/IF(AND(MOD(YEAR(B508),4)=0,OR(MOD(YEAR(B508),100)&lt;&gt;0,MOD(YEAR(B508),400)=0)),366,365),(((DATE(YEAR(B507)+1,1,1)))-B507)/IF(AND(MOD(YEAR(B507),4)=0,OR(MOD(YEAR(B507),100)&lt;&gt;0,MOD(YEAR(B507),400)=0)),366,365)+(B508-((DATE(YEAR(B507)+1,1,1))))/IF(AND(MOD(YEAR(B508),4)=0,OR(MOD(YEAR(B508),100)&lt;&gt;0,MOD(YEAR(B508),400)=0)),366,365)))</f>
        <v/>
      </c>
      <c r="F508" s="14">
        <f>L507</f>
        <v/>
      </c>
      <c r="G508" s="14">
        <f>M507</f>
        <v/>
      </c>
      <c r="H508" s="14">
        <f>IF((((COB_CA!$B$18-I508)-J508)&gt;D508),I508+J508+K508,COB_CA!$B$18)</f>
        <v/>
      </c>
      <c r="I508" s="14">
        <f>MIN(COB_CA!$B$18,(E508+F508))</f>
        <v/>
      </c>
      <c r="J508" s="14">
        <f>MIN((COB_CA!$B$18-I508),G508)</f>
        <v/>
      </c>
      <c r="K508" s="14">
        <f>MIN(((COB_CA!$B$18-I508)-J508),D508)</f>
        <v/>
      </c>
      <c r="L508" s="14">
        <f>E508+F508-I508</f>
        <v/>
      </c>
      <c r="M508" s="14">
        <f>G508-J508</f>
        <v/>
      </c>
      <c r="N508" s="14">
        <f>D508-K508</f>
        <v/>
      </c>
      <c r="O508" s="6">
        <f>AND(D508&gt;0,B508&lt;=COB_CA!$B$20)</f>
        <v/>
      </c>
    </row>
    <row r="509">
      <c r="A509" s="6" t="n">
        <v>505</v>
      </c>
      <c r="B509" s="15">
        <f>IF(COB_CA!$B$38=12,DATE(YEAR(COB_CA!$B$19)+INT((MONTH(COB_CA!$B$19)-1+504)/12),MOD(MONTH(COB_CA!$B$19)-1+504,12)+1,1)+(DAY(COB_CA!$B$19)-1),IF(COB_CA!$B$38=24,COB_CA!$B$19+ROUND((504*365.25)/24,0),IF(COB_CA!$B$38=26,COB_CA!$B$19+7056,COB_CA!$B$19+3528)))</f>
        <v/>
      </c>
      <c r="C509" s="12">
        <f>B509-B508</f>
        <v/>
      </c>
      <c r="D509" s="14">
        <f>N508</f>
        <v/>
      </c>
      <c r="E509" s="14">
        <f>D509*COB_CA!$B$40/100*(IF(YEAR(B508)=YEAR(B509),(B509-B508)/IF(AND(MOD(YEAR(B509),4)=0,OR(MOD(YEAR(B509),100)&lt;&gt;0,MOD(YEAR(B509),400)=0)),366,365),(((DATE(YEAR(B508)+1,1,1)))-B508)/IF(AND(MOD(YEAR(B508),4)=0,OR(MOD(YEAR(B508),100)&lt;&gt;0,MOD(YEAR(B508),400)=0)),366,365)+(B509-((DATE(YEAR(B508)+1,1,1))))/IF(AND(MOD(YEAR(B509),4)=0,OR(MOD(YEAR(B509),100)&lt;&gt;0,MOD(YEAR(B509),400)=0)),366,365)))</f>
        <v/>
      </c>
      <c r="F509" s="14">
        <f>L508</f>
        <v/>
      </c>
      <c r="G509" s="14">
        <f>M508</f>
        <v/>
      </c>
      <c r="H509" s="14">
        <f>IF((((COB_CA!$B$18-I509)-J509)&gt;D509),I509+J509+K509,COB_CA!$B$18)</f>
        <v/>
      </c>
      <c r="I509" s="14">
        <f>MIN(COB_CA!$B$18,(E509+F509))</f>
        <v/>
      </c>
      <c r="J509" s="14">
        <f>MIN((COB_CA!$B$18-I509),G509)</f>
        <v/>
      </c>
      <c r="K509" s="14">
        <f>MIN(((COB_CA!$B$18-I509)-J509),D509)</f>
        <v/>
      </c>
      <c r="L509" s="14">
        <f>E509+F509-I509</f>
        <v/>
      </c>
      <c r="M509" s="14">
        <f>G509-J509</f>
        <v/>
      </c>
      <c r="N509" s="14">
        <f>D509-K509</f>
        <v/>
      </c>
      <c r="O509" s="6">
        <f>AND(D509&gt;0,B509&lt;=COB_CA!$B$20)</f>
        <v/>
      </c>
    </row>
    <row r="510">
      <c r="A510" s="6" t="n">
        <v>506</v>
      </c>
      <c r="B510" s="15">
        <f>IF(COB_CA!$B$38=12,DATE(YEAR(COB_CA!$B$19)+INT((MONTH(COB_CA!$B$19)-1+505)/12),MOD(MONTH(COB_CA!$B$19)-1+505,12)+1,1)+(DAY(COB_CA!$B$19)-1),IF(COB_CA!$B$38=24,COB_CA!$B$19+ROUND((505*365.25)/24,0),IF(COB_CA!$B$38=26,COB_CA!$B$19+7070,COB_CA!$B$19+3535)))</f>
        <v/>
      </c>
      <c r="C510" s="12">
        <f>B510-B509</f>
        <v/>
      </c>
      <c r="D510" s="14">
        <f>N509</f>
        <v/>
      </c>
      <c r="E510" s="14">
        <f>D510*COB_CA!$B$40/100*(IF(YEAR(B509)=YEAR(B510),(B510-B509)/IF(AND(MOD(YEAR(B510),4)=0,OR(MOD(YEAR(B510),100)&lt;&gt;0,MOD(YEAR(B510),400)=0)),366,365),(((DATE(YEAR(B509)+1,1,1)))-B509)/IF(AND(MOD(YEAR(B509),4)=0,OR(MOD(YEAR(B509),100)&lt;&gt;0,MOD(YEAR(B509),400)=0)),366,365)+(B510-((DATE(YEAR(B509)+1,1,1))))/IF(AND(MOD(YEAR(B510),4)=0,OR(MOD(YEAR(B510),100)&lt;&gt;0,MOD(YEAR(B510),400)=0)),366,365)))</f>
        <v/>
      </c>
      <c r="F510" s="14">
        <f>L509</f>
        <v/>
      </c>
      <c r="G510" s="14">
        <f>M509</f>
        <v/>
      </c>
      <c r="H510" s="14">
        <f>IF((((COB_CA!$B$18-I510)-J510)&gt;D510),I510+J510+K510,COB_CA!$B$18)</f>
        <v/>
      </c>
      <c r="I510" s="14">
        <f>MIN(COB_CA!$B$18,(E510+F510))</f>
        <v/>
      </c>
      <c r="J510" s="14">
        <f>MIN((COB_CA!$B$18-I510),G510)</f>
        <v/>
      </c>
      <c r="K510" s="14">
        <f>MIN(((COB_CA!$B$18-I510)-J510),D510)</f>
        <v/>
      </c>
      <c r="L510" s="14">
        <f>E510+F510-I510</f>
        <v/>
      </c>
      <c r="M510" s="14">
        <f>G510-J510</f>
        <v/>
      </c>
      <c r="N510" s="14">
        <f>D510-K510</f>
        <v/>
      </c>
      <c r="O510" s="6">
        <f>AND(D510&gt;0,B510&lt;=COB_CA!$B$20)</f>
        <v/>
      </c>
    </row>
    <row r="511">
      <c r="A511" s="6" t="n">
        <v>507</v>
      </c>
      <c r="B511" s="15">
        <f>IF(COB_CA!$B$38=12,DATE(YEAR(COB_CA!$B$19)+INT((MONTH(COB_CA!$B$19)-1+506)/12),MOD(MONTH(COB_CA!$B$19)-1+506,12)+1,1)+(DAY(COB_CA!$B$19)-1),IF(COB_CA!$B$38=24,COB_CA!$B$19+ROUND((506*365.25)/24,0),IF(COB_CA!$B$38=26,COB_CA!$B$19+7084,COB_CA!$B$19+3542)))</f>
        <v/>
      </c>
      <c r="C511" s="12">
        <f>B511-B510</f>
        <v/>
      </c>
      <c r="D511" s="14">
        <f>N510</f>
        <v/>
      </c>
      <c r="E511" s="14">
        <f>D511*COB_CA!$B$40/100*(IF(YEAR(B510)=YEAR(B511),(B511-B510)/IF(AND(MOD(YEAR(B511),4)=0,OR(MOD(YEAR(B511),100)&lt;&gt;0,MOD(YEAR(B511),400)=0)),366,365),(((DATE(YEAR(B510)+1,1,1)))-B510)/IF(AND(MOD(YEAR(B510),4)=0,OR(MOD(YEAR(B510),100)&lt;&gt;0,MOD(YEAR(B510),400)=0)),366,365)+(B511-((DATE(YEAR(B510)+1,1,1))))/IF(AND(MOD(YEAR(B511),4)=0,OR(MOD(YEAR(B511),100)&lt;&gt;0,MOD(YEAR(B511),400)=0)),366,365)))</f>
        <v/>
      </c>
      <c r="F511" s="14">
        <f>L510</f>
        <v/>
      </c>
      <c r="G511" s="14">
        <f>M510</f>
        <v/>
      </c>
      <c r="H511" s="14">
        <f>IF((((COB_CA!$B$18-I511)-J511)&gt;D511),I511+J511+K511,COB_CA!$B$18)</f>
        <v/>
      </c>
      <c r="I511" s="14">
        <f>MIN(COB_CA!$B$18,(E511+F511))</f>
        <v/>
      </c>
      <c r="J511" s="14">
        <f>MIN((COB_CA!$B$18-I511),G511)</f>
        <v/>
      </c>
      <c r="K511" s="14">
        <f>MIN(((COB_CA!$B$18-I511)-J511),D511)</f>
        <v/>
      </c>
      <c r="L511" s="14">
        <f>E511+F511-I511</f>
        <v/>
      </c>
      <c r="M511" s="14">
        <f>G511-J511</f>
        <v/>
      </c>
      <c r="N511" s="14">
        <f>D511-K511</f>
        <v/>
      </c>
      <c r="O511" s="6">
        <f>AND(D511&gt;0,B511&lt;=COB_CA!$B$20)</f>
        <v/>
      </c>
    </row>
    <row r="512">
      <c r="A512" s="6" t="n">
        <v>508</v>
      </c>
      <c r="B512" s="15">
        <f>IF(COB_CA!$B$38=12,DATE(YEAR(COB_CA!$B$19)+INT((MONTH(COB_CA!$B$19)-1+507)/12),MOD(MONTH(COB_CA!$B$19)-1+507,12)+1,1)+(DAY(COB_CA!$B$19)-1),IF(COB_CA!$B$38=24,COB_CA!$B$19+ROUND((507*365.25)/24,0),IF(COB_CA!$B$38=26,COB_CA!$B$19+7098,COB_CA!$B$19+3549)))</f>
        <v/>
      </c>
      <c r="C512" s="12">
        <f>B512-B511</f>
        <v/>
      </c>
      <c r="D512" s="14">
        <f>N511</f>
        <v/>
      </c>
      <c r="E512" s="14">
        <f>D512*COB_CA!$B$40/100*(IF(YEAR(B511)=YEAR(B512),(B512-B511)/IF(AND(MOD(YEAR(B512),4)=0,OR(MOD(YEAR(B512),100)&lt;&gt;0,MOD(YEAR(B512),400)=0)),366,365),(((DATE(YEAR(B511)+1,1,1)))-B511)/IF(AND(MOD(YEAR(B511),4)=0,OR(MOD(YEAR(B511),100)&lt;&gt;0,MOD(YEAR(B511),400)=0)),366,365)+(B512-((DATE(YEAR(B511)+1,1,1))))/IF(AND(MOD(YEAR(B512),4)=0,OR(MOD(YEAR(B512),100)&lt;&gt;0,MOD(YEAR(B512),400)=0)),366,365)))</f>
        <v/>
      </c>
      <c r="F512" s="14">
        <f>L511</f>
        <v/>
      </c>
      <c r="G512" s="14">
        <f>M511</f>
        <v/>
      </c>
      <c r="H512" s="14">
        <f>IF((((COB_CA!$B$18-I512)-J512)&gt;D512),I512+J512+K512,COB_CA!$B$18)</f>
        <v/>
      </c>
      <c r="I512" s="14">
        <f>MIN(COB_CA!$B$18,(E512+F512))</f>
        <v/>
      </c>
      <c r="J512" s="14">
        <f>MIN((COB_CA!$B$18-I512),G512)</f>
        <v/>
      </c>
      <c r="K512" s="14">
        <f>MIN(((COB_CA!$B$18-I512)-J512),D512)</f>
        <v/>
      </c>
      <c r="L512" s="14">
        <f>E512+F512-I512</f>
        <v/>
      </c>
      <c r="M512" s="14">
        <f>G512-J512</f>
        <v/>
      </c>
      <c r="N512" s="14">
        <f>D512-K512</f>
        <v/>
      </c>
      <c r="O512" s="6">
        <f>AND(D512&gt;0,B512&lt;=COB_CA!$B$20)</f>
        <v/>
      </c>
    </row>
    <row r="513">
      <c r="A513" s="6" t="n">
        <v>509</v>
      </c>
      <c r="B513" s="15">
        <f>IF(COB_CA!$B$38=12,DATE(YEAR(COB_CA!$B$19)+INT((MONTH(COB_CA!$B$19)-1+508)/12),MOD(MONTH(COB_CA!$B$19)-1+508,12)+1,1)+(DAY(COB_CA!$B$19)-1),IF(COB_CA!$B$38=24,COB_CA!$B$19+ROUND((508*365.25)/24,0),IF(COB_CA!$B$38=26,COB_CA!$B$19+7112,COB_CA!$B$19+3556)))</f>
        <v/>
      </c>
      <c r="C513" s="12">
        <f>B513-B512</f>
        <v/>
      </c>
      <c r="D513" s="14">
        <f>N512</f>
        <v/>
      </c>
      <c r="E513" s="14">
        <f>D513*COB_CA!$B$40/100*(IF(YEAR(B512)=YEAR(B513),(B513-B512)/IF(AND(MOD(YEAR(B513),4)=0,OR(MOD(YEAR(B513),100)&lt;&gt;0,MOD(YEAR(B513),400)=0)),366,365),(((DATE(YEAR(B512)+1,1,1)))-B512)/IF(AND(MOD(YEAR(B512),4)=0,OR(MOD(YEAR(B512),100)&lt;&gt;0,MOD(YEAR(B512),400)=0)),366,365)+(B513-((DATE(YEAR(B512)+1,1,1))))/IF(AND(MOD(YEAR(B513),4)=0,OR(MOD(YEAR(B513),100)&lt;&gt;0,MOD(YEAR(B513),400)=0)),366,365)))</f>
        <v/>
      </c>
      <c r="F513" s="14">
        <f>L512</f>
        <v/>
      </c>
      <c r="G513" s="14">
        <f>M512</f>
        <v/>
      </c>
      <c r="H513" s="14">
        <f>IF((((COB_CA!$B$18-I513)-J513)&gt;D513),I513+J513+K513,COB_CA!$B$18)</f>
        <v/>
      </c>
      <c r="I513" s="14">
        <f>MIN(COB_CA!$B$18,(E513+F513))</f>
        <v/>
      </c>
      <c r="J513" s="14">
        <f>MIN((COB_CA!$B$18-I513),G513)</f>
        <v/>
      </c>
      <c r="K513" s="14">
        <f>MIN(((COB_CA!$B$18-I513)-J513),D513)</f>
        <v/>
      </c>
      <c r="L513" s="14">
        <f>E513+F513-I513</f>
        <v/>
      </c>
      <c r="M513" s="14">
        <f>G513-J513</f>
        <v/>
      </c>
      <c r="N513" s="14">
        <f>D513-K513</f>
        <v/>
      </c>
      <c r="O513" s="6">
        <f>AND(D513&gt;0,B513&lt;=COB_CA!$B$20)</f>
        <v/>
      </c>
    </row>
    <row r="514">
      <c r="A514" s="6" t="n">
        <v>510</v>
      </c>
      <c r="B514" s="15">
        <f>IF(COB_CA!$B$38=12,DATE(YEAR(COB_CA!$B$19)+INT((MONTH(COB_CA!$B$19)-1+509)/12),MOD(MONTH(COB_CA!$B$19)-1+509,12)+1,1)+(DAY(COB_CA!$B$19)-1),IF(COB_CA!$B$38=24,COB_CA!$B$19+ROUND((509*365.25)/24,0),IF(COB_CA!$B$38=26,COB_CA!$B$19+7126,COB_CA!$B$19+3563)))</f>
        <v/>
      </c>
      <c r="C514" s="12">
        <f>B514-B513</f>
        <v/>
      </c>
      <c r="D514" s="14">
        <f>N513</f>
        <v/>
      </c>
      <c r="E514" s="14">
        <f>D514*COB_CA!$B$40/100*(IF(YEAR(B513)=YEAR(B514),(B514-B513)/IF(AND(MOD(YEAR(B514),4)=0,OR(MOD(YEAR(B514),100)&lt;&gt;0,MOD(YEAR(B514),400)=0)),366,365),(((DATE(YEAR(B513)+1,1,1)))-B513)/IF(AND(MOD(YEAR(B513),4)=0,OR(MOD(YEAR(B513),100)&lt;&gt;0,MOD(YEAR(B513),400)=0)),366,365)+(B514-((DATE(YEAR(B513)+1,1,1))))/IF(AND(MOD(YEAR(B514),4)=0,OR(MOD(YEAR(B514),100)&lt;&gt;0,MOD(YEAR(B514),400)=0)),366,365)))</f>
        <v/>
      </c>
      <c r="F514" s="14">
        <f>L513</f>
        <v/>
      </c>
      <c r="G514" s="14">
        <f>M513</f>
        <v/>
      </c>
      <c r="H514" s="14">
        <f>IF((((COB_CA!$B$18-I514)-J514)&gt;D514),I514+J514+K514,COB_CA!$B$18)</f>
        <v/>
      </c>
      <c r="I514" s="14">
        <f>MIN(COB_CA!$B$18,(E514+F514))</f>
        <v/>
      </c>
      <c r="J514" s="14">
        <f>MIN((COB_CA!$B$18-I514),G514)</f>
        <v/>
      </c>
      <c r="K514" s="14">
        <f>MIN(((COB_CA!$B$18-I514)-J514),D514)</f>
        <v/>
      </c>
      <c r="L514" s="14">
        <f>E514+F514-I514</f>
        <v/>
      </c>
      <c r="M514" s="14">
        <f>G514-J514</f>
        <v/>
      </c>
      <c r="N514" s="14">
        <f>D514-K514</f>
        <v/>
      </c>
      <c r="O514" s="6">
        <f>AND(D514&gt;0,B514&lt;=COB_CA!$B$20)</f>
        <v/>
      </c>
    </row>
    <row r="515">
      <c r="A515" s="6" t="n">
        <v>511</v>
      </c>
      <c r="B515" s="15">
        <f>IF(COB_CA!$B$38=12,DATE(YEAR(COB_CA!$B$19)+INT((MONTH(COB_CA!$B$19)-1+510)/12),MOD(MONTH(COB_CA!$B$19)-1+510,12)+1,1)+(DAY(COB_CA!$B$19)-1),IF(COB_CA!$B$38=24,COB_CA!$B$19+ROUND((510*365.25)/24,0),IF(COB_CA!$B$38=26,COB_CA!$B$19+7140,COB_CA!$B$19+3570)))</f>
        <v/>
      </c>
      <c r="C515" s="12">
        <f>B515-B514</f>
        <v/>
      </c>
      <c r="D515" s="14">
        <f>N514</f>
        <v/>
      </c>
      <c r="E515" s="14">
        <f>D515*COB_CA!$B$40/100*(IF(YEAR(B514)=YEAR(B515),(B515-B514)/IF(AND(MOD(YEAR(B515),4)=0,OR(MOD(YEAR(B515),100)&lt;&gt;0,MOD(YEAR(B515),400)=0)),366,365),(((DATE(YEAR(B514)+1,1,1)))-B514)/IF(AND(MOD(YEAR(B514),4)=0,OR(MOD(YEAR(B514),100)&lt;&gt;0,MOD(YEAR(B514),400)=0)),366,365)+(B515-((DATE(YEAR(B514)+1,1,1))))/IF(AND(MOD(YEAR(B515),4)=0,OR(MOD(YEAR(B515),100)&lt;&gt;0,MOD(YEAR(B515),400)=0)),366,365)))</f>
        <v/>
      </c>
      <c r="F515" s="14">
        <f>L514</f>
        <v/>
      </c>
      <c r="G515" s="14">
        <f>M514</f>
        <v/>
      </c>
      <c r="H515" s="14">
        <f>IF((((COB_CA!$B$18-I515)-J515)&gt;D515),I515+J515+K515,COB_CA!$B$18)</f>
        <v/>
      </c>
      <c r="I515" s="14">
        <f>MIN(COB_CA!$B$18,(E515+F515))</f>
        <v/>
      </c>
      <c r="J515" s="14">
        <f>MIN((COB_CA!$B$18-I515),G515)</f>
        <v/>
      </c>
      <c r="K515" s="14">
        <f>MIN(((COB_CA!$B$18-I515)-J515),D515)</f>
        <v/>
      </c>
      <c r="L515" s="14">
        <f>E515+F515-I515</f>
        <v/>
      </c>
      <c r="M515" s="14">
        <f>G515-J515</f>
        <v/>
      </c>
      <c r="N515" s="14">
        <f>D515-K515</f>
        <v/>
      </c>
      <c r="O515" s="6">
        <f>AND(D515&gt;0,B515&lt;=COB_CA!$B$20)</f>
        <v/>
      </c>
    </row>
    <row r="516">
      <c r="A516" s="6" t="n">
        <v>512</v>
      </c>
      <c r="B516" s="15">
        <f>IF(COB_CA!$B$38=12,DATE(YEAR(COB_CA!$B$19)+INT((MONTH(COB_CA!$B$19)-1+511)/12),MOD(MONTH(COB_CA!$B$19)-1+511,12)+1,1)+(DAY(COB_CA!$B$19)-1),IF(COB_CA!$B$38=24,COB_CA!$B$19+ROUND((511*365.25)/24,0),IF(COB_CA!$B$38=26,COB_CA!$B$19+7154,COB_CA!$B$19+3577)))</f>
        <v/>
      </c>
      <c r="C516" s="12">
        <f>B516-B515</f>
        <v/>
      </c>
      <c r="D516" s="14">
        <f>N515</f>
        <v/>
      </c>
      <c r="E516" s="14">
        <f>D516*COB_CA!$B$40/100*(IF(YEAR(B515)=YEAR(B516),(B516-B515)/IF(AND(MOD(YEAR(B516),4)=0,OR(MOD(YEAR(B516),100)&lt;&gt;0,MOD(YEAR(B516),400)=0)),366,365),(((DATE(YEAR(B515)+1,1,1)))-B515)/IF(AND(MOD(YEAR(B515),4)=0,OR(MOD(YEAR(B515),100)&lt;&gt;0,MOD(YEAR(B515),400)=0)),366,365)+(B516-((DATE(YEAR(B515)+1,1,1))))/IF(AND(MOD(YEAR(B516),4)=0,OR(MOD(YEAR(B516),100)&lt;&gt;0,MOD(YEAR(B516),400)=0)),366,365)))</f>
        <v/>
      </c>
      <c r="F516" s="14">
        <f>L515</f>
        <v/>
      </c>
      <c r="G516" s="14">
        <f>M515</f>
        <v/>
      </c>
      <c r="H516" s="14">
        <f>IF((((COB_CA!$B$18-I516)-J516)&gt;D516),I516+J516+K516,COB_CA!$B$18)</f>
        <v/>
      </c>
      <c r="I516" s="14">
        <f>MIN(COB_CA!$B$18,(E516+F516))</f>
        <v/>
      </c>
      <c r="J516" s="14">
        <f>MIN((COB_CA!$B$18-I516),G516)</f>
        <v/>
      </c>
      <c r="K516" s="14">
        <f>MIN(((COB_CA!$B$18-I516)-J516),D516)</f>
        <v/>
      </c>
      <c r="L516" s="14">
        <f>E516+F516-I516</f>
        <v/>
      </c>
      <c r="M516" s="14">
        <f>G516-J516</f>
        <v/>
      </c>
      <c r="N516" s="14">
        <f>D516-K516</f>
        <v/>
      </c>
      <c r="O516" s="6">
        <f>AND(D516&gt;0,B516&lt;=COB_CA!$B$20)</f>
        <v/>
      </c>
    </row>
    <row r="517">
      <c r="A517" s="6" t="n">
        <v>513</v>
      </c>
      <c r="B517" s="15">
        <f>IF(COB_CA!$B$38=12,DATE(YEAR(COB_CA!$B$19)+INT((MONTH(COB_CA!$B$19)-1+512)/12),MOD(MONTH(COB_CA!$B$19)-1+512,12)+1,1)+(DAY(COB_CA!$B$19)-1),IF(COB_CA!$B$38=24,COB_CA!$B$19+ROUND((512*365.25)/24,0),IF(COB_CA!$B$38=26,COB_CA!$B$19+7168,COB_CA!$B$19+3584)))</f>
        <v/>
      </c>
      <c r="C517" s="12">
        <f>B517-B516</f>
        <v/>
      </c>
      <c r="D517" s="14">
        <f>N516</f>
        <v/>
      </c>
      <c r="E517" s="14">
        <f>D517*COB_CA!$B$40/100*(IF(YEAR(B516)=YEAR(B517),(B517-B516)/IF(AND(MOD(YEAR(B517),4)=0,OR(MOD(YEAR(B517),100)&lt;&gt;0,MOD(YEAR(B517),400)=0)),366,365),(((DATE(YEAR(B516)+1,1,1)))-B516)/IF(AND(MOD(YEAR(B516),4)=0,OR(MOD(YEAR(B516),100)&lt;&gt;0,MOD(YEAR(B516),400)=0)),366,365)+(B517-((DATE(YEAR(B516)+1,1,1))))/IF(AND(MOD(YEAR(B517),4)=0,OR(MOD(YEAR(B517),100)&lt;&gt;0,MOD(YEAR(B517),400)=0)),366,365)))</f>
        <v/>
      </c>
      <c r="F517" s="14">
        <f>L516</f>
        <v/>
      </c>
      <c r="G517" s="14">
        <f>M516</f>
        <v/>
      </c>
      <c r="H517" s="14">
        <f>IF((((COB_CA!$B$18-I517)-J517)&gt;D517),I517+J517+K517,COB_CA!$B$18)</f>
        <v/>
      </c>
      <c r="I517" s="14">
        <f>MIN(COB_CA!$B$18,(E517+F517))</f>
        <v/>
      </c>
      <c r="J517" s="14">
        <f>MIN((COB_CA!$B$18-I517),G517)</f>
        <v/>
      </c>
      <c r="K517" s="14">
        <f>MIN(((COB_CA!$B$18-I517)-J517),D517)</f>
        <v/>
      </c>
      <c r="L517" s="14">
        <f>E517+F517-I517</f>
        <v/>
      </c>
      <c r="M517" s="14">
        <f>G517-J517</f>
        <v/>
      </c>
      <c r="N517" s="14">
        <f>D517-K517</f>
        <v/>
      </c>
      <c r="O517" s="6">
        <f>AND(D517&gt;0,B517&lt;=COB_CA!$B$20)</f>
        <v/>
      </c>
    </row>
    <row r="518">
      <c r="A518" s="6" t="n">
        <v>514</v>
      </c>
      <c r="B518" s="15">
        <f>IF(COB_CA!$B$38=12,DATE(YEAR(COB_CA!$B$19)+INT((MONTH(COB_CA!$B$19)-1+513)/12),MOD(MONTH(COB_CA!$B$19)-1+513,12)+1,1)+(DAY(COB_CA!$B$19)-1),IF(COB_CA!$B$38=24,COB_CA!$B$19+ROUND((513*365.25)/24,0),IF(COB_CA!$B$38=26,COB_CA!$B$19+7182,COB_CA!$B$19+3591)))</f>
        <v/>
      </c>
      <c r="C518" s="12">
        <f>B518-B517</f>
        <v/>
      </c>
      <c r="D518" s="14">
        <f>N517</f>
        <v/>
      </c>
      <c r="E518" s="14">
        <f>D518*COB_CA!$B$40/100*(IF(YEAR(B517)=YEAR(B518),(B518-B517)/IF(AND(MOD(YEAR(B518),4)=0,OR(MOD(YEAR(B518),100)&lt;&gt;0,MOD(YEAR(B518),400)=0)),366,365),(((DATE(YEAR(B517)+1,1,1)))-B517)/IF(AND(MOD(YEAR(B517),4)=0,OR(MOD(YEAR(B517),100)&lt;&gt;0,MOD(YEAR(B517),400)=0)),366,365)+(B518-((DATE(YEAR(B517)+1,1,1))))/IF(AND(MOD(YEAR(B518),4)=0,OR(MOD(YEAR(B518),100)&lt;&gt;0,MOD(YEAR(B518),400)=0)),366,365)))</f>
        <v/>
      </c>
      <c r="F518" s="14">
        <f>L517</f>
        <v/>
      </c>
      <c r="G518" s="14">
        <f>M517</f>
        <v/>
      </c>
      <c r="H518" s="14">
        <f>IF((((COB_CA!$B$18-I518)-J518)&gt;D518),I518+J518+K518,COB_CA!$B$18)</f>
        <v/>
      </c>
      <c r="I518" s="14">
        <f>MIN(COB_CA!$B$18,(E518+F518))</f>
        <v/>
      </c>
      <c r="J518" s="14">
        <f>MIN((COB_CA!$B$18-I518),G518)</f>
        <v/>
      </c>
      <c r="K518" s="14">
        <f>MIN(((COB_CA!$B$18-I518)-J518),D518)</f>
        <v/>
      </c>
      <c r="L518" s="14">
        <f>E518+F518-I518</f>
        <v/>
      </c>
      <c r="M518" s="14">
        <f>G518-J518</f>
        <v/>
      </c>
      <c r="N518" s="14">
        <f>D518-K518</f>
        <v/>
      </c>
      <c r="O518" s="6">
        <f>AND(D518&gt;0,B518&lt;=COB_CA!$B$20)</f>
        <v/>
      </c>
    </row>
    <row r="519">
      <c r="A519" s="6" t="n">
        <v>515</v>
      </c>
      <c r="B519" s="15">
        <f>IF(COB_CA!$B$38=12,DATE(YEAR(COB_CA!$B$19)+INT((MONTH(COB_CA!$B$19)-1+514)/12),MOD(MONTH(COB_CA!$B$19)-1+514,12)+1,1)+(DAY(COB_CA!$B$19)-1),IF(COB_CA!$B$38=24,COB_CA!$B$19+ROUND((514*365.25)/24,0),IF(COB_CA!$B$38=26,COB_CA!$B$19+7196,COB_CA!$B$19+3598)))</f>
        <v/>
      </c>
      <c r="C519" s="12">
        <f>B519-B518</f>
        <v/>
      </c>
      <c r="D519" s="14">
        <f>N518</f>
        <v/>
      </c>
      <c r="E519" s="14">
        <f>D519*COB_CA!$B$40/100*(IF(YEAR(B518)=YEAR(B519),(B519-B518)/IF(AND(MOD(YEAR(B519),4)=0,OR(MOD(YEAR(B519),100)&lt;&gt;0,MOD(YEAR(B519),400)=0)),366,365),(((DATE(YEAR(B518)+1,1,1)))-B518)/IF(AND(MOD(YEAR(B518),4)=0,OR(MOD(YEAR(B518),100)&lt;&gt;0,MOD(YEAR(B518),400)=0)),366,365)+(B519-((DATE(YEAR(B518)+1,1,1))))/IF(AND(MOD(YEAR(B519),4)=0,OR(MOD(YEAR(B519),100)&lt;&gt;0,MOD(YEAR(B519),400)=0)),366,365)))</f>
        <v/>
      </c>
      <c r="F519" s="14">
        <f>L518</f>
        <v/>
      </c>
      <c r="G519" s="14">
        <f>M518</f>
        <v/>
      </c>
      <c r="H519" s="14">
        <f>IF((((COB_CA!$B$18-I519)-J519)&gt;D519),I519+J519+K519,COB_CA!$B$18)</f>
        <v/>
      </c>
      <c r="I519" s="14">
        <f>MIN(COB_CA!$B$18,(E519+F519))</f>
        <v/>
      </c>
      <c r="J519" s="14">
        <f>MIN((COB_CA!$B$18-I519),G519)</f>
        <v/>
      </c>
      <c r="K519" s="14">
        <f>MIN(((COB_CA!$B$18-I519)-J519),D519)</f>
        <v/>
      </c>
      <c r="L519" s="14">
        <f>E519+F519-I519</f>
        <v/>
      </c>
      <c r="M519" s="14">
        <f>G519-J519</f>
        <v/>
      </c>
      <c r="N519" s="14">
        <f>D519-K519</f>
        <v/>
      </c>
      <c r="O519" s="6">
        <f>AND(D519&gt;0,B519&lt;=COB_CA!$B$20)</f>
        <v/>
      </c>
    </row>
    <row r="520">
      <c r="A520" s="6" t="n">
        <v>516</v>
      </c>
      <c r="B520" s="15">
        <f>IF(COB_CA!$B$38=12,DATE(YEAR(COB_CA!$B$19)+INT((MONTH(COB_CA!$B$19)-1+515)/12),MOD(MONTH(COB_CA!$B$19)-1+515,12)+1,1)+(DAY(COB_CA!$B$19)-1),IF(COB_CA!$B$38=24,COB_CA!$B$19+ROUND((515*365.25)/24,0),IF(COB_CA!$B$38=26,COB_CA!$B$19+7210,COB_CA!$B$19+3605)))</f>
        <v/>
      </c>
      <c r="C520" s="12">
        <f>B520-B519</f>
        <v/>
      </c>
      <c r="D520" s="14">
        <f>N519</f>
        <v/>
      </c>
      <c r="E520" s="14">
        <f>D520*COB_CA!$B$40/100*(IF(YEAR(B519)=YEAR(B520),(B520-B519)/IF(AND(MOD(YEAR(B520),4)=0,OR(MOD(YEAR(B520),100)&lt;&gt;0,MOD(YEAR(B520),400)=0)),366,365),(((DATE(YEAR(B519)+1,1,1)))-B519)/IF(AND(MOD(YEAR(B519),4)=0,OR(MOD(YEAR(B519),100)&lt;&gt;0,MOD(YEAR(B519),400)=0)),366,365)+(B520-((DATE(YEAR(B519)+1,1,1))))/IF(AND(MOD(YEAR(B520),4)=0,OR(MOD(YEAR(B520),100)&lt;&gt;0,MOD(YEAR(B520),400)=0)),366,365)))</f>
        <v/>
      </c>
      <c r="F520" s="14">
        <f>L519</f>
        <v/>
      </c>
      <c r="G520" s="14">
        <f>M519</f>
        <v/>
      </c>
      <c r="H520" s="14">
        <f>IF((((COB_CA!$B$18-I520)-J520)&gt;D520),I520+J520+K520,COB_CA!$B$18)</f>
        <v/>
      </c>
      <c r="I520" s="14">
        <f>MIN(COB_CA!$B$18,(E520+F520))</f>
        <v/>
      </c>
      <c r="J520" s="14">
        <f>MIN((COB_CA!$B$18-I520),G520)</f>
        <v/>
      </c>
      <c r="K520" s="14">
        <f>MIN(((COB_CA!$B$18-I520)-J520),D520)</f>
        <v/>
      </c>
      <c r="L520" s="14">
        <f>E520+F520-I520</f>
        <v/>
      </c>
      <c r="M520" s="14">
        <f>G520-J520</f>
        <v/>
      </c>
      <c r="N520" s="14">
        <f>D520-K520</f>
        <v/>
      </c>
      <c r="O520" s="6">
        <f>AND(D520&gt;0,B520&lt;=COB_CA!$B$20)</f>
        <v/>
      </c>
    </row>
    <row r="521">
      <c r="A521" s="6" t="n">
        <v>517</v>
      </c>
      <c r="B521" s="15">
        <f>IF(COB_CA!$B$38=12,DATE(YEAR(COB_CA!$B$19)+INT((MONTH(COB_CA!$B$19)-1+516)/12),MOD(MONTH(COB_CA!$B$19)-1+516,12)+1,1)+(DAY(COB_CA!$B$19)-1),IF(COB_CA!$B$38=24,COB_CA!$B$19+ROUND((516*365.25)/24,0),IF(COB_CA!$B$38=26,COB_CA!$B$19+7224,COB_CA!$B$19+3612)))</f>
        <v/>
      </c>
      <c r="C521" s="12">
        <f>B521-B520</f>
        <v/>
      </c>
      <c r="D521" s="14">
        <f>N520</f>
        <v/>
      </c>
      <c r="E521" s="14">
        <f>D521*COB_CA!$B$40/100*(IF(YEAR(B520)=YEAR(B521),(B521-B520)/IF(AND(MOD(YEAR(B521),4)=0,OR(MOD(YEAR(B521),100)&lt;&gt;0,MOD(YEAR(B521),400)=0)),366,365),(((DATE(YEAR(B520)+1,1,1)))-B520)/IF(AND(MOD(YEAR(B520),4)=0,OR(MOD(YEAR(B520),100)&lt;&gt;0,MOD(YEAR(B520),400)=0)),366,365)+(B521-((DATE(YEAR(B520)+1,1,1))))/IF(AND(MOD(YEAR(B521),4)=0,OR(MOD(YEAR(B521),100)&lt;&gt;0,MOD(YEAR(B521),400)=0)),366,365)))</f>
        <v/>
      </c>
      <c r="F521" s="14">
        <f>L520</f>
        <v/>
      </c>
      <c r="G521" s="14">
        <f>M520</f>
        <v/>
      </c>
      <c r="H521" s="14">
        <f>IF((((COB_CA!$B$18-I521)-J521)&gt;D521),I521+J521+K521,COB_CA!$B$18)</f>
        <v/>
      </c>
      <c r="I521" s="14">
        <f>MIN(COB_CA!$B$18,(E521+F521))</f>
        <v/>
      </c>
      <c r="J521" s="14">
        <f>MIN((COB_CA!$B$18-I521),G521)</f>
        <v/>
      </c>
      <c r="K521" s="14">
        <f>MIN(((COB_CA!$B$18-I521)-J521),D521)</f>
        <v/>
      </c>
      <c r="L521" s="14">
        <f>E521+F521-I521</f>
        <v/>
      </c>
      <c r="M521" s="14">
        <f>G521-J521</f>
        <v/>
      </c>
      <c r="N521" s="14">
        <f>D521-K521</f>
        <v/>
      </c>
      <c r="O521" s="6">
        <f>AND(D521&gt;0,B521&lt;=COB_CA!$B$20)</f>
        <v/>
      </c>
    </row>
    <row r="522">
      <c r="A522" s="6" t="n">
        <v>518</v>
      </c>
      <c r="B522" s="15">
        <f>IF(COB_CA!$B$38=12,DATE(YEAR(COB_CA!$B$19)+INT((MONTH(COB_CA!$B$19)-1+517)/12),MOD(MONTH(COB_CA!$B$19)-1+517,12)+1,1)+(DAY(COB_CA!$B$19)-1),IF(COB_CA!$B$38=24,COB_CA!$B$19+ROUND((517*365.25)/24,0),IF(COB_CA!$B$38=26,COB_CA!$B$19+7238,COB_CA!$B$19+3619)))</f>
        <v/>
      </c>
      <c r="C522" s="12">
        <f>B522-B521</f>
        <v/>
      </c>
      <c r="D522" s="14">
        <f>N521</f>
        <v/>
      </c>
      <c r="E522" s="14">
        <f>D522*COB_CA!$B$40/100*(IF(YEAR(B521)=YEAR(B522),(B522-B521)/IF(AND(MOD(YEAR(B522),4)=0,OR(MOD(YEAR(B522),100)&lt;&gt;0,MOD(YEAR(B522),400)=0)),366,365),(((DATE(YEAR(B521)+1,1,1)))-B521)/IF(AND(MOD(YEAR(B521),4)=0,OR(MOD(YEAR(B521),100)&lt;&gt;0,MOD(YEAR(B521),400)=0)),366,365)+(B522-((DATE(YEAR(B521)+1,1,1))))/IF(AND(MOD(YEAR(B522),4)=0,OR(MOD(YEAR(B522),100)&lt;&gt;0,MOD(YEAR(B522),400)=0)),366,365)))</f>
        <v/>
      </c>
      <c r="F522" s="14">
        <f>L521</f>
        <v/>
      </c>
      <c r="G522" s="14">
        <f>M521</f>
        <v/>
      </c>
      <c r="H522" s="14">
        <f>IF((((COB_CA!$B$18-I522)-J522)&gt;D522),I522+J522+K522,COB_CA!$B$18)</f>
        <v/>
      </c>
      <c r="I522" s="14">
        <f>MIN(COB_CA!$B$18,(E522+F522))</f>
        <v/>
      </c>
      <c r="J522" s="14">
        <f>MIN((COB_CA!$B$18-I522),G522)</f>
        <v/>
      </c>
      <c r="K522" s="14">
        <f>MIN(((COB_CA!$B$18-I522)-J522),D522)</f>
        <v/>
      </c>
      <c r="L522" s="14">
        <f>E522+F522-I522</f>
        <v/>
      </c>
      <c r="M522" s="14">
        <f>G522-J522</f>
        <v/>
      </c>
      <c r="N522" s="14">
        <f>D522-K522</f>
        <v/>
      </c>
      <c r="O522" s="6">
        <f>AND(D522&gt;0,B522&lt;=COB_CA!$B$20)</f>
        <v/>
      </c>
    </row>
    <row r="523">
      <c r="A523" s="6" t="n">
        <v>519</v>
      </c>
      <c r="B523" s="15">
        <f>IF(COB_CA!$B$38=12,DATE(YEAR(COB_CA!$B$19)+INT((MONTH(COB_CA!$B$19)-1+518)/12),MOD(MONTH(COB_CA!$B$19)-1+518,12)+1,1)+(DAY(COB_CA!$B$19)-1),IF(COB_CA!$B$38=24,COB_CA!$B$19+ROUND((518*365.25)/24,0),IF(COB_CA!$B$38=26,COB_CA!$B$19+7252,COB_CA!$B$19+3626)))</f>
        <v/>
      </c>
      <c r="C523" s="12">
        <f>B523-B522</f>
        <v/>
      </c>
      <c r="D523" s="14">
        <f>N522</f>
        <v/>
      </c>
      <c r="E523" s="14">
        <f>D523*COB_CA!$B$40/100*(IF(YEAR(B522)=YEAR(B523),(B523-B522)/IF(AND(MOD(YEAR(B523),4)=0,OR(MOD(YEAR(B523),100)&lt;&gt;0,MOD(YEAR(B523),400)=0)),366,365),(((DATE(YEAR(B522)+1,1,1)))-B522)/IF(AND(MOD(YEAR(B522),4)=0,OR(MOD(YEAR(B522),100)&lt;&gt;0,MOD(YEAR(B522),400)=0)),366,365)+(B523-((DATE(YEAR(B522)+1,1,1))))/IF(AND(MOD(YEAR(B523),4)=0,OR(MOD(YEAR(B523),100)&lt;&gt;0,MOD(YEAR(B523),400)=0)),366,365)))</f>
        <v/>
      </c>
      <c r="F523" s="14">
        <f>L522</f>
        <v/>
      </c>
      <c r="G523" s="14">
        <f>M522</f>
        <v/>
      </c>
      <c r="H523" s="14">
        <f>IF((((COB_CA!$B$18-I523)-J523)&gt;D523),I523+J523+K523,COB_CA!$B$18)</f>
        <v/>
      </c>
      <c r="I523" s="14">
        <f>MIN(COB_CA!$B$18,(E523+F523))</f>
        <v/>
      </c>
      <c r="J523" s="14">
        <f>MIN((COB_CA!$B$18-I523),G523)</f>
        <v/>
      </c>
      <c r="K523" s="14">
        <f>MIN(((COB_CA!$B$18-I523)-J523),D523)</f>
        <v/>
      </c>
      <c r="L523" s="14">
        <f>E523+F523-I523</f>
        <v/>
      </c>
      <c r="M523" s="14">
        <f>G523-J523</f>
        <v/>
      </c>
      <c r="N523" s="14">
        <f>D523-K523</f>
        <v/>
      </c>
      <c r="O523" s="6">
        <f>AND(D523&gt;0,B523&lt;=COB_CA!$B$20)</f>
        <v/>
      </c>
    </row>
    <row r="524">
      <c r="A524" s="6" t="n">
        <v>520</v>
      </c>
      <c r="B524" s="15">
        <f>IF(COB_CA!$B$38=12,DATE(YEAR(COB_CA!$B$19)+INT((MONTH(COB_CA!$B$19)-1+519)/12),MOD(MONTH(COB_CA!$B$19)-1+519,12)+1,1)+(DAY(COB_CA!$B$19)-1),IF(COB_CA!$B$38=24,COB_CA!$B$19+ROUND((519*365.25)/24,0),IF(COB_CA!$B$38=26,COB_CA!$B$19+7266,COB_CA!$B$19+3633)))</f>
        <v/>
      </c>
      <c r="C524" s="12">
        <f>B524-B523</f>
        <v/>
      </c>
      <c r="D524" s="14">
        <f>N523</f>
        <v/>
      </c>
      <c r="E524" s="14">
        <f>D524*COB_CA!$B$40/100*(IF(YEAR(B523)=YEAR(B524),(B524-B523)/IF(AND(MOD(YEAR(B524),4)=0,OR(MOD(YEAR(B524),100)&lt;&gt;0,MOD(YEAR(B524),400)=0)),366,365),(((DATE(YEAR(B523)+1,1,1)))-B523)/IF(AND(MOD(YEAR(B523),4)=0,OR(MOD(YEAR(B523),100)&lt;&gt;0,MOD(YEAR(B523),400)=0)),366,365)+(B524-((DATE(YEAR(B523)+1,1,1))))/IF(AND(MOD(YEAR(B524),4)=0,OR(MOD(YEAR(B524),100)&lt;&gt;0,MOD(YEAR(B524),400)=0)),366,365)))</f>
        <v/>
      </c>
      <c r="F524" s="14">
        <f>L523</f>
        <v/>
      </c>
      <c r="G524" s="14">
        <f>M523</f>
        <v/>
      </c>
      <c r="H524" s="14">
        <f>IF((((COB_CA!$B$18-I524)-J524)&gt;D524),I524+J524+K524,COB_CA!$B$18)</f>
        <v/>
      </c>
      <c r="I524" s="14">
        <f>MIN(COB_CA!$B$18,(E524+F524))</f>
        <v/>
      </c>
      <c r="J524" s="14">
        <f>MIN((COB_CA!$B$18-I524),G524)</f>
        <v/>
      </c>
      <c r="K524" s="14">
        <f>MIN(((COB_CA!$B$18-I524)-J524),D524)</f>
        <v/>
      </c>
      <c r="L524" s="14">
        <f>E524+F524-I524</f>
        <v/>
      </c>
      <c r="M524" s="14">
        <f>G524-J524</f>
        <v/>
      </c>
      <c r="N524" s="14">
        <f>D524-K524</f>
        <v/>
      </c>
      <c r="O524" s="6">
        <f>AND(D524&gt;0,B524&lt;=COB_CA!$B$20)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2026-09-23T14:06:24Z</dcterms:created>
  <dcterms:modified xmlns:dcterms="http://purl.org/dc/terms/" xmlns:xsi="http://www.w3.org/2001/XMLSchema-instance" xsi:type="dcterms:W3CDTF">2026-09-23T14:06:25Z</dcterms:modified>
</cp:coreProperties>
</file>